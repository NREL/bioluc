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480" yWindow="75" windowWidth="12960" windowHeight="12225"/>
  </bookViews>
  <sheets>
    <sheet name="LUC-2013-01-08-Run1" sheetId="1" r:id="rId1"/>
    <sheet name="LUC-2013-01-08-Run2" sheetId="4" r:id="rId2"/>
    <sheet name="LUC-2013-01-08-Run3" sheetId="5" r:id="rId3"/>
    <sheet name="LUC-2013-01-08-Run4" sheetId="6" r:id="rId4"/>
    <sheet name="Sheet2" sheetId="2" r:id="rId5"/>
    <sheet name="RUN SPECS" sheetId="3" r:id="rId6"/>
    <sheet name="WAO Scenario Ag" sheetId="11" r:id="rId7"/>
    <sheet name="25% by 2050 Ag" sheetId="10" r:id="rId8"/>
    <sheet name="Land Init" sheetId="8" r:id="rId9"/>
    <sheet name="Sce 1 Table" sheetId="9" r:id="rId10"/>
    <sheet name="Sce 2 Table" sheetId="12" r:id="rId11"/>
    <sheet name="Sce 3 Table" sheetId="13" r:id="rId12"/>
    <sheet name="Sce 4 Table" sheetId="14" r:id="rId13"/>
    <sheet name="Cellulosic Sens Anal" sheetId="15" r:id="rId14"/>
  </sheets>
  <externalReferences>
    <externalReference r:id="rId15"/>
  </externalReferences>
  <calcPr calcId="145621"/>
</workbook>
</file>

<file path=xl/calcChain.xml><?xml version="1.0" encoding="utf-8"?>
<calcChain xmlns="http://schemas.openxmlformats.org/spreadsheetml/2006/main">
  <c r="V54" i="9" l="1"/>
  <c r="U55" i="9"/>
  <c r="U54" i="9"/>
  <c r="D55" i="9"/>
  <c r="D66" i="14"/>
  <c r="D65" i="14"/>
  <c r="D62" i="14"/>
  <c r="D61" i="14"/>
  <c r="D70" i="9"/>
  <c r="D69" i="9"/>
  <c r="BK55" i="9"/>
  <c r="BJ55" i="9"/>
  <c r="BI55" i="9"/>
  <c r="BH55" i="9"/>
  <c r="BG55" i="9"/>
  <c r="BF55" i="9"/>
  <c r="BE55" i="9"/>
  <c r="BD55" i="9"/>
  <c r="BC55" i="9"/>
  <c r="BB55" i="9"/>
  <c r="BA55" i="9"/>
  <c r="AZ55" i="9"/>
  <c r="AY55" i="9"/>
  <c r="AX55" i="9"/>
  <c r="AW55" i="9"/>
  <c r="AV55" i="9"/>
  <c r="AU55" i="9"/>
  <c r="AT55" i="9"/>
  <c r="AS55" i="9"/>
  <c r="AR55" i="9"/>
  <c r="AQ55" i="9"/>
  <c r="AP55" i="9"/>
  <c r="AO55" i="9"/>
  <c r="AN55" i="9"/>
  <c r="AM55" i="9"/>
  <c r="AL55" i="9"/>
  <c r="AK55" i="9"/>
  <c r="AJ55" i="9"/>
  <c r="AI55" i="9"/>
  <c r="AH55" i="9"/>
  <c r="AG55" i="9"/>
  <c r="AF55" i="9"/>
  <c r="AE55" i="9"/>
  <c r="AD55" i="9"/>
  <c r="AC55" i="9"/>
  <c r="AB55" i="9"/>
  <c r="AA55" i="9"/>
  <c r="Z55" i="9"/>
  <c r="Y55" i="9"/>
  <c r="X55" i="9"/>
  <c r="W55" i="9"/>
  <c r="V55" i="9"/>
  <c r="T55" i="9"/>
  <c r="S55" i="9"/>
  <c r="R55" i="9"/>
  <c r="Q55" i="9"/>
  <c r="P55" i="9"/>
  <c r="O55" i="9"/>
  <c r="N55" i="9"/>
  <c r="M55" i="9"/>
  <c r="L55" i="9"/>
  <c r="K55" i="9"/>
  <c r="J55" i="9"/>
  <c r="I55" i="9"/>
  <c r="H55" i="9"/>
  <c r="G55" i="9"/>
  <c r="F55" i="9"/>
  <c r="E55" i="9"/>
  <c r="BK54" i="9"/>
  <c r="BJ54" i="9"/>
  <c r="BI54" i="9"/>
  <c r="BH54" i="9"/>
  <c r="BG54" i="9"/>
  <c r="BF54" i="9"/>
  <c r="BE54" i="9"/>
  <c r="BD54" i="9"/>
  <c r="BC54" i="9"/>
  <c r="BB54" i="9"/>
  <c r="BA54" i="9"/>
  <c r="AZ54" i="9"/>
  <c r="AY54" i="9"/>
  <c r="AX54" i="9"/>
  <c r="AW54" i="9"/>
  <c r="AV54" i="9"/>
  <c r="AU54" i="9"/>
  <c r="AT54" i="9"/>
  <c r="AS54" i="9"/>
  <c r="AR54" i="9"/>
  <c r="AQ54" i="9"/>
  <c r="AP54" i="9"/>
  <c r="AO54" i="9"/>
  <c r="AN54" i="9"/>
  <c r="AM54" i="9"/>
  <c r="AL54" i="9"/>
  <c r="AK54" i="9"/>
  <c r="AJ54" i="9"/>
  <c r="AI54" i="9"/>
  <c r="AH54" i="9"/>
  <c r="AG54" i="9"/>
  <c r="AF54" i="9"/>
  <c r="AE54" i="9"/>
  <c r="AD54" i="9"/>
  <c r="AC54" i="9"/>
  <c r="AB54" i="9"/>
  <c r="AA54" i="9"/>
  <c r="Z54" i="9"/>
  <c r="Y54" i="9"/>
  <c r="X54" i="9"/>
  <c r="W54" i="9"/>
  <c r="T54" i="9"/>
  <c r="S54" i="9"/>
  <c r="R54" i="9"/>
  <c r="Q54" i="9"/>
  <c r="P54" i="9"/>
  <c r="O54" i="9"/>
  <c r="N54" i="9"/>
  <c r="M54" i="9"/>
  <c r="L54" i="9"/>
  <c r="K54" i="9"/>
  <c r="J54" i="9"/>
  <c r="I54" i="9"/>
  <c r="H54" i="9"/>
  <c r="G54" i="9"/>
  <c r="F54" i="9"/>
  <c r="E54" i="9"/>
  <c r="D54" i="9"/>
  <c r="BK53" i="9"/>
  <c r="BJ53" i="9"/>
  <c r="BI53" i="9"/>
  <c r="BH53" i="9"/>
  <c r="BG53" i="9"/>
  <c r="BF53" i="9"/>
  <c r="BE53" i="9"/>
  <c r="BD53" i="9"/>
  <c r="BC53" i="9"/>
  <c r="BB53" i="9"/>
  <c r="BA53" i="9"/>
  <c r="AZ53" i="9"/>
  <c r="AY53" i="9"/>
  <c r="AX53" i="9"/>
  <c r="AW53" i="9"/>
  <c r="AV53" i="9"/>
  <c r="AU53" i="9"/>
  <c r="AT53" i="9"/>
  <c r="AS53" i="9"/>
  <c r="AR53" i="9"/>
  <c r="AQ53" i="9"/>
  <c r="AP53" i="9"/>
  <c r="AO53" i="9"/>
  <c r="AN53" i="9"/>
  <c r="AM53" i="9"/>
  <c r="AL53" i="9"/>
  <c r="AK53" i="9"/>
  <c r="AJ53" i="9"/>
  <c r="AI53" i="9"/>
  <c r="AH53" i="9"/>
  <c r="AG53" i="9"/>
  <c r="AF53" i="9"/>
  <c r="AE53" i="9"/>
  <c r="AD53" i="9"/>
  <c r="AC53" i="9"/>
  <c r="AB53" i="9"/>
  <c r="AA53" i="9"/>
  <c r="Z53" i="9"/>
  <c r="Y53" i="9"/>
  <c r="X53" i="9"/>
  <c r="W53" i="9"/>
  <c r="V53" i="9"/>
  <c r="U53" i="9"/>
  <c r="T53" i="9"/>
  <c r="S53" i="9"/>
  <c r="R53" i="9"/>
  <c r="Q53" i="9"/>
  <c r="P53" i="9"/>
  <c r="O53" i="9"/>
  <c r="N53" i="9"/>
  <c r="M53" i="9"/>
  <c r="L53" i="9"/>
  <c r="K53" i="9"/>
  <c r="J53" i="9"/>
  <c r="I53" i="9"/>
  <c r="H53" i="9"/>
  <c r="G53" i="9"/>
  <c r="F53" i="9"/>
  <c r="E53" i="9"/>
  <c r="D53" i="9"/>
  <c r="BK52" i="9"/>
  <c r="BJ52" i="9"/>
  <c r="BI52" i="9"/>
  <c r="BH52" i="9"/>
  <c r="BG52" i="9"/>
  <c r="BF52" i="9"/>
  <c r="BE52" i="9"/>
  <c r="BD52" i="9"/>
  <c r="BC52" i="9"/>
  <c r="BB52" i="9"/>
  <c r="BA52" i="9"/>
  <c r="AZ52" i="9"/>
  <c r="AY52" i="9"/>
  <c r="AX52" i="9"/>
  <c r="AW52" i="9"/>
  <c r="AV52" i="9"/>
  <c r="AU52" i="9"/>
  <c r="AT52" i="9"/>
  <c r="AS52" i="9"/>
  <c r="AR52" i="9"/>
  <c r="AQ52" i="9"/>
  <c r="AP52" i="9"/>
  <c r="AO52" i="9"/>
  <c r="AN52" i="9"/>
  <c r="AM52" i="9"/>
  <c r="AL52" i="9"/>
  <c r="AK52" i="9"/>
  <c r="AJ52" i="9"/>
  <c r="AI52" i="9"/>
  <c r="AH52" i="9"/>
  <c r="AG52" i="9"/>
  <c r="AF52" i="9"/>
  <c r="AE52" i="9"/>
  <c r="AD52" i="9"/>
  <c r="AC52" i="9"/>
  <c r="AB52" i="9"/>
  <c r="AA52" i="9"/>
  <c r="Z52" i="9"/>
  <c r="Y52" i="9"/>
  <c r="X52" i="9"/>
  <c r="W52" i="9"/>
  <c r="V52" i="9"/>
  <c r="U52" i="9"/>
  <c r="T52" i="9"/>
  <c r="S52" i="9"/>
  <c r="R52" i="9"/>
  <c r="Q52" i="9"/>
  <c r="P52" i="9"/>
  <c r="O52" i="9"/>
  <c r="N52" i="9"/>
  <c r="M52" i="9"/>
  <c r="L52" i="9"/>
  <c r="K52" i="9"/>
  <c r="J52" i="9"/>
  <c r="I52" i="9"/>
  <c r="H52" i="9"/>
  <c r="G52" i="9"/>
  <c r="F52" i="9"/>
  <c r="E52" i="9"/>
  <c r="D52" i="9"/>
  <c r="D65" i="9"/>
  <c r="D66" i="9"/>
  <c r="BH49" i="14" l="1"/>
  <c r="BD49" i="14"/>
  <c r="AZ49" i="14"/>
  <c r="AV49" i="14"/>
  <c r="AR49" i="14"/>
  <c r="AN49" i="14"/>
  <c r="AJ49" i="14"/>
  <c r="AF49" i="14"/>
  <c r="AB49" i="14"/>
  <c r="X49" i="14"/>
  <c r="T49" i="14"/>
  <c r="P49" i="14"/>
  <c r="L49" i="14"/>
  <c r="H49" i="14"/>
  <c r="D49" i="14"/>
  <c r="BH47" i="14"/>
  <c r="BD47" i="14"/>
  <c r="AZ47" i="14"/>
  <c r="AV47" i="14"/>
  <c r="AR47" i="14"/>
  <c r="AN47" i="14"/>
  <c r="AJ47" i="14"/>
  <c r="AF47" i="14"/>
  <c r="AB47" i="14"/>
  <c r="X47" i="14"/>
  <c r="T47" i="14"/>
  <c r="P47" i="14"/>
  <c r="L47" i="14"/>
  <c r="H47" i="14"/>
  <c r="D47" i="14"/>
  <c r="BI49" i="14"/>
  <c r="BE49" i="14"/>
  <c r="BA49" i="14"/>
  <c r="AW49" i="14"/>
  <c r="AS49" i="14"/>
  <c r="AO49" i="14"/>
  <c r="AK49" i="14"/>
  <c r="AG49" i="14"/>
  <c r="AC49" i="14"/>
  <c r="Y49" i="14"/>
  <c r="U49" i="14"/>
  <c r="Q49" i="14"/>
  <c r="M49" i="14"/>
  <c r="I49" i="14"/>
  <c r="E49" i="14"/>
  <c r="BI47" i="14"/>
  <c r="BE47" i="14"/>
  <c r="BA47" i="14"/>
  <c r="AW47" i="14"/>
  <c r="AS47" i="14"/>
  <c r="AO47" i="14"/>
  <c r="AK47" i="14"/>
  <c r="AG47" i="14"/>
  <c r="AC47" i="14"/>
  <c r="Y47" i="14"/>
  <c r="U47" i="14"/>
  <c r="Q47" i="14"/>
  <c r="M47" i="14"/>
  <c r="I47" i="14"/>
  <c r="E47" i="14"/>
  <c r="BG49" i="14"/>
  <c r="AY49" i="14"/>
  <c r="AQ49" i="14"/>
  <c r="AI49" i="14"/>
  <c r="AA49" i="14"/>
  <c r="S49" i="14"/>
  <c r="K49" i="14"/>
  <c r="BG47" i="14"/>
  <c r="AY47" i="14"/>
  <c r="AQ47" i="14"/>
  <c r="AI47" i="14"/>
  <c r="AA47" i="14"/>
  <c r="S47" i="14"/>
  <c r="K47" i="14"/>
  <c r="BJ49" i="14"/>
  <c r="BB49" i="14"/>
  <c r="AT49" i="14"/>
  <c r="AL49" i="14"/>
  <c r="AD49" i="14"/>
  <c r="V49" i="14"/>
  <c r="N49" i="14"/>
  <c r="F49" i="14"/>
  <c r="BJ47" i="14"/>
  <c r="BB47" i="14"/>
  <c r="AT47" i="14"/>
  <c r="AL47" i="14"/>
  <c r="AD47" i="14"/>
  <c r="V47" i="14"/>
  <c r="N47" i="14"/>
  <c r="F47" i="14"/>
  <c r="BC49" i="14"/>
  <c r="AM49" i="14"/>
  <c r="W49" i="14"/>
  <c r="G49" i="14"/>
  <c r="BK47" i="14"/>
  <c r="AU47" i="14"/>
  <c r="AE47" i="14"/>
  <c r="O47" i="14"/>
  <c r="AX49" i="14"/>
  <c r="AH49" i="14"/>
  <c r="BK49" i="14"/>
  <c r="AU49" i="14"/>
  <c r="AE49" i="14"/>
  <c r="O49" i="14"/>
  <c r="BC47" i="14"/>
  <c r="AM47" i="14"/>
  <c r="W47" i="14"/>
  <c r="G47" i="14"/>
  <c r="BF49" i="14"/>
  <c r="AP49" i="14"/>
  <c r="Z49" i="14"/>
  <c r="J49" i="14"/>
  <c r="AX47" i="14"/>
  <c r="AH47" i="14"/>
  <c r="R47" i="14"/>
  <c r="R49" i="14"/>
  <c r="J47" i="14"/>
  <c r="BF47" i="14"/>
  <c r="AP47" i="14"/>
  <c r="Z47" i="14"/>
  <c r="BH50" i="14"/>
  <c r="BD50" i="14"/>
  <c r="AZ50" i="14"/>
  <c r="AV50" i="14"/>
  <c r="AR50" i="14"/>
  <c r="AN50" i="14"/>
  <c r="AJ50" i="14"/>
  <c r="AF50" i="14"/>
  <c r="AB50" i="14"/>
  <c r="X50" i="14"/>
  <c r="T50" i="14"/>
  <c r="P50" i="14"/>
  <c r="L50" i="14"/>
  <c r="H50" i="14"/>
  <c r="D50" i="14"/>
  <c r="BH48" i="14"/>
  <c r="BD48" i="14"/>
  <c r="AZ48" i="14"/>
  <c r="AV48" i="14"/>
  <c r="AR48" i="14"/>
  <c r="AN48" i="14"/>
  <c r="AJ48" i="14"/>
  <c r="AF48" i="14"/>
  <c r="AB48" i="14"/>
  <c r="X48" i="14"/>
  <c r="T48" i="14"/>
  <c r="P48" i="14"/>
  <c r="L48" i="14"/>
  <c r="H48" i="14"/>
  <c r="D48" i="14"/>
  <c r="BI50" i="14"/>
  <c r="BE50" i="14"/>
  <c r="BA50" i="14"/>
  <c r="AW50" i="14"/>
  <c r="AS50" i="14"/>
  <c r="AO50" i="14"/>
  <c r="AK50" i="14"/>
  <c r="AG50" i="14"/>
  <c r="AC50" i="14"/>
  <c r="Y50" i="14"/>
  <c r="U50" i="14"/>
  <c r="Q50" i="14"/>
  <c r="M50" i="14"/>
  <c r="I50" i="14"/>
  <c r="E50" i="14"/>
  <c r="BI48" i="14"/>
  <c r="BE48" i="14"/>
  <c r="BA48" i="14"/>
  <c r="AW48" i="14"/>
  <c r="AS48" i="14"/>
  <c r="AO48" i="14"/>
  <c r="AK48" i="14"/>
  <c r="AG48" i="14"/>
  <c r="AC48" i="14"/>
  <c r="Y48" i="14"/>
  <c r="U48" i="14"/>
  <c r="Q48" i="14"/>
  <c r="M48" i="14"/>
  <c r="I48" i="14"/>
  <c r="E48" i="14"/>
  <c r="BK50" i="14"/>
  <c r="BC50" i="14"/>
  <c r="AU50" i="14"/>
  <c r="AM50" i="14"/>
  <c r="AE50" i="14"/>
  <c r="W50" i="14"/>
  <c r="O50" i="14"/>
  <c r="G50" i="14"/>
  <c r="BK48" i="14"/>
  <c r="BC48" i="14"/>
  <c r="AU48" i="14"/>
  <c r="AM48" i="14"/>
  <c r="AE48" i="14"/>
  <c r="W48" i="14"/>
  <c r="O48" i="14"/>
  <c r="G48" i="14"/>
  <c r="BF50" i="14"/>
  <c r="AX50" i="14"/>
  <c r="AP50" i="14"/>
  <c r="AH50" i="14"/>
  <c r="Z50" i="14"/>
  <c r="R50" i="14"/>
  <c r="J50" i="14"/>
  <c r="BF48" i="14"/>
  <c r="AX48" i="14"/>
  <c r="AP48" i="14"/>
  <c r="AH48" i="14"/>
  <c r="Z48" i="14"/>
  <c r="R48" i="14"/>
  <c r="J48" i="14"/>
  <c r="BJ50" i="14"/>
  <c r="BG50" i="14"/>
  <c r="AQ50" i="14"/>
  <c r="AA50" i="14"/>
  <c r="K50" i="14"/>
  <c r="AY48" i="14"/>
  <c r="AI48" i="14"/>
  <c r="S48" i="14"/>
  <c r="BB50" i="14"/>
  <c r="AL50" i="14"/>
  <c r="V50" i="14"/>
  <c r="F50" i="14"/>
  <c r="AY50" i="14"/>
  <c r="AI50" i="14"/>
  <c r="S50" i="14"/>
  <c r="BG48" i="14"/>
  <c r="AQ48" i="14"/>
  <c r="AA48" i="14"/>
  <c r="K48" i="14"/>
  <c r="AT50" i="14"/>
  <c r="AD50" i="14"/>
  <c r="N50" i="14"/>
  <c r="BB48" i="14"/>
  <c r="AL48" i="14"/>
  <c r="V48" i="14"/>
  <c r="F48" i="14"/>
  <c r="N48" i="14"/>
  <c r="BJ48" i="14"/>
  <c r="AT48" i="14"/>
  <c r="AD48" i="14"/>
  <c r="E47" i="9"/>
  <c r="G47" i="9"/>
  <c r="I47" i="9"/>
  <c r="K47" i="9"/>
  <c r="M47" i="9"/>
  <c r="O47" i="9"/>
  <c r="Q47" i="9"/>
  <c r="S47" i="9"/>
  <c r="U47" i="9"/>
  <c r="W47" i="9"/>
  <c r="Y47" i="9"/>
  <c r="AA47" i="9"/>
  <c r="AC47" i="9"/>
  <c r="AE47" i="9"/>
  <c r="AG47" i="9"/>
  <c r="AI47" i="9"/>
  <c r="AK47" i="9"/>
  <c r="AM47" i="9"/>
  <c r="AO47" i="9"/>
  <c r="AQ47" i="9"/>
  <c r="AS47" i="9"/>
  <c r="AU47" i="9"/>
  <c r="AW47" i="9"/>
  <c r="AY47" i="9"/>
  <c r="BA47" i="9"/>
  <c r="BC47" i="9"/>
  <c r="BE47" i="9"/>
  <c r="BG47" i="9"/>
  <c r="BI47" i="9"/>
  <c r="BK47" i="9"/>
  <c r="E48" i="9"/>
  <c r="G48" i="9"/>
  <c r="I48" i="9"/>
  <c r="K48" i="9"/>
  <c r="M48" i="9"/>
  <c r="O48" i="9"/>
  <c r="Q48" i="9"/>
  <c r="S48" i="9"/>
  <c r="U48" i="9"/>
  <c r="W48" i="9"/>
  <c r="Y48" i="9"/>
  <c r="AA48" i="9"/>
  <c r="AC48" i="9"/>
  <c r="AE48" i="9"/>
  <c r="AG48" i="9"/>
  <c r="AI48" i="9"/>
  <c r="AK48" i="9"/>
  <c r="AM48" i="9"/>
  <c r="AO48" i="9"/>
  <c r="AQ48" i="9"/>
  <c r="AS48" i="9"/>
  <c r="AU48" i="9"/>
  <c r="AW48" i="9"/>
  <c r="AY48" i="9"/>
  <c r="BA48" i="9"/>
  <c r="BC48" i="9"/>
  <c r="BE48" i="9"/>
  <c r="BG48" i="9"/>
  <c r="BI48" i="9"/>
  <c r="BK48" i="9"/>
  <c r="E49" i="9"/>
  <c r="G49" i="9"/>
  <c r="I49" i="9"/>
  <c r="K49" i="9"/>
  <c r="M49" i="9"/>
  <c r="O49" i="9"/>
  <c r="Q49" i="9"/>
  <c r="S49" i="9"/>
  <c r="W49" i="9"/>
  <c r="Y49" i="9"/>
  <c r="AA49" i="9"/>
  <c r="AC49" i="9"/>
  <c r="AE49" i="9"/>
  <c r="AG49" i="9"/>
  <c r="AI49" i="9"/>
  <c r="AK49" i="9"/>
  <c r="AM49" i="9"/>
  <c r="AO49" i="9"/>
  <c r="AQ49" i="9"/>
  <c r="AS49" i="9"/>
  <c r="AU49" i="9"/>
  <c r="AW49" i="9"/>
  <c r="AY49" i="9"/>
  <c r="BA49" i="9"/>
  <c r="BC49" i="9"/>
  <c r="BE49" i="9"/>
  <c r="BG49" i="9"/>
  <c r="BI49" i="9"/>
  <c r="BK49" i="9"/>
  <c r="F50" i="9"/>
  <c r="H50" i="9"/>
  <c r="J50" i="9"/>
  <c r="L50" i="9"/>
  <c r="N50" i="9"/>
  <c r="P50" i="9"/>
  <c r="R50" i="9"/>
  <c r="T50" i="9"/>
  <c r="W50" i="9"/>
  <c r="Y50" i="9"/>
  <c r="AA50" i="9"/>
  <c r="AC50" i="9"/>
  <c r="AE50" i="9"/>
  <c r="AG50" i="9"/>
  <c r="AI50" i="9"/>
  <c r="AK50" i="9"/>
  <c r="AM50" i="9"/>
  <c r="AO50" i="9"/>
  <c r="AQ50" i="9"/>
  <c r="AS50" i="9"/>
  <c r="AU50" i="9"/>
  <c r="AW50" i="9"/>
  <c r="AY50" i="9"/>
  <c r="BA50" i="9"/>
  <c r="BC50" i="9"/>
  <c r="BE50" i="9"/>
  <c r="BG50" i="9"/>
  <c r="BI50" i="9"/>
  <c r="BK50" i="9"/>
  <c r="U49" i="9"/>
  <c r="V49" i="9"/>
  <c r="D47" i="9"/>
  <c r="F47" i="9"/>
  <c r="H47" i="9"/>
  <c r="J47" i="9"/>
  <c r="L47" i="9"/>
  <c r="N47" i="9"/>
  <c r="P47" i="9"/>
  <c r="R47" i="9"/>
  <c r="T47" i="9"/>
  <c r="V47" i="9"/>
  <c r="X47" i="9"/>
  <c r="Z47" i="9"/>
  <c r="AB47" i="9"/>
  <c r="AD47" i="9"/>
  <c r="AF47" i="9"/>
  <c r="AH47" i="9"/>
  <c r="AJ47" i="9"/>
  <c r="AL47" i="9"/>
  <c r="AN47" i="9"/>
  <c r="AP47" i="9"/>
  <c r="AR47" i="9"/>
  <c r="AT47" i="9"/>
  <c r="AV47" i="9"/>
  <c r="AX47" i="9"/>
  <c r="AZ47" i="9"/>
  <c r="BB47" i="9"/>
  <c r="BD47" i="9"/>
  <c r="BF47" i="9"/>
  <c r="BH47" i="9"/>
  <c r="BJ47" i="9"/>
  <c r="D48" i="9"/>
  <c r="F48" i="9"/>
  <c r="H48" i="9"/>
  <c r="J48" i="9"/>
  <c r="L48" i="9"/>
  <c r="N48" i="9"/>
  <c r="P48" i="9"/>
  <c r="R48" i="9"/>
  <c r="T48" i="9"/>
  <c r="V48" i="9"/>
  <c r="X48" i="9"/>
  <c r="Z48" i="9"/>
  <c r="AB48" i="9"/>
  <c r="AD48" i="9"/>
  <c r="AF48" i="9"/>
  <c r="AH48" i="9"/>
  <c r="AJ48" i="9"/>
  <c r="AL48" i="9"/>
  <c r="AN48" i="9"/>
  <c r="AP48" i="9"/>
  <c r="AR48" i="9"/>
  <c r="AT48" i="9"/>
  <c r="AV48" i="9"/>
  <c r="AX48" i="9"/>
  <c r="AZ48" i="9"/>
  <c r="BB48" i="9"/>
  <c r="BD48" i="9"/>
  <c r="BF48" i="9"/>
  <c r="BH48" i="9"/>
  <c r="BJ48" i="9"/>
  <c r="D49" i="9"/>
  <c r="F49" i="9"/>
  <c r="H49" i="9"/>
  <c r="J49" i="9"/>
  <c r="L49" i="9"/>
  <c r="N49" i="9"/>
  <c r="P49" i="9"/>
  <c r="R49" i="9"/>
  <c r="T49" i="9"/>
  <c r="X49" i="9"/>
  <c r="Z49" i="9"/>
  <c r="AB49" i="9"/>
  <c r="AD49" i="9"/>
  <c r="AF49" i="9"/>
  <c r="AH49" i="9"/>
  <c r="AJ49" i="9"/>
  <c r="AL49" i="9"/>
  <c r="AN49" i="9"/>
  <c r="AP49" i="9"/>
  <c r="AR49" i="9"/>
  <c r="AT49" i="9"/>
  <c r="AV49" i="9"/>
  <c r="AX49" i="9"/>
  <c r="AZ49" i="9"/>
  <c r="BB49" i="9"/>
  <c r="BD49" i="9"/>
  <c r="BF49" i="9"/>
  <c r="BH49" i="9"/>
  <c r="BJ49" i="9"/>
  <c r="E50" i="9"/>
  <c r="G50" i="9"/>
  <c r="I50" i="9"/>
  <c r="K50" i="9"/>
  <c r="M50" i="9"/>
  <c r="O50" i="9"/>
  <c r="Q50" i="9"/>
  <c r="S50" i="9"/>
  <c r="V50" i="9"/>
  <c r="X50" i="9"/>
  <c r="Z50" i="9"/>
  <c r="AB50" i="9"/>
  <c r="AD50" i="9"/>
  <c r="AF50" i="9"/>
  <c r="AH50" i="9"/>
  <c r="AJ50" i="9"/>
  <c r="AL50" i="9"/>
  <c r="AN50" i="9"/>
  <c r="AP50" i="9"/>
  <c r="AR50" i="9"/>
  <c r="AT50" i="9"/>
  <c r="AV50" i="9"/>
  <c r="AX50" i="9"/>
  <c r="AZ50" i="9"/>
  <c r="BB50" i="9"/>
  <c r="BD50" i="9"/>
  <c r="BF50" i="9"/>
  <c r="BH50" i="9"/>
  <c r="BJ50" i="9"/>
  <c r="D50" i="9"/>
  <c r="U50" i="9"/>
  <c r="T55" i="12"/>
  <c r="S55" i="12"/>
  <c r="S50" i="12" s="1"/>
  <c r="R55" i="12"/>
  <c r="Q55" i="12"/>
  <c r="P55" i="12"/>
  <c r="O55" i="12"/>
  <c r="O50" i="12" s="1"/>
  <c r="N55" i="12"/>
  <c r="M55" i="12"/>
  <c r="L55" i="12"/>
  <c r="K55" i="12"/>
  <c r="K50" i="12" s="1"/>
  <c r="J55" i="12"/>
  <c r="I55" i="12"/>
  <c r="H55" i="12"/>
  <c r="G55" i="12"/>
  <c r="G50" i="12" s="1"/>
  <c r="F55" i="12"/>
  <c r="E55" i="12"/>
  <c r="D55" i="12"/>
  <c r="T54" i="12"/>
  <c r="T49" i="12" s="1"/>
  <c r="S54" i="12"/>
  <c r="R54" i="12"/>
  <c r="Q54" i="12"/>
  <c r="P54" i="12"/>
  <c r="P49" i="12" s="1"/>
  <c r="O54" i="12"/>
  <c r="N54" i="12"/>
  <c r="M54" i="12"/>
  <c r="L54" i="12"/>
  <c r="L49" i="12" s="1"/>
  <c r="K54" i="12"/>
  <c r="J54" i="12"/>
  <c r="I54" i="12"/>
  <c r="H54" i="12"/>
  <c r="H49" i="12" s="1"/>
  <c r="G54" i="12"/>
  <c r="F54" i="12"/>
  <c r="E54" i="12"/>
  <c r="D54" i="12"/>
  <c r="D49" i="12" s="1"/>
  <c r="T53" i="12"/>
  <c r="S53" i="12"/>
  <c r="R53" i="12"/>
  <c r="Q53" i="12"/>
  <c r="Q48" i="12" s="1"/>
  <c r="P53" i="12"/>
  <c r="O53" i="12"/>
  <c r="N53" i="12"/>
  <c r="M53" i="12"/>
  <c r="M48" i="12" s="1"/>
  <c r="L53" i="12"/>
  <c r="K53" i="12"/>
  <c r="J53" i="12"/>
  <c r="I53" i="12"/>
  <c r="I48" i="12" s="1"/>
  <c r="H53" i="12"/>
  <c r="G53" i="12"/>
  <c r="F53" i="12"/>
  <c r="E53" i="12"/>
  <c r="E48" i="12" s="1"/>
  <c r="D53" i="12"/>
  <c r="T52" i="12"/>
  <c r="S52" i="12"/>
  <c r="R52" i="12"/>
  <c r="R47" i="12" s="1"/>
  <c r="Q52" i="12"/>
  <c r="P52" i="12"/>
  <c r="O52" i="12"/>
  <c r="N52" i="12"/>
  <c r="N47" i="12" s="1"/>
  <c r="M52" i="12"/>
  <c r="L52" i="12"/>
  <c r="K52" i="12"/>
  <c r="J52" i="12"/>
  <c r="J47" i="12" s="1"/>
  <c r="I52" i="12"/>
  <c r="H52" i="12"/>
  <c r="G52" i="12"/>
  <c r="F52" i="12"/>
  <c r="F47" i="12" s="1"/>
  <c r="E52" i="12"/>
  <c r="D52" i="12"/>
  <c r="BK55" i="12"/>
  <c r="BK50" i="12" s="1"/>
  <c r="BJ55" i="12"/>
  <c r="BJ50" i="12" s="1"/>
  <c r="BI55" i="12"/>
  <c r="BH55" i="12"/>
  <c r="BH50" i="12" s="1"/>
  <c r="BG55" i="12"/>
  <c r="BG50" i="12" s="1"/>
  <c r="BF55" i="12"/>
  <c r="BF50" i="12" s="1"/>
  <c r="BE55" i="12"/>
  <c r="BD55" i="12"/>
  <c r="BD50" i="12" s="1"/>
  <c r="BC55" i="12"/>
  <c r="BC50" i="12" s="1"/>
  <c r="BB55" i="12"/>
  <c r="BB50" i="12" s="1"/>
  <c r="BA55" i="12"/>
  <c r="AZ55" i="12"/>
  <c r="AZ50" i="12" s="1"/>
  <c r="AY55" i="12"/>
  <c r="AY50" i="12" s="1"/>
  <c r="AX55" i="12"/>
  <c r="AX50" i="12" s="1"/>
  <c r="AW55" i="12"/>
  <c r="AV55" i="12"/>
  <c r="AV50" i="12" s="1"/>
  <c r="AU55" i="12"/>
  <c r="AU50" i="12" s="1"/>
  <c r="AT55" i="12"/>
  <c r="AT50" i="12" s="1"/>
  <c r="AS55" i="12"/>
  <c r="AR55" i="12"/>
  <c r="AR50" i="12" s="1"/>
  <c r="AQ55" i="12"/>
  <c r="AQ50" i="12" s="1"/>
  <c r="AP55" i="12"/>
  <c r="AP50" i="12" s="1"/>
  <c r="AO55" i="12"/>
  <c r="AN55" i="12"/>
  <c r="AN50" i="12" s="1"/>
  <c r="AM55" i="12"/>
  <c r="AM50" i="12" s="1"/>
  <c r="AL55" i="12"/>
  <c r="AL50" i="12" s="1"/>
  <c r="AK55" i="12"/>
  <c r="AJ55" i="12"/>
  <c r="AJ50" i="12" s="1"/>
  <c r="AI55" i="12"/>
  <c r="AI50" i="12" s="1"/>
  <c r="AH55" i="12"/>
  <c r="AH50" i="12" s="1"/>
  <c r="AG55" i="12"/>
  <c r="AF55" i="12"/>
  <c r="AF50" i="12" s="1"/>
  <c r="AE55" i="12"/>
  <c r="AE50" i="12" s="1"/>
  <c r="AD55" i="12"/>
  <c r="AD50" i="12" s="1"/>
  <c r="AC55" i="12"/>
  <c r="AB55" i="12"/>
  <c r="AB50" i="12" s="1"/>
  <c r="AA55" i="12"/>
  <c r="AA50" i="12" s="1"/>
  <c r="Z55" i="12"/>
  <c r="Z50" i="12" s="1"/>
  <c r="Y55" i="12"/>
  <c r="X55" i="12"/>
  <c r="X50" i="12" s="1"/>
  <c r="W55" i="12"/>
  <c r="W50" i="12" s="1"/>
  <c r="V55" i="12"/>
  <c r="V50" i="12" s="1"/>
  <c r="U55" i="12"/>
  <c r="BK54" i="12"/>
  <c r="BJ54" i="12"/>
  <c r="BI54" i="12"/>
  <c r="BI49" i="12" s="1"/>
  <c r="BH54" i="12"/>
  <c r="BG54" i="12"/>
  <c r="BF54" i="12"/>
  <c r="BE54" i="12"/>
  <c r="BE49" i="12" s="1"/>
  <c r="BD54" i="12"/>
  <c r="BC54" i="12"/>
  <c r="BB54" i="12"/>
  <c r="BA54" i="12"/>
  <c r="BA49" i="12" s="1"/>
  <c r="AZ54" i="12"/>
  <c r="AY54" i="12"/>
  <c r="AX54" i="12"/>
  <c r="AW54" i="12"/>
  <c r="AW49" i="12" s="1"/>
  <c r="AV54" i="12"/>
  <c r="AU54" i="12"/>
  <c r="AT54" i="12"/>
  <c r="AS54" i="12"/>
  <c r="AS49" i="12" s="1"/>
  <c r="AR54" i="12"/>
  <c r="AQ54" i="12"/>
  <c r="AP54" i="12"/>
  <c r="AO54" i="12"/>
  <c r="AO49" i="12" s="1"/>
  <c r="AN54" i="12"/>
  <c r="AM54" i="12"/>
  <c r="AL54" i="12"/>
  <c r="AK54" i="12"/>
  <c r="AK49" i="12" s="1"/>
  <c r="AJ54" i="12"/>
  <c r="AI54" i="12"/>
  <c r="AH54" i="12"/>
  <c r="AG54" i="12"/>
  <c r="AG49" i="12" s="1"/>
  <c r="AF54" i="12"/>
  <c r="AE54" i="12"/>
  <c r="AD54" i="12"/>
  <c r="AC54" i="12"/>
  <c r="AC49" i="12" s="1"/>
  <c r="AB54" i="12"/>
  <c r="AA54" i="12"/>
  <c r="Z54" i="12"/>
  <c r="Y54" i="12"/>
  <c r="Y49" i="12" s="1"/>
  <c r="X54" i="12"/>
  <c r="W54" i="12"/>
  <c r="V54" i="12"/>
  <c r="U54" i="12"/>
  <c r="U49" i="12" s="1"/>
  <c r="BK53" i="12"/>
  <c r="BJ53" i="12"/>
  <c r="BJ48" i="12" s="1"/>
  <c r="BI53" i="12"/>
  <c r="BI48" i="12" s="1"/>
  <c r="BH53" i="12"/>
  <c r="BH48" i="12" s="1"/>
  <c r="BG53" i="12"/>
  <c r="BF53" i="12"/>
  <c r="BF48" i="12" s="1"/>
  <c r="BE53" i="12"/>
  <c r="BE48" i="12" s="1"/>
  <c r="BD53" i="12"/>
  <c r="BD48" i="12" s="1"/>
  <c r="BC53" i="12"/>
  <c r="BB53" i="12"/>
  <c r="BB48" i="12" s="1"/>
  <c r="BA53" i="12"/>
  <c r="BA48" i="12" s="1"/>
  <c r="AZ53" i="12"/>
  <c r="AZ48" i="12" s="1"/>
  <c r="AY53" i="12"/>
  <c r="AX53" i="12"/>
  <c r="AX48" i="12" s="1"/>
  <c r="AW53" i="12"/>
  <c r="AW48" i="12" s="1"/>
  <c r="AV53" i="12"/>
  <c r="AV48" i="12" s="1"/>
  <c r="AU53" i="12"/>
  <c r="AT53" i="12"/>
  <c r="AT48" i="12" s="1"/>
  <c r="AS53" i="12"/>
  <c r="AS48" i="12" s="1"/>
  <c r="AR53" i="12"/>
  <c r="AR48" i="12" s="1"/>
  <c r="AQ53" i="12"/>
  <c r="AP53" i="12"/>
  <c r="AP48" i="12" s="1"/>
  <c r="AO53" i="12"/>
  <c r="AO48" i="12" s="1"/>
  <c r="AN53" i="12"/>
  <c r="AN48" i="12" s="1"/>
  <c r="AM53" i="12"/>
  <c r="AL53" i="12"/>
  <c r="AL48" i="12" s="1"/>
  <c r="AK53" i="12"/>
  <c r="AK48" i="12" s="1"/>
  <c r="AJ53" i="12"/>
  <c r="AJ48" i="12" s="1"/>
  <c r="AI53" i="12"/>
  <c r="AH53" i="12"/>
  <c r="AH48" i="12" s="1"/>
  <c r="AG53" i="12"/>
  <c r="AG48" i="12" s="1"/>
  <c r="AF53" i="12"/>
  <c r="AF48" i="12" s="1"/>
  <c r="AE53" i="12"/>
  <c r="AD53" i="12"/>
  <c r="AD48" i="12" s="1"/>
  <c r="AC53" i="12"/>
  <c r="AC48" i="12" s="1"/>
  <c r="AB53" i="12"/>
  <c r="AB48" i="12" s="1"/>
  <c r="AA53" i="12"/>
  <c r="Z53" i="12"/>
  <c r="Z48" i="12" s="1"/>
  <c r="Y53" i="12"/>
  <c r="Y48" i="12" s="1"/>
  <c r="X53" i="12"/>
  <c r="X48" i="12" s="1"/>
  <c r="W53" i="12"/>
  <c r="V53" i="12"/>
  <c r="V48" i="12" s="1"/>
  <c r="U53" i="12"/>
  <c r="U48" i="12" s="1"/>
  <c r="BK52" i="12"/>
  <c r="BK47" i="12" s="1"/>
  <c r="BJ52" i="12"/>
  <c r="BI52" i="12"/>
  <c r="BH52" i="12"/>
  <c r="BH47" i="12" s="1"/>
  <c r="BG52" i="12"/>
  <c r="BG47" i="12" s="1"/>
  <c r="BF52" i="12"/>
  <c r="BE52" i="12"/>
  <c r="BD52" i="12"/>
  <c r="BD47" i="12" s="1"/>
  <c r="BC52" i="12"/>
  <c r="BC47" i="12" s="1"/>
  <c r="BB52" i="12"/>
  <c r="BA52" i="12"/>
  <c r="AZ52" i="12"/>
  <c r="AZ47" i="12" s="1"/>
  <c r="AY52" i="12"/>
  <c r="AY47" i="12" s="1"/>
  <c r="AX52" i="12"/>
  <c r="AW52" i="12"/>
  <c r="AV52" i="12"/>
  <c r="AV47" i="12" s="1"/>
  <c r="AU52" i="12"/>
  <c r="AU47" i="12" s="1"/>
  <c r="AT52" i="12"/>
  <c r="AS52" i="12"/>
  <c r="AR52" i="12"/>
  <c r="AR47" i="12" s="1"/>
  <c r="AQ52" i="12"/>
  <c r="AQ47" i="12" s="1"/>
  <c r="AP52" i="12"/>
  <c r="AO52" i="12"/>
  <c r="AN52" i="12"/>
  <c r="AN47" i="12" s="1"/>
  <c r="AM52" i="12"/>
  <c r="AM47" i="12" s="1"/>
  <c r="AL52" i="12"/>
  <c r="AK52" i="12"/>
  <c r="AJ52" i="12"/>
  <c r="AJ47" i="12" s="1"/>
  <c r="AI52" i="12"/>
  <c r="AI47" i="12" s="1"/>
  <c r="AH52" i="12"/>
  <c r="AG52" i="12"/>
  <c r="AF52" i="12"/>
  <c r="AF47" i="12" s="1"/>
  <c r="AE52" i="12"/>
  <c r="AE47" i="12" s="1"/>
  <c r="AD52" i="12"/>
  <c r="AC52" i="12"/>
  <c r="AB52" i="12"/>
  <c r="AB47" i="12" s="1"/>
  <c r="AA52" i="12"/>
  <c r="AA47" i="12" s="1"/>
  <c r="Z52" i="12"/>
  <c r="Y52" i="12"/>
  <c r="X52" i="12"/>
  <c r="X47" i="12" s="1"/>
  <c r="W52" i="12"/>
  <c r="W47" i="12" s="1"/>
  <c r="V52" i="12"/>
  <c r="U52" i="12"/>
  <c r="D70" i="12"/>
  <c r="D69" i="12"/>
  <c r="D66" i="12"/>
  <c r="D65" i="12"/>
  <c r="D66" i="13"/>
  <c r="D65" i="13"/>
  <c r="D61" i="13"/>
  <c r="U47" i="12" l="1"/>
  <c r="AC47" i="12"/>
  <c r="AO47" i="12"/>
  <c r="AW47" i="12"/>
  <c r="BE47" i="12"/>
  <c r="AA49" i="12"/>
  <c r="AM49" i="12"/>
  <c r="AU49" i="12"/>
  <c r="BC49" i="12"/>
  <c r="H47" i="12"/>
  <c r="L47" i="12"/>
  <c r="P47" i="12"/>
  <c r="T47" i="12"/>
  <c r="G48" i="12"/>
  <c r="K48" i="12"/>
  <c r="O48" i="12"/>
  <c r="S48" i="12"/>
  <c r="F49" i="12"/>
  <c r="J49" i="12"/>
  <c r="N49" i="12"/>
  <c r="R49" i="12"/>
  <c r="E50" i="12"/>
  <c r="I50" i="12"/>
  <c r="M50" i="12"/>
  <c r="Q50" i="12"/>
  <c r="Y47" i="12"/>
  <c r="AG47" i="12"/>
  <c r="AK47" i="12"/>
  <c r="AS47" i="12"/>
  <c r="BA47" i="12"/>
  <c r="BI47" i="12"/>
  <c r="W49" i="12"/>
  <c r="AE49" i="12"/>
  <c r="AI49" i="12"/>
  <c r="AQ49" i="12"/>
  <c r="AY49" i="12"/>
  <c r="BG49" i="12"/>
  <c r="BK49" i="12"/>
  <c r="D47" i="12"/>
  <c r="BK49" i="13"/>
  <c r="BG49" i="13"/>
  <c r="BC49" i="13"/>
  <c r="AY49" i="13"/>
  <c r="AU49" i="13"/>
  <c r="AQ49" i="13"/>
  <c r="AM49" i="13"/>
  <c r="AI49" i="13"/>
  <c r="AE49" i="13"/>
  <c r="AA49" i="13"/>
  <c r="BH49" i="13"/>
  <c r="BD49" i="13"/>
  <c r="AZ49" i="13"/>
  <c r="AV49" i="13"/>
  <c r="AR49" i="13"/>
  <c r="AN49" i="13"/>
  <c r="AJ49" i="13"/>
  <c r="AF49" i="13"/>
  <c r="AB49" i="13"/>
  <c r="X49" i="13"/>
  <c r="BF49" i="13"/>
  <c r="AX49" i="13"/>
  <c r="AP49" i="13"/>
  <c r="AH49" i="13"/>
  <c r="Z49" i="13"/>
  <c r="U49" i="13"/>
  <c r="Q49" i="13"/>
  <c r="M49" i="13"/>
  <c r="I49" i="13"/>
  <c r="E49" i="13"/>
  <c r="BK47" i="13"/>
  <c r="BG47" i="13"/>
  <c r="BC47" i="13"/>
  <c r="AY47" i="13"/>
  <c r="AU47" i="13"/>
  <c r="AQ47" i="13"/>
  <c r="AM47" i="13"/>
  <c r="AI47" i="13"/>
  <c r="AE47" i="13"/>
  <c r="AA47" i="13"/>
  <c r="W47" i="13"/>
  <c r="S47" i="13"/>
  <c r="O47" i="13"/>
  <c r="K47" i="13"/>
  <c r="G47" i="13"/>
  <c r="D49" i="13"/>
  <c r="BI49" i="13"/>
  <c r="BA49" i="13"/>
  <c r="AS49" i="13"/>
  <c r="AK49" i="13"/>
  <c r="AC49" i="13"/>
  <c r="V49" i="13"/>
  <c r="R49" i="13"/>
  <c r="N49" i="13"/>
  <c r="J49" i="13"/>
  <c r="F49" i="13"/>
  <c r="BH47" i="13"/>
  <c r="BD47" i="13"/>
  <c r="AZ47" i="13"/>
  <c r="AV47" i="13"/>
  <c r="AR47" i="13"/>
  <c r="AN47" i="13"/>
  <c r="AJ47" i="13"/>
  <c r="AF47" i="13"/>
  <c r="AB47" i="13"/>
  <c r="X47" i="13"/>
  <c r="T47" i="13"/>
  <c r="P47" i="13"/>
  <c r="L47" i="13"/>
  <c r="H47" i="13"/>
  <c r="BJ47" i="13"/>
  <c r="AT47" i="13"/>
  <c r="AD47" i="13"/>
  <c r="N47" i="13"/>
  <c r="BB49" i="13"/>
  <c r="AL49" i="13"/>
  <c r="W49" i="13"/>
  <c r="O49" i="13"/>
  <c r="G49" i="13"/>
  <c r="BI47" i="13"/>
  <c r="BA47" i="13"/>
  <c r="AS47" i="13"/>
  <c r="AK47" i="13"/>
  <c r="AC47" i="13"/>
  <c r="U47" i="13"/>
  <c r="M47" i="13"/>
  <c r="E47" i="13"/>
  <c r="BJ49" i="13"/>
  <c r="AT49" i="13"/>
  <c r="AD49" i="13"/>
  <c r="S49" i="13"/>
  <c r="K49" i="13"/>
  <c r="BE47" i="13"/>
  <c r="AW47" i="13"/>
  <c r="AO47" i="13"/>
  <c r="AG47" i="13"/>
  <c r="Y47" i="13"/>
  <c r="Q47" i="13"/>
  <c r="I47" i="13"/>
  <c r="D47" i="13"/>
  <c r="BE49" i="13"/>
  <c r="AO49" i="13"/>
  <c r="Y49" i="13"/>
  <c r="P49" i="13"/>
  <c r="H49" i="13"/>
  <c r="BB47" i="13"/>
  <c r="AL47" i="13"/>
  <c r="V47" i="13"/>
  <c r="F47" i="13"/>
  <c r="L49" i="13"/>
  <c r="AH47" i="13"/>
  <c r="AW49" i="13"/>
  <c r="BF47" i="13"/>
  <c r="Z47" i="13"/>
  <c r="AG49" i="13"/>
  <c r="AX47" i="13"/>
  <c r="R47" i="13"/>
  <c r="T49" i="13"/>
  <c r="AP47" i="13"/>
  <c r="J47" i="13"/>
  <c r="V47" i="12"/>
  <c r="Z47" i="12"/>
  <c r="AD47" i="12"/>
  <c r="AH47" i="12"/>
  <c r="AL47" i="12"/>
  <c r="AP47" i="12"/>
  <c r="AT47" i="12"/>
  <c r="AX47" i="12"/>
  <c r="BB47" i="12"/>
  <c r="BF47" i="12"/>
  <c r="BJ47" i="12"/>
  <c r="W48" i="12"/>
  <c r="AA48" i="12"/>
  <c r="AE48" i="12"/>
  <c r="AI48" i="12"/>
  <c r="AM48" i="12"/>
  <c r="AQ48" i="12"/>
  <c r="AU48" i="12"/>
  <c r="AY48" i="12"/>
  <c r="BC48" i="12"/>
  <c r="BG48" i="12"/>
  <c r="BK48" i="12"/>
  <c r="X49" i="12"/>
  <c r="AB49" i="12"/>
  <c r="AF49" i="12"/>
  <c r="AJ49" i="12"/>
  <c r="AN49" i="12"/>
  <c r="AR49" i="12"/>
  <c r="AV49" i="12"/>
  <c r="AZ49" i="12"/>
  <c r="BD49" i="12"/>
  <c r="BH49" i="12"/>
  <c r="U50" i="12"/>
  <c r="Y50" i="12"/>
  <c r="AC50" i="12"/>
  <c r="AG50" i="12"/>
  <c r="AK50" i="12"/>
  <c r="AO50" i="12"/>
  <c r="AS50" i="12"/>
  <c r="AW50" i="12"/>
  <c r="BA50" i="12"/>
  <c r="BE50" i="12"/>
  <c r="BI50" i="12"/>
  <c r="E47" i="12"/>
  <c r="I47" i="12"/>
  <c r="M47" i="12"/>
  <c r="Q47" i="12"/>
  <c r="D48" i="12"/>
  <c r="H48" i="12"/>
  <c r="L48" i="12"/>
  <c r="P48" i="12"/>
  <c r="T48" i="12"/>
  <c r="G49" i="12"/>
  <c r="K49" i="12"/>
  <c r="O49" i="12"/>
  <c r="S49" i="12"/>
  <c r="F50" i="12"/>
  <c r="J50" i="12"/>
  <c r="N50" i="12"/>
  <c r="R50" i="12"/>
  <c r="V49" i="12"/>
  <c r="Z49" i="12"/>
  <c r="AD49" i="12"/>
  <c r="AH49" i="12"/>
  <c r="AL49" i="12"/>
  <c r="AP49" i="12"/>
  <c r="AT49" i="12"/>
  <c r="AX49" i="12"/>
  <c r="BB49" i="12"/>
  <c r="BF49" i="12"/>
  <c r="BJ49" i="12"/>
  <c r="G47" i="12"/>
  <c r="K47" i="12"/>
  <c r="O47" i="12"/>
  <c r="S47" i="12"/>
  <c r="F48" i="12"/>
  <c r="J48" i="12"/>
  <c r="N48" i="12"/>
  <c r="R48" i="12"/>
  <c r="E49" i="12"/>
  <c r="I49" i="12"/>
  <c r="M49" i="12"/>
  <c r="Q49" i="12"/>
  <c r="D50" i="12"/>
  <c r="H50" i="12"/>
  <c r="L50" i="12"/>
  <c r="P50" i="12"/>
  <c r="T50" i="12"/>
  <c r="BS7" i="15" l="1"/>
  <c r="BR7" i="15"/>
  <c r="BQ7" i="15"/>
  <c r="BP7" i="15"/>
  <c r="BS6" i="15"/>
  <c r="BR6" i="15"/>
  <c r="BQ6" i="15"/>
  <c r="BP6" i="15"/>
  <c r="BS5" i="15"/>
  <c r="BR5" i="15"/>
  <c r="BQ5" i="15"/>
  <c r="BP5" i="15"/>
  <c r="BS4" i="15"/>
  <c r="BR4" i="15"/>
  <c r="BQ4" i="15"/>
  <c r="BP4" i="15"/>
  <c r="BS3" i="15"/>
  <c r="BR3" i="15"/>
  <c r="BQ3" i="15"/>
  <c r="BP3" i="15"/>
  <c r="BS2" i="15"/>
  <c r="BR2" i="15"/>
  <c r="BR11" i="15" s="1"/>
  <c r="BQ2" i="15"/>
  <c r="BP2" i="15"/>
  <c r="BS11" i="15" l="1"/>
  <c r="BS9" i="15"/>
  <c r="BS10" i="15"/>
  <c r="BS12" i="15"/>
  <c r="BP9" i="15"/>
  <c r="BP11" i="15"/>
  <c r="BP10" i="15"/>
  <c r="BP12" i="15"/>
  <c r="BQ9" i="15"/>
  <c r="BQ11" i="15"/>
  <c r="BQ10" i="15"/>
  <c r="BQ12" i="15"/>
  <c r="BR10" i="15"/>
  <c r="BR12" i="15"/>
  <c r="BR9" i="15"/>
  <c r="BR51" i="12"/>
  <c r="BQ51" i="12"/>
  <c r="BP51" i="12"/>
  <c r="BO51" i="12"/>
  <c r="BR50" i="12"/>
  <c r="BQ50" i="12"/>
  <c r="BP50" i="12"/>
  <c r="BO50" i="12"/>
  <c r="BR49" i="12"/>
  <c r="BQ49" i="12"/>
  <c r="BP49" i="12"/>
  <c r="BO49" i="12"/>
  <c r="BR48" i="12"/>
  <c r="BQ48" i="12"/>
  <c r="BP48" i="12"/>
  <c r="BO48" i="12"/>
  <c r="BR49" i="9"/>
  <c r="BR50" i="9"/>
  <c r="BQ51" i="9"/>
  <c r="BP51" i="9"/>
  <c r="BO51" i="9"/>
  <c r="BQ50" i="9"/>
  <c r="BP50" i="9"/>
  <c r="BO50" i="9"/>
  <c r="BQ49" i="9"/>
  <c r="BP49" i="9"/>
  <c r="BO49" i="9"/>
  <c r="BQ48" i="9"/>
  <c r="BP48" i="9"/>
  <c r="BO48" i="9"/>
  <c r="D62" i="13"/>
  <c r="BU50" i="13"/>
  <c r="BT50" i="13"/>
  <c r="BS50" i="13"/>
  <c r="BR50" i="13"/>
  <c r="BQ50" i="13"/>
  <c r="BP50" i="13"/>
  <c r="BO50" i="13"/>
  <c r="BU48" i="13"/>
  <c r="BT48" i="13"/>
  <c r="BS48" i="13"/>
  <c r="BR48" i="13"/>
  <c r="BQ48" i="13"/>
  <c r="BP48" i="13"/>
  <c r="BO48" i="13"/>
  <c r="BU51" i="14"/>
  <c r="BT51" i="14"/>
  <c r="BS51" i="14"/>
  <c r="BR51" i="14"/>
  <c r="BQ51" i="14"/>
  <c r="BP51" i="14"/>
  <c r="BU50" i="14"/>
  <c r="BT50" i="14"/>
  <c r="BS50" i="14"/>
  <c r="BR50" i="14"/>
  <c r="BQ50" i="14"/>
  <c r="BP50" i="14"/>
  <c r="BU49" i="14"/>
  <c r="BT49" i="14"/>
  <c r="BS49" i="14"/>
  <c r="BR49" i="14"/>
  <c r="BQ49" i="14"/>
  <c r="BP49" i="14"/>
  <c r="BU48" i="14"/>
  <c r="BV51" i="14" s="1"/>
  <c r="BT48" i="14"/>
  <c r="BS48" i="14"/>
  <c r="BR48" i="14"/>
  <c r="BQ48" i="14"/>
  <c r="BP48" i="14"/>
  <c r="BO48" i="14"/>
  <c r="BO51" i="14"/>
  <c r="BO49" i="14"/>
  <c r="BO50" i="14"/>
  <c r="BH50" i="13" l="1"/>
  <c r="BD50" i="13"/>
  <c r="AZ50" i="13"/>
  <c r="AV50" i="13"/>
  <c r="AR50" i="13"/>
  <c r="AN50" i="13"/>
  <c r="AJ50" i="13"/>
  <c r="AF50" i="13"/>
  <c r="AB50" i="13"/>
  <c r="X50" i="13"/>
  <c r="T50" i="13"/>
  <c r="P50" i="13"/>
  <c r="L50" i="13"/>
  <c r="H50" i="13"/>
  <c r="BI50" i="13"/>
  <c r="BE50" i="13"/>
  <c r="BA50" i="13"/>
  <c r="BT51" i="13" s="1"/>
  <c r="AW50" i="13"/>
  <c r="AS50" i="13"/>
  <c r="AO50" i="13"/>
  <c r="AK50" i="13"/>
  <c r="AG50" i="13"/>
  <c r="AC50" i="13"/>
  <c r="Y50" i="13"/>
  <c r="U50" i="13"/>
  <c r="Q50" i="13"/>
  <c r="M50" i="13"/>
  <c r="I50" i="13"/>
  <c r="E50" i="13"/>
  <c r="BK50" i="13"/>
  <c r="BU51" i="13" s="1"/>
  <c r="BC50" i="13"/>
  <c r="AU50" i="13"/>
  <c r="AM50" i="13"/>
  <c r="AE50" i="13"/>
  <c r="W50" i="13"/>
  <c r="O50" i="13"/>
  <c r="G50" i="13"/>
  <c r="BH48" i="13"/>
  <c r="BD48" i="13"/>
  <c r="AZ48" i="13"/>
  <c r="AV48" i="13"/>
  <c r="AR48" i="13"/>
  <c r="AN48" i="13"/>
  <c r="AJ48" i="13"/>
  <c r="AF48" i="13"/>
  <c r="AB48" i="13"/>
  <c r="X48" i="13"/>
  <c r="T48" i="13"/>
  <c r="P48" i="13"/>
  <c r="L48" i="13"/>
  <c r="H48" i="13"/>
  <c r="BF50" i="13"/>
  <c r="AX50" i="13"/>
  <c r="AP50" i="13"/>
  <c r="AH50" i="13"/>
  <c r="Z50" i="13"/>
  <c r="R50" i="13"/>
  <c r="J50" i="13"/>
  <c r="BI48" i="13"/>
  <c r="BE48" i="13"/>
  <c r="BA48" i="13"/>
  <c r="BT49" i="13" s="1"/>
  <c r="AW48" i="13"/>
  <c r="AS48" i="13"/>
  <c r="AO48" i="13"/>
  <c r="AK48" i="13"/>
  <c r="AG48" i="13"/>
  <c r="BR49" i="13" s="1"/>
  <c r="AC48" i="13"/>
  <c r="Y48" i="13"/>
  <c r="U48" i="13"/>
  <c r="Q48" i="13"/>
  <c r="M48" i="13"/>
  <c r="BP49" i="13" s="1"/>
  <c r="I48" i="13"/>
  <c r="E48" i="13"/>
  <c r="D50" i="13"/>
  <c r="AI48" i="13"/>
  <c r="BG50" i="13"/>
  <c r="AQ50" i="13"/>
  <c r="BS51" i="13" s="1"/>
  <c r="AA50" i="13"/>
  <c r="K50" i="13"/>
  <c r="BF48" i="13"/>
  <c r="AX48" i="13"/>
  <c r="AP48" i="13"/>
  <c r="AH48" i="13"/>
  <c r="Z48" i="13"/>
  <c r="R48" i="13"/>
  <c r="J48" i="13"/>
  <c r="AY50" i="13"/>
  <c r="AI50" i="13"/>
  <c r="S50" i="13"/>
  <c r="BJ48" i="13"/>
  <c r="BB48" i="13"/>
  <c r="AT48" i="13"/>
  <c r="AL48" i="13"/>
  <c r="AD48" i="13"/>
  <c r="V48" i="13"/>
  <c r="N48" i="13"/>
  <c r="F48" i="13"/>
  <c r="BJ50" i="13"/>
  <c r="AT50" i="13"/>
  <c r="AD50" i="13"/>
  <c r="N50" i="13"/>
  <c r="BG48" i="13"/>
  <c r="AY48" i="13"/>
  <c r="AQ48" i="13"/>
  <c r="BS49" i="13" s="1"/>
  <c r="AA48" i="13"/>
  <c r="S48" i="13"/>
  <c r="K48" i="13"/>
  <c r="F50" i="13"/>
  <c r="AM48" i="13"/>
  <c r="G48" i="13"/>
  <c r="D48" i="13"/>
  <c r="BO49" i="13" s="1"/>
  <c r="BB50" i="13"/>
  <c r="BK48" i="13"/>
  <c r="BU49" i="13" s="1"/>
  <c r="BV51" i="13" s="1"/>
  <c r="AE48" i="13"/>
  <c r="AL50" i="13"/>
  <c r="BC48" i="13"/>
  <c r="W48" i="13"/>
  <c r="BQ49" i="13" s="1"/>
  <c r="O48" i="13"/>
  <c r="V50" i="13"/>
  <c r="AU48" i="13"/>
  <c r="BV51" i="9"/>
  <c r="BO51" i="13"/>
  <c r="BQ51" i="13"/>
  <c r="BP51" i="13"/>
  <c r="BR51" i="13"/>
  <c r="BR48" i="9"/>
  <c r="BR51" i="9"/>
  <c r="BS51" i="12" l="1"/>
  <c r="BS49" i="12"/>
  <c r="BS48" i="9" l="1"/>
  <c r="BS50" i="9"/>
  <c r="BS51" i="9"/>
  <c r="BS49" i="9"/>
  <c r="BS48" i="12"/>
  <c r="BS50" i="12"/>
  <c r="BT51" i="12" l="1"/>
  <c r="BT49" i="12"/>
  <c r="BT51" i="9" l="1"/>
  <c r="BT49" i="9"/>
  <c r="BT50" i="9"/>
  <c r="BT48" i="9"/>
  <c r="BT48" i="12"/>
  <c r="BT50" i="12"/>
  <c r="BU49" i="12" l="1"/>
  <c r="BU51" i="12"/>
  <c r="BU48" i="9" l="1"/>
  <c r="BU50" i="9"/>
  <c r="BU49" i="9"/>
  <c r="BU51" i="9"/>
  <c r="BU50" i="12"/>
  <c r="BU48" i="12"/>
  <c r="BV51" i="12" s="1"/>
  <c r="BK40" i="14" l="1"/>
  <c r="BU39" i="14" s="1"/>
  <c r="BJ40" i="14"/>
  <c r="BI40" i="14"/>
  <c r="BH40" i="14"/>
  <c r="BG40" i="14"/>
  <c r="BF40" i="14"/>
  <c r="BE40" i="14"/>
  <c r="BD40" i="14"/>
  <c r="BC40" i="14"/>
  <c r="BB40" i="14"/>
  <c r="BA40" i="14"/>
  <c r="BT39" i="14" s="1"/>
  <c r="AZ40" i="14"/>
  <c r="AY40" i="14"/>
  <c r="AX40" i="14"/>
  <c r="AW40" i="14"/>
  <c r="AV40" i="14"/>
  <c r="AU40" i="14"/>
  <c r="AT40" i="14"/>
  <c r="AS40" i="14"/>
  <c r="AR40" i="14"/>
  <c r="AQ40" i="14"/>
  <c r="BS39" i="14" s="1"/>
  <c r="AP40" i="14"/>
  <c r="AO40" i="14"/>
  <c r="AN40" i="14"/>
  <c r="AM40" i="14"/>
  <c r="AL40" i="14"/>
  <c r="AK40" i="14"/>
  <c r="AJ40" i="14"/>
  <c r="AI40" i="14"/>
  <c r="AH40" i="14"/>
  <c r="AG40" i="14"/>
  <c r="BR39" i="14" s="1"/>
  <c r="AF40" i="14"/>
  <c r="AE40" i="14"/>
  <c r="AD40" i="14"/>
  <c r="AC40" i="14"/>
  <c r="AB40" i="14"/>
  <c r="AA40" i="14"/>
  <c r="Z40" i="14"/>
  <c r="Y40" i="14"/>
  <c r="X40" i="14"/>
  <c r="W40" i="14"/>
  <c r="BQ39" i="14" s="1"/>
  <c r="V40" i="14"/>
  <c r="U40" i="14"/>
  <c r="T40" i="14"/>
  <c r="S40" i="14"/>
  <c r="R40" i="14"/>
  <c r="Q40" i="14"/>
  <c r="P40" i="14"/>
  <c r="O40" i="14"/>
  <c r="N40" i="14"/>
  <c r="M40" i="14"/>
  <c r="BP39" i="14" s="1"/>
  <c r="L40" i="14"/>
  <c r="K40" i="14"/>
  <c r="J40" i="14"/>
  <c r="I40" i="14"/>
  <c r="H40" i="14"/>
  <c r="G40" i="14"/>
  <c r="F40" i="14"/>
  <c r="E40" i="14"/>
  <c r="D40" i="14"/>
  <c r="BO39" i="14" s="1"/>
  <c r="BK39" i="14"/>
  <c r="BU38" i="14" s="1"/>
  <c r="BJ39" i="14"/>
  <c r="BI39" i="14"/>
  <c r="BH39" i="14"/>
  <c r="BG39" i="14"/>
  <c r="BF39" i="14"/>
  <c r="BE39" i="14"/>
  <c r="BD39" i="14"/>
  <c r="BC39" i="14"/>
  <c r="BB39" i="14"/>
  <c r="BA39" i="14"/>
  <c r="BT38" i="14" s="1"/>
  <c r="AZ39" i="14"/>
  <c r="AY39" i="14"/>
  <c r="AX39" i="14"/>
  <c r="AW39" i="14"/>
  <c r="AV39" i="14"/>
  <c r="AU39" i="14"/>
  <c r="AT39" i="14"/>
  <c r="AS39" i="14"/>
  <c r="AR39" i="14"/>
  <c r="AQ39" i="14"/>
  <c r="BS38" i="14" s="1"/>
  <c r="AP39" i="14"/>
  <c r="AO39" i="14"/>
  <c r="AN39" i="14"/>
  <c r="AM39" i="14"/>
  <c r="AL39" i="14"/>
  <c r="AK39" i="14"/>
  <c r="AJ39" i="14"/>
  <c r="AI39" i="14"/>
  <c r="AH39" i="14"/>
  <c r="AG39" i="14"/>
  <c r="BR38" i="14" s="1"/>
  <c r="AF39" i="14"/>
  <c r="AE39" i="14"/>
  <c r="AD39" i="14"/>
  <c r="AC39" i="14"/>
  <c r="AB39" i="14"/>
  <c r="AA39" i="14"/>
  <c r="Z39" i="14"/>
  <c r="Y39" i="14"/>
  <c r="X39" i="14"/>
  <c r="W39" i="14"/>
  <c r="BQ38" i="14" s="1"/>
  <c r="V39" i="14"/>
  <c r="U39" i="14"/>
  <c r="T39" i="14"/>
  <c r="S39" i="14"/>
  <c r="R39" i="14"/>
  <c r="Q39" i="14"/>
  <c r="P39" i="14"/>
  <c r="O39" i="14"/>
  <c r="N39" i="14"/>
  <c r="M39" i="14"/>
  <c r="BP38" i="14" s="1"/>
  <c r="L39" i="14"/>
  <c r="K39" i="14"/>
  <c r="J39" i="14"/>
  <c r="I39" i="14"/>
  <c r="H39" i="14"/>
  <c r="G39" i="14"/>
  <c r="F39" i="14"/>
  <c r="E39" i="14"/>
  <c r="D39" i="14"/>
  <c r="BO38" i="14" s="1"/>
  <c r="BK38" i="14"/>
  <c r="BU37" i="14" s="1"/>
  <c r="BJ38" i="14"/>
  <c r="BI38" i="14"/>
  <c r="BH38" i="14"/>
  <c r="BG38" i="14"/>
  <c r="BF38" i="14"/>
  <c r="BE38" i="14"/>
  <c r="BD38" i="14"/>
  <c r="BC38" i="14"/>
  <c r="BB38" i="14"/>
  <c r="BA38" i="14"/>
  <c r="BT37" i="14" s="1"/>
  <c r="AZ38" i="14"/>
  <c r="AY38" i="14"/>
  <c r="AX38" i="14"/>
  <c r="AW38" i="14"/>
  <c r="AV38" i="14"/>
  <c r="AU38" i="14"/>
  <c r="AT38" i="14"/>
  <c r="AS38" i="14"/>
  <c r="AR38" i="14"/>
  <c r="AQ38" i="14"/>
  <c r="BS37" i="14" s="1"/>
  <c r="AP38" i="14"/>
  <c r="AO38" i="14"/>
  <c r="AN38" i="14"/>
  <c r="AM38" i="14"/>
  <c r="AL38" i="14"/>
  <c r="AK38" i="14"/>
  <c r="AJ38" i="14"/>
  <c r="AI38" i="14"/>
  <c r="AH38" i="14"/>
  <c r="AG38" i="14"/>
  <c r="BR37" i="14" s="1"/>
  <c r="AF38" i="14"/>
  <c r="AE38" i="14"/>
  <c r="AD38" i="14"/>
  <c r="AC38" i="14"/>
  <c r="AB38" i="14"/>
  <c r="AA38" i="14"/>
  <c r="Z38" i="14"/>
  <c r="Y38" i="14"/>
  <c r="X38" i="14"/>
  <c r="W38" i="14"/>
  <c r="BQ37" i="14" s="1"/>
  <c r="V38" i="14"/>
  <c r="U38" i="14"/>
  <c r="T38" i="14"/>
  <c r="S38" i="14"/>
  <c r="R38" i="14"/>
  <c r="Q38" i="14"/>
  <c r="P38" i="14"/>
  <c r="O38" i="14"/>
  <c r="N38" i="14"/>
  <c r="M38" i="14"/>
  <c r="BP37" i="14" s="1"/>
  <c r="L38" i="14"/>
  <c r="K38" i="14"/>
  <c r="J38" i="14"/>
  <c r="I38" i="14"/>
  <c r="H38" i="14"/>
  <c r="G38" i="14"/>
  <c r="F38" i="14"/>
  <c r="E38" i="14"/>
  <c r="D38" i="14"/>
  <c r="BO37" i="14" s="1"/>
  <c r="BK37" i="14"/>
  <c r="BU36" i="14" s="1"/>
  <c r="BJ37" i="14"/>
  <c r="BI37" i="14"/>
  <c r="BH37" i="14"/>
  <c r="BG37" i="14"/>
  <c r="BF37" i="14"/>
  <c r="BE37" i="14"/>
  <c r="BD37" i="14"/>
  <c r="BC37" i="14"/>
  <c r="BB37" i="14"/>
  <c r="BA37" i="14"/>
  <c r="BT36" i="14" s="1"/>
  <c r="AZ37" i="14"/>
  <c r="AY37" i="14"/>
  <c r="AX37" i="14"/>
  <c r="AW37" i="14"/>
  <c r="AV37" i="14"/>
  <c r="AU37" i="14"/>
  <c r="AT37" i="14"/>
  <c r="AS37" i="14"/>
  <c r="AR37" i="14"/>
  <c r="AQ37" i="14"/>
  <c r="BS36" i="14" s="1"/>
  <c r="AP37" i="14"/>
  <c r="AO37" i="14"/>
  <c r="AN37" i="14"/>
  <c r="AM37" i="14"/>
  <c r="AL37" i="14"/>
  <c r="AK37" i="14"/>
  <c r="AJ37" i="14"/>
  <c r="AI37" i="14"/>
  <c r="AH37" i="14"/>
  <c r="AG37" i="14"/>
  <c r="BR36" i="14" s="1"/>
  <c r="AF37" i="14"/>
  <c r="AE37" i="14"/>
  <c r="AD37" i="14"/>
  <c r="AC37" i="14"/>
  <c r="AB37" i="14"/>
  <c r="AA37" i="14"/>
  <c r="Z37" i="14"/>
  <c r="Y37" i="14"/>
  <c r="X37" i="14"/>
  <c r="W37" i="14"/>
  <c r="BQ36" i="14" s="1"/>
  <c r="V37" i="14"/>
  <c r="U37" i="14"/>
  <c r="T37" i="14"/>
  <c r="S37" i="14"/>
  <c r="R37" i="14"/>
  <c r="Q37" i="14"/>
  <c r="P37" i="14"/>
  <c r="O37" i="14"/>
  <c r="N37" i="14"/>
  <c r="M37" i="14"/>
  <c r="BP36" i="14" s="1"/>
  <c r="L37" i="14"/>
  <c r="K37" i="14"/>
  <c r="J37" i="14"/>
  <c r="I37" i="14"/>
  <c r="H37" i="14"/>
  <c r="G37" i="14"/>
  <c r="F37" i="14"/>
  <c r="E37" i="14"/>
  <c r="D37" i="14"/>
  <c r="BO36" i="14" s="1"/>
  <c r="BK36" i="14"/>
  <c r="BU35" i="14" s="1"/>
  <c r="BJ36" i="14"/>
  <c r="BI36" i="14"/>
  <c r="BH36" i="14"/>
  <c r="BG36" i="14"/>
  <c r="BF36" i="14"/>
  <c r="BE36" i="14"/>
  <c r="BD36" i="14"/>
  <c r="BC36" i="14"/>
  <c r="BB36" i="14"/>
  <c r="BA36" i="14"/>
  <c r="BT35" i="14" s="1"/>
  <c r="AZ36" i="14"/>
  <c r="AY36" i="14"/>
  <c r="AX36" i="14"/>
  <c r="AW36" i="14"/>
  <c r="AV36" i="14"/>
  <c r="AU36" i="14"/>
  <c r="AT36" i="14"/>
  <c r="AS36" i="14"/>
  <c r="AR36" i="14"/>
  <c r="AQ36" i="14"/>
  <c r="BS35" i="14" s="1"/>
  <c r="AP36" i="14"/>
  <c r="AO36" i="14"/>
  <c r="AN36" i="14"/>
  <c r="AM36" i="14"/>
  <c r="AL36" i="14"/>
  <c r="AK36" i="14"/>
  <c r="AJ36" i="14"/>
  <c r="AI36" i="14"/>
  <c r="AH36" i="14"/>
  <c r="AG36" i="14"/>
  <c r="BR35" i="14" s="1"/>
  <c r="AF36" i="14"/>
  <c r="AE36" i="14"/>
  <c r="AD36" i="14"/>
  <c r="AC36" i="14"/>
  <c r="AB36" i="14"/>
  <c r="AA36" i="14"/>
  <c r="Z36" i="14"/>
  <c r="Y36" i="14"/>
  <c r="X36" i="14"/>
  <c r="W36" i="14"/>
  <c r="BQ35" i="14" s="1"/>
  <c r="V36" i="14"/>
  <c r="U36" i="14"/>
  <c r="T36" i="14"/>
  <c r="S36" i="14"/>
  <c r="R36" i="14"/>
  <c r="Q36" i="14"/>
  <c r="P36" i="14"/>
  <c r="O36" i="14"/>
  <c r="N36" i="14"/>
  <c r="M36" i="14"/>
  <c r="BP35" i="14" s="1"/>
  <c r="L36" i="14"/>
  <c r="K36" i="14"/>
  <c r="J36" i="14"/>
  <c r="I36" i="14"/>
  <c r="H36" i="14"/>
  <c r="G36" i="14"/>
  <c r="F36" i="14"/>
  <c r="E36" i="14"/>
  <c r="D36" i="14"/>
  <c r="BO35" i="14" s="1"/>
  <c r="BK35" i="14"/>
  <c r="BU34" i="14" s="1"/>
  <c r="BJ35" i="14"/>
  <c r="BI35" i="14"/>
  <c r="BH35" i="14"/>
  <c r="BG35" i="14"/>
  <c r="BF35" i="14"/>
  <c r="BE35" i="14"/>
  <c r="BD35" i="14"/>
  <c r="BC35" i="14"/>
  <c r="BB35" i="14"/>
  <c r="BA35" i="14"/>
  <c r="BT34" i="14" s="1"/>
  <c r="AZ35" i="14"/>
  <c r="AY35" i="14"/>
  <c r="AX35" i="14"/>
  <c r="AW35" i="14"/>
  <c r="AV35" i="14"/>
  <c r="AU35" i="14"/>
  <c r="AT35" i="14"/>
  <c r="AS35" i="14"/>
  <c r="AR35" i="14"/>
  <c r="AQ35" i="14"/>
  <c r="BS34" i="14" s="1"/>
  <c r="AP35" i="14"/>
  <c r="AO35" i="14"/>
  <c r="AN35" i="14"/>
  <c r="AM35" i="14"/>
  <c r="AL35" i="14"/>
  <c r="AK35" i="14"/>
  <c r="AJ35" i="14"/>
  <c r="AI35" i="14"/>
  <c r="AH35" i="14"/>
  <c r="AG35" i="14"/>
  <c r="BR34" i="14" s="1"/>
  <c r="AF35" i="14"/>
  <c r="AE35" i="14"/>
  <c r="AD35" i="14"/>
  <c r="AC35" i="14"/>
  <c r="AB35" i="14"/>
  <c r="AA35" i="14"/>
  <c r="Z35" i="14"/>
  <c r="Y35" i="14"/>
  <c r="X35" i="14"/>
  <c r="W35" i="14"/>
  <c r="BQ34" i="14" s="1"/>
  <c r="V35" i="14"/>
  <c r="U35" i="14"/>
  <c r="T35" i="14"/>
  <c r="S35" i="14"/>
  <c r="R35" i="14"/>
  <c r="Q35" i="14"/>
  <c r="P35" i="14"/>
  <c r="O35" i="14"/>
  <c r="N35" i="14"/>
  <c r="M35" i="14"/>
  <c r="BP34" i="14" s="1"/>
  <c r="L35" i="14"/>
  <c r="K35" i="14"/>
  <c r="J35" i="14"/>
  <c r="I35" i="14"/>
  <c r="H35" i="14"/>
  <c r="G35" i="14"/>
  <c r="F35" i="14"/>
  <c r="E35" i="14"/>
  <c r="D35" i="14"/>
  <c r="BO34" i="14" s="1"/>
  <c r="BK34" i="14"/>
  <c r="BU33" i="14" s="1"/>
  <c r="BJ34" i="14"/>
  <c r="BI34" i="14"/>
  <c r="BH34" i="14"/>
  <c r="BG34" i="14"/>
  <c r="BF34" i="14"/>
  <c r="BE34" i="14"/>
  <c r="BD34" i="14"/>
  <c r="BC34" i="14"/>
  <c r="BB34" i="14"/>
  <c r="BA34" i="14"/>
  <c r="BT33" i="14" s="1"/>
  <c r="AZ34" i="14"/>
  <c r="AY34" i="14"/>
  <c r="AX34" i="14"/>
  <c r="AW34" i="14"/>
  <c r="AV34" i="14"/>
  <c r="AU34" i="14"/>
  <c r="AT34" i="14"/>
  <c r="AS34" i="14"/>
  <c r="AR34" i="14"/>
  <c r="AQ34" i="14"/>
  <c r="BS33" i="14" s="1"/>
  <c r="AP34" i="14"/>
  <c r="AO34" i="14"/>
  <c r="AN34" i="14"/>
  <c r="AM34" i="14"/>
  <c r="AL34" i="14"/>
  <c r="AK34" i="14"/>
  <c r="AJ34" i="14"/>
  <c r="AI34" i="14"/>
  <c r="AH34" i="14"/>
  <c r="AG34" i="14"/>
  <c r="BR33" i="14" s="1"/>
  <c r="AF34" i="14"/>
  <c r="AE34" i="14"/>
  <c r="AD34" i="14"/>
  <c r="AC34" i="14"/>
  <c r="AB34" i="14"/>
  <c r="AA34" i="14"/>
  <c r="Z34" i="14"/>
  <c r="Y34" i="14"/>
  <c r="X34" i="14"/>
  <c r="W34" i="14"/>
  <c r="BQ33" i="14" s="1"/>
  <c r="V34" i="14"/>
  <c r="U34" i="14"/>
  <c r="T34" i="14"/>
  <c r="S34" i="14"/>
  <c r="R34" i="14"/>
  <c r="Q34" i="14"/>
  <c r="P34" i="14"/>
  <c r="O34" i="14"/>
  <c r="N34" i="14"/>
  <c r="M34" i="14"/>
  <c r="BP33" i="14" s="1"/>
  <c r="L34" i="14"/>
  <c r="K34" i="14"/>
  <c r="J34" i="14"/>
  <c r="I34" i="14"/>
  <c r="H34" i="14"/>
  <c r="G34" i="14"/>
  <c r="F34" i="14"/>
  <c r="E34" i="14"/>
  <c r="D34" i="14"/>
  <c r="BO33" i="14" s="1"/>
  <c r="BK32" i="14"/>
  <c r="BU32" i="14" s="1"/>
  <c r="BJ32" i="14"/>
  <c r="BI32" i="14"/>
  <c r="BH32" i="14"/>
  <c r="BG32" i="14"/>
  <c r="BF32" i="14"/>
  <c r="BE32" i="14"/>
  <c r="BD32" i="14"/>
  <c r="BC32" i="14"/>
  <c r="BB32" i="14"/>
  <c r="BA32" i="14"/>
  <c r="BT32" i="14" s="1"/>
  <c r="AZ32" i="14"/>
  <c r="AY32" i="14"/>
  <c r="AX32" i="14"/>
  <c r="AW32" i="14"/>
  <c r="AV32" i="14"/>
  <c r="AU32" i="14"/>
  <c r="AT32" i="14"/>
  <c r="AS32" i="14"/>
  <c r="AR32" i="14"/>
  <c r="AQ32" i="14"/>
  <c r="BS32" i="14" s="1"/>
  <c r="AP32" i="14"/>
  <c r="AO32" i="14"/>
  <c r="AN32" i="14"/>
  <c r="AM32" i="14"/>
  <c r="AL32" i="14"/>
  <c r="AK32" i="14"/>
  <c r="AJ32" i="14"/>
  <c r="AI32" i="14"/>
  <c r="AH32" i="14"/>
  <c r="AG32" i="14"/>
  <c r="BR32" i="14" s="1"/>
  <c r="AF32" i="14"/>
  <c r="AE32" i="14"/>
  <c r="AD32" i="14"/>
  <c r="AC32" i="14"/>
  <c r="AB32" i="14"/>
  <c r="AA32" i="14"/>
  <c r="Z32" i="14"/>
  <c r="Y32" i="14"/>
  <c r="X32" i="14"/>
  <c r="W32" i="14"/>
  <c r="BQ32" i="14" s="1"/>
  <c r="V32" i="14"/>
  <c r="U32" i="14"/>
  <c r="T32" i="14"/>
  <c r="S32" i="14"/>
  <c r="R32" i="14"/>
  <c r="Q32" i="14"/>
  <c r="P32" i="14"/>
  <c r="O32" i="14"/>
  <c r="N32" i="14"/>
  <c r="M32" i="14"/>
  <c r="BP32" i="14" s="1"/>
  <c r="L32" i="14"/>
  <c r="K32" i="14"/>
  <c r="J32" i="14"/>
  <c r="I32" i="14"/>
  <c r="H32" i="14"/>
  <c r="G32" i="14"/>
  <c r="F32" i="14"/>
  <c r="E32" i="14"/>
  <c r="D32" i="14"/>
  <c r="BO32" i="14" s="1"/>
  <c r="BK31" i="14"/>
  <c r="BU31" i="14" s="1"/>
  <c r="BJ31" i="14"/>
  <c r="BI31" i="14"/>
  <c r="BH31" i="14"/>
  <c r="BG31" i="14"/>
  <c r="BF31" i="14"/>
  <c r="BE31" i="14"/>
  <c r="BD31" i="14"/>
  <c r="BC31" i="14"/>
  <c r="BB31" i="14"/>
  <c r="BA31" i="14"/>
  <c r="BT31" i="14" s="1"/>
  <c r="AZ31" i="14"/>
  <c r="AY31" i="14"/>
  <c r="AX31" i="14"/>
  <c r="AW31" i="14"/>
  <c r="AV31" i="14"/>
  <c r="AU31" i="14"/>
  <c r="AT31" i="14"/>
  <c r="AS31" i="14"/>
  <c r="AR31" i="14"/>
  <c r="AQ31" i="14"/>
  <c r="BS31" i="14" s="1"/>
  <c r="AP31" i="14"/>
  <c r="AO31" i="14"/>
  <c r="AN31" i="14"/>
  <c r="AM31" i="14"/>
  <c r="AL31" i="14"/>
  <c r="AK31" i="14"/>
  <c r="AJ31" i="14"/>
  <c r="AI31" i="14"/>
  <c r="AH31" i="14"/>
  <c r="AG31" i="14"/>
  <c r="BR31" i="14" s="1"/>
  <c r="AF31" i="14"/>
  <c r="AE31" i="14"/>
  <c r="AD31" i="14"/>
  <c r="AC31" i="14"/>
  <c r="AB31" i="14"/>
  <c r="AA31" i="14"/>
  <c r="Z31" i="14"/>
  <c r="Y31" i="14"/>
  <c r="X31" i="14"/>
  <c r="W31" i="14"/>
  <c r="BQ31" i="14" s="1"/>
  <c r="V31" i="14"/>
  <c r="U31" i="14"/>
  <c r="T31" i="14"/>
  <c r="S31" i="14"/>
  <c r="R31" i="14"/>
  <c r="Q31" i="14"/>
  <c r="P31" i="14"/>
  <c r="O31" i="14"/>
  <c r="N31" i="14"/>
  <c r="M31" i="14"/>
  <c r="BP31" i="14" s="1"/>
  <c r="L31" i="14"/>
  <c r="K31" i="14"/>
  <c r="J31" i="14"/>
  <c r="I31" i="14"/>
  <c r="H31" i="14"/>
  <c r="G31" i="14"/>
  <c r="F31" i="14"/>
  <c r="E31" i="14"/>
  <c r="D31" i="14"/>
  <c r="BO31" i="14" s="1"/>
  <c r="BK30" i="14"/>
  <c r="BU30" i="14" s="1"/>
  <c r="BJ30" i="14"/>
  <c r="BI30" i="14"/>
  <c r="BH30" i="14"/>
  <c r="BG30" i="14"/>
  <c r="BF30" i="14"/>
  <c r="BE30" i="14"/>
  <c r="BD30" i="14"/>
  <c r="BC30" i="14"/>
  <c r="BB30" i="14"/>
  <c r="BA30" i="14"/>
  <c r="BT30" i="14" s="1"/>
  <c r="AZ30" i="14"/>
  <c r="AY30" i="14"/>
  <c r="AX30" i="14"/>
  <c r="AW30" i="14"/>
  <c r="AV30" i="14"/>
  <c r="AU30" i="14"/>
  <c r="AT30" i="14"/>
  <c r="AS30" i="14"/>
  <c r="AR30" i="14"/>
  <c r="AQ30" i="14"/>
  <c r="BS30" i="14" s="1"/>
  <c r="AP30" i="14"/>
  <c r="AO30" i="14"/>
  <c r="AN30" i="14"/>
  <c r="AM30" i="14"/>
  <c r="AL30" i="14"/>
  <c r="AK30" i="14"/>
  <c r="AJ30" i="14"/>
  <c r="AI30" i="14"/>
  <c r="AH30" i="14"/>
  <c r="AG30" i="14"/>
  <c r="BR30" i="14" s="1"/>
  <c r="AF30" i="14"/>
  <c r="AE30" i="14"/>
  <c r="AD30" i="14"/>
  <c r="AC30" i="14"/>
  <c r="AB30" i="14"/>
  <c r="AA30" i="14"/>
  <c r="Z30" i="14"/>
  <c r="Y30" i="14"/>
  <c r="X30" i="14"/>
  <c r="W30" i="14"/>
  <c r="BQ30" i="14" s="1"/>
  <c r="V30" i="14"/>
  <c r="U30" i="14"/>
  <c r="T30" i="14"/>
  <c r="S30" i="14"/>
  <c r="R30" i="14"/>
  <c r="Q30" i="14"/>
  <c r="P30" i="14"/>
  <c r="O30" i="14"/>
  <c r="N30" i="14"/>
  <c r="M30" i="14"/>
  <c r="BP30" i="14" s="1"/>
  <c r="L30" i="14"/>
  <c r="K30" i="14"/>
  <c r="J30" i="14"/>
  <c r="I30" i="14"/>
  <c r="H30" i="14"/>
  <c r="G30" i="14"/>
  <c r="F30" i="14"/>
  <c r="E30" i="14"/>
  <c r="D30" i="14"/>
  <c r="BO30" i="14" s="1"/>
  <c r="BK29" i="14"/>
  <c r="BU29" i="14" s="1"/>
  <c r="BJ29" i="14"/>
  <c r="BI29" i="14"/>
  <c r="BH29" i="14"/>
  <c r="BG29" i="14"/>
  <c r="BF29" i="14"/>
  <c r="BE29" i="14"/>
  <c r="BD29" i="14"/>
  <c r="BC29" i="14"/>
  <c r="BB29" i="14"/>
  <c r="BA29" i="14"/>
  <c r="BT29" i="14" s="1"/>
  <c r="AZ29" i="14"/>
  <c r="AY29" i="14"/>
  <c r="AX29" i="14"/>
  <c r="AW29" i="14"/>
  <c r="AV29" i="14"/>
  <c r="AU29" i="14"/>
  <c r="AT29" i="14"/>
  <c r="AS29" i="14"/>
  <c r="AR29" i="14"/>
  <c r="AQ29" i="14"/>
  <c r="BS29" i="14" s="1"/>
  <c r="AP29" i="14"/>
  <c r="AO29" i="14"/>
  <c r="AN29" i="14"/>
  <c r="AM29" i="14"/>
  <c r="AL29" i="14"/>
  <c r="AK29" i="14"/>
  <c r="AJ29" i="14"/>
  <c r="AI29" i="14"/>
  <c r="AH29" i="14"/>
  <c r="AG29" i="14"/>
  <c r="BR29" i="14" s="1"/>
  <c r="AF29" i="14"/>
  <c r="AE29" i="14"/>
  <c r="AD29" i="14"/>
  <c r="AC29" i="14"/>
  <c r="AB29" i="14"/>
  <c r="AA29" i="14"/>
  <c r="Z29" i="14"/>
  <c r="Y29" i="14"/>
  <c r="X29" i="14"/>
  <c r="W29" i="14"/>
  <c r="BQ29" i="14" s="1"/>
  <c r="V29" i="14"/>
  <c r="U29" i="14"/>
  <c r="T29" i="14"/>
  <c r="S29" i="14"/>
  <c r="R29" i="14"/>
  <c r="Q29" i="14"/>
  <c r="P29" i="14"/>
  <c r="O29" i="14"/>
  <c r="N29" i="14"/>
  <c r="M29" i="14"/>
  <c r="BP29" i="14" s="1"/>
  <c r="L29" i="14"/>
  <c r="K29" i="14"/>
  <c r="J29" i="14"/>
  <c r="I29" i="14"/>
  <c r="H29" i="14"/>
  <c r="G29" i="14"/>
  <c r="F29" i="14"/>
  <c r="E29" i="14"/>
  <c r="D29" i="14"/>
  <c r="BO29" i="14" s="1"/>
  <c r="BK28" i="14"/>
  <c r="BU28" i="14" s="1"/>
  <c r="BJ28" i="14"/>
  <c r="BI28" i="14"/>
  <c r="BH28" i="14"/>
  <c r="BG28" i="14"/>
  <c r="BF28" i="14"/>
  <c r="BE28" i="14"/>
  <c r="BD28" i="14"/>
  <c r="BC28" i="14"/>
  <c r="BB28" i="14"/>
  <c r="BA28" i="14"/>
  <c r="BT28" i="14" s="1"/>
  <c r="AZ28" i="14"/>
  <c r="AY28" i="14"/>
  <c r="AX28" i="14"/>
  <c r="AW28" i="14"/>
  <c r="AV28" i="14"/>
  <c r="AU28" i="14"/>
  <c r="AT28" i="14"/>
  <c r="AS28" i="14"/>
  <c r="AR28" i="14"/>
  <c r="AQ28" i="14"/>
  <c r="BS28" i="14" s="1"/>
  <c r="AP28" i="14"/>
  <c r="AO28" i="14"/>
  <c r="AN28" i="14"/>
  <c r="AM28" i="14"/>
  <c r="AL28" i="14"/>
  <c r="AK28" i="14"/>
  <c r="AJ28" i="14"/>
  <c r="AI28" i="14"/>
  <c r="AH28" i="14"/>
  <c r="AG28" i="14"/>
  <c r="BR28" i="14" s="1"/>
  <c r="AF28" i="14"/>
  <c r="AE28" i="14"/>
  <c r="AD28" i="14"/>
  <c r="AC28" i="14"/>
  <c r="AB28" i="14"/>
  <c r="AA28" i="14"/>
  <c r="Z28" i="14"/>
  <c r="Y28" i="14"/>
  <c r="X28" i="14"/>
  <c r="W28" i="14"/>
  <c r="BQ28" i="14" s="1"/>
  <c r="V28" i="14"/>
  <c r="U28" i="14"/>
  <c r="T28" i="14"/>
  <c r="S28" i="14"/>
  <c r="R28" i="14"/>
  <c r="Q28" i="14"/>
  <c r="P28" i="14"/>
  <c r="O28" i="14"/>
  <c r="N28" i="14"/>
  <c r="M28" i="14"/>
  <c r="BP28" i="14" s="1"/>
  <c r="L28" i="14"/>
  <c r="K28" i="14"/>
  <c r="J28" i="14"/>
  <c r="I28" i="14"/>
  <c r="H28" i="14"/>
  <c r="G28" i="14"/>
  <c r="F28" i="14"/>
  <c r="E28" i="14"/>
  <c r="D28" i="14"/>
  <c r="BO28" i="14" s="1"/>
  <c r="BK27" i="14"/>
  <c r="BU27" i="14" s="1"/>
  <c r="BJ27" i="14"/>
  <c r="BI27" i="14"/>
  <c r="BH27" i="14"/>
  <c r="BG27" i="14"/>
  <c r="BF27" i="14"/>
  <c r="BE27" i="14"/>
  <c r="BD27" i="14"/>
  <c r="BC27" i="14"/>
  <c r="BB27" i="14"/>
  <c r="BA27" i="14"/>
  <c r="BT27" i="14" s="1"/>
  <c r="AZ27" i="14"/>
  <c r="AY27" i="14"/>
  <c r="AX27" i="14"/>
  <c r="AW27" i="14"/>
  <c r="AV27" i="14"/>
  <c r="AU27" i="14"/>
  <c r="AT27" i="14"/>
  <c r="AS27" i="14"/>
  <c r="AR27" i="14"/>
  <c r="AQ27" i="14"/>
  <c r="BS27" i="14" s="1"/>
  <c r="AP27" i="14"/>
  <c r="AO27" i="14"/>
  <c r="AN27" i="14"/>
  <c r="AM27" i="14"/>
  <c r="AL27" i="14"/>
  <c r="AK27" i="14"/>
  <c r="AJ27" i="14"/>
  <c r="AI27" i="14"/>
  <c r="AH27" i="14"/>
  <c r="AG27" i="14"/>
  <c r="BR27" i="14" s="1"/>
  <c r="AF27" i="14"/>
  <c r="AE27" i="14"/>
  <c r="AD27" i="14"/>
  <c r="AC27" i="14"/>
  <c r="AB27" i="14"/>
  <c r="AA27" i="14"/>
  <c r="Z27" i="14"/>
  <c r="Y27" i="14"/>
  <c r="X27" i="14"/>
  <c r="W27" i="14"/>
  <c r="BQ27" i="14" s="1"/>
  <c r="V27" i="14"/>
  <c r="U27" i="14"/>
  <c r="T27" i="14"/>
  <c r="S27" i="14"/>
  <c r="R27" i="14"/>
  <c r="Q27" i="14"/>
  <c r="P27" i="14"/>
  <c r="O27" i="14"/>
  <c r="N27" i="14"/>
  <c r="M27" i="14"/>
  <c r="BP27" i="14" s="1"/>
  <c r="L27" i="14"/>
  <c r="K27" i="14"/>
  <c r="J27" i="14"/>
  <c r="I27" i="14"/>
  <c r="H27" i="14"/>
  <c r="G27" i="14"/>
  <c r="F27" i="14"/>
  <c r="E27" i="14"/>
  <c r="D27" i="14"/>
  <c r="BO27" i="14" s="1"/>
  <c r="BK26" i="14"/>
  <c r="BU26" i="14" s="1"/>
  <c r="BJ26" i="14"/>
  <c r="BI26" i="14"/>
  <c r="BH26" i="14"/>
  <c r="BG26" i="14"/>
  <c r="BF26" i="14"/>
  <c r="BE26" i="14"/>
  <c r="BD26" i="14"/>
  <c r="BC26" i="14"/>
  <c r="BB26" i="14"/>
  <c r="BA26" i="14"/>
  <c r="BT26" i="14" s="1"/>
  <c r="AZ26" i="14"/>
  <c r="AY26" i="14"/>
  <c r="AX26" i="14"/>
  <c r="AW26" i="14"/>
  <c r="AV26" i="14"/>
  <c r="AU26" i="14"/>
  <c r="AT26" i="14"/>
  <c r="AS26" i="14"/>
  <c r="AR26" i="14"/>
  <c r="AQ26" i="14"/>
  <c r="BS26" i="14" s="1"/>
  <c r="AP26" i="14"/>
  <c r="AO26" i="14"/>
  <c r="AN26" i="14"/>
  <c r="AM26" i="14"/>
  <c r="AL26" i="14"/>
  <c r="AK26" i="14"/>
  <c r="AJ26" i="14"/>
  <c r="AI26" i="14"/>
  <c r="AH26" i="14"/>
  <c r="AG26" i="14"/>
  <c r="BR26" i="14" s="1"/>
  <c r="AF26" i="14"/>
  <c r="AE26" i="14"/>
  <c r="AD26" i="14"/>
  <c r="AC26" i="14"/>
  <c r="AB26" i="14"/>
  <c r="AA26" i="14"/>
  <c r="Z26" i="14"/>
  <c r="Y26" i="14"/>
  <c r="X26" i="14"/>
  <c r="W26" i="14"/>
  <c r="BQ26" i="14" s="1"/>
  <c r="V26" i="14"/>
  <c r="U26" i="14"/>
  <c r="T26" i="14"/>
  <c r="S26" i="14"/>
  <c r="R26" i="14"/>
  <c r="Q26" i="14"/>
  <c r="P26" i="14"/>
  <c r="O26" i="14"/>
  <c r="N26" i="14"/>
  <c r="M26" i="14"/>
  <c r="BP26" i="14" s="1"/>
  <c r="L26" i="14"/>
  <c r="K26" i="14"/>
  <c r="J26" i="14"/>
  <c r="I26" i="14"/>
  <c r="H26" i="14"/>
  <c r="G26" i="14"/>
  <c r="F26" i="14"/>
  <c r="E26" i="14"/>
  <c r="D26" i="14"/>
  <c r="BO26" i="14" s="1"/>
  <c r="BK24" i="14"/>
  <c r="BU23" i="14" s="1"/>
  <c r="BJ24" i="14"/>
  <c r="BI24" i="14"/>
  <c r="BH24" i="14"/>
  <c r="BG24" i="14"/>
  <c r="BF24" i="14"/>
  <c r="BE24" i="14"/>
  <c r="BD24" i="14"/>
  <c r="BC24" i="14"/>
  <c r="BB24" i="14"/>
  <c r="BA24" i="14"/>
  <c r="BT23" i="14" s="1"/>
  <c r="AZ24" i="14"/>
  <c r="AY24" i="14"/>
  <c r="AX24" i="14"/>
  <c r="AW24" i="14"/>
  <c r="AV24" i="14"/>
  <c r="AU24" i="14"/>
  <c r="AT24" i="14"/>
  <c r="AS24" i="14"/>
  <c r="AR24" i="14"/>
  <c r="AQ24" i="14"/>
  <c r="BS23" i="14" s="1"/>
  <c r="AP24" i="14"/>
  <c r="AO24" i="14"/>
  <c r="AN24" i="14"/>
  <c r="AM24" i="14"/>
  <c r="AL24" i="14"/>
  <c r="AK24" i="14"/>
  <c r="AJ24" i="14"/>
  <c r="AI24" i="14"/>
  <c r="AH24" i="14"/>
  <c r="AG24" i="14"/>
  <c r="BR23" i="14" s="1"/>
  <c r="AF24" i="14"/>
  <c r="AE24" i="14"/>
  <c r="AD24" i="14"/>
  <c r="AC24" i="14"/>
  <c r="AB24" i="14"/>
  <c r="AA24" i="14"/>
  <c r="Z24" i="14"/>
  <c r="Y24" i="14"/>
  <c r="X24" i="14"/>
  <c r="W24" i="14"/>
  <c r="BQ23" i="14" s="1"/>
  <c r="V24" i="14"/>
  <c r="U24" i="14"/>
  <c r="T24" i="14"/>
  <c r="S24" i="14"/>
  <c r="R24" i="14"/>
  <c r="Q24" i="14"/>
  <c r="P24" i="14"/>
  <c r="O24" i="14"/>
  <c r="N24" i="14"/>
  <c r="M24" i="14"/>
  <c r="BP23" i="14" s="1"/>
  <c r="L24" i="14"/>
  <c r="K24" i="14"/>
  <c r="J24" i="14"/>
  <c r="I24" i="14"/>
  <c r="H24" i="14"/>
  <c r="G24" i="14"/>
  <c r="F24" i="14"/>
  <c r="E24" i="14"/>
  <c r="D24" i="14"/>
  <c r="BO23" i="14" s="1"/>
  <c r="BK23" i="14"/>
  <c r="BU22" i="14" s="1"/>
  <c r="BJ23" i="14"/>
  <c r="BI23" i="14"/>
  <c r="BH23" i="14"/>
  <c r="BG23" i="14"/>
  <c r="BF23" i="14"/>
  <c r="BE23" i="14"/>
  <c r="BD23" i="14"/>
  <c r="BC23" i="14"/>
  <c r="BB23" i="14"/>
  <c r="BA23" i="14"/>
  <c r="BT22" i="14" s="1"/>
  <c r="AZ23" i="14"/>
  <c r="AY23" i="14"/>
  <c r="AX23" i="14"/>
  <c r="AW23" i="14"/>
  <c r="AV23" i="14"/>
  <c r="AU23" i="14"/>
  <c r="AT23" i="14"/>
  <c r="AS23" i="14"/>
  <c r="AR23" i="14"/>
  <c r="AQ23" i="14"/>
  <c r="BS22" i="14" s="1"/>
  <c r="AP23" i="14"/>
  <c r="AO23" i="14"/>
  <c r="AN23" i="14"/>
  <c r="AM23" i="14"/>
  <c r="AL23" i="14"/>
  <c r="AK23" i="14"/>
  <c r="AJ23" i="14"/>
  <c r="AI23" i="14"/>
  <c r="AH23" i="14"/>
  <c r="AG23" i="14"/>
  <c r="BR22" i="14" s="1"/>
  <c r="AF23" i="14"/>
  <c r="AE23" i="14"/>
  <c r="AD23" i="14"/>
  <c r="AC23" i="14"/>
  <c r="AB23" i="14"/>
  <c r="AA23" i="14"/>
  <c r="Z23" i="14"/>
  <c r="Y23" i="14"/>
  <c r="X23" i="14"/>
  <c r="W23" i="14"/>
  <c r="BQ22" i="14" s="1"/>
  <c r="V23" i="14"/>
  <c r="U23" i="14"/>
  <c r="T23" i="14"/>
  <c r="S23" i="14"/>
  <c r="R23" i="14"/>
  <c r="Q23" i="14"/>
  <c r="P23" i="14"/>
  <c r="O23" i="14"/>
  <c r="N23" i="14"/>
  <c r="M23" i="14"/>
  <c r="BP22" i="14" s="1"/>
  <c r="L23" i="14"/>
  <c r="K23" i="14"/>
  <c r="J23" i="14"/>
  <c r="I23" i="14"/>
  <c r="H23" i="14"/>
  <c r="G23" i="14"/>
  <c r="F23" i="14"/>
  <c r="E23" i="14"/>
  <c r="D23" i="14"/>
  <c r="BO22" i="14" s="1"/>
  <c r="BK22" i="14"/>
  <c r="BU21" i="14" s="1"/>
  <c r="BJ22" i="14"/>
  <c r="BI22" i="14"/>
  <c r="BH22" i="14"/>
  <c r="BG22" i="14"/>
  <c r="BF22" i="14"/>
  <c r="BE22" i="14"/>
  <c r="BD22" i="14"/>
  <c r="BC22" i="14"/>
  <c r="BB22" i="14"/>
  <c r="BA22" i="14"/>
  <c r="BT21" i="14" s="1"/>
  <c r="AZ22" i="14"/>
  <c r="AY22" i="14"/>
  <c r="AX22" i="14"/>
  <c r="AW22" i="14"/>
  <c r="AV22" i="14"/>
  <c r="AU22" i="14"/>
  <c r="AT22" i="14"/>
  <c r="AS22" i="14"/>
  <c r="AR22" i="14"/>
  <c r="AQ22" i="14"/>
  <c r="BS21" i="14" s="1"/>
  <c r="AP22" i="14"/>
  <c r="AO22" i="14"/>
  <c r="AN22" i="14"/>
  <c r="AM22" i="14"/>
  <c r="AL22" i="14"/>
  <c r="AK22" i="14"/>
  <c r="AJ22" i="14"/>
  <c r="AI22" i="14"/>
  <c r="AH22" i="14"/>
  <c r="AG22" i="14"/>
  <c r="BR21" i="14" s="1"/>
  <c r="AF22" i="14"/>
  <c r="AE22" i="14"/>
  <c r="AD22" i="14"/>
  <c r="AC22" i="14"/>
  <c r="AB22" i="14"/>
  <c r="AA22" i="14"/>
  <c r="Z22" i="14"/>
  <c r="Y22" i="14"/>
  <c r="X22" i="14"/>
  <c r="W22" i="14"/>
  <c r="BQ21" i="14" s="1"/>
  <c r="V22" i="14"/>
  <c r="U22" i="14"/>
  <c r="T22" i="14"/>
  <c r="S22" i="14"/>
  <c r="R22" i="14"/>
  <c r="Q22" i="14"/>
  <c r="P22" i="14"/>
  <c r="O22" i="14"/>
  <c r="N22" i="14"/>
  <c r="M22" i="14"/>
  <c r="BP21" i="14" s="1"/>
  <c r="L22" i="14"/>
  <c r="K22" i="14"/>
  <c r="J22" i="14"/>
  <c r="I22" i="14"/>
  <c r="H22" i="14"/>
  <c r="G22" i="14"/>
  <c r="F22" i="14"/>
  <c r="E22" i="14"/>
  <c r="D22" i="14"/>
  <c r="BO21" i="14" s="1"/>
  <c r="BK21" i="14"/>
  <c r="BU20" i="14" s="1"/>
  <c r="BJ21" i="14"/>
  <c r="BI21" i="14"/>
  <c r="BH21" i="14"/>
  <c r="BG21" i="14"/>
  <c r="BF21" i="14"/>
  <c r="BE21" i="14"/>
  <c r="BD21" i="14"/>
  <c r="BC21" i="14"/>
  <c r="BB21" i="14"/>
  <c r="BA21" i="14"/>
  <c r="BT20" i="14" s="1"/>
  <c r="AZ21" i="14"/>
  <c r="AY21" i="14"/>
  <c r="AX21" i="14"/>
  <c r="AW21" i="14"/>
  <c r="AV21" i="14"/>
  <c r="AU21" i="14"/>
  <c r="AT21" i="14"/>
  <c r="AS21" i="14"/>
  <c r="AR21" i="14"/>
  <c r="AQ21" i="14"/>
  <c r="BS20" i="14" s="1"/>
  <c r="AP21" i="14"/>
  <c r="AO21" i="14"/>
  <c r="AN21" i="14"/>
  <c r="AM21" i="14"/>
  <c r="AL21" i="14"/>
  <c r="AK21" i="14"/>
  <c r="AJ21" i="14"/>
  <c r="AI21" i="14"/>
  <c r="AH21" i="14"/>
  <c r="AG21" i="14"/>
  <c r="BR20" i="14" s="1"/>
  <c r="AF21" i="14"/>
  <c r="AE21" i="14"/>
  <c r="AD21" i="14"/>
  <c r="AC21" i="14"/>
  <c r="AB21" i="14"/>
  <c r="AA21" i="14"/>
  <c r="Z21" i="14"/>
  <c r="Y21" i="14"/>
  <c r="X21" i="14"/>
  <c r="W21" i="14"/>
  <c r="BQ20" i="14" s="1"/>
  <c r="V21" i="14"/>
  <c r="U21" i="14"/>
  <c r="T21" i="14"/>
  <c r="S21" i="14"/>
  <c r="R21" i="14"/>
  <c r="Q21" i="14"/>
  <c r="P21" i="14"/>
  <c r="O21" i="14"/>
  <c r="N21" i="14"/>
  <c r="M21" i="14"/>
  <c r="BP20" i="14" s="1"/>
  <c r="L21" i="14"/>
  <c r="K21" i="14"/>
  <c r="J21" i="14"/>
  <c r="I21" i="14"/>
  <c r="H21" i="14"/>
  <c r="G21" i="14"/>
  <c r="F21" i="14"/>
  <c r="E21" i="14"/>
  <c r="D21" i="14"/>
  <c r="BO20" i="14" s="1"/>
  <c r="BK20" i="14"/>
  <c r="BU19" i="14" s="1"/>
  <c r="BJ20" i="14"/>
  <c r="BI20" i="14"/>
  <c r="BH20" i="14"/>
  <c r="BG20" i="14"/>
  <c r="BF20" i="14"/>
  <c r="BE20" i="14"/>
  <c r="BD20" i="14"/>
  <c r="BC20" i="14"/>
  <c r="BB20" i="14"/>
  <c r="BA20" i="14"/>
  <c r="BT19" i="14" s="1"/>
  <c r="AZ20" i="14"/>
  <c r="AY20" i="14"/>
  <c r="AX20" i="14"/>
  <c r="AW20" i="14"/>
  <c r="AV20" i="14"/>
  <c r="AU20" i="14"/>
  <c r="AT20" i="14"/>
  <c r="AS20" i="14"/>
  <c r="AR20" i="14"/>
  <c r="AQ20" i="14"/>
  <c r="BS19" i="14" s="1"/>
  <c r="AP20" i="14"/>
  <c r="AO20" i="14"/>
  <c r="AN20" i="14"/>
  <c r="AM20" i="14"/>
  <c r="AL20" i="14"/>
  <c r="AK20" i="14"/>
  <c r="AJ20" i="14"/>
  <c r="AI20" i="14"/>
  <c r="AH20" i="14"/>
  <c r="AG20" i="14"/>
  <c r="BR19" i="14" s="1"/>
  <c r="AF20" i="14"/>
  <c r="AE20" i="14"/>
  <c r="AD20" i="14"/>
  <c r="AC20" i="14"/>
  <c r="AB20" i="14"/>
  <c r="AA20" i="14"/>
  <c r="Z20" i="14"/>
  <c r="Y20" i="14"/>
  <c r="X20" i="14"/>
  <c r="W20" i="14"/>
  <c r="BQ19" i="14" s="1"/>
  <c r="V20" i="14"/>
  <c r="U20" i="14"/>
  <c r="T20" i="14"/>
  <c r="S20" i="14"/>
  <c r="R20" i="14"/>
  <c r="Q20" i="14"/>
  <c r="P20" i="14"/>
  <c r="O20" i="14"/>
  <c r="N20" i="14"/>
  <c r="M20" i="14"/>
  <c r="BP19" i="14" s="1"/>
  <c r="L20" i="14"/>
  <c r="K20" i="14"/>
  <c r="J20" i="14"/>
  <c r="I20" i="14"/>
  <c r="H20" i="14"/>
  <c r="G20" i="14"/>
  <c r="F20" i="14"/>
  <c r="E20" i="14"/>
  <c r="D20" i="14"/>
  <c r="BO19" i="14" s="1"/>
  <c r="BK19" i="14"/>
  <c r="BU18" i="14" s="1"/>
  <c r="BJ19" i="14"/>
  <c r="BI19" i="14"/>
  <c r="BH19" i="14"/>
  <c r="BG19" i="14"/>
  <c r="BF19" i="14"/>
  <c r="BE19" i="14"/>
  <c r="BD19" i="14"/>
  <c r="BC19" i="14"/>
  <c r="BB19" i="14"/>
  <c r="BA19" i="14"/>
  <c r="BT18" i="14" s="1"/>
  <c r="AZ19" i="14"/>
  <c r="AY19" i="14"/>
  <c r="AX19" i="14"/>
  <c r="AW19" i="14"/>
  <c r="AV19" i="14"/>
  <c r="AU19" i="14"/>
  <c r="AT19" i="14"/>
  <c r="AS19" i="14"/>
  <c r="AR19" i="14"/>
  <c r="AQ19" i="14"/>
  <c r="BS18" i="14" s="1"/>
  <c r="AP19" i="14"/>
  <c r="AO19" i="14"/>
  <c r="AN19" i="14"/>
  <c r="AM19" i="14"/>
  <c r="AL19" i="14"/>
  <c r="AK19" i="14"/>
  <c r="AJ19" i="14"/>
  <c r="AI19" i="14"/>
  <c r="AH19" i="14"/>
  <c r="AG19" i="14"/>
  <c r="BR18" i="14" s="1"/>
  <c r="AF19" i="14"/>
  <c r="AE19" i="14"/>
  <c r="AD19" i="14"/>
  <c r="AC19" i="14"/>
  <c r="AB19" i="14"/>
  <c r="AA19" i="14"/>
  <c r="Z19" i="14"/>
  <c r="Y19" i="14"/>
  <c r="X19" i="14"/>
  <c r="W19" i="14"/>
  <c r="BQ18" i="14" s="1"/>
  <c r="V19" i="14"/>
  <c r="U19" i="14"/>
  <c r="T19" i="14"/>
  <c r="S19" i="14"/>
  <c r="R19" i="14"/>
  <c r="Q19" i="14"/>
  <c r="P19" i="14"/>
  <c r="O19" i="14"/>
  <c r="N19" i="14"/>
  <c r="M19" i="14"/>
  <c r="BP18" i="14" s="1"/>
  <c r="L19" i="14"/>
  <c r="K19" i="14"/>
  <c r="J19" i="14"/>
  <c r="I19" i="14"/>
  <c r="H19" i="14"/>
  <c r="G19" i="14"/>
  <c r="F19" i="14"/>
  <c r="E19" i="14"/>
  <c r="D19" i="14"/>
  <c r="BO18" i="14" s="1"/>
  <c r="BK18" i="14"/>
  <c r="BU17" i="14" s="1"/>
  <c r="BJ18" i="14"/>
  <c r="BI18" i="14"/>
  <c r="BH18" i="14"/>
  <c r="BG18" i="14"/>
  <c r="BF18" i="14"/>
  <c r="BE18" i="14"/>
  <c r="BD18" i="14"/>
  <c r="BC18" i="14"/>
  <c r="BB18" i="14"/>
  <c r="BA18" i="14"/>
  <c r="BT17" i="14" s="1"/>
  <c r="AZ18" i="14"/>
  <c r="AY18" i="14"/>
  <c r="AX18" i="14"/>
  <c r="AW18" i="14"/>
  <c r="AV18" i="14"/>
  <c r="AU18" i="14"/>
  <c r="AT18" i="14"/>
  <c r="AS18" i="14"/>
  <c r="AR18" i="14"/>
  <c r="AQ18" i="14"/>
  <c r="BS17" i="14" s="1"/>
  <c r="AP18" i="14"/>
  <c r="AO18" i="14"/>
  <c r="AN18" i="14"/>
  <c r="AM18" i="14"/>
  <c r="AL18" i="14"/>
  <c r="AK18" i="14"/>
  <c r="AJ18" i="14"/>
  <c r="AI18" i="14"/>
  <c r="AH18" i="14"/>
  <c r="AG18" i="14"/>
  <c r="BR17" i="14" s="1"/>
  <c r="AF18" i="14"/>
  <c r="AE18" i="14"/>
  <c r="AD18" i="14"/>
  <c r="AC18" i="14"/>
  <c r="AB18" i="14"/>
  <c r="AA18" i="14"/>
  <c r="Z18" i="14"/>
  <c r="Y18" i="14"/>
  <c r="X18" i="14"/>
  <c r="W18" i="14"/>
  <c r="BQ17" i="14" s="1"/>
  <c r="V18" i="14"/>
  <c r="U18" i="14"/>
  <c r="T18" i="14"/>
  <c r="S18" i="14"/>
  <c r="R18" i="14"/>
  <c r="Q18" i="14"/>
  <c r="P18" i="14"/>
  <c r="O18" i="14"/>
  <c r="N18" i="14"/>
  <c r="M18" i="14"/>
  <c r="BP17" i="14" s="1"/>
  <c r="L18" i="14"/>
  <c r="K18" i="14"/>
  <c r="J18" i="14"/>
  <c r="I18" i="14"/>
  <c r="H18" i="14"/>
  <c r="G18" i="14"/>
  <c r="F18" i="14"/>
  <c r="E18" i="14"/>
  <c r="D18" i="14"/>
  <c r="BO17" i="14" s="1"/>
  <c r="BK17" i="14"/>
  <c r="BU16" i="14" s="1"/>
  <c r="BJ17" i="14"/>
  <c r="BI17" i="14"/>
  <c r="BH17" i="14"/>
  <c r="BG17" i="14"/>
  <c r="BF17" i="14"/>
  <c r="BE17" i="14"/>
  <c r="BD17" i="14"/>
  <c r="BC17" i="14"/>
  <c r="BB17" i="14"/>
  <c r="BA17" i="14"/>
  <c r="BT16" i="14" s="1"/>
  <c r="AZ17" i="14"/>
  <c r="AY17" i="14"/>
  <c r="AX17" i="14"/>
  <c r="AW17" i="14"/>
  <c r="AV17" i="14"/>
  <c r="AU17" i="14"/>
  <c r="AT17" i="14"/>
  <c r="AS17" i="14"/>
  <c r="AR17" i="14"/>
  <c r="AQ17" i="14"/>
  <c r="BS16" i="14" s="1"/>
  <c r="AP17" i="14"/>
  <c r="AO17" i="14"/>
  <c r="AN17" i="14"/>
  <c r="AM17" i="14"/>
  <c r="AL17" i="14"/>
  <c r="AK17" i="14"/>
  <c r="AJ17" i="14"/>
  <c r="AI17" i="14"/>
  <c r="AH17" i="14"/>
  <c r="AG17" i="14"/>
  <c r="BR16" i="14" s="1"/>
  <c r="AF17" i="14"/>
  <c r="AE17" i="14"/>
  <c r="AD17" i="14"/>
  <c r="AC17" i="14"/>
  <c r="AB17" i="14"/>
  <c r="AA17" i="14"/>
  <c r="Z17" i="14"/>
  <c r="Y17" i="14"/>
  <c r="X17" i="14"/>
  <c r="W17" i="14"/>
  <c r="BQ16" i="14" s="1"/>
  <c r="V17" i="14"/>
  <c r="U17" i="14"/>
  <c r="T17" i="14"/>
  <c r="S17" i="14"/>
  <c r="R17" i="14"/>
  <c r="Q17" i="14"/>
  <c r="P17" i="14"/>
  <c r="O17" i="14"/>
  <c r="N17" i="14"/>
  <c r="M17" i="14"/>
  <c r="BP16" i="14" s="1"/>
  <c r="L17" i="14"/>
  <c r="K17" i="14"/>
  <c r="J17" i="14"/>
  <c r="I17" i="14"/>
  <c r="H17" i="14"/>
  <c r="G17" i="14"/>
  <c r="F17" i="14"/>
  <c r="E17" i="14"/>
  <c r="D17" i="14"/>
  <c r="BO16" i="14" s="1"/>
  <c r="BK16" i="14"/>
  <c r="BU15" i="14" s="1"/>
  <c r="BJ16" i="14"/>
  <c r="BI16" i="14"/>
  <c r="BH16" i="14"/>
  <c r="BG16" i="14"/>
  <c r="BF16" i="14"/>
  <c r="BE16" i="14"/>
  <c r="BD16" i="14"/>
  <c r="BC16" i="14"/>
  <c r="BB16" i="14"/>
  <c r="BA16" i="14"/>
  <c r="BT15" i="14" s="1"/>
  <c r="AZ16" i="14"/>
  <c r="AY16" i="14"/>
  <c r="AX16" i="14"/>
  <c r="AW16" i="14"/>
  <c r="AV16" i="14"/>
  <c r="AU16" i="14"/>
  <c r="AT16" i="14"/>
  <c r="AS16" i="14"/>
  <c r="AR16" i="14"/>
  <c r="AQ16" i="14"/>
  <c r="BS15" i="14" s="1"/>
  <c r="AP16" i="14"/>
  <c r="AO16" i="14"/>
  <c r="AN16" i="14"/>
  <c r="AM16" i="14"/>
  <c r="AL16" i="14"/>
  <c r="AK16" i="14"/>
  <c r="AJ16" i="14"/>
  <c r="AI16" i="14"/>
  <c r="AH16" i="14"/>
  <c r="AG16" i="14"/>
  <c r="BR15" i="14" s="1"/>
  <c r="AF16" i="14"/>
  <c r="AE16" i="14"/>
  <c r="AD16" i="14"/>
  <c r="AC16" i="14"/>
  <c r="AB16" i="14"/>
  <c r="AA16" i="14"/>
  <c r="Z16" i="14"/>
  <c r="Y16" i="14"/>
  <c r="X16" i="14"/>
  <c r="W16" i="14"/>
  <c r="BQ15" i="14" s="1"/>
  <c r="V16" i="14"/>
  <c r="U16" i="14"/>
  <c r="T16" i="14"/>
  <c r="S16" i="14"/>
  <c r="R16" i="14"/>
  <c r="Q16" i="14"/>
  <c r="P16" i="14"/>
  <c r="O16" i="14"/>
  <c r="N16" i="14"/>
  <c r="M16" i="14"/>
  <c r="BP15" i="14" s="1"/>
  <c r="L16" i="14"/>
  <c r="K16" i="14"/>
  <c r="J16" i="14"/>
  <c r="I16" i="14"/>
  <c r="H16" i="14"/>
  <c r="G16" i="14"/>
  <c r="F16" i="14"/>
  <c r="E16" i="14"/>
  <c r="D16" i="14"/>
  <c r="BO15" i="14" s="1"/>
  <c r="BK15" i="14"/>
  <c r="BU14" i="14" s="1"/>
  <c r="BJ15" i="14"/>
  <c r="BI15" i="14"/>
  <c r="BH15" i="14"/>
  <c r="BG15" i="14"/>
  <c r="BF15" i="14"/>
  <c r="BE15" i="14"/>
  <c r="BD15" i="14"/>
  <c r="BC15" i="14"/>
  <c r="BB15" i="14"/>
  <c r="BA15" i="14"/>
  <c r="BT14" i="14" s="1"/>
  <c r="AZ15" i="14"/>
  <c r="AY15" i="14"/>
  <c r="AX15" i="14"/>
  <c r="AW15" i="14"/>
  <c r="AV15" i="14"/>
  <c r="AU15" i="14"/>
  <c r="AT15" i="14"/>
  <c r="AS15" i="14"/>
  <c r="AR15" i="14"/>
  <c r="AQ15" i="14"/>
  <c r="BS14" i="14" s="1"/>
  <c r="AP15" i="14"/>
  <c r="AO15" i="14"/>
  <c r="AN15" i="14"/>
  <c r="AM15" i="14"/>
  <c r="AL15" i="14"/>
  <c r="AK15" i="14"/>
  <c r="AJ15" i="14"/>
  <c r="AI15" i="14"/>
  <c r="AH15" i="14"/>
  <c r="AG15" i="14"/>
  <c r="BR14" i="14" s="1"/>
  <c r="AF15" i="14"/>
  <c r="AE15" i="14"/>
  <c r="AD15" i="14"/>
  <c r="AC15" i="14"/>
  <c r="AB15" i="14"/>
  <c r="AA15" i="14"/>
  <c r="Z15" i="14"/>
  <c r="Y15" i="14"/>
  <c r="X15" i="14"/>
  <c r="W15" i="14"/>
  <c r="BQ14" i="14" s="1"/>
  <c r="V15" i="14"/>
  <c r="U15" i="14"/>
  <c r="T15" i="14"/>
  <c r="S15" i="14"/>
  <c r="R15" i="14"/>
  <c r="Q15" i="14"/>
  <c r="P15" i="14"/>
  <c r="O15" i="14"/>
  <c r="N15" i="14"/>
  <c r="M15" i="14"/>
  <c r="BP14" i="14" s="1"/>
  <c r="L15" i="14"/>
  <c r="K15" i="14"/>
  <c r="J15" i="14"/>
  <c r="I15" i="14"/>
  <c r="H15" i="14"/>
  <c r="G15" i="14"/>
  <c r="F15" i="14"/>
  <c r="E15" i="14"/>
  <c r="D15" i="14"/>
  <c r="BO14" i="14" s="1"/>
  <c r="BK14" i="14"/>
  <c r="BU13" i="14" s="1"/>
  <c r="BJ14" i="14"/>
  <c r="BI14" i="14"/>
  <c r="BH14" i="14"/>
  <c r="BG14" i="14"/>
  <c r="BF14" i="14"/>
  <c r="BE14" i="14"/>
  <c r="BD14" i="14"/>
  <c r="BC14" i="14"/>
  <c r="BB14" i="14"/>
  <c r="BA14" i="14"/>
  <c r="BT13" i="14" s="1"/>
  <c r="AZ14" i="14"/>
  <c r="AY14" i="14"/>
  <c r="AX14" i="14"/>
  <c r="AW14" i="14"/>
  <c r="AV14" i="14"/>
  <c r="AU14" i="14"/>
  <c r="AT14" i="14"/>
  <c r="AS14" i="14"/>
  <c r="AR14" i="14"/>
  <c r="AQ14" i="14"/>
  <c r="BS13" i="14" s="1"/>
  <c r="AP14" i="14"/>
  <c r="AO14" i="14"/>
  <c r="AN14" i="14"/>
  <c r="AM14" i="14"/>
  <c r="AL14" i="14"/>
  <c r="AK14" i="14"/>
  <c r="AJ14" i="14"/>
  <c r="AI14" i="14"/>
  <c r="AH14" i="14"/>
  <c r="AG14" i="14"/>
  <c r="BR13" i="14" s="1"/>
  <c r="AF14" i="14"/>
  <c r="AE14" i="14"/>
  <c r="AD14" i="14"/>
  <c r="AC14" i="14"/>
  <c r="AB14" i="14"/>
  <c r="AA14" i="14"/>
  <c r="Z14" i="14"/>
  <c r="Y14" i="14"/>
  <c r="X14" i="14"/>
  <c r="W14" i="14"/>
  <c r="BQ13" i="14" s="1"/>
  <c r="V14" i="14"/>
  <c r="U14" i="14"/>
  <c r="T14" i="14"/>
  <c r="S14" i="14"/>
  <c r="R14" i="14"/>
  <c r="Q14" i="14"/>
  <c r="P14" i="14"/>
  <c r="O14" i="14"/>
  <c r="N14" i="14"/>
  <c r="M14" i="14"/>
  <c r="BP13" i="14" s="1"/>
  <c r="L14" i="14"/>
  <c r="K14" i="14"/>
  <c r="J14" i="14"/>
  <c r="I14" i="14"/>
  <c r="H14" i="14"/>
  <c r="G14" i="14"/>
  <c r="F14" i="14"/>
  <c r="E14" i="14"/>
  <c r="D14" i="14"/>
  <c r="BO13" i="14" s="1"/>
  <c r="BK12" i="14"/>
  <c r="BU12" i="14" s="1"/>
  <c r="BJ12" i="14"/>
  <c r="BI12" i="14"/>
  <c r="BH12" i="14"/>
  <c r="BG12" i="14"/>
  <c r="BF12" i="14"/>
  <c r="BE12" i="14"/>
  <c r="BD12" i="14"/>
  <c r="BC12" i="14"/>
  <c r="BB12" i="14"/>
  <c r="BA12" i="14"/>
  <c r="BT12" i="14" s="1"/>
  <c r="AZ12" i="14"/>
  <c r="AY12" i="14"/>
  <c r="AX12" i="14"/>
  <c r="AW12" i="14"/>
  <c r="AV12" i="14"/>
  <c r="AU12" i="14"/>
  <c r="AT12" i="14"/>
  <c r="AS12" i="14"/>
  <c r="AR12" i="14"/>
  <c r="AQ12" i="14"/>
  <c r="BS12" i="14" s="1"/>
  <c r="AP12" i="14"/>
  <c r="AO12" i="14"/>
  <c r="AN12" i="14"/>
  <c r="AM12" i="14"/>
  <c r="AL12" i="14"/>
  <c r="AK12" i="14"/>
  <c r="AJ12" i="14"/>
  <c r="AI12" i="14"/>
  <c r="AH12" i="14"/>
  <c r="AG12" i="14"/>
  <c r="BR12" i="14" s="1"/>
  <c r="AF12" i="14"/>
  <c r="AE12" i="14"/>
  <c r="AD12" i="14"/>
  <c r="AC12" i="14"/>
  <c r="AB12" i="14"/>
  <c r="AA12" i="14"/>
  <c r="Z12" i="14"/>
  <c r="Y12" i="14"/>
  <c r="X12" i="14"/>
  <c r="W12" i="14"/>
  <c r="BQ12" i="14" s="1"/>
  <c r="V12" i="14"/>
  <c r="U12" i="14"/>
  <c r="T12" i="14"/>
  <c r="S12" i="14"/>
  <c r="R12" i="14"/>
  <c r="Q12" i="14"/>
  <c r="P12" i="14"/>
  <c r="O12" i="14"/>
  <c r="N12" i="14"/>
  <c r="M12" i="14"/>
  <c r="BP12" i="14" s="1"/>
  <c r="L12" i="14"/>
  <c r="K12" i="14"/>
  <c r="J12" i="14"/>
  <c r="I12" i="14"/>
  <c r="H12" i="14"/>
  <c r="G12" i="14"/>
  <c r="F12" i="14"/>
  <c r="E12" i="14"/>
  <c r="D12" i="14"/>
  <c r="BO12" i="14" s="1"/>
  <c r="BK11" i="14"/>
  <c r="BU11" i="14" s="1"/>
  <c r="BJ11" i="14"/>
  <c r="BI11" i="14"/>
  <c r="BH11" i="14"/>
  <c r="BG11" i="14"/>
  <c r="BF11" i="14"/>
  <c r="BE11" i="14"/>
  <c r="BD11" i="14"/>
  <c r="BC11" i="14"/>
  <c r="BB11" i="14"/>
  <c r="BA11" i="14"/>
  <c r="BT11" i="14" s="1"/>
  <c r="AZ11" i="14"/>
  <c r="AY11" i="14"/>
  <c r="AX11" i="14"/>
  <c r="AW11" i="14"/>
  <c r="AV11" i="14"/>
  <c r="AU11" i="14"/>
  <c r="AT11" i="14"/>
  <c r="AS11" i="14"/>
  <c r="AR11" i="14"/>
  <c r="AQ11" i="14"/>
  <c r="BS11" i="14" s="1"/>
  <c r="AP11" i="14"/>
  <c r="AO11" i="14"/>
  <c r="AN11" i="14"/>
  <c r="AM11" i="14"/>
  <c r="AL11" i="14"/>
  <c r="AK11" i="14"/>
  <c r="AJ11" i="14"/>
  <c r="AI11" i="14"/>
  <c r="AH11" i="14"/>
  <c r="AG11" i="14"/>
  <c r="BR11" i="14" s="1"/>
  <c r="AF11" i="14"/>
  <c r="AE11" i="14"/>
  <c r="AD11" i="14"/>
  <c r="AC11" i="14"/>
  <c r="AB11" i="14"/>
  <c r="AA11" i="14"/>
  <c r="Z11" i="14"/>
  <c r="Y11" i="14"/>
  <c r="X11" i="14"/>
  <c r="W11" i="14"/>
  <c r="BQ11" i="14" s="1"/>
  <c r="V11" i="14"/>
  <c r="U11" i="14"/>
  <c r="T11" i="14"/>
  <c r="S11" i="14"/>
  <c r="R11" i="14"/>
  <c r="Q11" i="14"/>
  <c r="P11" i="14"/>
  <c r="O11" i="14"/>
  <c r="N11" i="14"/>
  <c r="M11" i="14"/>
  <c r="BP11" i="14" s="1"/>
  <c r="L11" i="14"/>
  <c r="K11" i="14"/>
  <c r="J11" i="14"/>
  <c r="I11" i="14"/>
  <c r="H11" i="14"/>
  <c r="G11" i="14"/>
  <c r="F11" i="14"/>
  <c r="E11" i="14"/>
  <c r="D11" i="14"/>
  <c r="BO11" i="14" s="1"/>
  <c r="BK10" i="14"/>
  <c r="BU10" i="14" s="1"/>
  <c r="BJ10" i="14"/>
  <c r="BI10" i="14"/>
  <c r="BH10" i="14"/>
  <c r="BG10" i="14"/>
  <c r="BF10" i="14"/>
  <c r="BE10" i="14"/>
  <c r="BD10" i="14"/>
  <c r="BC10" i="14"/>
  <c r="BB10" i="14"/>
  <c r="BA10" i="14"/>
  <c r="BT10" i="14" s="1"/>
  <c r="AZ10" i="14"/>
  <c r="AY10" i="14"/>
  <c r="AX10" i="14"/>
  <c r="AW10" i="14"/>
  <c r="AV10" i="14"/>
  <c r="AU10" i="14"/>
  <c r="AT10" i="14"/>
  <c r="AS10" i="14"/>
  <c r="AR10" i="14"/>
  <c r="AQ10" i="14"/>
  <c r="BS10" i="14" s="1"/>
  <c r="AP10" i="14"/>
  <c r="AO10" i="14"/>
  <c r="AN10" i="14"/>
  <c r="AM10" i="14"/>
  <c r="AL10" i="14"/>
  <c r="AK10" i="14"/>
  <c r="AJ10" i="14"/>
  <c r="AI10" i="14"/>
  <c r="AH10" i="14"/>
  <c r="AG10" i="14"/>
  <c r="BR10" i="14" s="1"/>
  <c r="AF10" i="14"/>
  <c r="AE10" i="14"/>
  <c r="AD10" i="14"/>
  <c r="AC10" i="14"/>
  <c r="AB10" i="14"/>
  <c r="AA10" i="14"/>
  <c r="Z10" i="14"/>
  <c r="Y10" i="14"/>
  <c r="X10" i="14"/>
  <c r="W10" i="14"/>
  <c r="BQ10" i="14" s="1"/>
  <c r="V10" i="14"/>
  <c r="U10" i="14"/>
  <c r="T10" i="14"/>
  <c r="S10" i="14"/>
  <c r="R10" i="14"/>
  <c r="Q10" i="14"/>
  <c r="P10" i="14"/>
  <c r="O10" i="14"/>
  <c r="N10" i="14"/>
  <c r="M10" i="14"/>
  <c r="BP10" i="14" s="1"/>
  <c r="L10" i="14"/>
  <c r="K10" i="14"/>
  <c r="J10" i="14"/>
  <c r="I10" i="14"/>
  <c r="H10" i="14"/>
  <c r="G10" i="14"/>
  <c r="F10" i="14"/>
  <c r="E10" i="14"/>
  <c r="D10" i="14"/>
  <c r="BO10" i="14" s="1"/>
  <c r="BK9" i="14"/>
  <c r="BU9" i="14" s="1"/>
  <c r="BJ9" i="14"/>
  <c r="BI9" i="14"/>
  <c r="BH9" i="14"/>
  <c r="BG9" i="14"/>
  <c r="BF9" i="14"/>
  <c r="BE9" i="14"/>
  <c r="BD9" i="14"/>
  <c r="BC9" i="14"/>
  <c r="BB9" i="14"/>
  <c r="BA9" i="14"/>
  <c r="BT9" i="14" s="1"/>
  <c r="AZ9" i="14"/>
  <c r="AY9" i="14"/>
  <c r="AX9" i="14"/>
  <c r="AW9" i="14"/>
  <c r="AV9" i="14"/>
  <c r="AU9" i="14"/>
  <c r="AT9" i="14"/>
  <c r="AS9" i="14"/>
  <c r="AR9" i="14"/>
  <c r="AQ9" i="14"/>
  <c r="BS9" i="14" s="1"/>
  <c r="AP9" i="14"/>
  <c r="AO9" i="14"/>
  <c r="AN9" i="14"/>
  <c r="AM9" i="14"/>
  <c r="AL9" i="14"/>
  <c r="AK9" i="14"/>
  <c r="AJ9" i="14"/>
  <c r="AI9" i="14"/>
  <c r="AH9" i="14"/>
  <c r="AG9" i="14"/>
  <c r="BR9" i="14" s="1"/>
  <c r="AF9" i="14"/>
  <c r="AE9" i="14"/>
  <c r="AD9" i="14"/>
  <c r="AC9" i="14"/>
  <c r="AB9" i="14"/>
  <c r="AA9" i="14"/>
  <c r="Z9" i="14"/>
  <c r="Y9" i="14"/>
  <c r="X9" i="14"/>
  <c r="W9" i="14"/>
  <c r="BQ9" i="14" s="1"/>
  <c r="V9" i="14"/>
  <c r="U9" i="14"/>
  <c r="T9" i="14"/>
  <c r="S9" i="14"/>
  <c r="R9" i="14"/>
  <c r="Q9" i="14"/>
  <c r="P9" i="14"/>
  <c r="O9" i="14"/>
  <c r="N9" i="14"/>
  <c r="M9" i="14"/>
  <c r="BP9" i="14" s="1"/>
  <c r="L9" i="14"/>
  <c r="K9" i="14"/>
  <c r="J9" i="14"/>
  <c r="I9" i="14"/>
  <c r="H9" i="14"/>
  <c r="G9" i="14"/>
  <c r="F9" i="14"/>
  <c r="E9" i="14"/>
  <c r="D9" i="14"/>
  <c r="BO9" i="14" s="1"/>
  <c r="BK8" i="14"/>
  <c r="BU8" i="14" s="1"/>
  <c r="BJ8" i="14"/>
  <c r="BI8" i="14"/>
  <c r="BH8" i="14"/>
  <c r="BG8" i="14"/>
  <c r="BF8" i="14"/>
  <c r="BE8" i="14"/>
  <c r="BD8" i="14"/>
  <c r="BC8" i="14"/>
  <c r="BB8" i="14"/>
  <c r="BA8" i="14"/>
  <c r="BT8" i="14" s="1"/>
  <c r="AZ8" i="14"/>
  <c r="AY8" i="14"/>
  <c r="AX8" i="14"/>
  <c r="AW8" i="14"/>
  <c r="AV8" i="14"/>
  <c r="AU8" i="14"/>
  <c r="AT8" i="14"/>
  <c r="AS8" i="14"/>
  <c r="AR8" i="14"/>
  <c r="AQ8" i="14"/>
  <c r="BS8" i="14" s="1"/>
  <c r="AP8" i="14"/>
  <c r="AO8" i="14"/>
  <c r="AN8" i="14"/>
  <c r="AM8" i="14"/>
  <c r="AL8" i="14"/>
  <c r="AK8" i="14"/>
  <c r="AJ8" i="14"/>
  <c r="AI8" i="14"/>
  <c r="AH8" i="14"/>
  <c r="AG8" i="14"/>
  <c r="BR8" i="14" s="1"/>
  <c r="AF8" i="14"/>
  <c r="AE8" i="14"/>
  <c r="AD8" i="14"/>
  <c r="AC8" i="14"/>
  <c r="AB8" i="14"/>
  <c r="AA8" i="14"/>
  <c r="Z8" i="14"/>
  <c r="Y8" i="14"/>
  <c r="X8" i="14"/>
  <c r="W8" i="14"/>
  <c r="BQ8" i="14" s="1"/>
  <c r="V8" i="14"/>
  <c r="U8" i="14"/>
  <c r="T8" i="14"/>
  <c r="S8" i="14"/>
  <c r="R8" i="14"/>
  <c r="Q8" i="14"/>
  <c r="P8" i="14"/>
  <c r="O8" i="14"/>
  <c r="N8" i="14"/>
  <c r="M8" i="14"/>
  <c r="BP8" i="14" s="1"/>
  <c r="L8" i="14"/>
  <c r="K8" i="14"/>
  <c r="J8" i="14"/>
  <c r="I8" i="14"/>
  <c r="H8" i="14"/>
  <c r="G8" i="14"/>
  <c r="F8" i="14"/>
  <c r="E8" i="14"/>
  <c r="D8" i="14"/>
  <c r="BO8" i="14" s="1"/>
  <c r="BK7" i="14"/>
  <c r="BU7" i="14" s="1"/>
  <c r="BJ7" i="14"/>
  <c r="BI7" i="14"/>
  <c r="BH7" i="14"/>
  <c r="BG7" i="14"/>
  <c r="BF7" i="14"/>
  <c r="BE7" i="14"/>
  <c r="BD7" i="14"/>
  <c r="BC7" i="14"/>
  <c r="BB7" i="14"/>
  <c r="BA7" i="14"/>
  <c r="BT7" i="14" s="1"/>
  <c r="AZ7" i="14"/>
  <c r="AY7" i="14"/>
  <c r="AX7" i="14"/>
  <c r="AW7" i="14"/>
  <c r="AV7" i="14"/>
  <c r="AU7" i="14"/>
  <c r="AT7" i="14"/>
  <c r="AS7" i="14"/>
  <c r="AR7" i="14"/>
  <c r="AQ7" i="14"/>
  <c r="BS7" i="14" s="1"/>
  <c r="AP7" i="14"/>
  <c r="AO7" i="14"/>
  <c r="AN7" i="14"/>
  <c r="AM7" i="14"/>
  <c r="AL7" i="14"/>
  <c r="AK7" i="14"/>
  <c r="AJ7" i="14"/>
  <c r="AI7" i="14"/>
  <c r="AH7" i="14"/>
  <c r="AG7" i="14"/>
  <c r="BR7" i="14" s="1"/>
  <c r="AF7" i="14"/>
  <c r="AE7" i="14"/>
  <c r="AD7" i="14"/>
  <c r="AC7" i="14"/>
  <c r="AB7" i="14"/>
  <c r="AA7" i="14"/>
  <c r="Z7" i="14"/>
  <c r="Y7" i="14"/>
  <c r="X7" i="14"/>
  <c r="W7" i="14"/>
  <c r="BQ7" i="14" s="1"/>
  <c r="V7" i="14"/>
  <c r="U7" i="14"/>
  <c r="T7" i="14"/>
  <c r="S7" i="14"/>
  <c r="R7" i="14"/>
  <c r="Q7" i="14"/>
  <c r="P7" i="14"/>
  <c r="O7" i="14"/>
  <c r="N7" i="14"/>
  <c r="M7" i="14"/>
  <c r="BP7" i="14" s="1"/>
  <c r="L7" i="14"/>
  <c r="K7" i="14"/>
  <c r="J7" i="14"/>
  <c r="I7" i="14"/>
  <c r="H7" i="14"/>
  <c r="G7" i="14"/>
  <c r="F7" i="14"/>
  <c r="E7" i="14"/>
  <c r="D7" i="14"/>
  <c r="BO7" i="14" s="1"/>
  <c r="BK6" i="14"/>
  <c r="BU6" i="14" s="1"/>
  <c r="BJ6" i="14"/>
  <c r="BI6" i="14"/>
  <c r="BH6" i="14"/>
  <c r="BG6" i="14"/>
  <c r="BF6" i="14"/>
  <c r="BE6" i="14"/>
  <c r="BD6" i="14"/>
  <c r="BC6" i="14"/>
  <c r="BB6" i="14"/>
  <c r="BA6" i="14"/>
  <c r="BT6" i="14" s="1"/>
  <c r="AZ6" i="14"/>
  <c r="AY6" i="14"/>
  <c r="AX6" i="14"/>
  <c r="AW6" i="14"/>
  <c r="AV6" i="14"/>
  <c r="AU6" i="14"/>
  <c r="AT6" i="14"/>
  <c r="AS6" i="14"/>
  <c r="AR6" i="14"/>
  <c r="AQ6" i="14"/>
  <c r="BS6" i="14" s="1"/>
  <c r="AP6" i="14"/>
  <c r="AO6" i="14"/>
  <c r="AN6" i="14"/>
  <c r="AM6" i="14"/>
  <c r="AL6" i="14"/>
  <c r="AK6" i="14"/>
  <c r="AJ6" i="14"/>
  <c r="AI6" i="14"/>
  <c r="AH6" i="14"/>
  <c r="AG6" i="14"/>
  <c r="BR6" i="14" s="1"/>
  <c r="AF6" i="14"/>
  <c r="AE6" i="14"/>
  <c r="AD6" i="14"/>
  <c r="AC6" i="14"/>
  <c r="AB6" i="14"/>
  <c r="AA6" i="14"/>
  <c r="Z6" i="14"/>
  <c r="Y6" i="14"/>
  <c r="X6" i="14"/>
  <c r="W6" i="14"/>
  <c r="BQ6" i="14" s="1"/>
  <c r="V6" i="14"/>
  <c r="U6" i="14"/>
  <c r="T6" i="14"/>
  <c r="S6" i="14"/>
  <c r="R6" i="14"/>
  <c r="Q6" i="14"/>
  <c r="P6" i="14"/>
  <c r="O6" i="14"/>
  <c r="N6" i="14"/>
  <c r="M6" i="14"/>
  <c r="BP6" i="14" s="1"/>
  <c r="L6" i="14"/>
  <c r="K6" i="14"/>
  <c r="J6" i="14"/>
  <c r="I6" i="14"/>
  <c r="H6" i="14"/>
  <c r="G6" i="14"/>
  <c r="F6" i="14"/>
  <c r="E6" i="14"/>
  <c r="D6" i="14"/>
  <c r="BO6" i="14" s="1"/>
  <c r="BK5" i="14"/>
  <c r="BU5" i="14" s="1"/>
  <c r="BJ5" i="14"/>
  <c r="BI5" i="14"/>
  <c r="BH5" i="14"/>
  <c r="BG5" i="14"/>
  <c r="BF5" i="14"/>
  <c r="BE5" i="14"/>
  <c r="BD5" i="14"/>
  <c r="BC5" i="14"/>
  <c r="BB5" i="14"/>
  <c r="BA5" i="14"/>
  <c r="BT5" i="14" s="1"/>
  <c r="AZ5" i="14"/>
  <c r="AY5" i="14"/>
  <c r="AX5" i="14"/>
  <c r="AW5" i="14"/>
  <c r="AV5" i="14"/>
  <c r="AU5" i="14"/>
  <c r="AT5" i="14"/>
  <c r="AS5" i="14"/>
  <c r="AR5" i="14"/>
  <c r="AQ5" i="14"/>
  <c r="BS5" i="14" s="1"/>
  <c r="AP5" i="14"/>
  <c r="AO5" i="14"/>
  <c r="AN5" i="14"/>
  <c r="AM5" i="14"/>
  <c r="AL5" i="14"/>
  <c r="AK5" i="14"/>
  <c r="AJ5" i="14"/>
  <c r="AI5" i="14"/>
  <c r="AH5" i="14"/>
  <c r="AG5" i="14"/>
  <c r="BR5" i="14" s="1"/>
  <c r="AF5" i="14"/>
  <c r="AE5" i="14"/>
  <c r="AD5" i="14"/>
  <c r="AC5" i="14"/>
  <c r="AB5" i="14"/>
  <c r="AA5" i="14"/>
  <c r="Z5" i="14"/>
  <c r="Y5" i="14"/>
  <c r="X5" i="14"/>
  <c r="W5" i="14"/>
  <c r="BQ5" i="14" s="1"/>
  <c r="V5" i="14"/>
  <c r="U5" i="14"/>
  <c r="T5" i="14"/>
  <c r="S5" i="14"/>
  <c r="R5" i="14"/>
  <c r="Q5" i="14"/>
  <c r="P5" i="14"/>
  <c r="O5" i="14"/>
  <c r="N5" i="14"/>
  <c r="M5" i="14"/>
  <c r="BP5" i="14" s="1"/>
  <c r="L5" i="14"/>
  <c r="K5" i="14"/>
  <c r="J5" i="14"/>
  <c r="I5" i="14"/>
  <c r="H5" i="14"/>
  <c r="G5" i="14"/>
  <c r="F5" i="14"/>
  <c r="E5" i="14"/>
  <c r="D5" i="14"/>
  <c r="BO5" i="14" s="1"/>
  <c r="BK4" i="14"/>
  <c r="BU4" i="14" s="1"/>
  <c r="BJ4" i="14"/>
  <c r="BI4" i="14"/>
  <c r="BH4" i="14"/>
  <c r="BG4" i="14"/>
  <c r="BF4" i="14"/>
  <c r="BE4" i="14"/>
  <c r="BD4" i="14"/>
  <c r="BC4" i="14"/>
  <c r="BB4" i="14"/>
  <c r="BA4" i="14"/>
  <c r="BT4" i="14" s="1"/>
  <c r="AZ4" i="14"/>
  <c r="AY4" i="14"/>
  <c r="AX4" i="14"/>
  <c r="AW4" i="14"/>
  <c r="AV4" i="14"/>
  <c r="AU4" i="14"/>
  <c r="AT4" i="14"/>
  <c r="AS4" i="14"/>
  <c r="AR4" i="14"/>
  <c r="AQ4" i="14"/>
  <c r="BS4" i="14" s="1"/>
  <c r="AP4" i="14"/>
  <c r="AO4" i="14"/>
  <c r="AN4" i="14"/>
  <c r="AM4" i="14"/>
  <c r="AL4" i="14"/>
  <c r="AK4" i="14"/>
  <c r="AJ4" i="14"/>
  <c r="AI4" i="14"/>
  <c r="AH4" i="14"/>
  <c r="AG4" i="14"/>
  <c r="BR4" i="14" s="1"/>
  <c r="AF4" i="14"/>
  <c r="AE4" i="14"/>
  <c r="AD4" i="14"/>
  <c r="AC4" i="14"/>
  <c r="AB4" i="14"/>
  <c r="AA4" i="14"/>
  <c r="Z4" i="14"/>
  <c r="Y4" i="14"/>
  <c r="X4" i="14"/>
  <c r="W4" i="14"/>
  <c r="BQ4" i="14" s="1"/>
  <c r="V4" i="14"/>
  <c r="U4" i="14"/>
  <c r="T4" i="14"/>
  <c r="S4" i="14"/>
  <c r="R4" i="14"/>
  <c r="Q4" i="14"/>
  <c r="P4" i="14"/>
  <c r="O4" i="14"/>
  <c r="N4" i="14"/>
  <c r="M4" i="14"/>
  <c r="BP4" i="14" s="1"/>
  <c r="L4" i="14"/>
  <c r="K4" i="14"/>
  <c r="J4" i="14"/>
  <c r="I4" i="14"/>
  <c r="H4" i="14"/>
  <c r="G4" i="14"/>
  <c r="F4" i="14"/>
  <c r="E4" i="14"/>
  <c r="D4" i="14"/>
  <c r="BO4" i="14" s="1"/>
  <c r="BK3" i="14"/>
  <c r="BU3" i="14" s="1"/>
  <c r="BJ3" i="14"/>
  <c r="BI3" i="14"/>
  <c r="BH3" i="14"/>
  <c r="BG3" i="14"/>
  <c r="BF3" i="14"/>
  <c r="BE3" i="14"/>
  <c r="BD3" i="14"/>
  <c r="BC3" i="14"/>
  <c r="BB3" i="14"/>
  <c r="BA3" i="14"/>
  <c r="BT3" i="14" s="1"/>
  <c r="AZ3" i="14"/>
  <c r="AY3" i="14"/>
  <c r="AX3" i="14"/>
  <c r="AW3" i="14"/>
  <c r="AV3" i="14"/>
  <c r="AU3" i="14"/>
  <c r="AT3" i="14"/>
  <c r="AS3" i="14"/>
  <c r="AR3" i="14"/>
  <c r="AQ3" i="14"/>
  <c r="BS3" i="14" s="1"/>
  <c r="AP3" i="14"/>
  <c r="AO3" i="14"/>
  <c r="AN3" i="14"/>
  <c r="AM3" i="14"/>
  <c r="AL3" i="14"/>
  <c r="AK3" i="14"/>
  <c r="AJ3" i="14"/>
  <c r="AI3" i="14"/>
  <c r="AH3" i="14"/>
  <c r="AG3" i="14"/>
  <c r="BR3" i="14" s="1"/>
  <c r="AF3" i="14"/>
  <c r="AE3" i="14"/>
  <c r="AD3" i="14"/>
  <c r="AC3" i="14"/>
  <c r="AB3" i="14"/>
  <c r="AA3" i="14"/>
  <c r="Z3" i="14"/>
  <c r="Y3" i="14"/>
  <c r="X3" i="14"/>
  <c r="W3" i="14"/>
  <c r="BQ3" i="14" s="1"/>
  <c r="V3" i="14"/>
  <c r="U3" i="14"/>
  <c r="T3" i="14"/>
  <c r="S3" i="14"/>
  <c r="R3" i="14"/>
  <c r="Q3" i="14"/>
  <c r="P3" i="14"/>
  <c r="O3" i="14"/>
  <c r="N3" i="14"/>
  <c r="M3" i="14"/>
  <c r="BP3" i="14" s="1"/>
  <c r="L3" i="14"/>
  <c r="K3" i="14"/>
  <c r="J3" i="14"/>
  <c r="I3" i="14"/>
  <c r="H3" i="14"/>
  <c r="G3" i="14"/>
  <c r="F3" i="14"/>
  <c r="E3" i="14"/>
  <c r="D3" i="14"/>
  <c r="BO3" i="14" s="1"/>
  <c r="BK2" i="14"/>
  <c r="BU2" i="14" s="1"/>
  <c r="BJ2" i="14"/>
  <c r="BI2" i="14"/>
  <c r="BH2" i="14"/>
  <c r="BG2" i="14"/>
  <c r="BF2" i="14"/>
  <c r="BE2" i="14"/>
  <c r="BD2" i="14"/>
  <c r="BC2" i="14"/>
  <c r="BB2" i="14"/>
  <c r="BA2" i="14"/>
  <c r="BT2" i="14" s="1"/>
  <c r="AZ2" i="14"/>
  <c r="AY2" i="14"/>
  <c r="AX2" i="14"/>
  <c r="AW2" i="14"/>
  <c r="AV2" i="14"/>
  <c r="AU2" i="14"/>
  <c r="AT2" i="14"/>
  <c r="AS2" i="14"/>
  <c r="AR2" i="14"/>
  <c r="AQ2" i="14"/>
  <c r="BS2" i="14" s="1"/>
  <c r="AP2" i="14"/>
  <c r="AO2" i="14"/>
  <c r="AN2" i="14"/>
  <c r="AM2" i="14"/>
  <c r="AL2" i="14"/>
  <c r="AK2" i="14"/>
  <c r="AJ2" i="14"/>
  <c r="AI2" i="14"/>
  <c r="AH2" i="14"/>
  <c r="AG2" i="14"/>
  <c r="BR2" i="14" s="1"/>
  <c r="AF2" i="14"/>
  <c r="AE2" i="14"/>
  <c r="AD2" i="14"/>
  <c r="AC2" i="14"/>
  <c r="AB2" i="14"/>
  <c r="AA2" i="14"/>
  <c r="Z2" i="14"/>
  <c r="Y2" i="14"/>
  <c r="X2" i="14"/>
  <c r="W2" i="14"/>
  <c r="BQ2" i="14" s="1"/>
  <c r="V2" i="14"/>
  <c r="U2" i="14"/>
  <c r="T2" i="14"/>
  <c r="S2" i="14"/>
  <c r="R2" i="14"/>
  <c r="Q2" i="14"/>
  <c r="P2" i="14"/>
  <c r="O2" i="14"/>
  <c r="N2" i="14"/>
  <c r="M2" i="14"/>
  <c r="BP2" i="14" s="1"/>
  <c r="L2" i="14"/>
  <c r="K2" i="14"/>
  <c r="J2" i="14"/>
  <c r="I2" i="14"/>
  <c r="H2" i="14"/>
  <c r="G2" i="14"/>
  <c r="F2" i="14"/>
  <c r="E2" i="14"/>
  <c r="D2" i="14"/>
  <c r="BO2" i="14" s="1"/>
  <c r="BK40" i="13"/>
  <c r="BU39" i="13" s="1"/>
  <c r="BJ40" i="13"/>
  <c r="BI40" i="13"/>
  <c r="BH40" i="13"/>
  <c r="BG40" i="13"/>
  <c r="BF40" i="13"/>
  <c r="BE40" i="13"/>
  <c r="BD40" i="13"/>
  <c r="BC40" i="13"/>
  <c r="BB40" i="13"/>
  <c r="BA40" i="13"/>
  <c r="BT39" i="13" s="1"/>
  <c r="AZ40" i="13"/>
  <c r="AY40" i="13"/>
  <c r="AX40" i="13"/>
  <c r="AW40" i="13"/>
  <c r="AV40" i="13"/>
  <c r="AU40" i="13"/>
  <c r="AT40" i="13"/>
  <c r="AS40" i="13"/>
  <c r="AR40" i="13"/>
  <c r="AQ40" i="13"/>
  <c r="BS39" i="13" s="1"/>
  <c r="AP40" i="13"/>
  <c r="AO40" i="13"/>
  <c r="AN40" i="13"/>
  <c r="AM40" i="13"/>
  <c r="AL40" i="13"/>
  <c r="AK40" i="13"/>
  <c r="AJ40" i="13"/>
  <c r="AI40" i="13"/>
  <c r="AH40" i="13"/>
  <c r="AG40" i="13"/>
  <c r="BR39" i="13" s="1"/>
  <c r="AF40" i="13"/>
  <c r="AE40" i="13"/>
  <c r="AD40" i="13"/>
  <c r="AC40" i="13"/>
  <c r="AB40" i="13"/>
  <c r="AA40" i="13"/>
  <c r="Z40" i="13"/>
  <c r="Y40" i="13"/>
  <c r="X40" i="13"/>
  <c r="W40" i="13"/>
  <c r="BQ39" i="13" s="1"/>
  <c r="V40" i="13"/>
  <c r="U40" i="13"/>
  <c r="T40" i="13"/>
  <c r="S40" i="13"/>
  <c r="R40" i="13"/>
  <c r="Q40" i="13"/>
  <c r="P40" i="13"/>
  <c r="O40" i="13"/>
  <c r="N40" i="13"/>
  <c r="M40" i="13"/>
  <c r="BP39" i="13" s="1"/>
  <c r="L40" i="13"/>
  <c r="K40" i="13"/>
  <c r="J40" i="13"/>
  <c r="I40" i="13"/>
  <c r="H40" i="13"/>
  <c r="G40" i="13"/>
  <c r="F40" i="13"/>
  <c r="E40" i="13"/>
  <c r="D40" i="13"/>
  <c r="BO39" i="13" s="1"/>
  <c r="BK39" i="13"/>
  <c r="BU38" i="13" s="1"/>
  <c r="BJ39" i="13"/>
  <c r="BI39" i="13"/>
  <c r="BH39" i="13"/>
  <c r="BG39" i="13"/>
  <c r="BF39" i="13"/>
  <c r="BE39" i="13"/>
  <c r="BD39" i="13"/>
  <c r="BC39" i="13"/>
  <c r="BB39" i="13"/>
  <c r="BA39" i="13"/>
  <c r="BT38" i="13" s="1"/>
  <c r="AZ39" i="13"/>
  <c r="AY39" i="13"/>
  <c r="AX39" i="13"/>
  <c r="AW39" i="13"/>
  <c r="AV39" i="13"/>
  <c r="AU39" i="13"/>
  <c r="AT39" i="13"/>
  <c r="AS39" i="13"/>
  <c r="AR39" i="13"/>
  <c r="AQ39" i="13"/>
  <c r="BS38" i="13" s="1"/>
  <c r="AP39" i="13"/>
  <c r="AO39" i="13"/>
  <c r="AN39" i="13"/>
  <c r="AM39" i="13"/>
  <c r="AL39" i="13"/>
  <c r="AK39" i="13"/>
  <c r="AJ39" i="13"/>
  <c r="AI39" i="13"/>
  <c r="AH39" i="13"/>
  <c r="AG39" i="13"/>
  <c r="BR38" i="13" s="1"/>
  <c r="AF39" i="13"/>
  <c r="AE39" i="13"/>
  <c r="AD39" i="13"/>
  <c r="AC39" i="13"/>
  <c r="AB39" i="13"/>
  <c r="AA39" i="13"/>
  <c r="Z39" i="13"/>
  <c r="Y39" i="13"/>
  <c r="X39" i="13"/>
  <c r="W39" i="13"/>
  <c r="BQ38" i="13" s="1"/>
  <c r="V39" i="13"/>
  <c r="U39" i="13"/>
  <c r="T39" i="13"/>
  <c r="S39" i="13"/>
  <c r="R39" i="13"/>
  <c r="Q39" i="13"/>
  <c r="P39" i="13"/>
  <c r="O39" i="13"/>
  <c r="N39" i="13"/>
  <c r="M39" i="13"/>
  <c r="BP38" i="13" s="1"/>
  <c r="L39" i="13"/>
  <c r="K39" i="13"/>
  <c r="J39" i="13"/>
  <c r="I39" i="13"/>
  <c r="H39" i="13"/>
  <c r="G39" i="13"/>
  <c r="F39" i="13"/>
  <c r="E39" i="13"/>
  <c r="D39" i="13"/>
  <c r="BO38" i="13" s="1"/>
  <c r="BK38" i="13"/>
  <c r="BU37" i="13" s="1"/>
  <c r="BJ38" i="13"/>
  <c r="BI38" i="13"/>
  <c r="BH38" i="13"/>
  <c r="BG38" i="13"/>
  <c r="BF38" i="13"/>
  <c r="BE38" i="13"/>
  <c r="BD38" i="13"/>
  <c r="BC38" i="13"/>
  <c r="BB38" i="13"/>
  <c r="BA38" i="13"/>
  <c r="BT37" i="13" s="1"/>
  <c r="AZ38" i="13"/>
  <c r="AY38" i="13"/>
  <c r="AX38" i="13"/>
  <c r="AW38" i="13"/>
  <c r="AV38" i="13"/>
  <c r="AU38" i="13"/>
  <c r="AT38" i="13"/>
  <c r="AS38" i="13"/>
  <c r="AR38" i="13"/>
  <c r="AQ38" i="13"/>
  <c r="BS37" i="13" s="1"/>
  <c r="AP38" i="13"/>
  <c r="AO38" i="13"/>
  <c r="AN38" i="13"/>
  <c r="AM38" i="13"/>
  <c r="AL38" i="13"/>
  <c r="AK38" i="13"/>
  <c r="AJ38" i="13"/>
  <c r="AI38" i="13"/>
  <c r="AH38" i="13"/>
  <c r="AG38" i="13"/>
  <c r="BR37" i="13" s="1"/>
  <c r="AF38" i="13"/>
  <c r="AE38" i="13"/>
  <c r="AD38" i="13"/>
  <c r="AC38" i="13"/>
  <c r="AB38" i="13"/>
  <c r="AA38" i="13"/>
  <c r="Z38" i="13"/>
  <c r="Y38" i="13"/>
  <c r="X38" i="13"/>
  <c r="W38" i="13"/>
  <c r="BQ37" i="13" s="1"/>
  <c r="V38" i="13"/>
  <c r="U38" i="13"/>
  <c r="T38" i="13"/>
  <c r="S38" i="13"/>
  <c r="R38" i="13"/>
  <c r="Q38" i="13"/>
  <c r="P38" i="13"/>
  <c r="O38" i="13"/>
  <c r="N38" i="13"/>
  <c r="M38" i="13"/>
  <c r="BP37" i="13" s="1"/>
  <c r="L38" i="13"/>
  <c r="K38" i="13"/>
  <c r="J38" i="13"/>
  <c r="I38" i="13"/>
  <c r="H38" i="13"/>
  <c r="G38" i="13"/>
  <c r="F38" i="13"/>
  <c r="E38" i="13"/>
  <c r="D38" i="13"/>
  <c r="BO37" i="13" s="1"/>
  <c r="BK37" i="13"/>
  <c r="BU36" i="13" s="1"/>
  <c r="BJ37" i="13"/>
  <c r="BI37" i="13"/>
  <c r="BH37" i="13"/>
  <c r="BG37" i="13"/>
  <c r="BF37" i="13"/>
  <c r="BE37" i="13"/>
  <c r="BD37" i="13"/>
  <c r="BC37" i="13"/>
  <c r="BB37" i="13"/>
  <c r="BA37" i="13"/>
  <c r="BT36" i="13" s="1"/>
  <c r="AZ37" i="13"/>
  <c r="AY37" i="13"/>
  <c r="AX37" i="13"/>
  <c r="AW37" i="13"/>
  <c r="AV37" i="13"/>
  <c r="AU37" i="13"/>
  <c r="AT37" i="13"/>
  <c r="AS37" i="13"/>
  <c r="AR37" i="13"/>
  <c r="AQ37" i="13"/>
  <c r="BS36" i="13" s="1"/>
  <c r="AP37" i="13"/>
  <c r="AO37" i="13"/>
  <c r="AN37" i="13"/>
  <c r="AM37" i="13"/>
  <c r="AL37" i="13"/>
  <c r="AK37" i="13"/>
  <c r="AJ37" i="13"/>
  <c r="AI37" i="13"/>
  <c r="AH37" i="13"/>
  <c r="AG37" i="13"/>
  <c r="BR36" i="13" s="1"/>
  <c r="AF37" i="13"/>
  <c r="AE37" i="13"/>
  <c r="AD37" i="13"/>
  <c r="AC37" i="13"/>
  <c r="AB37" i="13"/>
  <c r="AA37" i="13"/>
  <c r="Z37" i="13"/>
  <c r="Y37" i="13"/>
  <c r="X37" i="13"/>
  <c r="W37" i="13"/>
  <c r="BQ36" i="13" s="1"/>
  <c r="V37" i="13"/>
  <c r="U37" i="13"/>
  <c r="T37" i="13"/>
  <c r="S37" i="13"/>
  <c r="R37" i="13"/>
  <c r="Q37" i="13"/>
  <c r="P37" i="13"/>
  <c r="O37" i="13"/>
  <c r="N37" i="13"/>
  <c r="M37" i="13"/>
  <c r="BP36" i="13" s="1"/>
  <c r="L37" i="13"/>
  <c r="K37" i="13"/>
  <c r="J37" i="13"/>
  <c r="I37" i="13"/>
  <c r="H37" i="13"/>
  <c r="G37" i="13"/>
  <c r="F37" i="13"/>
  <c r="E37" i="13"/>
  <c r="D37" i="13"/>
  <c r="BO36" i="13" s="1"/>
  <c r="BK36" i="13"/>
  <c r="BU35" i="13" s="1"/>
  <c r="BJ36" i="13"/>
  <c r="BI36" i="13"/>
  <c r="BH36" i="13"/>
  <c r="BG36" i="13"/>
  <c r="BF36" i="13"/>
  <c r="BE36" i="13"/>
  <c r="BD36" i="13"/>
  <c r="BC36" i="13"/>
  <c r="BB36" i="13"/>
  <c r="BA36" i="13"/>
  <c r="BT35" i="13" s="1"/>
  <c r="AZ36" i="13"/>
  <c r="AY36" i="13"/>
  <c r="AX36" i="13"/>
  <c r="AW36" i="13"/>
  <c r="AV36" i="13"/>
  <c r="AU36" i="13"/>
  <c r="AT36" i="13"/>
  <c r="AS36" i="13"/>
  <c r="AR36" i="13"/>
  <c r="AQ36" i="13"/>
  <c r="BS35" i="13" s="1"/>
  <c r="AP36" i="13"/>
  <c r="AO36" i="13"/>
  <c r="AN36" i="13"/>
  <c r="AM36" i="13"/>
  <c r="AL36" i="13"/>
  <c r="AK36" i="13"/>
  <c r="AJ36" i="13"/>
  <c r="AI36" i="13"/>
  <c r="AH36" i="13"/>
  <c r="AG36" i="13"/>
  <c r="BR35" i="13" s="1"/>
  <c r="AF36" i="13"/>
  <c r="AE36" i="13"/>
  <c r="AD36" i="13"/>
  <c r="AC36" i="13"/>
  <c r="AB36" i="13"/>
  <c r="AA36" i="13"/>
  <c r="Z36" i="13"/>
  <c r="Y36" i="13"/>
  <c r="X36" i="13"/>
  <c r="W36" i="13"/>
  <c r="BQ35" i="13" s="1"/>
  <c r="V36" i="13"/>
  <c r="U36" i="13"/>
  <c r="T36" i="13"/>
  <c r="S36" i="13"/>
  <c r="R36" i="13"/>
  <c r="Q36" i="13"/>
  <c r="P36" i="13"/>
  <c r="O36" i="13"/>
  <c r="N36" i="13"/>
  <c r="M36" i="13"/>
  <c r="BP35" i="13" s="1"/>
  <c r="L36" i="13"/>
  <c r="K36" i="13"/>
  <c r="J36" i="13"/>
  <c r="I36" i="13"/>
  <c r="H36" i="13"/>
  <c r="G36" i="13"/>
  <c r="F36" i="13"/>
  <c r="E36" i="13"/>
  <c r="D36" i="13"/>
  <c r="BO35" i="13" s="1"/>
  <c r="BK35" i="13"/>
  <c r="BU34" i="13" s="1"/>
  <c r="BJ35" i="13"/>
  <c r="BI35" i="13"/>
  <c r="BH35" i="13"/>
  <c r="BG35" i="13"/>
  <c r="BF35" i="13"/>
  <c r="BE35" i="13"/>
  <c r="BD35" i="13"/>
  <c r="BC35" i="13"/>
  <c r="BB35" i="13"/>
  <c r="BA35" i="13"/>
  <c r="BT34" i="13" s="1"/>
  <c r="AZ35" i="13"/>
  <c r="AY35" i="13"/>
  <c r="AX35" i="13"/>
  <c r="AW35" i="13"/>
  <c r="AV35" i="13"/>
  <c r="AU35" i="13"/>
  <c r="AT35" i="13"/>
  <c r="AS35" i="13"/>
  <c r="AR35" i="13"/>
  <c r="AQ35" i="13"/>
  <c r="BS34" i="13" s="1"/>
  <c r="AP35" i="13"/>
  <c r="AO35" i="13"/>
  <c r="AN35" i="13"/>
  <c r="AM35" i="13"/>
  <c r="AL35" i="13"/>
  <c r="AK35" i="13"/>
  <c r="AJ35" i="13"/>
  <c r="AI35" i="13"/>
  <c r="AH35" i="13"/>
  <c r="AG35" i="13"/>
  <c r="BR34" i="13" s="1"/>
  <c r="AF35" i="13"/>
  <c r="AE35" i="13"/>
  <c r="AD35" i="13"/>
  <c r="AC35" i="13"/>
  <c r="AB35" i="13"/>
  <c r="AA35" i="13"/>
  <c r="Z35" i="13"/>
  <c r="Y35" i="13"/>
  <c r="X35" i="13"/>
  <c r="W35" i="13"/>
  <c r="BQ34" i="13" s="1"/>
  <c r="V35" i="13"/>
  <c r="U35" i="13"/>
  <c r="T35" i="13"/>
  <c r="S35" i="13"/>
  <c r="R35" i="13"/>
  <c r="Q35" i="13"/>
  <c r="P35" i="13"/>
  <c r="O35" i="13"/>
  <c r="N35" i="13"/>
  <c r="M35" i="13"/>
  <c r="BP34" i="13" s="1"/>
  <c r="L35" i="13"/>
  <c r="K35" i="13"/>
  <c r="J35" i="13"/>
  <c r="I35" i="13"/>
  <c r="H35" i="13"/>
  <c r="G35" i="13"/>
  <c r="F35" i="13"/>
  <c r="E35" i="13"/>
  <c r="D35" i="13"/>
  <c r="BO34" i="13" s="1"/>
  <c r="BK34" i="13"/>
  <c r="BU33" i="13" s="1"/>
  <c r="BJ34" i="13"/>
  <c r="BI34" i="13"/>
  <c r="BH34" i="13"/>
  <c r="BG34" i="13"/>
  <c r="BF34" i="13"/>
  <c r="BE34" i="13"/>
  <c r="BD34" i="13"/>
  <c r="BC34" i="13"/>
  <c r="BB34" i="13"/>
  <c r="BA34" i="13"/>
  <c r="BT33" i="13" s="1"/>
  <c r="AZ34" i="13"/>
  <c r="AY34" i="13"/>
  <c r="AX34" i="13"/>
  <c r="AW34" i="13"/>
  <c r="AV34" i="13"/>
  <c r="AU34" i="13"/>
  <c r="AT34" i="13"/>
  <c r="AS34" i="13"/>
  <c r="AR34" i="13"/>
  <c r="AQ34" i="13"/>
  <c r="BS33" i="13" s="1"/>
  <c r="AP34" i="13"/>
  <c r="AO34" i="13"/>
  <c r="AN34" i="13"/>
  <c r="AM34" i="13"/>
  <c r="AL34" i="13"/>
  <c r="AK34" i="13"/>
  <c r="AJ34" i="13"/>
  <c r="AI34" i="13"/>
  <c r="AH34" i="13"/>
  <c r="AG34" i="13"/>
  <c r="BR33" i="13" s="1"/>
  <c r="AF34" i="13"/>
  <c r="AE34" i="13"/>
  <c r="AD34" i="13"/>
  <c r="AC34" i="13"/>
  <c r="AB34" i="13"/>
  <c r="AA34" i="13"/>
  <c r="Z34" i="13"/>
  <c r="Y34" i="13"/>
  <c r="X34" i="13"/>
  <c r="W34" i="13"/>
  <c r="BQ33" i="13" s="1"/>
  <c r="V34" i="13"/>
  <c r="U34" i="13"/>
  <c r="T34" i="13"/>
  <c r="S34" i="13"/>
  <c r="R34" i="13"/>
  <c r="Q34" i="13"/>
  <c r="P34" i="13"/>
  <c r="O34" i="13"/>
  <c r="N34" i="13"/>
  <c r="M34" i="13"/>
  <c r="BP33" i="13" s="1"/>
  <c r="L34" i="13"/>
  <c r="K34" i="13"/>
  <c r="J34" i="13"/>
  <c r="I34" i="13"/>
  <c r="H34" i="13"/>
  <c r="G34" i="13"/>
  <c r="F34" i="13"/>
  <c r="E34" i="13"/>
  <c r="D34" i="13"/>
  <c r="BO33" i="13" s="1"/>
  <c r="BK32" i="13"/>
  <c r="BU32" i="13" s="1"/>
  <c r="BJ32" i="13"/>
  <c r="BI32" i="13"/>
  <c r="BH32" i="13"/>
  <c r="BG32" i="13"/>
  <c r="BF32" i="13"/>
  <c r="BE32" i="13"/>
  <c r="BD32" i="13"/>
  <c r="BC32" i="13"/>
  <c r="BB32" i="13"/>
  <c r="BA32" i="13"/>
  <c r="BT32" i="13" s="1"/>
  <c r="AZ32" i="13"/>
  <c r="AY32" i="13"/>
  <c r="AX32" i="13"/>
  <c r="AW32" i="13"/>
  <c r="AV32" i="13"/>
  <c r="AU32" i="13"/>
  <c r="AT32" i="13"/>
  <c r="AS32" i="13"/>
  <c r="AR32" i="13"/>
  <c r="AQ32" i="13"/>
  <c r="BS32" i="13" s="1"/>
  <c r="AP32" i="13"/>
  <c r="AO32" i="13"/>
  <c r="AN32" i="13"/>
  <c r="AM32" i="13"/>
  <c r="AL32" i="13"/>
  <c r="AK32" i="13"/>
  <c r="AJ32" i="13"/>
  <c r="AI32" i="13"/>
  <c r="AH32" i="13"/>
  <c r="AG32" i="13"/>
  <c r="BR32" i="13" s="1"/>
  <c r="AF32" i="13"/>
  <c r="AE32" i="13"/>
  <c r="AD32" i="13"/>
  <c r="AC32" i="13"/>
  <c r="AB32" i="13"/>
  <c r="AA32" i="13"/>
  <c r="Z32" i="13"/>
  <c r="Y32" i="13"/>
  <c r="X32" i="13"/>
  <c r="W32" i="13"/>
  <c r="BQ32" i="13" s="1"/>
  <c r="V32" i="13"/>
  <c r="U32" i="13"/>
  <c r="T32" i="13"/>
  <c r="S32" i="13"/>
  <c r="R32" i="13"/>
  <c r="Q32" i="13"/>
  <c r="P32" i="13"/>
  <c r="O32" i="13"/>
  <c r="N32" i="13"/>
  <c r="M32" i="13"/>
  <c r="BP32" i="13" s="1"/>
  <c r="L32" i="13"/>
  <c r="K32" i="13"/>
  <c r="J32" i="13"/>
  <c r="I32" i="13"/>
  <c r="H32" i="13"/>
  <c r="G32" i="13"/>
  <c r="F32" i="13"/>
  <c r="E32" i="13"/>
  <c r="D32" i="13"/>
  <c r="BO32" i="13" s="1"/>
  <c r="BK31" i="13"/>
  <c r="BU31" i="13" s="1"/>
  <c r="BJ31" i="13"/>
  <c r="BI31" i="13"/>
  <c r="BH31" i="13"/>
  <c r="BG31" i="13"/>
  <c r="BF31" i="13"/>
  <c r="BE31" i="13"/>
  <c r="BD31" i="13"/>
  <c r="BC31" i="13"/>
  <c r="BB31" i="13"/>
  <c r="BA31" i="13"/>
  <c r="BT31" i="13" s="1"/>
  <c r="AZ31" i="13"/>
  <c r="AY31" i="13"/>
  <c r="AX31" i="13"/>
  <c r="AW31" i="13"/>
  <c r="AV31" i="13"/>
  <c r="AU31" i="13"/>
  <c r="AT31" i="13"/>
  <c r="AS31" i="13"/>
  <c r="AR31" i="13"/>
  <c r="AQ31" i="13"/>
  <c r="BS31" i="13" s="1"/>
  <c r="AP31" i="13"/>
  <c r="AO31" i="13"/>
  <c r="AN31" i="13"/>
  <c r="AM31" i="13"/>
  <c r="AL31" i="13"/>
  <c r="AK31" i="13"/>
  <c r="AJ31" i="13"/>
  <c r="AI31" i="13"/>
  <c r="AH31" i="13"/>
  <c r="AG31" i="13"/>
  <c r="BR31" i="13" s="1"/>
  <c r="AF31" i="13"/>
  <c r="AE31" i="13"/>
  <c r="AD31" i="13"/>
  <c r="AC31" i="13"/>
  <c r="AB31" i="13"/>
  <c r="AA31" i="13"/>
  <c r="Z31" i="13"/>
  <c r="Y31" i="13"/>
  <c r="X31" i="13"/>
  <c r="W31" i="13"/>
  <c r="BQ31" i="13" s="1"/>
  <c r="V31" i="13"/>
  <c r="U31" i="13"/>
  <c r="T31" i="13"/>
  <c r="S31" i="13"/>
  <c r="R31" i="13"/>
  <c r="Q31" i="13"/>
  <c r="P31" i="13"/>
  <c r="O31" i="13"/>
  <c r="N31" i="13"/>
  <c r="M31" i="13"/>
  <c r="BP31" i="13" s="1"/>
  <c r="L31" i="13"/>
  <c r="K31" i="13"/>
  <c r="J31" i="13"/>
  <c r="I31" i="13"/>
  <c r="H31" i="13"/>
  <c r="G31" i="13"/>
  <c r="F31" i="13"/>
  <c r="E31" i="13"/>
  <c r="D31" i="13"/>
  <c r="BO31" i="13" s="1"/>
  <c r="BK30" i="13"/>
  <c r="BU30" i="13" s="1"/>
  <c r="BJ30" i="13"/>
  <c r="BI30" i="13"/>
  <c r="BH30" i="13"/>
  <c r="BG30" i="13"/>
  <c r="BF30" i="13"/>
  <c r="BE30" i="13"/>
  <c r="BD30" i="13"/>
  <c r="BC30" i="13"/>
  <c r="BB30" i="13"/>
  <c r="BA30" i="13"/>
  <c r="BT30" i="13" s="1"/>
  <c r="AZ30" i="13"/>
  <c r="AY30" i="13"/>
  <c r="AX30" i="13"/>
  <c r="AW30" i="13"/>
  <c r="AV30" i="13"/>
  <c r="AU30" i="13"/>
  <c r="AT30" i="13"/>
  <c r="AS30" i="13"/>
  <c r="AR30" i="13"/>
  <c r="AQ30" i="13"/>
  <c r="BS30" i="13" s="1"/>
  <c r="AP30" i="13"/>
  <c r="AO30" i="13"/>
  <c r="AN30" i="13"/>
  <c r="AM30" i="13"/>
  <c r="AL30" i="13"/>
  <c r="AK30" i="13"/>
  <c r="AJ30" i="13"/>
  <c r="AI30" i="13"/>
  <c r="AH30" i="13"/>
  <c r="AG30" i="13"/>
  <c r="BR30" i="13" s="1"/>
  <c r="AF30" i="13"/>
  <c r="AE30" i="13"/>
  <c r="AD30" i="13"/>
  <c r="AC30" i="13"/>
  <c r="AB30" i="13"/>
  <c r="AA30" i="13"/>
  <c r="Z30" i="13"/>
  <c r="Y30" i="13"/>
  <c r="X30" i="13"/>
  <c r="W30" i="13"/>
  <c r="BQ30" i="13" s="1"/>
  <c r="V30" i="13"/>
  <c r="U30" i="13"/>
  <c r="T30" i="13"/>
  <c r="S30" i="13"/>
  <c r="R30" i="13"/>
  <c r="Q30" i="13"/>
  <c r="P30" i="13"/>
  <c r="O30" i="13"/>
  <c r="N30" i="13"/>
  <c r="M30" i="13"/>
  <c r="BP30" i="13" s="1"/>
  <c r="L30" i="13"/>
  <c r="K30" i="13"/>
  <c r="J30" i="13"/>
  <c r="I30" i="13"/>
  <c r="H30" i="13"/>
  <c r="G30" i="13"/>
  <c r="F30" i="13"/>
  <c r="E30" i="13"/>
  <c r="D30" i="13"/>
  <c r="BO30" i="13" s="1"/>
  <c r="BK29" i="13"/>
  <c r="BU29" i="13" s="1"/>
  <c r="BJ29" i="13"/>
  <c r="BI29" i="13"/>
  <c r="BH29" i="13"/>
  <c r="BG29" i="13"/>
  <c r="BF29" i="13"/>
  <c r="BE29" i="13"/>
  <c r="BD29" i="13"/>
  <c r="BC29" i="13"/>
  <c r="BB29" i="13"/>
  <c r="BA29" i="13"/>
  <c r="BT29" i="13" s="1"/>
  <c r="AZ29" i="13"/>
  <c r="AY29" i="13"/>
  <c r="AX29" i="13"/>
  <c r="AW29" i="13"/>
  <c r="AV29" i="13"/>
  <c r="AU29" i="13"/>
  <c r="AT29" i="13"/>
  <c r="AS29" i="13"/>
  <c r="AR29" i="13"/>
  <c r="AQ29" i="13"/>
  <c r="BS29" i="13" s="1"/>
  <c r="AP29" i="13"/>
  <c r="AO29" i="13"/>
  <c r="AN29" i="13"/>
  <c r="AM29" i="13"/>
  <c r="AL29" i="13"/>
  <c r="AK29" i="13"/>
  <c r="AJ29" i="13"/>
  <c r="AI29" i="13"/>
  <c r="AH29" i="13"/>
  <c r="AG29" i="13"/>
  <c r="BR29" i="13" s="1"/>
  <c r="AF29" i="13"/>
  <c r="AE29" i="13"/>
  <c r="AD29" i="13"/>
  <c r="AC29" i="13"/>
  <c r="AB29" i="13"/>
  <c r="AA29" i="13"/>
  <c r="Z29" i="13"/>
  <c r="Y29" i="13"/>
  <c r="X29" i="13"/>
  <c r="W29" i="13"/>
  <c r="BQ29" i="13" s="1"/>
  <c r="V29" i="13"/>
  <c r="U29" i="13"/>
  <c r="T29" i="13"/>
  <c r="S29" i="13"/>
  <c r="R29" i="13"/>
  <c r="Q29" i="13"/>
  <c r="P29" i="13"/>
  <c r="O29" i="13"/>
  <c r="N29" i="13"/>
  <c r="M29" i="13"/>
  <c r="BP29" i="13" s="1"/>
  <c r="L29" i="13"/>
  <c r="K29" i="13"/>
  <c r="J29" i="13"/>
  <c r="I29" i="13"/>
  <c r="H29" i="13"/>
  <c r="G29" i="13"/>
  <c r="F29" i="13"/>
  <c r="E29" i="13"/>
  <c r="D29" i="13"/>
  <c r="BO29" i="13" s="1"/>
  <c r="BK28" i="13"/>
  <c r="BU28" i="13" s="1"/>
  <c r="BJ28" i="13"/>
  <c r="BI28" i="13"/>
  <c r="BH28" i="13"/>
  <c r="BG28" i="13"/>
  <c r="BF28" i="13"/>
  <c r="BE28" i="13"/>
  <c r="BD28" i="13"/>
  <c r="BC28" i="13"/>
  <c r="BB28" i="13"/>
  <c r="BA28" i="13"/>
  <c r="BT28" i="13" s="1"/>
  <c r="AZ28" i="13"/>
  <c r="AY28" i="13"/>
  <c r="AX28" i="13"/>
  <c r="AW28" i="13"/>
  <c r="AV28" i="13"/>
  <c r="AU28" i="13"/>
  <c r="AT28" i="13"/>
  <c r="AS28" i="13"/>
  <c r="AR28" i="13"/>
  <c r="AQ28" i="13"/>
  <c r="BS28" i="13" s="1"/>
  <c r="AP28" i="13"/>
  <c r="AO28" i="13"/>
  <c r="AN28" i="13"/>
  <c r="AM28" i="13"/>
  <c r="AL28" i="13"/>
  <c r="AK28" i="13"/>
  <c r="AJ28" i="13"/>
  <c r="AI28" i="13"/>
  <c r="AH28" i="13"/>
  <c r="AG28" i="13"/>
  <c r="BR28" i="13" s="1"/>
  <c r="AF28" i="13"/>
  <c r="AE28" i="13"/>
  <c r="AD28" i="13"/>
  <c r="AC28" i="13"/>
  <c r="AB28" i="13"/>
  <c r="AA28" i="13"/>
  <c r="Z28" i="13"/>
  <c r="Y28" i="13"/>
  <c r="X28" i="13"/>
  <c r="W28" i="13"/>
  <c r="BQ28" i="13" s="1"/>
  <c r="V28" i="13"/>
  <c r="U28" i="13"/>
  <c r="T28" i="13"/>
  <c r="S28" i="13"/>
  <c r="R28" i="13"/>
  <c r="Q28" i="13"/>
  <c r="P28" i="13"/>
  <c r="O28" i="13"/>
  <c r="N28" i="13"/>
  <c r="M28" i="13"/>
  <c r="BP28" i="13" s="1"/>
  <c r="L28" i="13"/>
  <c r="K28" i="13"/>
  <c r="J28" i="13"/>
  <c r="I28" i="13"/>
  <c r="H28" i="13"/>
  <c r="G28" i="13"/>
  <c r="F28" i="13"/>
  <c r="E28" i="13"/>
  <c r="D28" i="13"/>
  <c r="BO28" i="13" s="1"/>
  <c r="BK27" i="13"/>
  <c r="BU27" i="13" s="1"/>
  <c r="BJ27" i="13"/>
  <c r="BI27" i="13"/>
  <c r="BH27" i="13"/>
  <c r="BG27" i="13"/>
  <c r="BF27" i="13"/>
  <c r="BE27" i="13"/>
  <c r="BD27" i="13"/>
  <c r="BC27" i="13"/>
  <c r="BB27" i="13"/>
  <c r="BA27" i="13"/>
  <c r="BT27" i="13" s="1"/>
  <c r="AZ27" i="13"/>
  <c r="AY27" i="13"/>
  <c r="AX27" i="13"/>
  <c r="AW27" i="13"/>
  <c r="AV27" i="13"/>
  <c r="AU27" i="13"/>
  <c r="AT27" i="13"/>
  <c r="AS27" i="13"/>
  <c r="AR27" i="13"/>
  <c r="AQ27" i="13"/>
  <c r="BS27" i="13" s="1"/>
  <c r="AP27" i="13"/>
  <c r="AO27" i="13"/>
  <c r="AN27" i="13"/>
  <c r="AM27" i="13"/>
  <c r="AL27" i="13"/>
  <c r="AK27" i="13"/>
  <c r="AJ27" i="13"/>
  <c r="AI27" i="13"/>
  <c r="AH27" i="13"/>
  <c r="AG27" i="13"/>
  <c r="BR27" i="13" s="1"/>
  <c r="AF27" i="13"/>
  <c r="AE27" i="13"/>
  <c r="AD27" i="13"/>
  <c r="AC27" i="13"/>
  <c r="AB27" i="13"/>
  <c r="AA27" i="13"/>
  <c r="Z27" i="13"/>
  <c r="Y27" i="13"/>
  <c r="X27" i="13"/>
  <c r="W27" i="13"/>
  <c r="BQ27" i="13" s="1"/>
  <c r="V27" i="13"/>
  <c r="U27" i="13"/>
  <c r="T27" i="13"/>
  <c r="S27" i="13"/>
  <c r="R27" i="13"/>
  <c r="Q27" i="13"/>
  <c r="P27" i="13"/>
  <c r="O27" i="13"/>
  <c r="N27" i="13"/>
  <c r="M27" i="13"/>
  <c r="BP27" i="13" s="1"/>
  <c r="L27" i="13"/>
  <c r="K27" i="13"/>
  <c r="J27" i="13"/>
  <c r="I27" i="13"/>
  <c r="H27" i="13"/>
  <c r="G27" i="13"/>
  <c r="F27" i="13"/>
  <c r="E27" i="13"/>
  <c r="D27" i="13"/>
  <c r="BO27" i="13" s="1"/>
  <c r="BK26" i="13"/>
  <c r="BU26" i="13" s="1"/>
  <c r="BJ26" i="13"/>
  <c r="BI26" i="13"/>
  <c r="BH26" i="13"/>
  <c r="BG26" i="13"/>
  <c r="BF26" i="13"/>
  <c r="BE26" i="13"/>
  <c r="BD26" i="13"/>
  <c r="BC26" i="13"/>
  <c r="BB26" i="13"/>
  <c r="BA26" i="13"/>
  <c r="BT26" i="13" s="1"/>
  <c r="AZ26" i="13"/>
  <c r="AY26" i="13"/>
  <c r="AX26" i="13"/>
  <c r="AW26" i="13"/>
  <c r="AV26" i="13"/>
  <c r="AU26" i="13"/>
  <c r="AT26" i="13"/>
  <c r="AS26" i="13"/>
  <c r="AR26" i="13"/>
  <c r="AQ26" i="13"/>
  <c r="BS26" i="13" s="1"/>
  <c r="AP26" i="13"/>
  <c r="AO26" i="13"/>
  <c r="AN26" i="13"/>
  <c r="AM26" i="13"/>
  <c r="AL26" i="13"/>
  <c r="AK26" i="13"/>
  <c r="AJ26" i="13"/>
  <c r="AI26" i="13"/>
  <c r="AH26" i="13"/>
  <c r="AG26" i="13"/>
  <c r="BR26" i="13" s="1"/>
  <c r="AF26" i="13"/>
  <c r="AE26" i="13"/>
  <c r="AD26" i="13"/>
  <c r="AC26" i="13"/>
  <c r="AB26" i="13"/>
  <c r="AA26" i="13"/>
  <c r="Z26" i="13"/>
  <c r="Y26" i="13"/>
  <c r="X26" i="13"/>
  <c r="W26" i="13"/>
  <c r="BQ26" i="13" s="1"/>
  <c r="V26" i="13"/>
  <c r="U26" i="13"/>
  <c r="T26" i="13"/>
  <c r="S26" i="13"/>
  <c r="R26" i="13"/>
  <c r="Q26" i="13"/>
  <c r="P26" i="13"/>
  <c r="O26" i="13"/>
  <c r="N26" i="13"/>
  <c r="M26" i="13"/>
  <c r="BP26" i="13" s="1"/>
  <c r="L26" i="13"/>
  <c r="K26" i="13"/>
  <c r="J26" i="13"/>
  <c r="I26" i="13"/>
  <c r="H26" i="13"/>
  <c r="G26" i="13"/>
  <c r="F26" i="13"/>
  <c r="E26" i="13"/>
  <c r="D26" i="13"/>
  <c r="BO26" i="13" s="1"/>
  <c r="BK24" i="13"/>
  <c r="BU23" i="13" s="1"/>
  <c r="BJ24" i="13"/>
  <c r="BI24" i="13"/>
  <c r="BH24" i="13"/>
  <c r="BG24" i="13"/>
  <c r="BF24" i="13"/>
  <c r="BE24" i="13"/>
  <c r="BD24" i="13"/>
  <c r="BC24" i="13"/>
  <c r="BB24" i="13"/>
  <c r="BA24" i="13"/>
  <c r="BT23" i="13" s="1"/>
  <c r="AZ24" i="13"/>
  <c r="AY24" i="13"/>
  <c r="AX24" i="13"/>
  <c r="AW24" i="13"/>
  <c r="AV24" i="13"/>
  <c r="AU24" i="13"/>
  <c r="AT24" i="13"/>
  <c r="AS24" i="13"/>
  <c r="AR24" i="13"/>
  <c r="AQ24" i="13"/>
  <c r="BS23" i="13" s="1"/>
  <c r="AP24" i="13"/>
  <c r="AO24" i="13"/>
  <c r="AN24" i="13"/>
  <c r="AM24" i="13"/>
  <c r="AL24" i="13"/>
  <c r="AK24" i="13"/>
  <c r="AJ24" i="13"/>
  <c r="AI24" i="13"/>
  <c r="AH24" i="13"/>
  <c r="AG24" i="13"/>
  <c r="BR23" i="13" s="1"/>
  <c r="AF24" i="13"/>
  <c r="AE24" i="13"/>
  <c r="AD24" i="13"/>
  <c r="AC24" i="13"/>
  <c r="AB24" i="13"/>
  <c r="AA24" i="13"/>
  <c r="Z24" i="13"/>
  <c r="Y24" i="13"/>
  <c r="X24" i="13"/>
  <c r="W24" i="13"/>
  <c r="BQ23" i="13" s="1"/>
  <c r="V24" i="13"/>
  <c r="U24" i="13"/>
  <c r="T24" i="13"/>
  <c r="S24" i="13"/>
  <c r="R24" i="13"/>
  <c r="Q24" i="13"/>
  <c r="P24" i="13"/>
  <c r="O24" i="13"/>
  <c r="N24" i="13"/>
  <c r="M24" i="13"/>
  <c r="BP23" i="13" s="1"/>
  <c r="L24" i="13"/>
  <c r="K24" i="13"/>
  <c r="J24" i="13"/>
  <c r="I24" i="13"/>
  <c r="H24" i="13"/>
  <c r="G24" i="13"/>
  <c r="F24" i="13"/>
  <c r="E24" i="13"/>
  <c r="D24" i="13"/>
  <c r="BO23" i="13" s="1"/>
  <c r="BK23" i="13"/>
  <c r="BU22" i="13" s="1"/>
  <c r="BJ23" i="13"/>
  <c r="BI23" i="13"/>
  <c r="BH23" i="13"/>
  <c r="BG23" i="13"/>
  <c r="BF23" i="13"/>
  <c r="BE23" i="13"/>
  <c r="BD23" i="13"/>
  <c r="BC23" i="13"/>
  <c r="BB23" i="13"/>
  <c r="BA23" i="13"/>
  <c r="BT22" i="13" s="1"/>
  <c r="AZ23" i="13"/>
  <c r="AY23" i="13"/>
  <c r="AX23" i="13"/>
  <c r="AW23" i="13"/>
  <c r="AV23" i="13"/>
  <c r="AU23" i="13"/>
  <c r="AT23" i="13"/>
  <c r="AS23" i="13"/>
  <c r="AR23" i="13"/>
  <c r="AQ23" i="13"/>
  <c r="BS22" i="13" s="1"/>
  <c r="AP23" i="13"/>
  <c r="AO23" i="13"/>
  <c r="AN23" i="13"/>
  <c r="AM23" i="13"/>
  <c r="AL23" i="13"/>
  <c r="AK23" i="13"/>
  <c r="AJ23" i="13"/>
  <c r="AI23" i="13"/>
  <c r="AH23" i="13"/>
  <c r="AG23" i="13"/>
  <c r="BR22" i="13" s="1"/>
  <c r="AF23" i="13"/>
  <c r="AE23" i="13"/>
  <c r="AD23" i="13"/>
  <c r="AC23" i="13"/>
  <c r="AB23" i="13"/>
  <c r="AA23" i="13"/>
  <c r="Z23" i="13"/>
  <c r="Y23" i="13"/>
  <c r="X23" i="13"/>
  <c r="W23" i="13"/>
  <c r="BQ22" i="13" s="1"/>
  <c r="V23" i="13"/>
  <c r="U23" i="13"/>
  <c r="T23" i="13"/>
  <c r="S23" i="13"/>
  <c r="R23" i="13"/>
  <c r="Q23" i="13"/>
  <c r="P23" i="13"/>
  <c r="O23" i="13"/>
  <c r="N23" i="13"/>
  <c r="M23" i="13"/>
  <c r="BP22" i="13" s="1"/>
  <c r="L23" i="13"/>
  <c r="K23" i="13"/>
  <c r="J23" i="13"/>
  <c r="I23" i="13"/>
  <c r="H23" i="13"/>
  <c r="G23" i="13"/>
  <c r="F23" i="13"/>
  <c r="E23" i="13"/>
  <c r="D23" i="13"/>
  <c r="BO22" i="13" s="1"/>
  <c r="BK22" i="13"/>
  <c r="BU21" i="13" s="1"/>
  <c r="BJ22" i="13"/>
  <c r="BI22" i="13"/>
  <c r="BH22" i="13"/>
  <c r="BG22" i="13"/>
  <c r="BF22" i="13"/>
  <c r="BE22" i="13"/>
  <c r="BD22" i="13"/>
  <c r="BC22" i="13"/>
  <c r="BB22" i="13"/>
  <c r="BA22" i="13"/>
  <c r="BT21" i="13" s="1"/>
  <c r="AZ22" i="13"/>
  <c r="AY22" i="13"/>
  <c r="AX22" i="13"/>
  <c r="AW22" i="13"/>
  <c r="AV22" i="13"/>
  <c r="AU22" i="13"/>
  <c r="AT22" i="13"/>
  <c r="AS22" i="13"/>
  <c r="AR22" i="13"/>
  <c r="AQ22" i="13"/>
  <c r="BS21" i="13" s="1"/>
  <c r="AP22" i="13"/>
  <c r="AO22" i="13"/>
  <c r="AN22" i="13"/>
  <c r="AM22" i="13"/>
  <c r="AL22" i="13"/>
  <c r="AK22" i="13"/>
  <c r="AJ22" i="13"/>
  <c r="AI22" i="13"/>
  <c r="AH22" i="13"/>
  <c r="AG22" i="13"/>
  <c r="BR21" i="13" s="1"/>
  <c r="AF22" i="13"/>
  <c r="AE22" i="13"/>
  <c r="AD22" i="13"/>
  <c r="AC22" i="13"/>
  <c r="AB22" i="13"/>
  <c r="AA22" i="13"/>
  <c r="Z22" i="13"/>
  <c r="Y22" i="13"/>
  <c r="X22" i="13"/>
  <c r="W22" i="13"/>
  <c r="BQ21" i="13" s="1"/>
  <c r="V22" i="13"/>
  <c r="U22" i="13"/>
  <c r="T22" i="13"/>
  <c r="S22" i="13"/>
  <c r="R22" i="13"/>
  <c r="Q22" i="13"/>
  <c r="P22" i="13"/>
  <c r="O22" i="13"/>
  <c r="N22" i="13"/>
  <c r="M22" i="13"/>
  <c r="BP21" i="13" s="1"/>
  <c r="L22" i="13"/>
  <c r="K22" i="13"/>
  <c r="J22" i="13"/>
  <c r="I22" i="13"/>
  <c r="H22" i="13"/>
  <c r="G22" i="13"/>
  <c r="F22" i="13"/>
  <c r="E22" i="13"/>
  <c r="D22" i="13"/>
  <c r="BO21" i="13" s="1"/>
  <c r="BK21" i="13"/>
  <c r="BU20" i="13" s="1"/>
  <c r="BJ21" i="13"/>
  <c r="BI21" i="13"/>
  <c r="BH21" i="13"/>
  <c r="BG21" i="13"/>
  <c r="BF21" i="13"/>
  <c r="BE21" i="13"/>
  <c r="BD21" i="13"/>
  <c r="BC21" i="13"/>
  <c r="BB21" i="13"/>
  <c r="BA21" i="13"/>
  <c r="BT20" i="13" s="1"/>
  <c r="AZ21" i="13"/>
  <c r="AY21" i="13"/>
  <c r="AX21" i="13"/>
  <c r="AW21" i="13"/>
  <c r="AV21" i="13"/>
  <c r="AU21" i="13"/>
  <c r="AT21" i="13"/>
  <c r="AS21" i="13"/>
  <c r="AR21" i="13"/>
  <c r="AQ21" i="13"/>
  <c r="BS20" i="13" s="1"/>
  <c r="AP21" i="13"/>
  <c r="AO21" i="13"/>
  <c r="AN21" i="13"/>
  <c r="AM21" i="13"/>
  <c r="AL21" i="13"/>
  <c r="AK21" i="13"/>
  <c r="AJ21" i="13"/>
  <c r="AI21" i="13"/>
  <c r="AH21" i="13"/>
  <c r="AG21" i="13"/>
  <c r="BR20" i="13" s="1"/>
  <c r="AF21" i="13"/>
  <c r="AE21" i="13"/>
  <c r="AD21" i="13"/>
  <c r="AC21" i="13"/>
  <c r="AB21" i="13"/>
  <c r="AA21" i="13"/>
  <c r="Z21" i="13"/>
  <c r="Y21" i="13"/>
  <c r="X21" i="13"/>
  <c r="W21" i="13"/>
  <c r="BQ20" i="13" s="1"/>
  <c r="V21" i="13"/>
  <c r="U21" i="13"/>
  <c r="T21" i="13"/>
  <c r="S21" i="13"/>
  <c r="R21" i="13"/>
  <c r="Q21" i="13"/>
  <c r="P21" i="13"/>
  <c r="O21" i="13"/>
  <c r="N21" i="13"/>
  <c r="M21" i="13"/>
  <c r="BP20" i="13" s="1"/>
  <c r="L21" i="13"/>
  <c r="K21" i="13"/>
  <c r="J21" i="13"/>
  <c r="I21" i="13"/>
  <c r="H21" i="13"/>
  <c r="G21" i="13"/>
  <c r="F21" i="13"/>
  <c r="E21" i="13"/>
  <c r="D21" i="13"/>
  <c r="BO20" i="13" s="1"/>
  <c r="BK20" i="13"/>
  <c r="BU19" i="13" s="1"/>
  <c r="BJ20" i="13"/>
  <c r="BI20" i="13"/>
  <c r="BH20" i="13"/>
  <c r="BG20" i="13"/>
  <c r="BF20" i="13"/>
  <c r="BE20" i="13"/>
  <c r="BD20" i="13"/>
  <c r="BC20" i="13"/>
  <c r="BB20" i="13"/>
  <c r="BA20" i="13"/>
  <c r="BT19" i="13" s="1"/>
  <c r="AZ20" i="13"/>
  <c r="AY20" i="13"/>
  <c r="AX20" i="13"/>
  <c r="AW20" i="13"/>
  <c r="AV20" i="13"/>
  <c r="AU20" i="13"/>
  <c r="AT20" i="13"/>
  <c r="AS20" i="13"/>
  <c r="AR20" i="13"/>
  <c r="AQ20" i="13"/>
  <c r="BS19" i="13" s="1"/>
  <c r="AP20" i="13"/>
  <c r="AO20" i="13"/>
  <c r="AN20" i="13"/>
  <c r="AM20" i="13"/>
  <c r="AL20" i="13"/>
  <c r="AK20" i="13"/>
  <c r="AJ20" i="13"/>
  <c r="AI20" i="13"/>
  <c r="AH20" i="13"/>
  <c r="AG20" i="13"/>
  <c r="BR19" i="13" s="1"/>
  <c r="AF20" i="13"/>
  <c r="AE20" i="13"/>
  <c r="AD20" i="13"/>
  <c r="AC20" i="13"/>
  <c r="AB20" i="13"/>
  <c r="AA20" i="13"/>
  <c r="Z20" i="13"/>
  <c r="Y20" i="13"/>
  <c r="X20" i="13"/>
  <c r="W20" i="13"/>
  <c r="BQ19" i="13" s="1"/>
  <c r="V20" i="13"/>
  <c r="U20" i="13"/>
  <c r="T20" i="13"/>
  <c r="S20" i="13"/>
  <c r="R20" i="13"/>
  <c r="Q20" i="13"/>
  <c r="P20" i="13"/>
  <c r="O20" i="13"/>
  <c r="N20" i="13"/>
  <c r="M20" i="13"/>
  <c r="BP19" i="13" s="1"/>
  <c r="L20" i="13"/>
  <c r="K20" i="13"/>
  <c r="J20" i="13"/>
  <c r="I20" i="13"/>
  <c r="H20" i="13"/>
  <c r="G20" i="13"/>
  <c r="F20" i="13"/>
  <c r="E20" i="13"/>
  <c r="D20" i="13"/>
  <c r="BO19" i="13" s="1"/>
  <c r="BK19" i="13"/>
  <c r="BU18" i="13" s="1"/>
  <c r="BJ19" i="13"/>
  <c r="BI19" i="13"/>
  <c r="BH19" i="13"/>
  <c r="BG19" i="13"/>
  <c r="BF19" i="13"/>
  <c r="BE19" i="13"/>
  <c r="BD19" i="13"/>
  <c r="BC19" i="13"/>
  <c r="BB19" i="13"/>
  <c r="BA19" i="13"/>
  <c r="BT18" i="13" s="1"/>
  <c r="AZ19" i="13"/>
  <c r="AY19" i="13"/>
  <c r="AX19" i="13"/>
  <c r="AW19" i="13"/>
  <c r="AV19" i="13"/>
  <c r="AU19" i="13"/>
  <c r="AT19" i="13"/>
  <c r="AS19" i="13"/>
  <c r="AR19" i="13"/>
  <c r="AQ19" i="13"/>
  <c r="BS18" i="13" s="1"/>
  <c r="AP19" i="13"/>
  <c r="AO19" i="13"/>
  <c r="AN19" i="13"/>
  <c r="AM19" i="13"/>
  <c r="AL19" i="13"/>
  <c r="AK19" i="13"/>
  <c r="AJ19" i="13"/>
  <c r="AI19" i="13"/>
  <c r="AH19" i="13"/>
  <c r="AG19" i="13"/>
  <c r="BR18" i="13" s="1"/>
  <c r="AF19" i="13"/>
  <c r="AE19" i="13"/>
  <c r="AD19" i="13"/>
  <c r="AC19" i="13"/>
  <c r="AB19" i="13"/>
  <c r="AA19" i="13"/>
  <c r="Z19" i="13"/>
  <c r="Y19" i="13"/>
  <c r="X19" i="13"/>
  <c r="W19" i="13"/>
  <c r="BQ18" i="13" s="1"/>
  <c r="V19" i="13"/>
  <c r="U19" i="13"/>
  <c r="T19" i="13"/>
  <c r="S19" i="13"/>
  <c r="R19" i="13"/>
  <c r="Q19" i="13"/>
  <c r="P19" i="13"/>
  <c r="O19" i="13"/>
  <c r="N19" i="13"/>
  <c r="M19" i="13"/>
  <c r="BP18" i="13" s="1"/>
  <c r="L19" i="13"/>
  <c r="K19" i="13"/>
  <c r="J19" i="13"/>
  <c r="I19" i="13"/>
  <c r="H19" i="13"/>
  <c r="G19" i="13"/>
  <c r="F19" i="13"/>
  <c r="E19" i="13"/>
  <c r="D19" i="13"/>
  <c r="BO18" i="13" s="1"/>
  <c r="BK18" i="13"/>
  <c r="BU17" i="13" s="1"/>
  <c r="BJ18" i="13"/>
  <c r="BI18" i="13"/>
  <c r="BH18" i="13"/>
  <c r="BG18" i="13"/>
  <c r="BF18" i="13"/>
  <c r="BE18" i="13"/>
  <c r="BD18" i="13"/>
  <c r="BC18" i="13"/>
  <c r="BB18" i="13"/>
  <c r="BA18" i="13"/>
  <c r="BT17" i="13" s="1"/>
  <c r="AZ18" i="13"/>
  <c r="AY18" i="13"/>
  <c r="AX18" i="13"/>
  <c r="AW18" i="13"/>
  <c r="AV18" i="13"/>
  <c r="AU18" i="13"/>
  <c r="AT18" i="13"/>
  <c r="AS18" i="13"/>
  <c r="AR18" i="13"/>
  <c r="AQ18" i="13"/>
  <c r="BS17" i="13" s="1"/>
  <c r="AP18" i="13"/>
  <c r="AO18" i="13"/>
  <c r="AN18" i="13"/>
  <c r="AM18" i="13"/>
  <c r="AL18" i="13"/>
  <c r="AK18" i="13"/>
  <c r="AJ18" i="13"/>
  <c r="AI18" i="13"/>
  <c r="AH18" i="13"/>
  <c r="AG18" i="13"/>
  <c r="BR17" i="13" s="1"/>
  <c r="AF18" i="13"/>
  <c r="AE18" i="13"/>
  <c r="AD18" i="13"/>
  <c r="AC18" i="13"/>
  <c r="AB18" i="13"/>
  <c r="AA18" i="13"/>
  <c r="Z18" i="13"/>
  <c r="Y18" i="13"/>
  <c r="X18" i="13"/>
  <c r="W18" i="13"/>
  <c r="BQ17" i="13" s="1"/>
  <c r="V18" i="13"/>
  <c r="U18" i="13"/>
  <c r="T18" i="13"/>
  <c r="S18" i="13"/>
  <c r="R18" i="13"/>
  <c r="Q18" i="13"/>
  <c r="P18" i="13"/>
  <c r="O18" i="13"/>
  <c r="N18" i="13"/>
  <c r="M18" i="13"/>
  <c r="BP17" i="13" s="1"/>
  <c r="L18" i="13"/>
  <c r="K18" i="13"/>
  <c r="J18" i="13"/>
  <c r="I18" i="13"/>
  <c r="H18" i="13"/>
  <c r="G18" i="13"/>
  <c r="F18" i="13"/>
  <c r="E18" i="13"/>
  <c r="D18" i="13"/>
  <c r="BO17" i="13" s="1"/>
  <c r="BK17" i="13"/>
  <c r="BU16" i="13" s="1"/>
  <c r="BJ17" i="13"/>
  <c r="BI17" i="13"/>
  <c r="BH17" i="13"/>
  <c r="BG17" i="13"/>
  <c r="BF17" i="13"/>
  <c r="BE17" i="13"/>
  <c r="BD17" i="13"/>
  <c r="BC17" i="13"/>
  <c r="BB17" i="13"/>
  <c r="BA17" i="13"/>
  <c r="BT16" i="13" s="1"/>
  <c r="AZ17" i="13"/>
  <c r="AY17" i="13"/>
  <c r="AX17" i="13"/>
  <c r="AW17" i="13"/>
  <c r="AV17" i="13"/>
  <c r="AU17" i="13"/>
  <c r="AT17" i="13"/>
  <c r="AS17" i="13"/>
  <c r="AR17" i="13"/>
  <c r="AQ17" i="13"/>
  <c r="BS16" i="13" s="1"/>
  <c r="AP17" i="13"/>
  <c r="AO17" i="13"/>
  <c r="AN17" i="13"/>
  <c r="AM17" i="13"/>
  <c r="AL17" i="13"/>
  <c r="AK17" i="13"/>
  <c r="AJ17" i="13"/>
  <c r="AI17" i="13"/>
  <c r="AH17" i="13"/>
  <c r="AG17" i="13"/>
  <c r="BR16" i="13" s="1"/>
  <c r="AF17" i="13"/>
  <c r="AE17" i="13"/>
  <c r="AD17" i="13"/>
  <c r="AC17" i="13"/>
  <c r="AB17" i="13"/>
  <c r="AA17" i="13"/>
  <c r="Z17" i="13"/>
  <c r="Y17" i="13"/>
  <c r="X17" i="13"/>
  <c r="W17" i="13"/>
  <c r="BQ16" i="13" s="1"/>
  <c r="V17" i="13"/>
  <c r="U17" i="13"/>
  <c r="T17" i="13"/>
  <c r="S17" i="13"/>
  <c r="R17" i="13"/>
  <c r="Q17" i="13"/>
  <c r="P17" i="13"/>
  <c r="O17" i="13"/>
  <c r="N17" i="13"/>
  <c r="M17" i="13"/>
  <c r="BP16" i="13" s="1"/>
  <c r="L17" i="13"/>
  <c r="K17" i="13"/>
  <c r="J17" i="13"/>
  <c r="I17" i="13"/>
  <c r="H17" i="13"/>
  <c r="G17" i="13"/>
  <c r="F17" i="13"/>
  <c r="E17" i="13"/>
  <c r="D17" i="13"/>
  <c r="BO16" i="13" s="1"/>
  <c r="BK16" i="13"/>
  <c r="BU15" i="13" s="1"/>
  <c r="BJ16" i="13"/>
  <c r="BI16" i="13"/>
  <c r="BH16" i="13"/>
  <c r="BG16" i="13"/>
  <c r="BF16" i="13"/>
  <c r="BE16" i="13"/>
  <c r="BD16" i="13"/>
  <c r="BC16" i="13"/>
  <c r="BB16" i="13"/>
  <c r="BA16" i="13"/>
  <c r="BT15" i="13" s="1"/>
  <c r="AZ16" i="13"/>
  <c r="AY16" i="13"/>
  <c r="AX16" i="13"/>
  <c r="AW16" i="13"/>
  <c r="AV16" i="13"/>
  <c r="AU16" i="13"/>
  <c r="AT16" i="13"/>
  <c r="AS16" i="13"/>
  <c r="AR16" i="13"/>
  <c r="AQ16" i="13"/>
  <c r="BS15" i="13" s="1"/>
  <c r="AP16" i="13"/>
  <c r="AO16" i="13"/>
  <c r="AN16" i="13"/>
  <c r="AM16" i="13"/>
  <c r="AL16" i="13"/>
  <c r="AK16" i="13"/>
  <c r="AJ16" i="13"/>
  <c r="AI16" i="13"/>
  <c r="AH16" i="13"/>
  <c r="AG16" i="13"/>
  <c r="BR15" i="13" s="1"/>
  <c r="AF16" i="13"/>
  <c r="AE16" i="13"/>
  <c r="AD16" i="13"/>
  <c r="AC16" i="13"/>
  <c r="AB16" i="13"/>
  <c r="AA16" i="13"/>
  <c r="Z16" i="13"/>
  <c r="Y16" i="13"/>
  <c r="X16" i="13"/>
  <c r="W16" i="13"/>
  <c r="BQ15" i="13" s="1"/>
  <c r="V16" i="13"/>
  <c r="U16" i="13"/>
  <c r="T16" i="13"/>
  <c r="S16" i="13"/>
  <c r="R16" i="13"/>
  <c r="Q16" i="13"/>
  <c r="P16" i="13"/>
  <c r="O16" i="13"/>
  <c r="N16" i="13"/>
  <c r="M16" i="13"/>
  <c r="BP15" i="13" s="1"/>
  <c r="L16" i="13"/>
  <c r="K16" i="13"/>
  <c r="J16" i="13"/>
  <c r="I16" i="13"/>
  <c r="H16" i="13"/>
  <c r="G16" i="13"/>
  <c r="F16" i="13"/>
  <c r="E16" i="13"/>
  <c r="D16" i="13"/>
  <c r="BO15" i="13" s="1"/>
  <c r="BK15" i="13"/>
  <c r="BU14" i="13" s="1"/>
  <c r="BJ15" i="13"/>
  <c r="BI15" i="13"/>
  <c r="BH15" i="13"/>
  <c r="BG15" i="13"/>
  <c r="BF15" i="13"/>
  <c r="BE15" i="13"/>
  <c r="BD15" i="13"/>
  <c r="BC15" i="13"/>
  <c r="BB15" i="13"/>
  <c r="BA15" i="13"/>
  <c r="BT14" i="13" s="1"/>
  <c r="AZ15" i="13"/>
  <c r="AY15" i="13"/>
  <c r="AX15" i="13"/>
  <c r="AW15" i="13"/>
  <c r="AV15" i="13"/>
  <c r="AU15" i="13"/>
  <c r="AT15" i="13"/>
  <c r="AS15" i="13"/>
  <c r="AR15" i="13"/>
  <c r="AQ15" i="13"/>
  <c r="BS14" i="13" s="1"/>
  <c r="AP15" i="13"/>
  <c r="AO15" i="13"/>
  <c r="AN15" i="13"/>
  <c r="AM15" i="13"/>
  <c r="AL15" i="13"/>
  <c r="AK15" i="13"/>
  <c r="AJ15" i="13"/>
  <c r="AI15" i="13"/>
  <c r="AH15" i="13"/>
  <c r="AG15" i="13"/>
  <c r="BR14" i="13" s="1"/>
  <c r="AF15" i="13"/>
  <c r="AE15" i="13"/>
  <c r="AD15" i="13"/>
  <c r="AC15" i="13"/>
  <c r="AB15" i="13"/>
  <c r="AA15" i="13"/>
  <c r="Z15" i="13"/>
  <c r="Y15" i="13"/>
  <c r="X15" i="13"/>
  <c r="W15" i="13"/>
  <c r="BQ14" i="13" s="1"/>
  <c r="V15" i="13"/>
  <c r="U15" i="13"/>
  <c r="T15" i="13"/>
  <c r="S15" i="13"/>
  <c r="R15" i="13"/>
  <c r="Q15" i="13"/>
  <c r="P15" i="13"/>
  <c r="O15" i="13"/>
  <c r="N15" i="13"/>
  <c r="M15" i="13"/>
  <c r="BP14" i="13" s="1"/>
  <c r="L15" i="13"/>
  <c r="K15" i="13"/>
  <c r="J15" i="13"/>
  <c r="I15" i="13"/>
  <c r="H15" i="13"/>
  <c r="G15" i="13"/>
  <c r="F15" i="13"/>
  <c r="E15" i="13"/>
  <c r="D15" i="13"/>
  <c r="BO14" i="13" s="1"/>
  <c r="BK14" i="13"/>
  <c r="BU13" i="13" s="1"/>
  <c r="BJ14" i="13"/>
  <c r="BI14" i="13"/>
  <c r="BH14" i="13"/>
  <c r="BG14" i="13"/>
  <c r="BF14" i="13"/>
  <c r="BE14" i="13"/>
  <c r="BD14" i="13"/>
  <c r="BC14" i="13"/>
  <c r="BB14" i="13"/>
  <c r="BA14" i="13"/>
  <c r="BT13" i="13" s="1"/>
  <c r="AZ14" i="13"/>
  <c r="AY14" i="13"/>
  <c r="AX14" i="13"/>
  <c r="AW14" i="13"/>
  <c r="AV14" i="13"/>
  <c r="AU14" i="13"/>
  <c r="AT14" i="13"/>
  <c r="AS14" i="13"/>
  <c r="AR14" i="13"/>
  <c r="AQ14" i="13"/>
  <c r="BS13" i="13" s="1"/>
  <c r="AP14" i="13"/>
  <c r="AO14" i="13"/>
  <c r="AN14" i="13"/>
  <c r="AM14" i="13"/>
  <c r="AL14" i="13"/>
  <c r="AK14" i="13"/>
  <c r="AJ14" i="13"/>
  <c r="AI14" i="13"/>
  <c r="AH14" i="13"/>
  <c r="AG14" i="13"/>
  <c r="BR13" i="13" s="1"/>
  <c r="AF14" i="13"/>
  <c r="AE14" i="13"/>
  <c r="AD14" i="13"/>
  <c r="AC14" i="13"/>
  <c r="AB14" i="13"/>
  <c r="AA14" i="13"/>
  <c r="Z14" i="13"/>
  <c r="Y14" i="13"/>
  <c r="X14" i="13"/>
  <c r="W14" i="13"/>
  <c r="BQ13" i="13" s="1"/>
  <c r="V14" i="13"/>
  <c r="U14" i="13"/>
  <c r="T14" i="13"/>
  <c r="S14" i="13"/>
  <c r="R14" i="13"/>
  <c r="Q14" i="13"/>
  <c r="P14" i="13"/>
  <c r="O14" i="13"/>
  <c r="N14" i="13"/>
  <c r="M14" i="13"/>
  <c r="BP13" i="13" s="1"/>
  <c r="L14" i="13"/>
  <c r="K14" i="13"/>
  <c r="J14" i="13"/>
  <c r="I14" i="13"/>
  <c r="H14" i="13"/>
  <c r="G14" i="13"/>
  <c r="F14" i="13"/>
  <c r="E14" i="13"/>
  <c r="D14" i="13"/>
  <c r="BO13" i="13" s="1"/>
  <c r="BK12" i="13"/>
  <c r="BU12" i="13" s="1"/>
  <c r="BJ12" i="13"/>
  <c r="BI12" i="13"/>
  <c r="BH12" i="13"/>
  <c r="BG12" i="13"/>
  <c r="BF12" i="13"/>
  <c r="BE12" i="13"/>
  <c r="BD12" i="13"/>
  <c r="BC12" i="13"/>
  <c r="BB12" i="13"/>
  <c r="BA12" i="13"/>
  <c r="BT12" i="13" s="1"/>
  <c r="AZ12" i="13"/>
  <c r="AY12" i="13"/>
  <c r="AX12" i="13"/>
  <c r="AW12" i="13"/>
  <c r="AV12" i="13"/>
  <c r="AU12" i="13"/>
  <c r="AT12" i="13"/>
  <c r="AS12" i="13"/>
  <c r="AR12" i="13"/>
  <c r="AQ12" i="13"/>
  <c r="BS12" i="13" s="1"/>
  <c r="AP12" i="13"/>
  <c r="AO12" i="13"/>
  <c r="AN12" i="13"/>
  <c r="AM12" i="13"/>
  <c r="AL12" i="13"/>
  <c r="AK12" i="13"/>
  <c r="AJ12" i="13"/>
  <c r="AI12" i="13"/>
  <c r="AH12" i="13"/>
  <c r="AG12" i="13"/>
  <c r="BR12" i="13" s="1"/>
  <c r="AF12" i="13"/>
  <c r="AE12" i="13"/>
  <c r="AD12" i="13"/>
  <c r="AC12" i="13"/>
  <c r="AB12" i="13"/>
  <c r="AA12" i="13"/>
  <c r="Z12" i="13"/>
  <c r="Y12" i="13"/>
  <c r="X12" i="13"/>
  <c r="W12" i="13"/>
  <c r="BQ12" i="13" s="1"/>
  <c r="V12" i="13"/>
  <c r="U12" i="13"/>
  <c r="T12" i="13"/>
  <c r="S12" i="13"/>
  <c r="R12" i="13"/>
  <c r="Q12" i="13"/>
  <c r="P12" i="13"/>
  <c r="O12" i="13"/>
  <c r="N12" i="13"/>
  <c r="M12" i="13"/>
  <c r="BP12" i="13" s="1"/>
  <c r="L12" i="13"/>
  <c r="K12" i="13"/>
  <c r="J12" i="13"/>
  <c r="I12" i="13"/>
  <c r="H12" i="13"/>
  <c r="G12" i="13"/>
  <c r="F12" i="13"/>
  <c r="E12" i="13"/>
  <c r="D12" i="13"/>
  <c r="BO12" i="13" s="1"/>
  <c r="BK11" i="13"/>
  <c r="BU11" i="13" s="1"/>
  <c r="BJ11" i="13"/>
  <c r="BI11" i="13"/>
  <c r="BH11" i="13"/>
  <c r="BG11" i="13"/>
  <c r="BF11" i="13"/>
  <c r="BE11" i="13"/>
  <c r="BD11" i="13"/>
  <c r="BC11" i="13"/>
  <c r="BB11" i="13"/>
  <c r="BA11" i="13"/>
  <c r="BT11" i="13" s="1"/>
  <c r="AZ11" i="13"/>
  <c r="AY11" i="13"/>
  <c r="AX11" i="13"/>
  <c r="AW11" i="13"/>
  <c r="AV11" i="13"/>
  <c r="AU11" i="13"/>
  <c r="AT11" i="13"/>
  <c r="AS11" i="13"/>
  <c r="AR11" i="13"/>
  <c r="AQ11" i="13"/>
  <c r="BS11" i="13" s="1"/>
  <c r="AP11" i="13"/>
  <c r="AO11" i="13"/>
  <c r="AN11" i="13"/>
  <c r="AM11" i="13"/>
  <c r="AL11" i="13"/>
  <c r="AK11" i="13"/>
  <c r="AJ11" i="13"/>
  <c r="AI11" i="13"/>
  <c r="AH11" i="13"/>
  <c r="AG11" i="13"/>
  <c r="BR11" i="13" s="1"/>
  <c r="AF11" i="13"/>
  <c r="AE11" i="13"/>
  <c r="AD11" i="13"/>
  <c r="AC11" i="13"/>
  <c r="AB11" i="13"/>
  <c r="AA11" i="13"/>
  <c r="Z11" i="13"/>
  <c r="Y11" i="13"/>
  <c r="X11" i="13"/>
  <c r="W11" i="13"/>
  <c r="BQ11" i="13" s="1"/>
  <c r="V11" i="13"/>
  <c r="U11" i="13"/>
  <c r="T11" i="13"/>
  <c r="S11" i="13"/>
  <c r="R11" i="13"/>
  <c r="Q11" i="13"/>
  <c r="P11" i="13"/>
  <c r="O11" i="13"/>
  <c r="N11" i="13"/>
  <c r="M11" i="13"/>
  <c r="BP11" i="13" s="1"/>
  <c r="L11" i="13"/>
  <c r="K11" i="13"/>
  <c r="J11" i="13"/>
  <c r="I11" i="13"/>
  <c r="H11" i="13"/>
  <c r="G11" i="13"/>
  <c r="F11" i="13"/>
  <c r="E11" i="13"/>
  <c r="D11" i="13"/>
  <c r="BO11" i="13" s="1"/>
  <c r="BK10" i="13"/>
  <c r="BU10" i="13" s="1"/>
  <c r="BJ10" i="13"/>
  <c r="BI10" i="13"/>
  <c r="BH10" i="13"/>
  <c r="BG10" i="13"/>
  <c r="BF10" i="13"/>
  <c r="BE10" i="13"/>
  <c r="BD10" i="13"/>
  <c r="BC10" i="13"/>
  <c r="BB10" i="13"/>
  <c r="BA10" i="13"/>
  <c r="BT10" i="13" s="1"/>
  <c r="AZ10" i="13"/>
  <c r="AY10" i="13"/>
  <c r="AX10" i="13"/>
  <c r="AW10" i="13"/>
  <c r="AV10" i="13"/>
  <c r="AU10" i="13"/>
  <c r="AT10" i="13"/>
  <c r="AS10" i="13"/>
  <c r="AR10" i="13"/>
  <c r="AQ10" i="13"/>
  <c r="BS10" i="13" s="1"/>
  <c r="AP10" i="13"/>
  <c r="AO10" i="13"/>
  <c r="AN10" i="13"/>
  <c r="AM10" i="13"/>
  <c r="AL10" i="13"/>
  <c r="AK10" i="13"/>
  <c r="AJ10" i="13"/>
  <c r="AI10" i="13"/>
  <c r="AH10" i="13"/>
  <c r="AG10" i="13"/>
  <c r="BR10" i="13" s="1"/>
  <c r="AF10" i="13"/>
  <c r="AE10" i="13"/>
  <c r="AD10" i="13"/>
  <c r="AC10" i="13"/>
  <c r="AB10" i="13"/>
  <c r="AA10" i="13"/>
  <c r="Z10" i="13"/>
  <c r="Y10" i="13"/>
  <c r="X10" i="13"/>
  <c r="W10" i="13"/>
  <c r="BQ10" i="13" s="1"/>
  <c r="V10" i="13"/>
  <c r="U10" i="13"/>
  <c r="T10" i="13"/>
  <c r="S10" i="13"/>
  <c r="R10" i="13"/>
  <c r="Q10" i="13"/>
  <c r="P10" i="13"/>
  <c r="O10" i="13"/>
  <c r="N10" i="13"/>
  <c r="M10" i="13"/>
  <c r="BP10" i="13" s="1"/>
  <c r="L10" i="13"/>
  <c r="K10" i="13"/>
  <c r="J10" i="13"/>
  <c r="I10" i="13"/>
  <c r="H10" i="13"/>
  <c r="G10" i="13"/>
  <c r="F10" i="13"/>
  <c r="E10" i="13"/>
  <c r="D10" i="13"/>
  <c r="BO10" i="13" s="1"/>
  <c r="BK9" i="13"/>
  <c r="BU9" i="13" s="1"/>
  <c r="BJ9" i="13"/>
  <c r="BI9" i="13"/>
  <c r="BH9" i="13"/>
  <c r="BG9" i="13"/>
  <c r="BF9" i="13"/>
  <c r="BE9" i="13"/>
  <c r="BD9" i="13"/>
  <c r="BC9" i="13"/>
  <c r="BB9" i="13"/>
  <c r="BA9" i="13"/>
  <c r="BT9" i="13" s="1"/>
  <c r="AZ9" i="13"/>
  <c r="AY9" i="13"/>
  <c r="AX9" i="13"/>
  <c r="AW9" i="13"/>
  <c r="AV9" i="13"/>
  <c r="AU9" i="13"/>
  <c r="AT9" i="13"/>
  <c r="AS9" i="13"/>
  <c r="AR9" i="13"/>
  <c r="AQ9" i="13"/>
  <c r="BS9" i="13" s="1"/>
  <c r="AP9" i="13"/>
  <c r="AO9" i="13"/>
  <c r="AN9" i="13"/>
  <c r="AM9" i="13"/>
  <c r="AL9" i="13"/>
  <c r="AK9" i="13"/>
  <c r="AJ9" i="13"/>
  <c r="AI9" i="13"/>
  <c r="AH9" i="13"/>
  <c r="AG9" i="13"/>
  <c r="BR9" i="13" s="1"/>
  <c r="AF9" i="13"/>
  <c r="AE9" i="13"/>
  <c r="AD9" i="13"/>
  <c r="AC9" i="13"/>
  <c r="AB9" i="13"/>
  <c r="AA9" i="13"/>
  <c r="Z9" i="13"/>
  <c r="Y9" i="13"/>
  <c r="X9" i="13"/>
  <c r="W9" i="13"/>
  <c r="BQ9" i="13" s="1"/>
  <c r="V9" i="13"/>
  <c r="U9" i="13"/>
  <c r="T9" i="13"/>
  <c r="S9" i="13"/>
  <c r="R9" i="13"/>
  <c r="Q9" i="13"/>
  <c r="P9" i="13"/>
  <c r="O9" i="13"/>
  <c r="N9" i="13"/>
  <c r="M9" i="13"/>
  <c r="BP9" i="13" s="1"/>
  <c r="L9" i="13"/>
  <c r="K9" i="13"/>
  <c r="J9" i="13"/>
  <c r="I9" i="13"/>
  <c r="H9" i="13"/>
  <c r="G9" i="13"/>
  <c r="F9" i="13"/>
  <c r="E9" i="13"/>
  <c r="D9" i="13"/>
  <c r="BO9" i="13" s="1"/>
  <c r="BK8" i="13"/>
  <c r="BU8" i="13" s="1"/>
  <c r="BJ8" i="13"/>
  <c r="BI8" i="13"/>
  <c r="BH8" i="13"/>
  <c r="BG8" i="13"/>
  <c r="BF8" i="13"/>
  <c r="BE8" i="13"/>
  <c r="BD8" i="13"/>
  <c r="BC8" i="13"/>
  <c r="BB8" i="13"/>
  <c r="BA8" i="13"/>
  <c r="BT8" i="13" s="1"/>
  <c r="AZ8" i="13"/>
  <c r="AY8" i="13"/>
  <c r="AX8" i="13"/>
  <c r="AW8" i="13"/>
  <c r="AV8" i="13"/>
  <c r="AU8" i="13"/>
  <c r="AT8" i="13"/>
  <c r="AS8" i="13"/>
  <c r="AR8" i="13"/>
  <c r="AQ8" i="13"/>
  <c r="BS8" i="13" s="1"/>
  <c r="AP8" i="13"/>
  <c r="AO8" i="13"/>
  <c r="AN8" i="13"/>
  <c r="AM8" i="13"/>
  <c r="AL8" i="13"/>
  <c r="AK8" i="13"/>
  <c r="AJ8" i="13"/>
  <c r="AI8" i="13"/>
  <c r="AH8" i="13"/>
  <c r="AG8" i="13"/>
  <c r="BR8" i="13" s="1"/>
  <c r="AF8" i="13"/>
  <c r="AE8" i="13"/>
  <c r="AD8" i="13"/>
  <c r="AC8" i="13"/>
  <c r="AB8" i="13"/>
  <c r="AA8" i="13"/>
  <c r="Z8" i="13"/>
  <c r="Y8" i="13"/>
  <c r="X8" i="13"/>
  <c r="W8" i="13"/>
  <c r="BQ8" i="13" s="1"/>
  <c r="V8" i="13"/>
  <c r="U8" i="13"/>
  <c r="T8" i="13"/>
  <c r="S8" i="13"/>
  <c r="R8" i="13"/>
  <c r="Q8" i="13"/>
  <c r="P8" i="13"/>
  <c r="O8" i="13"/>
  <c r="N8" i="13"/>
  <c r="M8" i="13"/>
  <c r="BP8" i="13" s="1"/>
  <c r="L8" i="13"/>
  <c r="K8" i="13"/>
  <c r="J8" i="13"/>
  <c r="I8" i="13"/>
  <c r="H8" i="13"/>
  <c r="G8" i="13"/>
  <c r="F8" i="13"/>
  <c r="E8" i="13"/>
  <c r="D8" i="13"/>
  <c r="BO8" i="13" s="1"/>
  <c r="BK7" i="13"/>
  <c r="BU7" i="13" s="1"/>
  <c r="BJ7" i="13"/>
  <c r="BI7" i="13"/>
  <c r="BH7" i="13"/>
  <c r="BG7" i="13"/>
  <c r="BF7" i="13"/>
  <c r="BE7" i="13"/>
  <c r="BD7" i="13"/>
  <c r="BC7" i="13"/>
  <c r="BB7" i="13"/>
  <c r="BA7" i="13"/>
  <c r="BT7" i="13" s="1"/>
  <c r="AZ7" i="13"/>
  <c r="AY7" i="13"/>
  <c r="AX7" i="13"/>
  <c r="AW7" i="13"/>
  <c r="AV7" i="13"/>
  <c r="AU7" i="13"/>
  <c r="AT7" i="13"/>
  <c r="AS7" i="13"/>
  <c r="AR7" i="13"/>
  <c r="AQ7" i="13"/>
  <c r="BS7" i="13" s="1"/>
  <c r="AP7" i="13"/>
  <c r="AO7" i="13"/>
  <c r="AN7" i="13"/>
  <c r="AM7" i="13"/>
  <c r="AL7" i="13"/>
  <c r="AK7" i="13"/>
  <c r="AJ7" i="13"/>
  <c r="AI7" i="13"/>
  <c r="AH7" i="13"/>
  <c r="AG7" i="13"/>
  <c r="BR7" i="13" s="1"/>
  <c r="AF7" i="13"/>
  <c r="AE7" i="13"/>
  <c r="AD7" i="13"/>
  <c r="AC7" i="13"/>
  <c r="AB7" i="13"/>
  <c r="AA7" i="13"/>
  <c r="Z7" i="13"/>
  <c r="Y7" i="13"/>
  <c r="X7" i="13"/>
  <c r="W7" i="13"/>
  <c r="BQ7" i="13" s="1"/>
  <c r="V7" i="13"/>
  <c r="U7" i="13"/>
  <c r="T7" i="13"/>
  <c r="S7" i="13"/>
  <c r="R7" i="13"/>
  <c r="Q7" i="13"/>
  <c r="P7" i="13"/>
  <c r="O7" i="13"/>
  <c r="N7" i="13"/>
  <c r="M7" i="13"/>
  <c r="BP7" i="13" s="1"/>
  <c r="L7" i="13"/>
  <c r="K7" i="13"/>
  <c r="J7" i="13"/>
  <c r="I7" i="13"/>
  <c r="H7" i="13"/>
  <c r="G7" i="13"/>
  <c r="F7" i="13"/>
  <c r="E7" i="13"/>
  <c r="D7" i="13"/>
  <c r="BO7" i="13" s="1"/>
  <c r="BK6" i="13"/>
  <c r="BU6" i="13" s="1"/>
  <c r="BJ6" i="13"/>
  <c r="BI6" i="13"/>
  <c r="BH6" i="13"/>
  <c r="BG6" i="13"/>
  <c r="BF6" i="13"/>
  <c r="BE6" i="13"/>
  <c r="BD6" i="13"/>
  <c r="BC6" i="13"/>
  <c r="BB6" i="13"/>
  <c r="BA6" i="13"/>
  <c r="BT6" i="13" s="1"/>
  <c r="AZ6" i="13"/>
  <c r="AY6" i="13"/>
  <c r="AX6" i="13"/>
  <c r="AW6" i="13"/>
  <c r="AV6" i="13"/>
  <c r="AU6" i="13"/>
  <c r="AT6" i="13"/>
  <c r="AS6" i="13"/>
  <c r="AR6" i="13"/>
  <c r="AQ6" i="13"/>
  <c r="BS6" i="13" s="1"/>
  <c r="AP6" i="13"/>
  <c r="AO6" i="13"/>
  <c r="AN6" i="13"/>
  <c r="AM6" i="13"/>
  <c r="AL6" i="13"/>
  <c r="AK6" i="13"/>
  <c r="AJ6" i="13"/>
  <c r="AI6" i="13"/>
  <c r="AH6" i="13"/>
  <c r="AG6" i="13"/>
  <c r="BR6" i="13" s="1"/>
  <c r="AF6" i="13"/>
  <c r="AE6" i="13"/>
  <c r="AD6" i="13"/>
  <c r="AC6" i="13"/>
  <c r="AB6" i="13"/>
  <c r="AA6" i="13"/>
  <c r="Z6" i="13"/>
  <c r="Y6" i="13"/>
  <c r="X6" i="13"/>
  <c r="W6" i="13"/>
  <c r="BQ6" i="13" s="1"/>
  <c r="V6" i="13"/>
  <c r="U6" i="13"/>
  <c r="T6" i="13"/>
  <c r="S6" i="13"/>
  <c r="R6" i="13"/>
  <c r="Q6" i="13"/>
  <c r="P6" i="13"/>
  <c r="O6" i="13"/>
  <c r="N6" i="13"/>
  <c r="M6" i="13"/>
  <c r="BP6" i="13" s="1"/>
  <c r="L6" i="13"/>
  <c r="K6" i="13"/>
  <c r="J6" i="13"/>
  <c r="I6" i="13"/>
  <c r="H6" i="13"/>
  <c r="G6" i="13"/>
  <c r="F6" i="13"/>
  <c r="E6" i="13"/>
  <c r="D6" i="13"/>
  <c r="BO6" i="13" s="1"/>
  <c r="BK5" i="13"/>
  <c r="BU5" i="13" s="1"/>
  <c r="BJ5" i="13"/>
  <c r="BI5" i="13"/>
  <c r="BH5" i="13"/>
  <c r="BG5" i="13"/>
  <c r="BF5" i="13"/>
  <c r="BE5" i="13"/>
  <c r="BD5" i="13"/>
  <c r="BC5" i="13"/>
  <c r="BB5" i="13"/>
  <c r="BA5" i="13"/>
  <c r="BT5" i="13" s="1"/>
  <c r="AZ5" i="13"/>
  <c r="AY5" i="13"/>
  <c r="AX5" i="13"/>
  <c r="AW5" i="13"/>
  <c r="AV5" i="13"/>
  <c r="AU5" i="13"/>
  <c r="AT5" i="13"/>
  <c r="AS5" i="13"/>
  <c r="AR5" i="13"/>
  <c r="AQ5" i="13"/>
  <c r="BS5" i="13" s="1"/>
  <c r="AP5" i="13"/>
  <c r="AO5" i="13"/>
  <c r="AN5" i="13"/>
  <c r="AM5" i="13"/>
  <c r="AL5" i="13"/>
  <c r="AK5" i="13"/>
  <c r="AJ5" i="13"/>
  <c r="AI5" i="13"/>
  <c r="AH5" i="13"/>
  <c r="AG5" i="13"/>
  <c r="BR5" i="13" s="1"/>
  <c r="AF5" i="13"/>
  <c r="AE5" i="13"/>
  <c r="AD5" i="13"/>
  <c r="AC5" i="13"/>
  <c r="AB5" i="13"/>
  <c r="AA5" i="13"/>
  <c r="Z5" i="13"/>
  <c r="Y5" i="13"/>
  <c r="X5" i="13"/>
  <c r="W5" i="13"/>
  <c r="BQ5" i="13" s="1"/>
  <c r="V5" i="13"/>
  <c r="U5" i="13"/>
  <c r="T5" i="13"/>
  <c r="S5" i="13"/>
  <c r="R5" i="13"/>
  <c r="Q5" i="13"/>
  <c r="P5" i="13"/>
  <c r="O5" i="13"/>
  <c r="N5" i="13"/>
  <c r="M5" i="13"/>
  <c r="BP5" i="13" s="1"/>
  <c r="L5" i="13"/>
  <c r="K5" i="13"/>
  <c r="J5" i="13"/>
  <c r="I5" i="13"/>
  <c r="H5" i="13"/>
  <c r="G5" i="13"/>
  <c r="F5" i="13"/>
  <c r="E5" i="13"/>
  <c r="D5" i="13"/>
  <c r="BO5" i="13" s="1"/>
  <c r="BK4" i="13"/>
  <c r="BU4" i="13" s="1"/>
  <c r="BJ4" i="13"/>
  <c r="BI4" i="13"/>
  <c r="BH4" i="13"/>
  <c r="BG4" i="13"/>
  <c r="BF4" i="13"/>
  <c r="BE4" i="13"/>
  <c r="BD4" i="13"/>
  <c r="BC4" i="13"/>
  <c r="BB4" i="13"/>
  <c r="BA4" i="13"/>
  <c r="BT4" i="13" s="1"/>
  <c r="AZ4" i="13"/>
  <c r="AY4" i="13"/>
  <c r="AX4" i="13"/>
  <c r="AW4" i="13"/>
  <c r="AV4" i="13"/>
  <c r="AU4" i="13"/>
  <c r="AT4" i="13"/>
  <c r="AS4" i="13"/>
  <c r="AR4" i="13"/>
  <c r="AQ4" i="13"/>
  <c r="BS4" i="13" s="1"/>
  <c r="AP4" i="13"/>
  <c r="AO4" i="13"/>
  <c r="AN4" i="13"/>
  <c r="AM4" i="13"/>
  <c r="AL4" i="13"/>
  <c r="AK4" i="13"/>
  <c r="AJ4" i="13"/>
  <c r="AI4" i="13"/>
  <c r="AH4" i="13"/>
  <c r="AG4" i="13"/>
  <c r="BR4" i="13" s="1"/>
  <c r="AF4" i="13"/>
  <c r="AE4" i="13"/>
  <c r="AD4" i="13"/>
  <c r="AC4" i="13"/>
  <c r="AB4" i="13"/>
  <c r="AA4" i="13"/>
  <c r="Z4" i="13"/>
  <c r="Y4" i="13"/>
  <c r="X4" i="13"/>
  <c r="W4" i="13"/>
  <c r="BQ4" i="13" s="1"/>
  <c r="V4" i="13"/>
  <c r="U4" i="13"/>
  <c r="T4" i="13"/>
  <c r="S4" i="13"/>
  <c r="R4" i="13"/>
  <c r="Q4" i="13"/>
  <c r="P4" i="13"/>
  <c r="O4" i="13"/>
  <c r="N4" i="13"/>
  <c r="M4" i="13"/>
  <c r="BP4" i="13" s="1"/>
  <c r="L4" i="13"/>
  <c r="K4" i="13"/>
  <c r="J4" i="13"/>
  <c r="I4" i="13"/>
  <c r="H4" i="13"/>
  <c r="G4" i="13"/>
  <c r="F4" i="13"/>
  <c r="E4" i="13"/>
  <c r="D4" i="13"/>
  <c r="BO4" i="13" s="1"/>
  <c r="BK3" i="13"/>
  <c r="BU3" i="13" s="1"/>
  <c r="BJ3" i="13"/>
  <c r="BI3" i="13"/>
  <c r="BH3" i="13"/>
  <c r="BG3" i="13"/>
  <c r="BF3" i="13"/>
  <c r="BE3" i="13"/>
  <c r="BD3" i="13"/>
  <c r="BC3" i="13"/>
  <c r="BB3" i="13"/>
  <c r="BA3" i="13"/>
  <c r="BT3" i="13" s="1"/>
  <c r="AZ3" i="13"/>
  <c r="AY3" i="13"/>
  <c r="AX3" i="13"/>
  <c r="AW3" i="13"/>
  <c r="AV3" i="13"/>
  <c r="AU3" i="13"/>
  <c r="AT3" i="13"/>
  <c r="AS3" i="13"/>
  <c r="AR3" i="13"/>
  <c r="AQ3" i="13"/>
  <c r="BS3" i="13" s="1"/>
  <c r="AP3" i="13"/>
  <c r="AO3" i="13"/>
  <c r="AN3" i="13"/>
  <c r="AM3" i="13"/>
  <c r="AL3" i="13"/>
  <c r="AK3" i="13"/>
  <c r="AJ3" i="13"/>
  <c r="AI3" i="13"/>
  <c r="AH3" i="13"/>
  <c r="AG3" i="13"/>
  <c r="BR3" i="13" s="1"/>
  <c r="AF3" i="13"/>
  <c r="AE3" i="13"/>
  <c r="AD3" i="13"/>
  <c r="AC3" i="13"/>
  <c r="AB3" i="13"/>
  <c r="AA3" i="13"/>
  <c r="Z3" i="13"/>
  <c r="Y3" i="13"/>
  <c r="X3" i="13"/>
  <c r="W3" i="13"/>
  <c r="BQ3" i="13" s="1"/>
  <c r="V3" i="13"/>
  <c r="U3" i="13"/>
  <c r="T3" i="13"/>
  <c r="S3" i="13"/>
  <c r="R3" i="13"/>
  <c r="Q3" i="13"/>
  <c r="P3" i="13"/>
  <c r="O3" i="13"/>
  <c r="N3" i="13"/>
  <c r="M3" i="13"/>
  <c r="BP3" i="13" s="1"/>
  <c r="L3" i="13"/>
  <c r="K3" i="13"/>
  <c r="J3" i="13"/>
  <c r="I3" i="13"/>
  <c r="H3" i="13"/>
  <c r="G3" i="13"/>
  <c r="F3" i="13"/>
  <c r="E3" i="13"/>
  <c r="D3" i="13"/>
  <c r="BO3" i="13" s="1"/>
  <c r="BK2" i="13"/>
  <c r="BU2" i="13" s="1"/>
  <c r="BJ2" i="13"/>
  <c r="BI2" i="13"/>
  <c r="BH2" i="13"/>
  <c r="BG2" i="13"/>
  <c r="BF2" i="13"/>
  <c r="BE2" i="13"/>
  <c r="BD2" i="13"/>
  <c r="BC2" i="13"/>
  <c r="BB2" i="13"/>
  <c r="BA2" i="13"/>
  <c r="BT2" i="13" s="1"/>
  <c r="AZ2" i="13"/>
  <c r="AY2" i="13"/>
  <c r="AX2" i="13"/>
  <c r="AW2" i="13"/>
  <c r="AV2" i="13"/>
  <c r="AU2" i="13"/>
  <c r="AT2" i="13"/>
  <c r="AS2" i="13"/>
  <c r="AR2" i="13"/>
  <c r="AQ2" i="13"/>
  <c r="BS2" i="13" s="1"/>
  <c r="AP2" i="13"/>
  <c r="AO2" i="13"/>
  <c r="AN2" i="13"/>
  <c r="AM2" i="13"/>
  <c r="AL2" i="13"/>
  <c r="AK2" i="13"/>
  <c r="AJ2" i="13"/>
  <c r="AI2" i="13"/>
  <c r="AH2" i="13"/>
  <c r="AG2" i="13"/>
  <c r="BR2" i="13" s="1"/>
  <c r="AF2" i="13"/>
  <c r="AE2" i="13"/>
  <c r="AD2" i="13"/>
  <c r="AC2" i="13"/>
  <c r="AB2" i="13"/>
  <c r="AA2" i="13"/>
  <c r="Z2" i="13"/>
  <c r="Y2" i="13"/>
  <c r="X2" i="13"/>
  <c r="W2" i="13"/>
  <c r="BQ2" i="13" s="1"/>
  <c r="V2" i="13"/>
  <c r="U2" i="13"/>
  <c r="T2" i="13"/>
  <c r="S2" i="13"/>
  <c r="R2" i="13"/>
  <c r="Q2" i="13"/>
  <c r="P2" i="13"/>
  <c r="O2" i="13"/>
  <c r="N2" i="13"/>
  <c r="M2" i="13"/>
  <c r="BP2" i="13" s="1"/>
  <c r="L2" i="13"/>
  <c r="K2" i="13"/>
  <c r="J2" i="13"/>
  <c r="I2" i="13"/>
  <c r="H2" i="13"/>
  <c r="G2" i="13"/>
  <c r="F2" i="13"/>
  <c r="E2" i="13"/>
  <c r="D2" i="13"/>
  <c r="BO2" i="13" s="1"/>
  <c r="BK40" i="12"/>
  <c r="BU39" i="12" s="1"/>
  <c r="BJ40" i="12"/>
  <c r="BI40" i="12"/>
  <c r="BH40" i="12"/>
  <c r="BG40" i="12"/>
  <c r="BF40" i="12"/>
  <c r="BE40" i="12"/>
  <c r="BD40" i="12"/>
  <c r="BC40" i="12"/>
  <c r="BB40" i="12"/>
  <c r="BA40" i="12"/>
  <c r="BT39" i="12" s="1"/>
  <c r="AZ40" i="12"/>
  <c r="AY40" i="12"/>
  <c r="AX40" i="12"/>
  <c r="AW40" i="12"/>
  <c r="AV40" i="12"/>
  <c r="AU40" i="12"/>
  <c r="AT40" i="12"/>
  <c r="AS40" i="12"/>
  <c r="AR40" i="12"/>
  <c r="AQ40" i="12"/>
  <c r="BS39" i="12" s="1"/>
  <c r="AP40" i="12"/>
  <c r="AO40" i="12"/>
  <c r="AN40" i="12"/>
  <c r="AM40" i="12"/>
  <c r="AL40" i="12"/>
  <c r="AK40" i="12"/>
  <c r="AJ40" i="12"/>
  <c r="AI40" i="12"/>
  <c r="AH40" i="12"/>
  <c r="AG40" i="12"/>
  <c r="BR39" i="12" s="1"/>
  <c r="AF40" i="12"/>
  <c r="AE40" i="12"/>
  <c r="AD40" i="12"/>
  <c r="AC40" i="12"/>
  <c r="AB40" i="12"/>
  <c r="AA40" i="12"/>
  <c r="Z40" i="12"/>
  <c r="Y40" i="12"/>
  <c r="X40" i="12"/>
  <c r="W40" i="12"/>
  <c r="BQ39" i="12" s="1"/>
  <c r="V40" i="12"/>
  <c r="U40" i="12"/>
  <c r="T40" i="12"/>
  <c r="S40" i="12"/>
  <c r="R40" i="12"/>
  <c r="Q40" i="12"/>
  <c r="P40" i="12"/>
  <c r="O40" i="12"/>
  <c r="N40" i="12"/>
  <c r="M40" i="12"/>
  <c r="BP39" i="12" s="1"/>
  <c r="L40" i="12"/>
  <c r="K40" i="12"/>
  <c r="J40" i="12"/>
  <c r="I40" i="12"/>
  <c r="H40" i="12"/>
  <c r="G40" i="12"/>
  <c r="F40" i="12"/>
  <c r="E40" i="12"/>
  <c r="D40" i="12"/>
  <c r="BO39" i="12" s="1"/>
  <c r="BK39" i="12"/>
  <c r="BU38" i="12" s="1"/>
  <c r="BJ39" i="12"/>
  <c r="BI39" i="12"/>
  <c r="BH39" i="12"/>
  <c r="BG39" i="12"/>
  <c r="BF39" i="12"/>
  <c r="BE39" i="12"/>
  <c r="BD39" i="12"/>
  <c r="BC39" i="12"/>
  <c r="BB39" i="12"/>
  <c r="BA39" i="12"/>
  <c r="BT38" i="12" s="1"/>
  <c r="AZ39" i="12"/>
  <c r="AY39" i="12"/>
  <c r="AX39" i="12"/>
  <c r="AW39" i="12"/>
  <c r="AV39" i="12"/>
  <c r="AU39" i="12"/>
  <c r="AT39" i="12"/>
  <c r="AS39" i="12"/>
  <c r="AR39" i="12"/>
  <c r="AQ39" i="12"/>
  <c r="BS38" i="12" s="1"/>
  <c r="AP39" i="12"/>
  <c r="AO39" i="12"/>
  <c r="AN39" i="12"/>
  <c r="AM39" i="12"/>
  <c r="AL39" i="12"/>
  <c r="AK39" i="12"/>
  <c r="AJ39" i="12"/>
  <c r="AI39" i="12"/>
  <c r="AH39" i="12"/>
  <c r="AG39" i="12"/>
  <c r="BR38" i="12" s="1"/>
  <c r="AF39" i="12"/>
  <c r="AE39" i="12"/>
  <c r="AD39" i="12"/>
  <c r="AC39" i="12"/>
  <c r="AB39" i="12"/>
  <c r="AA39" i="12"/>
  <c r="Z39" i="12"/>
  <c r="Y39" i="12"/>
  <c r="X39" i="12"/>
  <c r="W39" i="12"/>
  <c r="BQ38" i="12" s="1"/>
  <c r="V39" i="12"/>
  <c r="U39" i="12"/>
  <c r="T39" i="12"/>
  <c r="S39" i="12"/>
  <c r="R39" i="12"/>
  <c r="Q39" i="12"/>
  <c r="P39" i="12"/>
  <c r="O39" i="12"/>
  <c r="N39" i="12"/>
  <c r="M39" i="12"/>
  <c r="BP38" i="12" s="1"/>
  <c r="L39" i="12"/>
  <c r="K39" i="12"/>
  <c r="J39" i="12"/>
  <c r="I39" i="12"/>
  <c r="H39" i="12"/>
  <c r="G39" i="12"/>
  <c r="F39" i="12"/>
  <c r="E39" i="12"/>
  <c r="D39" i="12"/>
  <c r="BO38" i="12" s="1"/>
  <c r="BK38" i="12"/>
  <c r="BU37" i="12" s="1"/>
  <c r="BJ38" i="12"/>
  <c r="BI38" i="12"/>
  <c r="BH38" i="12"/>
  <c r="BG38" i="12"/>
  <c r="BF38" i="12"/>
  <c r="BE38" i="12"/>
  <c r="BD38" i="12"/>
  <c r="BC38" i="12"/>
  <c r="BB38" i="12"/>
  <c r="BA38" i="12"/>
  <c r="BT37" i="12" s="1"/>
  <c r="AZ38" i="12"/>
  <c r="AY38" i="12"/>
  <c r="AX38" i="12"/>
  <c r="AW38" i="12"/>
  <c r="AV38" i="12"/>
  <c r="AU38" i="12"/>
  <c r="AT38" i="12"/>
  <c r="AS38" i="12"/>
  <c r="AR38" i="12"/>
  <c r="AQ38" i="12"/>
  <c r="BS37" i="12" s="1"/>
  <c r="AP38" i="12"/>
  <c r="AO38" i="12"/>
  <c r="AN38" i="12"/>
  <c r="AM38" i="12"/>
  <c r="AL38" i="12"/>
  <c r="AK38" i="12"/>
  <c r="AJ38" i="12"/>
  <c r="AI38" i="12"/>
  <c r="AH38" i="12"/>
  <c r="AG38" i="12"/>
  <c r="BR37" i="12" s="1"/>
  <c r="AF38" i="12"/>
  <c r="AE38" i="12"/>
  <c r="AD38" i="12"/>
  <c r="AC38" i="12"/>
  <c r="AB38" i="12"/>
  <c r="AA38" i="12"/>
  <c r="Z38" i="12"/>
  <c r="Y38" i="12"/>
  <c r="X38" i="12"/>
  <c r="W38" i="12"/>
  <c r="BQ37" i="12" s="1"/>
  <c r="V38" i="12"/>
  <c r="U38" i="12"/>
  <c r="T38" i="12"/>
  <c r="S38" i="12"/>
  <c r="R38" i="12"/>
  <c r="Q38" i="12"/>
  <c r="P38" i="12"/>
  <c r="O38" i="12"/>
  <c r="N38" i="12"/>
  <c r="M38" i="12"/>
  <c r="BP37" i="12" s="1"/>
  <c r="L38" i="12"/>
  <c r="K38" i="12"/>
  <c r="J38" i="12"/>
  <c r="I38" i="12"/>
  <c r="H38" i="12"/>
  <c r="G38" i="12"/>
  <c r="F38" i="12"/>
  <c r="E38" i="12"/>
  <c r="D38" i="12"/>
  <c r="BO37" i="12" s="1"/>
  <c r="BK37" i="12"/>
  <c r="BU36" i="12" s="1"/>
  <c r="BJ37" i="12"/>
  <c r="BI37" i="12"/>
  <c r="BH37" i="12"/>
  <c r="BG37" i="12"/>
  <c r="BF37" i="12"/>
  <c r="BE37" i="12"/>
  <c r="BD37" i="12"/>
  <c r="BC37" i="12"/>
  <c r="BB37" i="12"/>
  <c r="BA37" i="12"/>
  <c r="BT36" i="12" s="1"/>
  <c r="AZ37" i="12"/>
  <c r="AY37" i="12"/>
  <c r="AX37" i="12"/>
  <c r="AW37" i="12"/>
  <c r="AV37" i="12"/>
  <c r="AU37" i="12"/>
  <c r="AT37" i="12"/>
  <c r="AS37" i="12"/>
  <c r="AR37" i="12"/>
  <c r="AQ37" i="12"/>
  <c r="BS36" i="12" s="1"/>
  <c r="AP37" i="12"/>
  <c r="AO37" i="12"/>
  <c r="AN37" i="12"/>
  <c r="AM37" i="12"/>
  <c r="AL37" i="12"/>
  <c r="AK37" i="12"/>
  <c r="AJ37" i="12"/>
  <c r="AI37" i="12"/>
  <c r="AH37" i="12"/>
  <c r="AG37" i="12"/>
  <c r="BR36" i="12" s="1"/>
  <c r="AF37" i="12"/>
  <c r="AE37" i="12"/>
  <c r="AD37" i="12"/>
  <c r="AC37" i="12"/>
  <c r="AB37" i="12"/>
  <c r="AA37" i="12"/>
  <c r="Z37" i="12"/>
  <c r="Y37" i="12"/>
  <c r="X37" i="12"/>
  <c r="W37" i="12"/>
  <c r="BQ36" i="12" s="1"/>
  <c r="V37" i="12"/>
  <c r="U37" i="12"/>
  <c r="T37" i="12"/>
  <c r="S37" i="12"/>
  <c r="R37" i="12"/>
  <c r="Q37" i="12"/>
  <c r="P37" i="12"/>
  <c r="O37" i="12"/>
  <c r="N37" i="12"/>
  <c r="M37" i="12"/>
  <c r="BP36" i="12" s="1"/>
  <c r="L37" i="12"/>
  <c r="K37" i="12"/>
  <c r="J37" i="12"/>
  <c r="I37" i="12"/>
  <c r="H37" i="12"/>
  <c r="G37" i="12"/>
  <c r="F37" i="12"/>
  <c r="E37" i="12"/>
  <c r="D37" i="12"/>
  <c r="BO36" i="12" s="1"/>
  <c r="BK36" i="12"/>
  <c r="BU35" i="12" s="1"/>
  <c r="BJ36" i="12"/>
  <c r="BI36" i="12"/>
  <c r="BH36" i="12"/>
  <c r="BG36" i="12"/>
  <c r="BF36" i="12"/>
  <c r="BE36" i="12"/>
  <c r="BD36" i="12"/>
  <c r="BC36" i="12"/>
  <c r="BB36" i="12"/>
  <c r="BA36" i="12"/>
  <c r="BT35" i="12" s="1"/>
  <c r="AZ36" i="12"/>
  <c r="AY36" i="12"/>
  <c r="AX36" i="12"/>
  <c r="AW36" i="12"/>
  <c r="AV36" i="12"/>
  <c r="AU36" i="12"/>
  <c r="AT36" i="12"/>
  <c r="AS36" i="12"/>
  <c r="AR36" i="12"/>
  <c r="AQ36" i="12"/>
  <c r="BS35" i="12" s="1"/>
  <c r="AP36" i="12"/>
  <c r="AO36" i="12"/>
  <c r="AN36" i="12"/>
  <c r="AM36" i="12"/>
  <c r="AL36" i="12"/>
  <c r="AK36" i="12"/>
  <c r="AJ36" i="12"/>
  <c r="AI36" i="12"/>
  <c r="AH36" i="12"/>
  <c r="AG36" i="12"/>
  <c r="BR35" i="12" s="1"/>
  <c r="AF36" i="12"/>
  <c r="AE36" i="12"/>
  <c r="AD36" i="12"/>
  <c r="AC36" i="12"/>
  <c r="AB36" i="12"/>
  <c r="AA36" i="12"/>
  <c r="Z36" i="12"/>
  <c r="Y36" i="12"/>
  <c r="X36" i="12"/>
  <c r="W36" i="12"/>
  <c r="BQ35" i="12" s="1"/>
  <c r="V36" i="12"/>
  <c r="U36" i="12"/>
  <c r="T36" i="12"/>
  <c r="S36" i="12"/>
  <c r="R36" i="12"/>
  <c r="Q36" i="12"/>
  <c r="P36" i="12"/>
  <c r="O36" i="12"/>
  <c r="N36" i="12"/>
  <c r="M36" i="12"/>
  <c r="BP35" i="12" s="1"/>
  <c r="L36" i="12"/>
  <c r="K36" i="12"/>
  <c r="J36" i="12"/>
  <c r="I36" i="12"/>
  <c r="H36" i="12"/>
  <c r="G36" i="12"/>
  <c r="F36" i="12"/>
  <c r="E36" i="12"/>
  <c r="D36" i="12"/>
  <c r="BO35" i="12" s="1"/>
  <c r="BK35" i="12"/>
  <c r="BU34" i="12" s="1"/>
  <c r="BJ35" i="12"/>
  <c r="BI35" i="12"/>
  <c r="BH35" i="12"/>
  <c r="BG35" i="12"/>
  <c r="BF35" i="12"/>
  <c r="BE35" i="12"/>
  <c r="BD35" i="12"/>
  <c r="BC35" i="12"/>
  <c r="BB35" i="12"/>
  <c r="BA35" i="12"/>
  <c r="BT34" i="12" s="1"/>
  <c r="AZ35" i="12"/>
  <c r="AY35" i="12"/>
  <c r="AX35" i="12"/>
  <c r="AW35" i="12"/>
  <c r="AV35" i="12"/>
  <c r="AU35" i="12"/>
  <c r="AT35" i="12"/>
  <c r="AS35" i="12"/>
  <c r="AR35" i="12"/>
  <c r="AQ35" i="12"/>
  <c r="BS34" i="12" s="1"/>
  <c r="AP35" i="12"/>
  <c r="AO35" i="12"/>
  <c r="AN35" i="12"/>
  <c r="AM35" i="12"/>
  <c r="AL35" i="12"/>
  <c r="AK35" i="12"/>
  <c r="AJ35" i="12"/>
  <c r="AI35" i="12"/>
  <c r="AH35" i="12"/>
  <c r="AG35" i="12"/>
  <c r="BR34" i="12" s="1"/>
  <c r="AF35" i="12"/>
  <c r="AE35" i="12"/>
  <c r="AD35" i="12"/>
  <c r="AC35" i="12"/>
  <c r="AB35" i="12"/>
  <c r="AA35" i="12"/>
  <c r="Z35" i="12"/>
  <c r="Y35" i="12"/>
  <c r="X35" i="12"/>
  <c r="W35" i="12"/>
  <c r="BQ34" i="12" s="1"/>
  <c r="V35" i="12"/>
  <c r="U35" i="12"/>
  <c r="T35" i="12"/>
  <c r="S35" i="12"/>
  <c r="R35" i="12"/>
  <c r="Q35" i="12"/>
  <c r="P35" i="12"/>
  <c r="O35" i="12"/>
  <c r="N35" i="12"/>
  <c r="M35" i="12"/>
  <c r="BP34" i="12" s="1"/>
  <c r="L35" i="12"/>
  <c r="K35" i="12"/>
  <c r="J35" i="12"/>
  <c r="I35" i="12"/>
  <c r="H35" i="12"/>
  <c r="G35" i="12"/>
  <c r="F35" i="12"/>
  <c r="E35" i="12"/>
  <c r="D35" i="12"/>
  <c r="BO34" i="12" s="1"/>
  <c r="BK34" i="12"/>
  <c r="BU33" i="12" s="1"/>
  <c r="BJ34" i="12"/>
  <c r="BI34" i="12"/>
  <c r="BH34" i="12"/>
  <c r="BG34" i="12"/>
  <c r="BF34" i="12"/>
  <c r="BE34" i="12"/>
  <c r="BD34" i="12"/>
  <c r="BC34" i="12"/>
  <c r="BB34" i="12"/>
  <c r="BA34" i="12"/>
  <c r="BT33" i="12" s="1"/>
  <c r="AZ34" i="12"/>
  <c r="AY34" i="12"/>
  <c r="AX34" i="12"/>
  <c r="AW34" i="12"/>
  <c r="AV34" i="12"/>
  <c r="AU34" i="12"/>
  <c r="AT34" i="12"/>
  <c r="AS34" i="12"/>
  <c r="AR34" i="12"/>
  <c r="AQ34" i="12"/>
  <c r="BS33" i="12" s="1"/>
  <c r="AP34" i="12"/>
  <c r="AO34" i="12"/>
  <c r="AN34" i="12"/>
  <c r="AM34" i="12"/>
  <c r="AL34" i="12"/>
  <c r="AK34" i="12"/>
  <c r="AJ34" i="12"/>
  <c r="AI34" i="12"/>
  <c r="AH34" i="12"/>
  <c r="AG34" i="12"/>
  <c r="BR33" i="12" s="1"/>
  <c r="AF34" i="12"/>
  <c r="AE34" i="12"/>
  <c r="AD34" i="12"/>
  <c r="AC34" i="12"/>
  <c r="AB34" i="12"/>
  <c r="AA34" i="12"/>
  <c r="Z34" i="12"/>
  <c r="Y34" i="12"/>
  <c r="X34" i="12"/>
  <c r="W34" i="12"/>
  <c r="BQ33" i="12" s="1"/>
  <c r="V34" i="12"/>
  <c r="U34" i="12"/>
  <c r="T34" i="12"/>
  <c r="S34" i="12"/>
  <c r="R34" i="12"/>
  <c r="Q34" i="12"/>
  <c r="P34" i="12"/>
  <c r="O34" i="12"/>
  <c r="N34" i="12"/>
  <c r="M34" i="12"/>
  <c r="BP33" i="12" s="1"/>
  <c r="L34" i="12"/>
  <c r="K34" i="12"/>
  <c r="J34" i="12"/>
  <c r="I34" i="12"/>
  <c r="H34" i="12"/>
  <c r="G34" i="12"/>
  <c r="F34" i="12"/>
  <c r="E34" i="12"/>
  <c r="D34" i="12"/>
  <c r="BO33" i="12" s="1"/>
  <c r="BK32" i="12"/>
  <c r="BU32" i="12" s="1"/>
  <c r="BJ32" i="12"/>
  <c r="BI32" i="12"/>
  <c r="BH32" i="12"/>
  <c r="BG32" i="12"/>
  <c r="BF32" i="12"/>
  <c r="BE32" i="12"/>
  <c r="BD32" i="12"/>
  <c r="BC32" i="12"/>
  <c r="BB32" i="12"/>
  <c r="BA32" i="12"/>
  <c r="BT32" i="12" s="1"/>
  <c r="AZ32" i="12"/>
  <c r="AY32" i="12"/>
  <c r="AX32" i="12"/>
  <c r="AW32" i="12"/>
  <c r="AV32" i="12"/>
  <c r="AU32" i="12"/>
  <c r="AT32" i="12"/>
  <c r="AS32" i="12"/>
  <c r="AR32" i="12"/>
  <c r="AQ32" i="12"/>
  <c r="BS32" i="12" s="1"/>
  <c r="AP32" i="12"/>
  <c r="AO32" i="12"/>
  <c r="AN32" i="12"/>
  <c r="AM32" i="12"/>
  <c r="AL32" i="12"/>
  <c r="AK32" i="12"/>
  <c r="AJ32" i="12"/>
  <c r="AI32" i="12"/>
  <c r="AH32" i="12"/>
  <c r="AG32" i="12"/>
  <c r="BR32" i="12" s="1"/>
  <c r="AF32" i="12"/>
  <c r="AE32" i="12"/>
  <c r="AD32" i="12"/>
  <c r="AC32" i="12"/>
  <c r="AB32" i="12"/>
  <c r="AA32" i="12"/>
  <c r="Z32" i="12"/>
  <c r="Y32" i="12"/>
  <c r="X32" i="12"/>
  <c r="W32" i="12"/>
  <c r="BQ32" i="12" s="1"/>
  <c r="V32" i="12"/>
  <c r="U32" i="12"/>
  <c r="T32" i="12"/>
  <c r="S32" i="12"/>
  <c r="R32" i="12"/>
  <c r="Q32" i="12"/>
  <c r="P32" i="12"/>
  <c r="O32" i="12"/>
  <c r="N32" i="12"/>
  <c r="M32" i="12"/>
  <c r="BP32" i="12" s="1"/>
  <c r="L32" i="12"/>
  <c r="K32" i="12"/>
  <c r="J32" i="12"/>
  <c r="I32" i="12"/>
  <c r="H32" i="12"/>
  <c r="G32" i="12"/>
  <c r="F32" i="12"/>
  <c r="E32" i="12"/>
  <c r="D32" i="12"/>
  <c r="BO32" i="12" s="1"/>
  <c r="BK31" i="12"/>
  <c r="BU31" i="12" s="1"/>
  <c r="BJ31" i="12"/>
  <c r="BI31" i="12"/>
  <c r="BH31" i="12"/>
  <c r="BG31" i="12"/>
  <c r="BF31" i="12"/>
  <c r="BE31" i="12"/>
  <c r="BD31" i="12"/>
  <c r="BC31" i="12"/>
  <c r="BB31" i="12"/>
  <c r="BA31" i="12"/>
  <c r="BT31" i="12" s="1"/>
  <c r="AZ31" i="12"/>
  <c r="AY31" i="12"/>
  <c r="AX31" i="12"/>
  <c r="AW31" i="12"/>
  <c r="AV31" i="12"/>
  <c r="AU31" i="12"/>
  <c r="AT31" i="12"/>
  <c r="AS31" i="12"/>
  <c r="AR31" i="12"/>
  <c r="AQ31" i="12"/>
  <c r="BS31" i="12" s="1"/>
  <c r="AP31" i="12"/>
  <c r="AO31" i="12"/>
  <c r="AN31" i="12"/>
  <c r="AM31" i="12"/>
  <c r="AL31" i="12"/>
  <c r="AK31" i="12"/>
  <c r="AJ31" i="12"/>
  <c r="AI31" i="12"/>
  <c r="AH31" i="12"/>
  <c r="AG31" i="12"/>
  <c r="BR31" i="12" s="1"/>
  <c r="AF31" i="12"/>
  <c r="AE31" i="12"/>
  <c r="AD31" i="12"/>
  <c r="AC31" i="12"/>
  <c r="AB31" i="12"/>
  <c r="AA31" i="12"/>
  <c r="Z31" i="12"/>
  <c r="Y31" i="12"/>
  <c r="X31" i="12"/>
  <c r="W31" i="12"/>
  <c r="BQ31" i="12" s="1"/>
  <c r="V31" i="12"/>
  <c r="U31" i="12"/>
  <c r="T31" i="12"/>
  <c r="S31" i="12"/>
  <c r="R31" i="12"/>
  <c r="Q31" i="12"/>
  <c r="P31" i="12"/>
  <c r="O31" i="12"/>
  <c r="N31" i="12"/>
  <c r="M31" i="12"/>
  <c r="BP31" i="12" s="1"/>
  <c r="L31" i="12"/>
  <c r="K31" i="12"/>
  <c r="J31" i="12"/>
  <c r="I31" i="12"/>
  <c r="H31" i="12"/>
  <c r="G31" i="12"/>
  <c r="F31" i="12"/>
  <c r="E31" i="12"/>
  <c r="D31" i="12"/>
  <c r="BO31" i="12" s="1"/>
  <c r="BK30" i="12"/>
  <c r="BU30" i="12" s="1"/>
  <c r="BJ30" i="12"/>
  <c r="BI30" i="12"/>
  <c r="BH30" i="12"/>
  <c r="BG30" i="12"/>
  <c r="BF30" i="12"/>
  <c r="BE30" i="12"/>
  <c r="BD30" i="12"/>
  <c r="BC30" i="12"/>
  <c r="BB30" i="12"/>
  <c r="BA30" i="12"/>
  <c r="BT30" i="12" s="1"/>
  <c r="AZ30" i="12"/>
  <c r="AY30" i="12"/>
  <c r="AX30" i="12"/>
  <c r="AW30" i="12"/>
  <c r="AV30" i="12"/>
  <c r="AU30" i="12"/>
  <c r="AT30" i="12"/>
  <c r="AS30" i="12"/>
  <c r="AR30" i="12"/>
  <c r="AQ30" i="12"/>
  <c r="BS30" i="12" s="1"/>
  <c r="AP30" i="12"/>
  <c r="AO30" i="12"/>
  <c r="AN30" i="12"/>
  <c r="AM30" i="12"/>
  <c r="AL30" i="12"/>
  <c r="AK30" i="12"/>
  <c r="AJ30" i="12"/>
  <c r="AI30" i="12"/>
  <c r="AH30" i="12"/>
  <c r="AG30" i="12"/>
  <c r="BR30" i="12" s="1"/>
  <c r="AF30" i="12"/>
  <c r="AE30" i="12"/>
  <c r="AD30" i="12"/>
  <c r="AC30" i="12"/>
  <c r="AB30" i="12"/>
  <c r="AA30" i="12"/>
  <c r="Z30" i="12"/>
  <c r="Y30" i="12"/>
  <c r="X30" i="12"/>
  <c r="W30" i="12"/>
  <c r="BQ30" i="12" s="1"/>
  <c r="V30" i="12"/>
  <c r="U30" i="12"/>
  <c r="T30" i="12"/>
  <c r="S30" i="12"/>
  <c r="R30" i="12"/>
  <c r="Q30" i="12"/>
  <c r="P30" i="12"/>
  <c r="O30" i="12"/>
  <c r="N30" i="12"/>
  <c r="M30" i="12"/>
  <c r="BP30" i="12" s="1"/>
  <c r="L30" i="12"/>
  <c r="K30" i="12"/>
  <c r="J30" i="12"/>
  <c r="I30" i="12"/>
  <c r="H30" i="12"/>
  <c r="G30" i="12"/>
  <c r="F30" i="12"/>
  <c r="E30" i="12"/>
  <c r="D30" i="12"/>
  <c r="BO30" i="12" s="1"/>
  <c r="BK29" i="12"/>
  <c r="BU29" i="12" s="1"/>
  <c r="BJ29" i="12"/>
  <c r="BI29" i="12"/>
  <c r="BH29" i="12"/>
  <c r="BG29" i="12"/>
  <c r="BF29" i="12"/>
  <c r="BE29" i="12"/>
  <c r="BD29" i="12"/>
  <c r="BC29" i="12"/>
  <c r="BB29" i="12"/>
  <c r="BA29" i="12"/>
  <c r="BT29" i="12" s="1"/>
  <c r="AZ29" i="12"/>
  <c r="AY29" i="12"/>
  <c r="AX29" i="12"/>
  <c r="AW29" i="12"/>
  <c r="AV29" i="12"/>
  <c r="AU29" i="12"/>
  <c r="AT29" i="12"/>
  <c r="AS29" i="12"/>
  <c r="AR29" i="12"/>
  <c r="AQ29" i="12"/>
  <c r="BS29" i="12" s="1"/>
  <c r="AP29" i="12"/>
  <c r="AO29" i="12"/>
  <c r="AN29" i="12"/>
  <c r="AM29" i="12"/>
  <c r="AL29" i="12"/>
  <c r="AK29" i="12"/>
  <c r="AJ29" i="12"/>
  <c r="AI29" i="12"/>
  <c r="AH29" i="12"/>
  <c r="AG29" i="12"/>
  <c r="BR29" i="12" s="1"/>
  <c r="AF29" i="12"/>
  <c r="AE29" i="12"/>
  <c r="AD29" i="12"/>
  <c r="AC29" i="12"/>
  <c r="AB29" i="12"/>
  <c r="AA29" i="12"/>
  <c r="Z29" i="12"/>
  <c r="Y29" i="12"/>
  <c r="X29" i="12"/>
  <c r="W29" i="12"/>
  <c r="BQ29" i="12" s="1"/>
  <c r="V29" i="12"/>
  <c r="U29" i="12"/>
  <c r="T29" i="12"/>
  <c r="S29" i="12"/>
  <c r="R29" i="12"/>
  <c r="Q29" i="12"/>
  <c r="P29" i="12"/>
  <c r="O29" i="12"/>
  <c r="N29" i="12"/>
  <c r="M29" i="12"/>
  <c r="BP29" i="12" s="1"/>
  <c r="L29" i="12"/>
  <c r="K29" i="12"/>
  <c r="J29" i="12"/>
  <c r="I29" i="12"/>
  <c r="H29" i="12"/>
  <c r="G29" i="12"/>
  <c r="F29" i="12"/>
  <c r="E29" i="12"/>
  <c r="D29" i="12"/>
  <c r="BO29" i="12" s="1"/>
  <c r="BK28" i="12"/>
  <c r="BU28" i="12" s="1"/>
  <c r="BJ28" i="12"/>
  <c r="BI28" i="12"/>
  <c r="BH28" i="12"/>
  <c r="BG28" i="12"/>
  <c r="BF28" i="12"/>
  <c r="BE28" i="12"/>
  <c r="BD28" i="12"/>
  <c r="BC28" i="12"/>
  <c r="BB28" i="12"/>
  <c r="BA28" i="12"/>
  <c r="BT28" i="12" s="1"/>
  <c r="AZ28" i="12"/>
  <c r="AY28" i="12"/>
  <c r="AX28" i="12"/>
  <c r="AW28" i="12"/>
  <c r="AV28" i="12"/>
  <c r="AU28" i="12"/>
  <c r="AT28" i="12"/>
  <c r="AS28" i="12"/>
  <c r="AR28" i="12"/>
  <c r="AQ28" i="12"/>
  <c r="BS28" i="12" s="1"/>
  <c r="AP28" i="12"/>
  <c r="AO28" i="12"/>
  <c r="AN28" i="12"/>
  <c r="AM28" i="12"/>
  <c r="AL28" i="12"/>
  <c r="AK28" i="12"/>
  <c r="AJ28" i="12"/>
  <c r="AI28" i="12"/>
  <c r="AH28" i="12"/>
  <c r="AG28" i="12"/>
  <c r="BR28" i="12" s="1"/>
  <c r="AF28" i="12"/>
  <c r="AE28" i="12"/>
  <c r="AD28" i="12"/>
  <c r="AC28" i="12"/>
  <c r="AB28" i="12"/>
  <c r="AA28" i="12"/>
  <c r="Z28" i="12"/>
  <c r="Y28" i="12"/>
  <c r="X28" i="12"/>
  <c r="W28" i="12"/>
  <c r="BQ28" i="12" s="1"/>
  <c r="V28" i="12"/>
  <c r="U28" i="12"/>
  <c r="T28" i="12"/>
  <c r="S28" i="12"/>
  <c r="R28" i="12"/>
  <c r="Q28" i="12"/>
  <c r="P28" i="12"/>
  <c r="O28" i="12"/>
  <c r="N28" i="12"/>
  <c r="M28" i="12"/>
  <c r="BP28" i="12" s="1"/>
  <c r="L28" i="12"/>
  <c r="K28" i="12"/>
  <c r="J28" i="12"/>
  <c r="I28" i="12"/>
  <c r="H28" i="12"/>
  <c r="G28" i="12"/>
  <c r="F28" i="12"/>
  <c r="E28" i="12"/>
  <c r="D28" i="12"/>
  <c r="BO28" i="12" s="1"/>
  <c r="BK27" i="12"/>
  <c r="BU27" i="12" s="1"/>
  <c r="BJ27" i="12"/>
  <c r="BI27" i="12"/>
  <c r="BH27" i="12"/>
  <c r="BG27" i="12"/>
  <c r="BF27" i="12"/>
  <c r="BE27" i="12"/>
  <c r="BD27" i="12"/>
  <c r="BC27" i="12"/>
  <c r="BB27" i="12"/>
  <c r="BA27" i="12"/>
  <c r="BT27" i="12" s="1"/>
  <c r="AZ27" i="12"/>
  <c r="AY27" i="12"/>
  <c r="AX27" i="12"/>
  <c r="AW27" i="12"/>
  <c r="AV27" i="12"/>
  <c r="AU27" i="12"/>
  <c r="AT27" i="12"/>
  <c r="AS27" i="12"/>
  <c r="AR27" i="12"/>
  <c r="AQ27" i="12"/>
  <c r="BS27" i="12" s="1"/>
  <c r="AP27" i="12"/>
  <c r="AO27" i="12"/>
  <c r="AN27" i="12"/>
  <c r="AM27" i="12"/>
  <c r="AL27" i="12"/>
  <c r="AK27" i="12"/>
  <c r="AJ27" i="12"/>
  <c r="AI27" i="12"/>
  <c r="AH27" i="12"/>
  <c r="AG27" i="12"/>
  <c r="BR27" i="12" s="1"/>
  <c r="AF27" i="12"/>
  <c r="AE27" i="12"/>
  <c r="AD27" i="12"/>
  <c r="AC27" i="12"/>
  <c r="AB27" i="12"/>
  <c r="AA27" i="12"/>
  <c r="Z27" i="12"/>
  <c r="Y27" i="12"/>
  <c r="X27" i="12"/>
  <c r="W27" i="12"/>
  <c r="BQ27" i="12" s="1"/>
  <c r="V27" i="12"/>
  <c r="U27" i="12"/>
  <c r="T27" i="12"/>
  <c r="S27" i="12"/>
  <c r="R27" i="12"/>
  <c r="Q27" i="12"/>
  <c r="P27" i="12"/>
  <c r="O27" i="12"/>
  <c r="N27" i="12"/>
  <c r="M27" i="12"/>
  <c r="BP27" i="12" s="1"/>
  <c r="L27" i="12"/>
  <c r="K27" i="12"/>
  <c r="J27" i="12"/>
  <c r="I27" i="12"/>
  <c r="H27" i="12"/>
  <c r="G27" i="12"/>
  <c r="F27" i="12"/>
  <c r="E27" i="12"/>
  <c r="D27" i="12"/>
  <c r="BO27" i="12" s="1"/>
  <c r="BK26" i="12"/>
  <c r="BU26" i="12" s="1"/>
  <c r="BJ26" i="12"/>
  <c r="BI26" i="12"/>
  <c r="BH26" i="12"/>
  <c r="BG26" i="12"/>
  <c r="BF26" i="12"/>
  <c r="BE26" i="12"/>
  <c r="BD26" i="12"/>
  <c r="BC26" i="12"/>
  <c r="BB26" i="12"/>
  <c r="BA26" i="12"/>
  <c r="BT26" i="12" s="1"/>
  <c r="AZ26" i="12"/>
  <c r="AY26" i="12"/>
  <c r="AX26" i="12"/>
  <c r="AW26" i="12"/>
  <c r="AV26" i="12"/>
  <c r="AU26" i="12"/>
  <c r="AT26" i="12"/>
  <c r="AS26" i="12"/>
  <c r="AR26" i="12"/>
  <c r="AQ26" i="12"/>
  <c r="BS26" i="12" s="1"/>
  <c r="AP26" i="12"/>
  <c r="AO26" i="12"/>
  <c r="AN26" i="12"/>
  <c r="AM26" i="12"/>
  <c r="AL26" i="12"/>
  <c r="AK26" i="12"/>
  <c r="AJ26" i="12"/>
  <c r="AI26" i="12"/>
  <c r="AH26" i="12"/>
  <c r="AG26" i="12"/>
  <c r="BR26" i="12" s="1"/>
  <c r="AF26" i="12"/>
  <c r="AE26" i="12"/>
  <c r="AD26" i="12"/>
  <c r="AC26" i="12"/>
  <c r="AB26" i="12"/>
  <c r="AA26" i="12"/>
  <c r="Z26" i="12"/>
  <c r="Y26" i="12"/>
  <c r="X26" i="12"/>
  <c r="W26" i="12"/>
  <c r="BQ26" i="12" s="1"/>
  <c r="V26" i="12"/>
  <c r="U26" i="12"/>
  <c r="T26" i="12"/>
  <c r="S26" i="12"/>
  <c r="R26" i="12"/>
  <c r="Q26" i="12"/>
  <c r="P26" i="12"/>
  <c r="O26" i="12"/>
  <c r="N26" i="12"/>
  <c r="M26" i="12"/>
  <c r="BP26" i="12" s="1"/>
  <c r="L26" i="12"/>
  <c r="K26" i="12"/>
  <c r="J26" i="12"/>
  <c r="I26" i="12"/>
  <c r="H26" i="12"/>
  <c r="G26" i="12"/>
  <c r="F26" i="12"/>
  <c r="E26" i="12"/>
  <c r="D26" i="12"/>
  <c r="BO26" i="12" s="1"/>
  <c r="BK24" i="12"/>
  <c r="BJ24" i="12"/>
  <c r="BI24" i="12"/>
  <c r="BH24" i="12"/>
  <c r="BG24" i="12"/>
  <c r="BF24" i="12"/>
  <c r="BE24" i="12"/>
  <c r="BD24" i="12"/>
  <c r="BC24" i="12"/>
  <c r="BB24" i="12"/>
  <c r="BA24" i="12"/>
  <c r="BT23" i="12" s="1"/>
  <c r="AZ24" i="12"/>
  <c r="AY24" i="12"/>
  <c r="AX24" i="12"/>
  <c r="AW24" i="12"/>
  <c r="AV24" i="12"/>
  <c r="AU24" i="12"/>
  <c r="AT24" i="12"/>
  <c r="AS24" i="12"/>
  <c r="AR24" i="12"/>
  <c r="AQ24" i="12"/>
  <c r="BS23" i="12" s="1"/>
  <c r="AP24" i="12"/>
  <c r="AO24" i="12"/>
  <c r="AN24" i="12"/>
  <c r="AM24" i="12"/>
  <c r="AL24" i="12"/>
  <c r="AK24" i="12"/>
  <c r="AJ24" i="12"/>
  <c r="AI24" i="12"/>
  <c r="AH24" i="12"/>
  <c r="AG24" i="12"/>
  <c r="BR23" i="12" s="1"/>
  <c r="AF24" i="12"/>
  <c r="AE24" i="12"/>
  <c r="AD24" i="12"/>
  <c r="AC24" i="12"/>
  <c r="AB24" i="12"/>
  <c r="AA24" i="12"/>
  <c r="Z24" i="12"/>
  <c r="Y24" i="12"/>
  <c r="X24" i="12"/>
  <c r="W24" i="12"/>
  <c r="BQ23" i="12" s="1"/>
  <c r="V24" i="12"/>
  <c r="U24" i="12"/>
  <c r="T24" i="12"/>
  <c r="S24" i="12"/>
  <c r="R24" i="12"/>
  <c r="Q24" i="12"/>
  <c r="P24" i="12"/>
  <c r="O24" i="12"/>
  <c r="N24" i="12"/>
  <c r="M24" i="12"/>
  <c r="BP23" i="12" s="1"/>
  <c r="L24" i="12"/>
  <c r="K24" i="12"/>
  <c r="J24" i="12"/>
  <c r="I24" i="12"/>
  <c r="H24" i="12"/>
  <c r="G24" i="12"/>
  <c r="F24" i="12"/>
  <c r="E24" i="12"/>
  <c r="D24" i="12"/>
  <c r="BO23" i="12" s="1"/>
  <c r="BK23" i="12"/>
  <c r="BJ23" i="12"/>
  <c r="BI23" i="12"/>
  <c r="BH23" i="12"/>
  <c r="BG23" i="12"/>
  <c r="BF23" i="12"/>
  <c r="BE23" i="12"/>
  <c r="BD23" i="12"/>
  <c r="BC23" i="12"/>
  <c r="BB23" i="12"/>
  <c r="BA23" i="12"/>
  <c r="BT22" i="12" s="1"/>
  <c r="AZ23" i="12"/>
  <c r="AY23" i="12"/>
  <c r="AX23" i="12"/>
  <c r="AW23" i="12"/>
  <c r="AV23" i="12"/>
  <c r="AU23" i="12"/>
  <c r="AT23" i="12"/>
  <c r="AS23" i="12"/>
  <c r="AR23" i="12"/>
  <c r="AQ23" i="12"/>
  <c r="BS22" i="12" s="1"/>
  <c r="AP23" i="12"/>
  <c r="AO23" i="12"/>
  <c r="AN23" i="12"/>
  <c r="AM23" i="12"/>
  <c r="AL23" i="12"/>
  <c r="AK23" i="12"/>
  <c r="AJ23" i="12"/>
  <c r="AI23" i="12"/>
  <c r="AH23" i="12"/>
  <c r="AG23" i="12"/>
  <c r="BR22" i="12" s="1"/>
  <c r="AF23" i="12"/>
  <c r="AE23" i="12"/>
  <c r="AD23" i="12"/>
  <c r="AC23" i="12"/>
  <c r="AB23" i="12"/>
  <c r="AA23" i="12"/>
  <c r="Z23" i="12"/>
  <c r="Y23" i="12"/>
  <c r="X23" i="12"/>
  <c r="W23" i="12"/>
  <c r="BQ22" i="12" s="1"/>
  <c r="V23" i="12"/>
  <c r="U23" i="12"/>
  <c r="T23" i="12"/>
  <c r="S23" i="12"/>
  <c r="R23" i="12"/>
  <c r="Q23" i="12"/>
  <c r="P23" i="12"/>
  <c r="O23" i="12"/>
  <c r="N23" i="12"/>
  <c r="M23" i="12"/>
  <c r="BP22" i="12" s="1"/>
  <c r="L23" i="12"/>
  <c r="K23" i="12"/>
  <c r="J23" i="12"/>
  <c r="I23" i="12"/>
  <c r="H23" i="12"/>
  <c r="G23" i="12"/>
  <c r="F23" i="12"/>
  <c r="E23" i="12"/>
  <c r="D23" i="12"/>
  <c r="BO22" i="12" s="1"/>
  <c r="BK22" i="12"/>
  <c r="BJ22" i="12"/>
  <c r="BI22" i="12"/>
  <c r="BH22" i="12"/>
  <c r="BG22" i="12"/>
  <c r="BF22" i="12"/>
  <c r="BE22" i="12"/>
  <c r="BD22" i="12"/>
  <c r="BC22" i="12"/>
  <c r="BB22" i="12"/>
  <c r="BA22" i="12"/>
  <c r="BT21" i="12" s="1"/>
  <c r="AZ22" i="12"/>
  <c r="AY22" i="12"/>
  <c r="AX22" i="12"/>
  <c r="AW22" i="12"/>
  <c r="AV22" i="12"/>
  <c r="AU22" i="12"/>
  <c r="AT22" i="12"/>
  <c r="AS22" i="12"/>
  <c r="AR22" i="12"/>
  <c r="AQ22" i="12"/>
  <c r="BS21" i="12" s="1"/>
  <c r="AP22" i="12"/>
  <c r="AO22" i="12"/>
  <c r="AN22" i="12"/>
  <c r="AM22" i="12"/>
  <c r="AL22" i="12"/>
  <c r="AK22" i="12"/>
  <c r="AJ22" i="12"/>
  <c r="AI22" i="12"/>
  <c r="AH22" i="12"/>
  <c r="AG22" i="12"/>
  <c r="BR21" i="12" s="1"/>
  <c r="AF22" i="12"/>
  <c r="AE22" i="12"/>
  <c r="AD22" i="12"/>
  <c r="AC22" i="12"/>
  <c r="AB22" i="12"/>
  <c r="AA22" i="12"/>
  <c r="Z22" i="12"/>
  <c r="Y22" i="12"/>
  <c r="X22" i="12"/>
  <c r="W22" i="12"/>
  <c r="BQ21" i="12" s="1"/>
  <c r="V22" i="12"/>
  <c r="U22" i="12"/>
  <c r="T22" i="12"/>
  <c r="S22" i="12"/>
  <c r="R22" i="12"/>
  <c r="Q22" i="12"/>
  <c r="P22" i="12"/>
  <c r="O22" i="12"/>
  <c r="N22" i="12"/>
  <c r="M22" i="12"/>
  <c r="BP21" i="12" s="1"/>
  <c r="L22" i="12"/>
  <c r="K22" i="12"/>
  <c r="J22" i="12"/>
  <c r="I22" i="12"/>
  <c r="H22" i="12"/>
  <c r="G22" i="12"/>
  <c r="F22" i="12"/>
  <c r="E22" i="12"/>
  <c r="D22" i="12"/>
  <c r="BO21" i="12" s="1"/>
  <c r="BK21" i="12"/>
  <c r="BJ21" i="12"/>
  <c r="BI21" i="12"/>
  <c r="BH21" i="12"/>
  <c r="BG21" i="12"/>
  <c r="BF21" i="12"/>
  <c r="BE21" i="12"/>
  <c r="BD21" i="12"/>
  <c r="BC21" i="12"/>
  <c r="BB21" i="12"/>
  <c r="BA21" i="12"/>
  <c r="BT20" i="12" s="1"/>
  <c r="AZ21" i="12"/>
  <c r="AY21" i="12"/>
  <c r="AX21" i="12"/>
  <c r="AW21" i="12"/>
  <c r="AV21" i="12"/>
  <c r="AU21" i="12"/>
  <c r="AT21" i="12"/>
  <c r="AS21" i="12"/>
  <c r="AR21" i="12"/>
  <c r="AQ21" i="12"/>
  <c r="BS20" i="12" s="1"/>
  <c r="AP21" i="12"/>
  <c r="AO21" i="12"/>
  <c r="AN21" i="12"/>
  <c r="AM21" i="12"/>
  <c r="AL21" i="12"/>
  <c r="AK21" i="12"/>
  <c r="AJ21" i="12"/>
  <c r="AI21" i="12"/>
  <c r="AH21" i="12"/>
  <c r="AG21" i="12"/>
  <c r="BR20" i="12" s="1"/>
  <c r="AF21" i="12"/>
  <c r="AE21" i="12"/>
  <c r="AD21" i="12"/>
  <c r="AC21" i="12"/>
  <c r="AB21" i="12"/>
  <c r="AA21" i="12"/>
  <c r="Z21" i="12"/>
  <c r="Y21" i="12"/>
  <c r="X21" i="12"/>
  <c r="W21" i="12"/>
  <c r="BQ20" i="12" s="1"/>
  <c r="V21" i="12"/>
  <c r="U21" i="12"/>
  <c r="T21" i="12"/>
  <c r="S21" i="12"/>
  <c r="R21" i="12"/>
  <c r="Q21" i="12"/>
  <c r="P21" i="12"/>
  <c r="O21" i="12"/>
  <c r="N21" i="12"/>
  <c r="M21" i="12"/>
  <c r="BP20" i="12" s="1"/>
  <c r="L21" i="12"/>
  <c r="K21" i="12"/>
  <c r="J21" i="12"/>
  <c r="I21" i="12"/>
  <c r="H21" i="12"/>
  <c r="G21" i="12"/>
  <c r="F21" i="12"/>
  <c r="E21" i="12"/>
  <c r="D21" i="12"/>
  <c r="BO20" i="12" s="1"/>
  <c r="BK20" i="12"/>
  <c r="BJ20" i="12"/>
  <c r="BI20" i="12"/>
  <c r="BH20" i="12"/>
  <c r="BG20" i="12"/>
  <c r="BF20" i="12"/>
  <c r="BE20" i="12"/>
  <c r="BD20" i="12"/>
  <c r="BC20" i="12"/>
  <c r="BB20" i="12"/>
  <c r="BA20" i="12"/>
  <c r="BT19" i="12" s="1"/>
  <c r="AZ20" i="12"/>
  <c r="AY20" i="12"/>
  <c r="AX20" i="12"/>
  <c r="AW20" i="12"/>
  <c r="AV20" i="12"/>
  <c r="AU20" i="12"/>
  <c r="AT20" i="12"/>
  <c r="AS20" i="12"/>
  <c r="AR20" i="12"/>
  <c r="AQ20" i="12"/>
  <c r="BS19" i="12" s="1"/>
  <c r="AP20" i="12"/>
  <c r="AO20" i="12"/>
  <c r="AN20" i="12"/>
  <c r="AM20" i="12"/>
  <c r="AL20" i="12"/>
  <c r="AK20" i="12"/>
  <c r="AJ20" i="12"/>
  <c r="AI20" i="12"/>
  <c r="AH20" i="12"/>
  <c r="AG20" i="12"/>
  <c r="BR19" i="12" s="1"/>
  <c r="AF20" i="12"/>
  <c r="AE20" i="12"/>
  <c r="AD20" i="12"/>
  <c r="AC20" i="12"/>
  <c r="AB20" i="12"/>
  <c r="AA20" i="12"/>
  <c r="Z20" i="12"/>
  <c r="Y20" i="12"/>
  <c r="X20" i="12"/>
  <c r="W20" i="12"/>
  <c r="BQ19" i="12" s="1"/>
  <c r="V20" i="12"/>
  <c r="U20" i="12"/>
  <c r="T20" i="12"/>
  <c r="S20" i="12"/>
  <c r="R20" i="12"/>
  <c r="Q20" i="12"/>
  <c r="P20" i="12"/>
  <c r="O20" i="12"/>
  <c r="N20" i="12"/>
  <c r="M20" i="12"/>
  <c r="BP19" i="12" s="1"/>
  <c r="L20" i="12"/>
  <c r="K20" i="12"/>
  <c r="J20" i="12"/>
  <c r="I20" i="12"/>
  <c r="H20" i="12"/>
  <c r="G20" i="12"/>
  <c r="F20" i="12"/>
  <c r="E20" i="12"/>
  <c r="D20" i="12"/>
  <c r="BO19" i="12" s="1"/>
  <c r="BK19" i="12"/>
  <c r="BJ19" i="12"/>
  <c r="BI19" i="12"/>
  <c r="BH19" i="12"/>
  <c r="BG19" i="12"/>
  <c r="BF19" i="12"/>
  <c r="BE19" i="12"/>
  <c r="BD19" i="12"/>
  <c r="BC19" i="12"/>
  <c r="BB19" i="12"/>
  <c r="BA19" i="12"/>
  <c r="BT18" i="12" s="1"/>
  <c r="AZ19" i="12"/>
  <c r="AY19" i="12"/>
  <c r="AX19" i="12"/>
  <c r="AW19" i="12"/>
  <c r="AV19" i="12"/>
  <c r="AU19" i="12"/>
  <c r="AT19" i="12"/>
  <c r="AS19" i="12"/>
  <c r="AR19" i="12"/>
  <c r="AQ19" i="12"/>
  <c r="BS18" i="12" s="1"/>
  <c r="AP19" i="12"/>
  <c r="AO19" i="12"/>
  <c r="AN19" i="12"/>
  <c r="AM19" i="12"/>
  <c r="AL19" i="12"/>
  <c r="AK19" i="12"/>
  <c r="AJ19" i="12"/>
  <c r="AI19" i="12"/>
  <c r="AH19" i="12"/>
  <c r="AG19" i="12"/>
  <c r="BR18" i="12" s="1"/>
  <c r="AF19" i="12"/>
  <c r="AE19" i="12"/>
  <c r="AD19" i="12"/>
  <c r="AC19" i="12"/>
  <c r="AB19" i="12"/>
  <c r="AA19" i="12"/>
  <c r="Z19" i="12"/>
  <c r="Y19" i="12"/>
  <c r="X19" i="12"/>
  <c r="W19" i="12"/>
  <c r="BQ18" i="12" s="1"/>
  <c r="V19" i="12"/>
  <c r="U19" i="12"/>
  <c r="T19" i="12"/>
  <c r="S19" i="12"/>
  <c r="R19" i="12"/>
  <c r="Q19" i="12"/>
  <c r="P19" i="12"/>
  <c r="O19" i="12"/>
  <c r="N19" i="12"/>
  <c r="M19" i="12"/>
  <c r="BP18" i="12" s="1"/>
  <c r="L19" i="12"/>
  <c r="K19" i="12"/>
  <c r="J19" i="12"/>
  <c r="I19" i="12"/>
  <c r="H19" i="12"/>
  <c r="G19" i="12"/>
  <c r="F19" i="12"/>
  <c r="E19" i="12"/>
  <c r="D19" i="12"/>
  <c r="BO18" i="12" s="1"/>
  <c r="BK18" i="12"/>
  <c r="BJ18" i="12"/>
  <c r="BI18" i="12"/>
  <c r="BH18" i="12"/>
  <c r="BG18" i="12"/>
  <c r="BF18" i="12"/>
  <c r="BE18" i="12"/>
  <c r="BD18" i="12"/>
  <c r="BC18" i="12"/>
  <c r="BB18" i="12"/>
  <c r="BA18" i="12"/>
  <c r="BT17" i="12" s="1"/>
  <c r="AZ18" i="12"/>
  <c r="AY18" i="12"/>
  <c r="AX18" i="12"/>
  <c r="AW18" i="12"/>
  <c r="AV18" i="12"/>
  <c r="AU18" i="12"/>
  <c r="AT18" i="12"/>
  <c r="AS18" i="12"/>
  <c r="AR18" i="12"/>
  <c r="AQ18" i="12"/>
  <c r="BS17" i="12" s="1"/>
  <c r="AP18" i="12"/>
  <c r="AO18" i="12"/>
  <c r="AN18" i="12"/>
  <c r="AM18" i="12"/>
  <c r="AL18" i="12"/>
  <c r="AK18" i="12"/>
  <c r="AJ18" i="12"/>
  <c r="AI18" i="12"/>
  <c r="AH18" i="12"/>
  <c r="AG18" i="12"/>
  <c r="BR17" i="12" s="1"/>
  <c r="AF18" i="12"/>
  <c r="AE18" i="12"/>
  <c r="AD18" i="12"/>
  <c r="AC18" i="12"/>
  <c r="AB18" i="12"/>
  <c r="AA18" i="12"/>
  <c r="Z18" i="12"/>
  <c r="Y18" i="12"/>
  <c r="X18" i="12"/>
  <c r="W18" i="12"/>
  <c r="BQ17" i="12" s="1"/>
  <c r="V18" i="12"/>
  <c r="U18" i="12"/>
  <c r="T18" i="12"/>
  <c r="S18" i="12"/>
  <c r="R18" i="12"/>
  <c r="Q18" i="12"/>
  <c r="P18" i="12"/>
  <c r="O18" i="12"/>
  <c r="N18" i="12"/>
  <c r="M18" i="12"/>
  <c r="L18" i="12"/>
  <c r="K18" i="12"/>
  <c r="J18" i="12"/>
  <c r="I18" i="12"/>
  <c r="H18" i="12"/>
  <c r="G18" i="12"/>
  <c r="F18" i="12"/>
  <c r="E18" i="12"/>
  <c r="D18" i="12"/>
  <c r="BO17" i="12" s="1"/>
  <c r="BK17" i="12"/>
  <c r="BJ17" i="12"/>
  <c r="BI17" i="12"/>
  <c r="BH17" i="12"/>
  <c r="BG17" i="12"/>
  <c r="BF17" i="12"/>
  <c r="BE17" i="12"/>
  <c r="BD17" i="12"/>
  <c r="BC17" i="12"/>
  <c r="BB17" i="12"/>
  <c r="BA17" i="12"/>
  <c r="BT16" i="12" s="1"/>
  <c r="AZ17" i="12"/>
  <c r="AY17" i="12"/>
  <c r="AX17" i="12"/>
  <c r="AW17" i="12"/>
  <c r="AV17" i="12"/>
  <c r="AU17" i="12"/>
  <c r="AT17" i="12"/>
  <c r="AS17" i="12"/>
  <c r="AR17" i="12"/>
  <c r="AQ17" i="12"/>
  <c r="BS16" i="12" s="1"/>
  <c r="AP17" i="12"/>
  <c r="AO17" i="12"/>
  <c r="AN17" i="12"/>
  <c r="AM17" i="12"/>
  <c r="AL17" i="12"/>
  <c r="AK17" i="12"/>
  <c r="AJ17" i="12"/>
  <c r="AI17" i="12"/>
  <c r="AH17" i="12"/>
  <c r="AG17" i="12"/>
  <c r="BR16" i="12" s="1"/>
  <c r="AF17" i="12"/>
  <c r="AE17" i="12"/>
  <c r="AD17" i="12"/>
  <c r="AC17" i="12"/>
  <c r="AB17" i="12"/>
  <c r="AA17" i="12"/>
  <c r="Z17" i="12"/>
  <c r="Y17" i="12"/>
  <c r="X17" i="12"/>
  <c r="W17" i="12"/>
  <c r="BQ16" i="12" s="1"/>
  <c r="V17" i="12"/>
  <c r="U17" i="12"/>
  <c r="T17" i="12"/>
  <c r="S17" i="12"/>
  <c r="R17" i="12"/>
  <c r="Q17" i="12"/>
  <c r="P17" i="12"/>
  <c r="O17" i="12"/>
  <c r="N17" i="12"/>
  <c r="M17" i="12"/>
  <c r="BP16" i="12" s="1"/>
  <c r="L17" i="12"/>
  <c r="K17" i="12"/>
  <c r="J17" i="12"/>
  <c r="I17" i="12"/>
  <c r="H17" i="12"/>
  <c r="G17" i="12"/>
  <c r="F17" i="12"/>
  <c r="E17" i="12"/>
  <c r="D17" i="12"/>
  <c r="BO16" i="12" s="1"/>
  <c r="BK16" i="12"/>
  <c r="BJ16" i="12"/>
  <c r="BI16" i="12"/>
  <c r="BH16" i="12"/>
  <c r="BG16" i="12"/>
  <c r="BF16" i="12"/>
  <c r="BE16" i="12"/>
  <c r="BD16" i="12"/>
  <c r="BC16" i="12"/>
  <c r="BB16" i="12"/>
  <c r="BA16" i="12"/>
  <c r="BT15" i="12" s="1"/>
  <c r="AZ16" i="12"/>
  <c r="AY16" i="12"/>
  <c r="AX16" i="12"/>
  <c r="AW16" i="12"/>
  <c r="AV16" i="12"/>
  <c r="AU16" i="12"/>
  <c r="AT16" i="12"/>
  <c r="AS16" i="12"/>
  <c r="AR16" i="12"/>
  <c r="AQ16" i="12"/>
  <c r="BS15" i="12" s="1"/>
  <c r="AP16" i="12"/>
  <c r="AO16" i="12"/>
  <c r="AN16" i="12"/>
  <c r="AM16" i="12"/>
  <c r="AL16" i="12"/>
  <c r="AK16" i="12"/>
  <c r="AJ16" i="12"/>
  <c r="AI16" i="12"/>
  <c r="AH16" i="12"/>
  <c r="AG16" i="12"/>
  <c r="BR15" i="12" s="1"/>
  <c r="AF16" i="12"/>
  <c r="AE16" i="12"/>
  <c r="AD16" i="12"/>
  <c r="AC16" i="12"/>
  <c r="AB16" i="12"/>
  <c r="AA16" i="12"/>
  <c r="Z16" i="12"/>
  <c r="Y16" i="12"/>
  <c r="X16" i="12"/>
  <c r="W16" i="12"/>
  <c r="BQ15" i="12" s="1"/>
  <c r="V16" i="12"/>
  <c r="U16" i="12"/>
  <c r="T16" i="12"/>
  <c r="S16" i="12"/>
  <c r="R16" i="12"/>
  <c r="Q16" i="12"/>
  <c r="P16" i="12"/>
  <c r="O16" i="12"/>
  <c r="N16" i="12"/>
  <c r="M16" i="12"/>
  <c r="BP15" i="12" s="1"/>
  <c r="L16" i="12"/>
  <c r="K16" i="12"/>
  <c r="J16" i="12"/>
  <c r="I16" i="12"/>
  <c r="H16" i="12"/>
  <c r="G16" i="12"/>
  <c r="F16" i="12"/>
  <c r="E16" i="12"/>
  <c r="D16" i="12"/>
  <c r="BO15" i="12" s="1"/>
  <c r="BK15" i="12"/>
  <c r="BJ15" i="12"/>
  <c r="BI15" i="12"/>
  <c r="BH15" i="12"/>
  <c r="BG15" i="12"/>
  <c r="BF15" i="12"/>
  <c r="BE15" i="12"/>
  <c r="BD15" i="12"/>
  <c r="BC15" i="12"/>
  <c r="BB15" i="12"/>
  <c r="BA15" i="12"/>
  <c r="BT14" i="12" s="1"/>
  <c r="AZ15" i="12"/>
  <c r="AY15" i="12"/>
  <c r="AX15" i="12"/>
  <c r="AW15" i="12"/>
  <c r="AV15" i="12"/>
  <c r="AU15" i="12"/>
  <c r="AT15" i="12"/>
  <c r="AS15" i="12"/>
  <c r="AR15" i="12"/>
  <c r="AQ15" i="12"/>
  <c r="BS14" i="12" s="1"/>
  <c r="AP15" i="12"/>
  <c r="AO15" i="12"/>
  <c r="AN15" i="12"/>
  <c r="AM15" i="12"/>
  <c r="AL15" i="12"/>
  <c r="AK15" i="12"/>
  <c r="AJ15" i="12"/>
  <c r="AI15" i="12"/>
  <c r="AH15" i="12"/>
  <c r="AG15" i="12"/>
  <c r="BR14" i="12" s="1"/>
  <c r="AF15" i="12"/>
  <c r="AE15" i="12"/>
  <c r="AD15" i="12"/>
  <c r="AC15" i="12"/>
  <c r="AB15" i="12"/>
  <c r="AA15" i="12"/>
  <c r="Z15" i="12"/>
  <c r="Y15" i="12"/>
  <c r="X15" i="12"/>
  <c r="W15" i="12"/>
  <c r="BQ14" i="12" s="1"/>
  <c r="V15" i="12"/>
  <c r="U15" i="12"/>
  <c r="T15" i="12"/>
  <c r="S15" i="12"/>
  <c r="R15" i="12"/>
  <c r="Q15" i="12"/>
  <c r="P15" i="12"/>
  <c r="O15" i="12"/>
  <c r="N15" i="12"/>
  <c r="M15" i="12"/>
  <c r="BP14" i="12" s="1"/>
  <c r="L15" i="12"/>
  <c r="K15" i="12"/>
  <c r="J15" i="12"/>
  <c r="I15" i="12"/>
  <c r="H15" i="12"/>
  <c r="G15" i="12"/>
  <c r="F15" i="12"/>
  <c r="E15" i="12"/>
  <c r="D15" i="12"/>
  <c r="BO14" i="12" s="1"/>
  <c r="BK14" i="12"/>
  <c r="BJ14" i="12"/>
  <c r="BI14" i="12"/>
  <c r="BH14" i="12"/>
  <c r="BG14" i="12"/>
  <c r="BF14" i="12"/>
  <c r="BE14" i="12"/>
  <c r="BD14" i="12"/>
  <c r="BC14" i="12"/>
  <c r="BB14" i="12"/>
  <c r="BA14" i="12"/>
  <c r="BT13" i="12" s="1"/>
  <c r="AZ14" i="12"/>
  <c r="AY14" i="12"/>
  <c r="AX14" i="12"/>
  <c r="AW14" i="12"/>
  <c r="AV14" i="12"/>
  <c r="AU14" i="12"/>
  <c r="AT14" i="12"/>
  <c r="AS14" i="12"/>
  <c r="AR14" i="12"/>
  <c r="AQ14" i="12"/>
  <c r="BS13" i="12" s="1"/>
  <c r="AP14" i="12"/>
  <c r="AO14" i="12"/>
  <c r="AN14" i="12"/>
  <c r="AM14" i="12"/>
  <c r="AL14" i="12"/>
  <c r="AK14" i="12"/>
  <c r="AJ14" i="12"/>
  <c r="AI14" i="12"/>
  <c r="AH14" i="12"/>
  <c r="AG14" i="12"/>
  <c r="BR13" i="12" s="1"/>
  <c r="AF14" i="12"/>
  <c r="AE14" i="12"/>
  <c r="AD14" i="12"/>
  <c r="AC14" i="12"/>
  <c r="AB14" i="12"/>
  <c r="AA14" i="12"/>
  <c r="Z14" i="12"/>
  <c r="Y14" i="12"/>
  <c r="X14" i="12"/>
  <c r="W14" i="12"/>
  <c r="BQ13" i="12" s="1"/>
  <c r="V14" i="12"/>
  <c r="U14" i="12"/>
  <c r="T14" i="12"/>
  <c r="S14" i="12"/>
  <c r="R14" i="12"/>
  <c r="Q14" i="12"/>
  <c r="P14" i="12"/>
  <c r="O14" i="12"/>
  <c r="N14" i="12"/>
  <c r="M14" i="12"/>
  <c r="L14" i="12"/>
  <c r="K14" i="12"/>
  <c r="J14" i="12"/>
  <c r="I14" i="12"/>
  <c r="H14" i="12"/>
  <c r="G14" i="12"/>
  <c r="F14" i="12"/>
  <c r="E14" i="12"/>
  <c r="D14" i="12"/>
  <c r="BO13" i="12" s="1"/>
  <c r="BK12" i="12"/>
  <c r="BJ12" i="12"/>
  <c r="BI12" i="12"/>
  <c r="BH12" i="12"/>
  <c r="BG12" i="12"/>
  <c r="BF12" i="12"/>
  <c r="BE12" i="12"/>
  <c r="BD12" i="12"/>
  <c r="BC12" i="12"/>
  <c r="BB12" i="12"/>
  <c r="BA12" i="12"/>
  <c r="BT12" i="12" s="1"/>
  <c r="AZ12" i="12"/>
  <c r="AY12" i="12"/>
  <c r="AX12" i="12"/>
  <c r="AW12" i="12"/>
  <c r="AV12" i="12"/>
  <c r="AU12" i="12"/>
  <c r="AT12" i="12"/>
  <c r="AS12" i="12"/>
  <c r="AR12" i="12"/>
  <c r="AQ12" i="12"/>
  <c r="BS12" i="12" s="1"/>
  <c r="AP12" i="12"/>
  <c r="AO12" i="12"/>
  <c r="AN12" i="12"/>
  <c r="AM12" i="12"/>
  <c r="AL12" i="12"/>
  <c r="AK12" i="12"/>
  <c r="AJ12" i="12"/>
  <c r="AI12" i="12"/>
  <c r="AH12" i="12"/>
  <c r="AG12" i="12"/>
  <c r="BR12" i="12" s="1"/>
  <c r="AF12" i="12"/>
  <c r="AE12" i="12"/>
  <c r="AD12" i="12"/>
  <c r="AC12" i="12"/>
  <c r="AB12" i="12"/>
  <c r="AA12" i="12"/>
  <c r="Z12" i="12"/>
  <c r="Y12" i="12"/>
  <c r="X12" i="12"/>
  <c r="W12" i="12"/>
  <c r="BQ12" i="12" s="1"/>
  <c r="V12" i="12"/>
  <c r="U12" i="12"/>
  <c r="T12" i="12"/>
  <c r="S12" i="12"/>
  <c r="R12" i="12"/>
  <c r="Q12" i="12"/>
  <c r="P12" i="12"/>
  <c r="O12" i="12"/>
  <c r="N12" i="12"/>
  <c r="M12" i="12"/>
  <c r="BP12" i="12" s="1"/>
  <c r="L12" i="12"/>
  <c r="K12" i="12"/>
  <c r="J12" i="12"/>
  <c r="I12" i="12"/>
  <c r="H12" i="12"/>
  <c r="G12" i="12"/>
  <c r="F12" i="12"/>
  <c r="E12" i="12"/>
  <c r="D12" i="12"/>
  <c r="BO12" i="12" s="1"/>
  <c r="BK11" i="12"/>
  <c r="BJ11" i="12"/>
  <c r="BI11" i="12"/>
  <c r="BH11" i="12"/>
  <c r="BG11" i="12"/>
  <c r="BF11" i="12"/>
  <c r="BE11" i="12"/>
  <c r="BD11" i="12"/>
  <c r="BC11" i="12"/>
  <c r="BB11" i="12"/>
  <c r="BA11" i="12"/>
  <c r="BT11" i="12" s="1"/>
  <c r="AZ11" i="12"/>
  <c r="AY11" i="12"/>
  <c r="AX11" i="12"/>
  <c r="AW11" i="12"/>
  <c r="AV11" i="12"/>
  <c r="AU11" i="12"/>
  <c r="AT11" i="12"/>
  <c r="AS11" i="12"/>
  <c r="AR11" i="12"/>
  <c r="AQ11" i="12"/>
  <c r="BS11" i="12" s="1"/>
  <c r="AP11" i="12"/>
  <c r="AO11" i="12"/>
  <c r="AN11" i="12"/>
  <c r="AM11" i="12"/>
  <c r="AL11" i="12"/>
  <c r="AK11" i="12"/>
  <c r="AJ11" i="12"/>
  <c r="AI11" i="12"/>
  <c r="AH11" i="12"/>
  <c r="AG11" i="12"/>
  <c r="BR11" i="12" s="1"/>
  <c r="AF11" i="12"/>
  <c r="AE11" i="12"/>
  <c r="AD11" i="12"/>
  <c r="AC11" i="12"/>
  <c r="AB11" i="12"/>
  <c r="AA11" i="12"/>
  <c r="Z11" i="12"/>
  <c r="Y11" i="12"/>
  <c r="X11" i="12"/>
  <c r="W11" i="12"/>
  <c r="BQ11" i="12" s="1"/>
  <c r="V11" i="12"/>
  <c r="U11" i="12"/>
  <c r="T11" i="12"/>
  <c r="S11" i="12"/>
  <c r="R11" i="12"/>
  <c r="Q11" i="12"/>
  <c r="P11" i="12"/>
  <c r="O11" i="12"/>
  <c r="N11" i="12"/>
  <c r="M11" i="12"/>
  <c r="BP11" i="12" s="1"/>
  <c r="L11" i="12"/>
  <c r="K11" i="12"/>
  <c r="J11" i="12"/>
  <c r="I11" i="12"/>
  <c r="H11" i="12"/>
  <c r="G11" i="12"/>
  <c r="F11" i="12"/>
  <c r="E11" i="12"/>
  <c r="D11" i="12"/>
  <c r="BO11" i="12" s="1"/>
  <c r="BK10" i="12"/>
  <c r="BJ10" i="12"/>
  <c r="BI10" i="12"/>
  <c r="BH10" i="12"/>
  <c r="BG10" i="12"/>
  <c r="BF10" i="12"/>
  <c r="BE10" i="12"/>
  <c r="BD10" i="12"/>
  <c r="BC10" i="12"/>
  <c r="BB10" i="12"/>
  <c r="BA10" i="12"/>
  <c r="BT10" i="12" s="1"/>
  <c r="AZ10" i="12"/>
  <c r="AY10" i="12"/>
  <c r="AX10" i="12"/>
  <c r="AW10" i="12"/>
  <c r="AV10" i="12"/>
  <c r="AU10" i="12"/>
  <c r="AT10" i="12"/>
  <c r="AS10" i="12"/>
  <c r="AR10" i="12"/>
  <c r="AQ10" i="12"/>
  <c r="BS10" i="12" s="1"/>
  <c r="AP10" i="12"/>
  <c r="AO10" i="12"/>
  <c r="AN10" i="12"/>
  <c r="AM10" i="12"/>
  <c r="AL10" i="12"/>
  <c r="AK10" i="12"/>
  <c r="AJ10" i="12"/>
  <c r="AI10" i="12"/>
  <c r="AH10" i="12"/>
  <c r="AG10" i="12"/>
  <c r="BR10" i="12" s="1"/>
  <c r="AF10" i="12"/>
  <c r="AE10" i="12"/>
  <c r="AD10" i="12"/>
  <c r="AC10" i="12"/>
  <c r="AB10" i="12"/>
  <c r="AA10" i="12"/>
  <c r="Z10" i="12"/>
  <c r="Y10" i="12"/>
  <c r="X10" i="12"/>
  <c r="W10" i="12"/>
  <c r="BQ10" i="12" s="1"/>
  <c r="V10" i="12"/>
  <c r="U10" i="12"/>
  <c r="T10" i="12"/>
  <c r="S10" i="12"/>
  <c r="R10" i="12"/>
  <c r="Q10" i="12"/>
  <c r="P10" i="12"/>
  <c r="O10" i="12"/>
  <c r="N10" i="12"/>
  <c r="M10" i="12"/>
  <c r="BP10" i="12" s="1"/>
  <c r="L10" i="12"/>
  <c r="K10" i="12"/>
  <c r="J10" i="12"/>
  <c r="I10" i="12"/>
  <c r="H10" i="12"/>
  <c r="G10" i="12"/>
  <c r="F10" i="12"/>
  <c r="E10" i="12"/>
  <c r="D10" i="12"/>
  <c r="BO10" i="12" s="1"/>
  <c r="BK9" i="12"/>
  <c r="BJ9" i="12"/>
  <c r="BI9" i="12"/>
  <c r="BH9" i="12"/>
  <c r="BG9" i="12"/>
  <c r="BF9" i="12"/>
  <c r="BE9" i="12"/>
  <c r="BD9" i="12"/>
  <c r="BC9" i="12"/>
  <c r="BB9" i="12"/>
  <c r="BA9" i="12"/>
  <c r="BT9" i="12" s="1"/>
  <c r="AZ9" i="12"/>
  <c r="AY9" i="12"/>
  <c r="AX9" i="12"/>
  <c r="AW9" i="12"/>
  <c r="AV9" i="12"/>
  <c r="AU9" i="12"/>
  <c r="AT9" i="12"/>
  <c r="AS9" i="12"/>
  <c r="AR9" i="12"/>
  <c r="AQ9" i="12"/>
  <c r="BS9" i="12" s="1"/>
  <c r="AP9" i="12"/>
  <c r="AO9" i="12"/>
  <c r="AN9" i="12"/>
  <c r="AM9" i="12"/>
  <c r="AL9" i="12"/>
  <c r="AK9" i="12"/>
  <c r="AJ9" i="12"/>
  <c r="AI9" i="12"/>
  <c r="AH9" i="12"/>
  <c r="AG9" i="12"/>
  <c r="BR9" i="12" s="1"/>
  <c r="AF9" i="12"/>
  <c r="AE9" i="12"/>
  <c r="AD9" i="12"/>
  <c r="AC9" i="12"/>
  <c r="AB9" i="12"/>
  <c r="AA9" i="12"/>
  <c r="Z9" i="12"/>
  <c r="Y9" i="12"/>
  <c r="X9" i="12"/>
  <c r="W9" i="12"/>
  <c r="BQ9" i="12" s="1"/>
  <c r="V9" i="12"/>
  <c r="U9" i="12"/>
  <c r="T9" i="12"/>
  <c r="S9" i="12"/>
  <c r="R9" i="12"/>
  <c r="Q9" i="12"/>
  <c r="P9" i="12"/>
  <c r="O9" i="12"/>
  <c r="N9" i="12"/>
  <c r="M9" i="12"/>
  <c r="BP9" i="12" s="1"/>
  <c r="L9" i="12"/>
  <c r="K9" i="12"/>
  <c r="J9" i="12"/>
  <c r="I9" i="12"/>
  <c r="H9" i="12"/>
  <c r="G9" i="12"/>
  <c r="F9" i="12"/>
  <c r="E9" i="12"/>
  <c r="D9" i="12"/>
  <c r="BO9" i="12" s="1"/>
  <c r="BK8" i="12"/>
  <c r="BJ8" i="12"/>
  <c r="BI8" i="12"/>
  <c r="BH8" i="12"/>
  <c r="BG8" i="12"/>
  <c r="BF8" i="12"/>
  <c r="BE8" i="12"/>
  <c r="BD8" i="12"/>
  <c r="BC8" i="12"/>
  <c r="BB8" i="12"/>
  <c r="BA8" i="12"/>
  <c r="BT8" i="12" s="1"/>
  <c r="AZ8" i="12"/>
  <c r="AY8" i="12"/>
  <c r="AX8" i="12"/>
  <c r="AW8" i="12"/>
  <c r="AV8" i="12"/>
  <c r="AU8" i="12"/>
  <c r="AT8" i="12"/>
  <c r="AS8" i="12"/>
  <c r="AR8" i="12"/>
  <c r="AQ8" i="12"/>
  <c r="BS8" i="12" s="1"/>
  <c r="AP8" i="12"/>
  <c r="AO8" i="12"/>
  <c r="AN8" i="12"/>
  <c r="AM8" i="12"/>
  <c r="AL8" i="12"/>
  <c r="AK8" i="12"/>
  <c r="AJ8" i="12"/>
  <c r="AI8" i="12"/>
  <c r="AH8" i="12"/>
  <c r="AG8" i="12"/>
  <c r="BR8" i="12" s="1"/>
  <c r="AF8" i="12"/>
  <c r="AE8" i="12"/>
  <c r="AD8" i="12"/>
  <c r="AC8" i="12"/>
  <c r="AB8" i="12"/>
  <c r="AA8" i="12"/>
  <c r="Z8" i="12"/>
  <c r="Y8" i="12"/>
  <c r="X8" i="12"/>
  <c r="W8" i="12"/>
  <c r="BQ8" i="12" s="1"/>
  <c r="V8" i="12"/>
  <c r="U8" i="12"/>
  <c r="T8" i="12"/>
  <c r="S8" i="12"/>
  <c r="R8" i="12"/>
  <c r="Q8" i="12"/>
  <c r="P8" i="12"/>
  <c r="O8" i="12"/>
  <c r="N8" i="12"/>
  <c r="M8" i="12"/>
  <c r="BP8" i="12" s="1"/>
  <c r="L8" i="12"/>
  <c r="K8" i="12"/>
  <c r="J8" i="12"/>
  <c r="I8" i="12"/>
  <c r="H8" i="12"/>
  <c r="G8" i="12"/>
  <c r="F8" i="12"/>
  <c r="E8" i="12"/>
  <c r="D8" i="12"/>
  <c r="BO8" i="12" s="1"/>
  <c r="BK7" i="12"/>
  <c r="BJ7" i="12"/>
  <c r="BI7" i="12"/>
  <c r="BH7" i="12"/>
  <c r="BG7" i="12"/>
  <c r="BF7" i="12"/>
  <c r="BE7" i="12"/>
  <c r="BD7" i="12"/>
  <c r="BC7" i="12"/>
  <c r="BB7" i="12"/>
  <c r="BA7" i="12"/>
  <c r="BT7" i="12" s="1"/>
  <c r="AZ7" i="12"/>
  <c r="AY7" i="12"/>
  <c r="AX7" i="12"/>
  <c r="AW7" i="12"/>
  <c r="AV7" i="12"/>
  <c r="AU7" i="12"/>
  <c r="AT7" i="12"/>
  <c r="AS7" i="12"/>
  <c r="AR7" i="12"/>
  <c r="AQ7" i="12"/>
  <c r="BS7" i="12" s="1"/>
  <c r="AP7" i="12"/>
  <c r="AO7" i="12"/>
  <c r="AN7" i="12"/>
  <c r="AM7" i="12"/>
  <c r="AL7" i="12"/>
  <c r="AK7" i="12"/>
  <c r="AJ7" i="12"/>
  <c r="AI7" i="12"/>
  <c r="AH7" i="12"/>
  <c r="AG7" i="12"/>
  <c r="BR7" i="12" s="1"/>
  <c r="AF7" i="12"/>
  <c r="AE7" i="12"/>
  <c r="AD7" i="12"/>
  <c r="AC7" i="12"/>
  <c r="AB7" i="12"/>
  <c r="AA7" i="12"/>
  <c r="Z7" i="12"/>
  <c r="Y7" i="12"/>
  <c r="X7" i="12"/>
  <c r="W7" i="12"/>
  <c r="BQ7" i="12" s="1"/>
  <c r="V7" i="12"/>
  <c r="U7" i="12"/>
  <c r="T7" i="12"/>
  <c r="S7" i="12"/>
  <c r="R7" i="12"/>
  <c r="Q7" i="12"/>
  <c r="P7" i="12"/>
  <c r="O7" i="12"/>
  <c r="N7" i="12"/>
  <c r="M7" i="12"/>
  <c r="BP7" i="12" s="1"/>
  <c r="L7" i="12"/>
  <c r="K7" i="12"/>
  <c r="J7" i="12"/>
  <c r="I7" i="12"/>
  <c r="H7" i="12"/>
  <c r="G7" i="12"/>
  <c r="F7" i="12"/>
  <c r="E7" i="12"/>
  <c r="D7" i="12"/>
  <c r="BO7" i="12" s="1"/>
  <c r="BK6" i="12"/>
  <c r="BJ6" i="12"/>
  <c r="BI6" i="12"/>
  <c r="BH6" i="12"/>
  <c r="BG6" i="12"/>
  <c r="BF6" i="12"/>
  <c r="BE6" i="12"/>
  <c r="BD6" i="12"/>
  <c r="BC6" i="12"/>
  <c r="BB6" i="12"/>
  <c r="BA6" i="12"/>
  <c r="BT6" i="12" s="1"/>
  <c r="AZ6" i="12"/>
  <c r="AY6" i="12"/>
  <c r="AX6" i="12"/>
  <c r="AW6" i="12"/>
  <c r="AV6" i="12"/>
  <c r="AU6" i="12"/>
  <c r="AT6" i="12"/>
  <c r="AS6" i="12"/>
  <c r="AR6" i="12"/>
  <c r="AQ6" i="12"/>
  <c r="BS6" i="12" s="1"/>
  <c r="AP6" i="12"/>
  <c r="AO6" i="12"/>
  <c r="AN6" i="12"/>
  <c r="AM6" i="12"/>
  <c r="AL6" i="12"/>
  <c r="AK6" i="12"/>
  <c r="AJ6" i="12"/>
  <c r="AI6" i="12"/>
  <c r="AH6" i="12"/>
  <c r="AG6" i="12"/>
  <c r="BR6" i="12" s="1"/>
  <c r="AF6" i="12"/>
  <c r="AE6" i="12"/>
  <c r="AD6" i="12"/>
  <c r="AC6" i="12"/>
  <c r="AB6" i="12"/>
  <c r="AA6" i="12"/>
  <c r="Z6" i="12"/>
  <c r="Y6" i="12"/>
  <c r="X6" i="12"/>
  <c r="W6" i="12"/>
  <c r="BQ6" i="12" s="1"/>
  <c r="V6" i="12"/>
  <c r="U6" i="12"/>
  <c r="T6" i="12"/>
  <c r="S6" i="12"/>
  <c r="R6" i="12"/>
  <c r="Q6" i="12"/>
  <c r="P6" i="12"/>
  <c r="O6" i="12"/>
  <c r="N6" i="12"/>
  <c r="M6" i="12"/>
  <c r="L6" i="12"/>
  <c r="K6" i="12"/>
  <c r="J6" i="12"/>
  <c r="I6" i="12"/>
  <c r="H6" i="12"/>
  <c r="G6" i="12"/>
  <c r="F6" i="12"/>
  <c r="E6" i="12"/>
  <c r="D6" i="12"/>
  <c r="BO6" i="12" s="1"/>
  <c r="BK5" i="12"/>
  <c r="BJ5" i="12"/>
  <c r="BI5" i="12"/>
  <c r="BH5" i="12"/>
  <c r="BG5" i="12"/>
  <c r="BF5" i="12"/>
  <c r="BE5" i="12"/>
  <c r="BD5" i="12"/>
  <c r="BC5" i="12"/>
  <c r="BB5" i="12"/>
  <c r="BA5" i="12"/>
  <c r="BT5" i="12" s="1"/>
  <c r="AZ5" i="12"/>
  <c r="AY5" i="12"/>
  <c r="AX5" i="12"/>
  <c r="AW5" i="12"/>
  <c r="AV5" i="12"/>
  <c r="AU5" i="12"/>
  <c r="AT5" i="12"/>
  <c r="AS5" i="12"/>
  <c r="AR5" i="12"/>
  <c r="AQ5" i="12"/>
  <c r="BS5" i="12" s="1"/>
  <c r="AP5" i="12"/>
  <c r="AO5" i="12"/>
  <c r="AN5" i="12"/>
  <c r="AM5" i="12"/>
  <c r="AL5" i="12"/>
  <c r="AK5" i="12"/>
  <c r="AJ5" i="12"/>
  <c r="AI5" i="12"/>
  <c r="AH5" i="12"/>
  <c r="AG5" i="12"/>
  <c r="BR5" i="12" s="1"/>
  <c r="AF5" i="12"/>
  <c r="AE5" i="12"/>
  <c r="AD5" i="12"/>
  <c r="AC5" i="12"/>
  <c r="AB5" i="12"/>
  <c r="AA5" i="12"/>
  <c r="Z5" i="12"/>
  <c r="Y5" i="12"/>
  <c r="X5" i="12"/>
  <c r="W5" i="12"/>
  <c r="BQ5" i="12" s="1"/>
  <c r="V5" i="12"/>
  <c r="U5" i="12"/>
  <c r="T5" i="12"/>
  <c r="S5" i="12"/>
  <c r="R5" i="12"/>
  <c r="Q5" i="12"/>
  <c r="P5" i="12"/>
  <c r="O5" i="12"/>
  <c r="N5" i="12"/>
  <c r="M5" i="12"/>
  <c r="BP5" i="12" s="1"/>
  <c r="L5" i="12"/>
  <c r="K5" i="12"/>
  <c r="J5" i="12"/>
  <c r="I5" i="12"/>
  <c r="H5" i="12"/>
  <c r="G5" i="12"/>
  <c r="F5" i="12"/>
  <c r="E5" i="12"/>
  <c r="D5" i="12"/>
  <c r="BO5" i="12" s="1"/>
  <c r="BK4" i="12"/>
  <c r="BJ4" i="12"/>
  <c r="BI4" i="12"/>
  <c r="BH4" i="12"/>
  <c r="BG4" i="12"/>
  <c r="BF4" i="12"/>
  <c r="BE4" i="12"/>
  <c r="BD4" i="12"/>
  <c r="BC4" i="12"/>
  <c r="BB4" i="12"/>
  <c r="BA4" i="12"/>
  <c r="BT4" i="12" s="1"/>
  <c r="AZ4" i="12"/>
  <c r="AY4" i="12"/>
  <c r="AX4" i="12"/>
  <c r="AW4" i="12"/>
  <c r="AV4" i="12"/>
  <c r="AU4" i="12"/>
  <c r="AT4" i="12"/>
  <c r="AS4" i="12"/>
  <c r="AR4" i="12"/>
  <c r="AQ4" i="12"/>
  <c r="BS4" i="12" s="1"/>
  <c r="AP4" i="12"/>
  <c r="AO4" i="12"/>
  <c r="AN4" i="12"/>
  <c r="AM4" i="12"/>
  <c r="AL4" i="12"/>
  <c r="AK4" i="12"/>
  <c r="AJ4" i="12"/>
  <c r="AI4" i="12"/>
  <c r="AH4" i="12"/>
  <c r="AG4" i="12"/>
  <c r="BR4" i="12" s="1"/>
  <c r="AF4" i="12"/>
  <c r="AE4" i="12"/>
  <c r="AD4" i="12"/>
  <c r="AC4" i="12"/>
  <c r="AB4" i="12"/>
  <c r="AA4" i="12"/>
  <c r="Z4" i="12"/>
  <c r="Y4" i="12"/>
  <c r="X4" i="12"/>
  <c r="W4" i="12"/>
  <c r="BQ4" i="12" s="1"/>
  <c r="V4" i="12"/>
  <c r="U4" i="12"/>
  <c r="T4" i="12"/>
  <c r="S4" i="12"/>
  <c r="R4" i="12"/>
  <c r="Q4" i="12"/>
  <c r="P4" i="12"/>
  <c r="O4" i="12"/>
  <c r="N4" i="12"/>
  <c r="M4" i="12"/>
  <c r="BP4" i="12" s="1"/>
  <c r="L4" i="12"/>
  <c r="K4" i="12"/>
  <c r="J4" i="12"/>
  <c r="I4" i="12"/>
  <c r="H4" i="12"/>
  <c r="G4" i="12"/>
  <c r="F4" i="12"/>
  <c r="E4" i="12"/>
  <c r="D4" i="12"/>
  <c r="BO4" i="12" s="1"/>
  <c r="BK3" i="12"/>
  <c r="BJ3" i="12"/>
  <c r="BI3" i="12"/>
  <c r="BH3" i="12"/>
  <c r="BG3" i="12"/>
  <c r="BF3" i="12"/>
  <c r="BE3" i="12"/>
  <c r="BD3" i="12"/>
  <c r="BC3" i="12"/>
  <c r="BB3" i="12"/>
  <c r="BA3" i="12"/>
  <c r="BT3" i="12" s="1"/>
  <c r="AZ3" i="12"/>
  <c r="AY3" i="12"/>
  <c r="AX3" i="12"/>
  <c r="AW3" i="12"/>
  <c r="AV3" i="12"/>
  <c r="AU3" i="12"/>
  <c r="AT3" i="12"/>
  <c r="AS3" i="12"/>
  <c r="AR3" i="12"/>
  <c r="AQ3" i="12"/>
  <c r="BS3" i="12" s="1"/>
  <c r="AP3" i="12"/>
  <c r="AO3" i="12"/>
  <c r="AN3" i="12"/>
  <c r="AM3" i="12"/>
  <c r="AL3" i="12"/>
  <c r="AK3" i="12"/>
  <c r="AJ3" i="12"/>
  <c r="AI3" i="12"/>
  <c r="AH3" i="12"/>
  <c r="AG3" i="12"/>
  <c r="BR3" i="12" s="1"/>
  <c r="AF3" i="12"/>
  <c r="AE3" i="12"/>
  <c r="AD3" i="12"/>
  <c r="AC3" i="12"/>
  <c r="AB3" i="12"/>
  <c r="AA3" i="12"/>
  <c r="Z3" i="12"/>
  <c r="Y3" i="12"/>
  <c r="X3" i="12"/>
  <c r="W3" i="12"/>
  <c r="BQ3" i="12" s="1"/>
  <c r="V3" i="12"/>
  <c r="U3" i="12"/>
  <c r="T3" i="12"/>
  <c r="S3" i="12"/>
  <c r="R3" i="12"/>
  <c r="Q3" i="12"/>
  <c r="P3" i="12"/>
  <c r="O3" i="12"/>
  <c r="N3" i="12"/>
  <c r="M3" i="12"/>
  <c r="BP3" i="12" s="1"/>
  <c r="L3" i="12"/>
  <c r="K3" i="12"/>
  <c r="J3" i="12"/>
  <c r="I3" i="12"/>
  <c r="H3" i="12"/>
  <c r="G3" i="12"/>
  <c r="F3" i="12"/>
  <c r="E3" i="12"/>
  <c r="D3" i="12"/>
  <c r="BO3" i="12" s="1"/>
  <c r="BK2" i="12"/>
  <c r="BJ2" i="12"/>
  <c r="BI2" i="12"/>
  <c r="BH2" i="12"/>
  <c r="BG2" i="12"/>
  <c r="BF2" i="12"/>
  <c r="BE2" i="12"/>
  <c r="BD2" i="12"/>
  <c r="BC2" i="12"/>
  <c r="BB2" i="12"/>
  <c r="BA2" i="12"/>
  <c r="BT2" i="12" s="1"/>
  <c r="AZ2" i="12"/>
  <c r="AY2" i="12"/>
  <c r="AX2" i="12"/>
  <c r="AW2" i="12"/>
  <c r="AV2" i="12"/>
  <c r="AU2" i="12"/>
  <c r="AT2" i="12"/>
  <c r="AS2" i="12"/>
  <c r="AR2" i="12"/>
  <c r="AQ2" i="12"/>
  <c r="BS2" i="12" s="1"/>
  <c r="AP2" i="12"/>
  <c r="AO2" i="12"/>
  <c r="AN2" i="12"/>
  <c r="AM2" i="12"/>
  <c r="AL2" i="12"/>
  <c r="AK2" i="12"/>
  <c r="AJ2" i="12"/>
  <c r="AI2" i="12"/>
  <c r="AH2" i="12"/>
  <c r="AG2" i="12"/>
  <c r="BR2" i="12" s="1"/>
  <c r="AF2" i="12"/>
  <c r="AE2" i="12"/>
  <c r="AD2" i="12"/>
  <c r="AC2" i="12"/>
  <c r="AB2" i="12"/>
  <c r="AA2" i="12"/>
  <c r="Z2" i="12"/>
  <c r="Y2" i="12"/>
  <c r="X2" i="12"/>
  <c r="W2" i="12"/>
  <c r="BQ2" i="12" s="1"/>
  <c r="V2" i="12"/>
  <c r="U2" i="12"/>
  <c r="T2" i="12"/>
  <c r="S2" i="12"/>
  <c r="R2" i="12"/>
  <c r="Q2" i="12"/>
  <c r="P2" i="12"/>
  <c r="O2" i="12"/>
  <c r="N2" i="12"/>
  <c r="M2" i="12"/>
  <c r="BV2" i="12" s="1"/>
  <c r="L2" i="12"/>
  <c r="K2" i="12"/>
  <c r="J2" i="12"/>
  <c r="I2" i="12"/>
  <c r="H2" i="12"/>
  <c r="G2" i="12"/>
  <c r="F2" i="12"/>
  <c r="E2" i="12"/>
  <c r="D2" i="12"/>
  <c r="BO2" i="12" s="1"/>
  <c r="CM20" i="11"/>
  <c r="CL20" i="11"/>
  <c r="CK20" i="11"/>
  <c r="CJ20" i="11"/>
  <c r="CI20" i="11"/>
  <c r="CH20" i="11"/>
  <c r="CG20" i="11"/>
  <c r="CF20" i="11"/>
  <c r="CE20" i="11"/>
  <c r="CD20" i="11"/>
  <c r="CC20" i="11"/>
  <c r="CB20" i="11"/>
  <c r="CA20" i="11"/>
  <c r="BZ20" i="11"/>
  <c r="BY20" i="11"/>
  <c r="BX20" i="11"/>
  <c r="BW20" i="11"/>
  <c r="BV20" i="11"/>
  <c r="BU20" i="11"/>
  <c r="BT20" i="11"/>
  <c r="BS20" i="11"/>
  <c r="BR20" i="11"/>
  <c r="BQ20" i="11"/>
  <c r="BP20" i="11"/>
  <c r="BO20" i="11"/>
  <c r="BN20" i="11"/>
  <c r="BM20" i="11"/>
  <c r="BL20" i="11"/>
  <c r="BK20" i="11"/>
  <c r="BJ20" i="11"/>
  <c r="BI20" i="11"/>
  <c r="BH20" i="11"/>
  <c r="BG20" i="11"/>
  <c r="BF20" i="11"/>
  <c r="BE20" i="11"/>
  <c r="BD20" i="11"/>
  <c r="BC20" i="11"/>
  <c r="BB20" i="11"/>
  <c r="BA20" i="11"/>
  <c r="AZ20" i="11"/>
  <c r="AY20" i="11"/>
  <c r="AX20"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O20" i="11"/>
  <c r="N20" i="11"/>
  <c r="M20" i="11"/>
  <c r="L20" i="11"/>
  <c r="K20" i="11"/>
  <c r="J20" i="11"/>
  <c r="I20" i="11"/>
  <c r="H20" i="11"/>
  <c r="G20" i="11"/>
  <c r="F20" i="11"/>
  <c r="E20" i="11"/>
  <c r="D20" i="11"/>
  <c r="C20" i="11"/>
  <c r="B20" i="11"/>
  <c r="CM19" i="11"/>
  <c r="CL19" i="11"/>
  <c r="CK19" i="11"/>
  <c r="CJ19" i="11"/>
  <c r="CI19" i="11"/>
  <c r="CH19" i="11"/>
  <c r="CG19" i="11"/>
  <c r="CF19" i="11"/>
  <c r="CE19" i="11"/>
  <c r="CD19" i="11"/>
  <c r="CC19" i="11"/>
  <c r="CB19" i="11"/>
  <c r="CA19" i="11"/>
  <c r="BZ19" i="11"/>
  <c r="BY19" i="11"/>
  <c r="BX19" i="11"/>
  <c r="BW19" i="11"/>
  <c r="BV19" i="11"/>
  <c r="BU19" i="11"/>
  <c r="BT19" i="11"/>
  <c r="BS19" i="11"/>
  <c r="BR19" i="11"/>
  <c r="BQ19" i="11"/>
  <c r="BP19" i="11"/>
  <c r="BO19" i="11"/>
  <c r="BN19" i="11"/>
  <c r="BM19" i="11"/>
  <c r="BL19" i="11"/>
  <c r="BK19" i="11"/>
  <c r="BJ19" i="11"/>
  <c r="BI19" i="11"/>
  <c r="BH19" i="11"/>
  <c r="BG19" i="11"/>
  <c r="BF19" i="11"/>
  <c r="BE19" i="11"/>
  <c r="BD19" i="11"/>
  <c r="BC19" i="11"/>
  <c r="BB19" i="11"/>
  <c r="BA19" i="11"/>
  <c r="AZ19" i="11"/>
  <c r="AY19" i="11"/>
  <c r="AX19" i="11"/>
  <c r="AW19" i="11"/>
  <c r="AV19" i="11"/>
  <c r="AU19" i="11"/>
  <c r="AT19" i="11"/>
  <c r="AS19" i="11"/>
  <c r="AR19" i="11"/>
  <c r="AQ19" i="11"/>
  <c r="AP19" i="1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G19" i="11"/>
  <c r="F19" i="11"/>
  <c r="E19" i="11"/>
  <c r="D19" i="11"/>
  <c r="C19" i="11"/>
  <c r="B19" i="11"/>
  <c r="CM18" i="11"/>
  <c r="CL18" i="11"/>
  <c r="CK18" i="11"/>
  <c r="CJ18" i="11"/>
  <c r="CI18" i="11"/>
  <c r="CH18" i="11"/>
  <c r="CG18" i="11"/>
  <c r="CF18" i="11"/>
  <c r="CE18" i="11"/>
  <c r="CD18" i="11"/>
  <c r="CC18" i="11"/>
  <c r="CB18" i="11"/>
  <c r="CA18" i="11"/>
  <c r="BZ18" i="11"/>
  <c r="BY18" i="11"/>
  <c r="BX18" i="11"/>
  <c r="BW18" i="11"/>
  <c r="BV18" i="11"/>
  <c r="BU18" i="11"/>
  <c r="BT18" i="11"/>
  <c r="BS18" i="11"/>
  <c r="BR18" i="11"/>
  <c r="BQ18" i="11"/>
  <c r="BP18" i="11"/>
  <c r="BO18" i="11"/>
  <c r="BN18" i="11"/>
  <c r="BM18" i="11"/>
  <c r="BL18" i="11"/>
  <c r="BK18" i="11"/>
  <c r="BJ18" i="11"/>
  <c r="BI18" i="11"/>
  <c r="BH18" i="11"/>
  <c r="BG18" i="11"/>
  <c r="BF18" i="11"/>
  <c r="BE18" i="11"/>
  <c r="BD18" i="11"/>
  <c r="BC18" i="11"/>
  <c r="BB18" i="11"/>
  <c r="BA18" i="11"/>
  <c r="AZ18" i="11"/>
  <c r="AY18" i="11"/>
  <c r="AX18" i="11"/>
  <c r="AW18" i="11"/>
  <c r="AV18" i="11"/>
  <c r="AU18" i="11"/>
  <c r="AT18" i="11"/>
  <c r="AS18" i="11"/>
  <c r="AR18" i="11"/>
  <c r="AQ18" i="11"/>
  <c r="AP18" i="11"/>
  <c r="AO18" i="11"/>
  <c r="AN18" i="11"/>
  <c r="AM18" i="11"/>
  <c r="AL18" i="11"/>
  <c r="AK18" i="11"/>
  <c r="AJ18" i="11"/>
  <c r="AI18" i="11"/>
  <c r="AH18" i="11"/>
  <c r="AG18" i="11"/>
  <c r="AF18" i="11"/>
  <c r="AE18" i="11"/>
  <c r="AD18" i="11"/>
  <c r="AC18" i="11"/>
  <c r="AB18" i="11"/>
  <c r="AA18" i="11"/>
  <c r="Z18" i="11"/>
  <c r="Y18" i="11"/>
  <c r="X18" i="11"/>
  <c r="W18" i="11"/>
  <c r="V18" i="11"/>
  <c r="U18" i="11"/>
  <c r="T18" i="11"/>
  <c r="S18" i="11"/>
  <c r="R18" i="11"/>
  <c r="Q18" i="11"/>
  <c r="P18" i="11"/>
  <c r="O18" i="11"/>
  <c r="N18" i="11"/>
  <c r="M18" i="11"/>
  <c r="L18" i="11"/>
  <c r="K18" i="11"/>
  <c r="J18" i="11"/>
  <c r="I18" i="11"/>
  <c r="H18" i="11"/>
  <c r="G18" i="11"/>
  <c r="F18" i="11"/>
  <c r="E18" i="11"/>
  <c r="D18" i="11"/>
  <c r="C18" i="11"/>
  <c r="B18" i="11"/>
  <c r="CM17" i="11"/>
  <c r="CL17" i="11"/>
  <c r="CK17" i="11"/>
  <c r="CJ17" i="11"/>
  <c r="CI17" i="11"/>
  <c r="CH17" i="11"/>
  <c r="CG17" i="11"/>
  <c r="CF17" i="11"/>
  <c r="CE17" i="11"/>
  <c r="CD17" i="11"/>
  <c r="CC17" i="11"/>
  <c r="CB17" i="11"/>
  <c r="CA17" i="11"/>
  <c r="BZ17" i="11"/>
  <c r="BY17" i="11"/>
  <c r="BX17" i="11"/>
  <c r="BW17" i="11"/>
  <c r="BV17" i="11"/>
  <c r="BU17" i="11"/>
  <c r="BT17" i="11"/>
  <c r="BS17" i="11"/>
  <c r="BR17" i="11"/>
  <c r="BQ17" i="11"/>
  <c r="BP17" i="11"/>
  <c r="BO17" i="11"/>
  <c r="BN17" i="11"/>
  <c r="BM17" i="11"/>
  <c r="BL17" i="11"/>
  <c r="BK17" i="11"/>
  <c r="BJ17" i="11"/>
  <c r="BI17" i="11"/>
  <c r="BH17" i="11"/>
  <c r="BG17" i="11"/>
  <c r="BF17" i="11"/>
  <c r="BE17" i="11"/>
  <c r="BD17" i="11"/>
  <c r="BC17" i="11"/>
  <c r="BB17" i="11"/>
  <c r="BA17" i="11"/>
  <c r="AZ17" i="11"/>
  <c r="AY17" i="11"/>
  <c r="AX17" i="11"/>
  <c r="AW17" i="11"/>
  <c r="AV17" i="11"/>
  <c r="AU17" i="11"/>
  <c r="AT17" i="11"/>
  <c r="AS17" i="11"/>
  <c r="AR17" i="11"/>
  <c r="AQ17" i="11"/>
  <c r="AP17" i="11"/>
  <c r="AO17" i="11"/>
  <c r="AN17" i="11"/>
  <c r="AM17" i="11"/>
  <c r="AL17" i="11"/>
  <c r="AK17" i="11"/>
  <c r="AJ17" i="11"/>
  <c r="AI17" i="11"/>
  <c r="AH17" i="11"/>
  <c r="AG17"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G17" i="11"/>
  <c r="F17" i="11"/>
  <c r="E17" i="11"/>
  <c r="D17" i="11"/>
  <c r="C17" i="11"/>
  <c r="B17" i="11"/>
  <c r="CM16" i="11"/>
  <c r="CL16" i="11"/>
  <c r="CK16" i="11"/>
  <c r="CJ16" i="11"/>
  <c r="CI16" i="11"/>
  <c r="CH16" i="11"/>
  <c r="CG16" i="11"/>
  <c r="CF16" i="11"/>
  <c r="CE16" i="11"/>
  <c r="CD16" i="11"/>
  <c r="CC16" i="11"/>
  <c r="CB16" i="11"/>
  <c r="CA16" i="11"/>
  <c r="BZ16" i="11"/>
  <c r="BY16" i="11"/>
  <c r="BX16" i="11"/>
  <c r="BW16" i="11"/>
  <c r="BV16" i="11"/>
  <c r="BU16" i="11"/>
  <c r="BT16" i="11"/>
  <c r="BS16" i="11"/>
  <c r="BR16" i="11"/>
  <c r="BQ16" i="11"/>
  <c r="BP16" i="11"/>
  <c r="BO16" i="11"/>
  <c r="BN16" i="11"/>
  <c r="BM16" i="11"/>
  <c r="BL16"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G16" i="11"/>
  <c r="F16" i="11"/>
  <c r="E16" i="11"/>
  <c r="D16" i="11"/>
  <c r="C16" i="11"/>
  <c r="B16" i="11"/>
  <c r="CM15" i="11"/>
  <c r="CL15" i="11"/>
  <c r="CK15" i="11"/>
  <c r="CJ15" i="11"/>
  <c r="CI15" i="11"/>
  <c r="CH15" i="11"/>
  <c r="CG15" i="11"/>
  <c r="CF15" i="11"/>
  <c r="CE15" i="11"/>
  <c r="CD15" i="11"/>
  <c r="CC15" i="11"/>
  <c r="CB15" i="11"/>
  <c r="CA15" i="11"/>
  <c r="BZ15" i="11"/>
  <c r="BY15" i="11"/>
  <c r="BX15" i="11"/>
  <c r="BW15" i="11"/>
  <c r="BV15" i="11"/>
  <c r="BU15" i="11"/>
  <c r="BT15" i="11"/>
  <c r="BS15" i="11"/>
  <c r="BR15" i="11"/>
  <c r="BQ15" i="11"/>
  <c r="BP15" i="11"/>
  <c r="BO15" i="11"/>
  <c r="BN15" i="11"/>
  <c r="BM15" i="11"/>
  <c r="BL15" i="11"/>
  <c r="BK15" i="11"/>
  <c r="BJ15" i="11"/>
  <c r="BI15" i="11"/>
  <c r="BH15" i="11"/>
  <c r="BG15" i="11"/>
  <c r="BF15" i="11"/>
  <c r="BE15" i="11"/>
  <c r="BD15" i="11"/>
  <c r="BC15" i="11"/>
  <c r="BB15" i="11"/>
  <c r="BA15" i="11"/>
  <c r="AZ15" i="11"/>
  <c r="AY15" i="11"/>
  <c r="AX15" i="11"/>
  <c r="AW15" i="11"/>
  <c r="AV15" i="11"/>
  <c r="AU15" i="11"/>
  <c r="AT15" i="11"/>
  <c r="AS15" i="11"/>
  <c r="AR15" i="11"/>
  <c r="AQ15" i="11"/>
  <c r="AP15" i="11"/>
  <c r="AO15" i="11"/>
  <c r="AN15" i="11"/>
  <c r="AM15" i="11"/>
  <c r="AL15" i="11"/>
  <c r="AK15" i="11"/>
  <c r="AJ15" i="11"/>
  <c r="AI15" i="11"/>
  <c r="AH15" i="11"/>
  <c r="AG15" i="11"/>
  <c r="AF15" i="11"/>
  <c r="AE15" i="11"/>
  <c r="AE24" i="11" s="1"/>
  <c r="AE54" i="4" s="1"/>
  <c r="AD15" i="11"/>
  <c r="AD24" i="11" s="1"/>
  <c r="AD54" i="4" s="1"/>
  <c r="AC15" i="11"/>
  <c r="AB15" i="11"/>
  <c r="AA15" i="11"/>
  <c r="AA24" i="11" s="1"/>
  <c r="AA54" i="4" s="1"/>
  <c r="Z15" i="11"/>
  <c r="Z24" i="11" s="1"/>
  <c r="Z54" i="4" s="1"/>
  <c r="Y15" i="11"/>
  <c r="X15" i="11"/>
  <c r="W15" i="11"/>
  <c r="W24" i="11" s="1"/>
  <c r="W54" i="4" s="1"/>
  <c r="V15" i="11"/>
  <c r="V24" i="11" s="1"/>
  <c r="V54" i="4" s="1"/>
  <c r="U15" i="11"/>
  <c r="T15" i="11"/>
  <c r="S15" i="11"/>
  <c r="S24" i="11" s="1"/>
  <c r="S54" i="4" s="1"/>
  <c r="R15" i="11"/>
  <c r="R24" i="11" s="1"/>
  <c r="R54" i="4" s="1"/>
  <c r="Q15" i="11"/>
  <c r="P15" i="11"/>
  <c r="O15" i="11"/>
  <c r="O24" i="11" s="1"/>
  <c r="O54" i="4" s="1"/>
  <c r="N15" i="11"/>
  <c r="N24" i="11" s="1"/>
  <c r="N54" i="4" s="1"/>
  <c r="M15" i="11"/>
  <c r="L15" i="11"/>
  <c r="K15" i="11"/>
  <c r="K24" i="11" s="1"/>
  <c r="K54" i="4" s="1"/>
  <c r="J15" i="11"/>
  <c r="J24" i="11" s="1"/>
  <c r="J54" i="4" s="1"/>
  <c r="I15" i="11"/>
  <c r="H15" i="11"/>
  <c r="G15" i="11"/>
  <c r="G24" i="11" s="1"/>
  <c r="G54" i="4" s="1"/>
  <c r="F15" i="11"/>
  <c r="F24" i="11" s="1"/>
  <c r="F54" i="4" s="1"/>
  <c r="E15" i="11"/>
  <c r="D15" i="11"/>
  <c r="C15" i="11"/>
  <c r="C24" i="11" s="1"/>
  <c r="C54" i="4" s="1"/>
  <c r="B15" i="11"/>
  <c r="B24" i="11" s="1"/>
  <c r="B54" i="4" s="1"/>
  <c r="CM14" i="11"/>
  <c r="CL14" i="11"/>
  <c r="CK14" i="11"/>
  <c r="CJ14" i="11"/>
  <c r="CI14" i="11"/>
  <c r="CH14" i="11"/>
  <c r="CG14" i="11"/>
  <c r="CF14" i="11"/>
  <c r="CE14" i="11"/>
  <c r="CD14" i="11"/>
  <c r="CC14" i="11"/>
  <c r="CB14" i="11"/>
  <c r="CA14" i="11"/>
  <c r="BZ14" i="11"/>
  <c r="BY14" i="11"/>
  <c r="BX14" i="11"/>
  <c r="BW14" i="11"/>
  <c r="BV14" i="11"/>
  <c r="BU14" i="11"/>
  <c r="BT14" i="11"/>
  <c r="BS14" i="11"/>
  <c r="BR14" i="11"/>
  <c r="BQ14" i="11"/>
  <c r="BP14" i="11"/>
  <c r="BO14" i="11"/>
  <c r="BN14" i="11"/>
  <c r="BM14" i="11"/>
  <c r="BL14" i="11"/>
  <c r="BK14" i="11"/>
  <c r="BJ14" i="11"/>
  <c r="BI14" i="11"/>
  <c r="BH14" i="11"/>
  <c r="BG14" i="11"/>
  <c r="BF14" i="11"/>
  <c r="BE14" i="11"/>
  <c r="BD14" i="11"/>
  <c r="BC14" i="11"/>
  <c r="BB14" i="11"/>
  <c r="BA14" i="11"/>
  <c r="AZ14" i="11"/>
  <c r="AY14" i="11"/>
  <c r="AX14" i="11"/>
  <c r="AW14" i="11"/>
  <c r="AV14" i="11"/>
  <c r="AU14" i="11"/>
  <c r="AT14" i="11"/>
  <c r="AS14" i="11"/>
  <c r="AR14" i="11"/>
  <c r="AQ14" i="11"/>
  <c r="AP14" i="11"/>
  <c r="AO14" i="11"/>
  <c r="AN14" i="11"/>
  <c r="AM14" i="11"/>
  <c r="AL14" i="11"/>
  <c r="AK14" i="11"/>
  <c r="AJ14" i="11"/>
  <c r="AI14" i="11"/>
  <c r="AH14" i="11"/>
  <c r="AG14" i="11"/>
  <c r="AF14" i="11"/>
  <c r="AE14" i="11"/>
  <c r="AD14" i="11"/>
  <c r="AC14" i="11"/>
  <c r="AB14" i="11"/>
  <c r="AA14" i="11"/>
  <c r="Z14" i="11"/>
  <c r="Y14" i="11"/>
  <c r="X14" i="11"/>
  <c r="W14" i="11"/>
  <c r="V14" i="11"/>
  <c r="U14" i="11"/>
  <c r="T14" i="11"/>
  <c r="S14" i="11"/>
  <c r="R14" i="11"/>
  <c r="Q14" i="11"/>
  <c r="P14" i="11"/>
  <c r="O14" i="11"/>
  <c r="N14" i="11"/>
  <c r="M14" i="11"/>
  <c r="L14" i="11"/>
  <c r="K14" i="11"/>
  <c r="J14" i="11"/>
  <c r="I14" i="11"/>
  <c r="H14" i="11"/>
  <c r="G14" i="11"/>
  <c r="F14" i="11"/>
  <c r="E14" i="11"/>
  <c r="D14" i="11"/>
  <c r="C14" i="11"/>
  <c r="B14" i="11"/>
  <c r="CM13" i="11"/>
  <c r="CL13" i="11"/>
  <c r="CK13" i="11"/>
  <c r="CJ13" i="11"/>
  <c r="CI13" i="11"/>
  <c r="CH13" i="11"/>
  <c r="CG13" i="11"/>
  <c r="CF13" i="11"/>
  <c r="CE13" i="11"/>
  <c r="CD13" i="11"/>
  <c r="CC13" i="11"/>
  <c r="CB13" i="11"/>
  <c r="CA13" i="11"/>
  <c r="BZ13" i="11"/>
  <c r="BY13" i="11"/>
  <c r="BX13" i="11"/>
  <c r="BW13" i="11"/>
  <c r="BV13" i="11"/>
  <c r="BU13" i="11"/>
  <c r="BT13" i="11"/>
  <c r="BS13" i="11"/>
  <c r="BR13" i="11"/>
  <c r="BQ13" i="11"/>
  <c r="BP13" i="11"/>
  <c r="BO13" i="11"/>
  <c r="BN13" i="11"/>
  <c r="BM13" i="11"/>
  <c r="BL13" i="11"/>
  <c r="BK13" i="11"/>
  <c r="BJ13" i="11"/>
  <c r="BI13" i="11"/>
  <c r="BH13" i="11"/>
  <c r="BG13" i="11"/>
  <c r="BF13" i="11"/>
  <c r="BE13" i="11"/>
  <c r="BD13" i="11"/>
  <c r="BC13" i="11"/>
  <c r="BB13" i="11"/>
  <c r="BA13" i="11"/>
  <c r="AZ13" i="11"/>
  <c r="AY13" i="11"/>
  <c r="AX13" i="11"/>
  <c r="AW13" i="11"/>
  <c r="AV13" i="11"/>
  <c r="AU13" i="11"/>
  <c r="AT13" i="11"/>
  <c r="AS13" i="11"/>
  <c r="AR13" i="11"/>
  <c r="AQ13" i="11"/>
  <c r="AP13" i="11"/>
  <c r="AO13" i="11"/>
  <c r="AN13" i="11"/>
  <c r="AM13" i="11"/>
  <c r="AL13" i="11"/>
  <c r="AK13" i="11"/>
  <c r="AJ13" i="11"/>
  <c r="AI13" i="11"/>
  <c r="AH13" i="11"/>
  <c r="AG13" i="11"/>
  <c r="AF13" i="11"/>
  <c r="D42" i="9" s="1"/>
  <c r="AE13" i="11"/>
  <c r="AE23" i="11" s="1"/>
  <c r="AE553" i="1" s="1"/>
  <c r="AD13" i="11"/>
  <c r="AD23" i="11" s="1"/>
  <c r="AD52" i="4" s="1"/>
  <c r="AC13" i="11"/>
  <c r="AB13" i="11"/>
  <c r="AA13" i="11"/>
  <c r="AA23" i="11" s="1"/>
  <c r="AA553" i="1" s="1"/>
  <c r="Z13" i="11"/>
  <c r="Z23" i="11" s="1"/>
  <c r="Z52" i="4" s="1"/>
  <c r="Y13" i="11"/>
  <c r="X13" i="11"/>
  <c r="W13" i="11"/>
  <c r="W23" i="11" s="1"/>
  <c r="W553" i="1" s="1"/>
  <c r="V13" i="11"/>
  <c r="V23" i="11" s="1"/>
  <c r="V52" i="4" s="1"/>
  <c r="U13" i="11"/>
  <c r="T13" i="11"/>
  <c r="S13" i="11"/>
  <c r="S23" i="11" s="1"/>
  <c r="S553" i="1" s="1"/>
  <c r="R13" i="11"/>
  <c r="R23" i="11" s="1"/>
  <c r="R52" i="4" s="1"/>
  <c r="Q13" i="11"/>
  <c r="P13" i="11"/>
  <c r="O13" i="11"/>
  <c r="O23" i="11" s="1"/>
  <c r="O553" i="1" s="1"/>
  <c r="N13" i="11"/>
  <c r="N23" i="11" s="1"/>
  <c r="N52" i="4" s="1"/>
  <c r="M13" i="11"/>
  <c r="L13" i="11"/>
  <c r="K13" i="11"/>
  <c r="K23" i="11" s="1"/>
  <c r="K553" i="1" s="1"/>
  <c r="J13" i="11"/>
  <c r="J23" i="11" s="1"/>
  <c r="J52" i="4" s="1"/>
  <c r="I13" i="11"/>
  <c r="H13" i="11"/>
  <c r="G13" i="11"/>
  <c r="G23" i="11" s="1"/>
  <c r="G553" i="1" s="1"/>
  <c r="F13" i="11"/>
  <c r="F23" i="11" s="1"/>
  <c r="F52" i="4" s="1"/>
  <c r="E13" i="11"/>
  <c r="D13" i="11"/>
  <c r="C13" i="11"/>
  <c r="C23" i="11" s="1"/>
  <c r="C553" i="1" s="1"/>
  <c r="B13" i="11"/>
  <c r="B23" i="11" s="1"/>
  <c r="B52" i="4" s="1"/>
  <c r="CM24" i="10"/>
  <c r="CL24" i="10"/>
  <c r="CK24" i="10"/>
  <c r="CJ24" i="10"/>
  <c r="CI24" i="10"/>
  <c r="CH24" i="10"/>
  <c r="CG24" i="10"/>
  <c r="CF24" i="10"/>
  <c r="CE24" i="10"/>
  <c r="CD24" i="10"/>
  <c r="CC24" i="10"/>
  <c r="CB24" i="10"/>
  <c r="CA24" i="10"/>
  <c r="BZ24" i="10"/>
  <c r="BY24" i="10"/>
  <c r="BX24" i="10"/>
  <c r="BW24" i="10"/>
  <c r="BV24" i="10"/>
  <c r="BU24" i="10"/>
  <c r="BT24" i="10"/>
  <c r="BS24" i="10"/>
  <c r="BR24" i="10"/>
  <c r="BQ24" i="10"/>
  <c r="BP24" i="10"/>
  <c r="BO24" i="10"/>
  <c r="BN24" i="10"/>
  <c r="BM24" i="10"/>
  <c r="BL24" i="10"/>
  <c r="BK24" i="10"/>
  <c r="BJ24" i="10"/>
  <c r="BI24" i="10"/>
  <c r="BH24" i="10"/>
  <c r="BG24" i="10"/>
  <c r="BF24" i="10"/>
  <c r="BE24" i="10"/>
  <c r="BD24" i="10"/>
  <c r="BC24" i="10"/>
  <c r="BB24" i="10"/>
  <c r="BA24" i="10"/>
  <c r="AZ24" i="10"/>
  <c r="AY24" i="10"/>
  <c r="AX24" i="10"/>
  <c r="AW24" i="10"/>
  <c r="AV24" i="10"/>
  <c r="AU24" i="10"/>
  <c r="AT24" i="10"/>
  <c r="AS24" i="10"/>
  <c r="AR24" i="10"/>
  <c r="AQ24" i="10"/>
  <c r="AP24" i="10"/>
  <c r="AO24" i="10"/>
  <c r="AN24" i="10"/>
  <c r="AM24" i="10"/>
  <c r="AL24" i="10"/>
  <c r="AK24" i="10"/>
  <c r="AJ24" i="10"/>
  <c r="AI24" i="10"/>
  <c r="AH24" i="10"/>
  <c r="AG24" i="10"/>
  <c r="AF24" i="10"/>
  <c r="AE24" i="10"/>
  <c r="AD24" i="10"/>
  <c r="AC24" i="10"/>
  <c r="AB24" i="10"/>
  <c r="AA24" i="10"/>
  <c r="Z24" i="10"/>
  <c r="Y24" i="10"/>
  <c r="X24" i="10"/>
  <c r="W24" i="10"/>
  <c r="V24" i="10"/>
  <c r="U24" i="10"/>
  <c r="T24" i="10"/>
  <c r="S24" i="10"/>
  <c r="R24" i="10"/>
  <c r="Q24" i="10"/>
  <c r="P24" i="10"/>
  <c r="O24" i="10"/>
  <c r="N24" i="10"/>
  <c r="M24" i="10"/>
  <c r="L24" i="10"/>
  <c r="K24" i="10"/>
  <c r="J24" i="10"/>
  <c r="I24" i="10"/>
  <c r="H24" i="10"/>
  <c r="G24" i="10"/>
  <c r="F24" i="10"/>
  <c r="E24" i="10"/>
  <c r="D24" i="10"/>
  <c r="C24" i="10"/>
  <c r="B24" i="10"/>
  <c r="CM23" i="10"/>
  <c r="CL23" i="10"/>
  <c r="CK23" i="10"/>
  <c r="CJ23" i="10"/>
  <c r="CI23" i="10"/>
  <c r="CH23" i="10"/>
  <c r="CG23" i="10"/>
  <c r="CF23" i="10"/>
  <c r="CE23" i="10"/>
  <c r="CD23" i="10"/>
  <c r="CC23" i="10"/>
  <c r="CB23" i="10"/>
  <c r="CA23" i="10"/>
  <c r="BZ23" i="10"/>
  <c r="BY23" i="10"/>
  <c r="BX23" i="10"/>
  <c r="BW23" i="10"/>
  <c r="BV23" i="10"/>
  <c r="BU23" i="10"/>
  <c r="BT23" i="10"/>
  <c r="BS23" i="10"/>
  <c r="BR23" i="10"/>
  <c r="BQ23" i="10"/>
  <c r="BP23" i="10"/>
  <c r="BO23" i="10"/>
  <c r="BN23" i="10"/>
  <c r="BM23" i="10"/>
  <c r="BL23" i="10"/>
  <c r="BK23" i="10"/>
  <c r="BJ23" i="10"/>
  <c r="BI23" i="10"/>
  <c r="BH23" i="10"/>
  <c r="BG23" i="10"/>
  <c r="BF23" i="10"/>
  <c r="BE23" i="10"/>
  <c r="BD23" i="10"/>
  <c r="BC23" i="10"/>
  <c r="BB23" i="10"/>
  <c r="BA23" i="10"/>
  <c r="AZ23" i="10"/>
  <c r="AY23" i="10"/>
  <c r="AX23" i="10"/>
  <c r="AW23" i="10"/>
  <c r="AV23" i="10"/>
  <c r="AU23" i="10"/>
  <c r="AT23" i="10"/>
  <c r="AS23" i="10"/>
  <c r="AR23" i="10"/>
  <c r="AQ23" i="10"/>
  <c r="AP23" i="10"/>
  <c r="AO23" i="10"/>
  <c r="AN23" i="10"/>
  <c r="AM23" i="10"/>
  <c r="AL23" i="10"/>
  <c r="AK23" i="10"/>
  <c r="AJ23" i="10"/>
  <c r="AI23" i="10"/>
  <c r="AH23" i="10"/>
  <c r="AG23"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G23" i="10"/>
  <c r="F23" i="10"/>
  <c r="E23" i="10"/>
  <c r="D23" i="10"/>
  <c r="C23" i="10"/>
  <c r="B23" i="10"/>
  <c r="CM22" i="10"/>
  <c r="CL22" i="10"/>
  <c r="CK22" i="10"/>
  <c r="CJ22" i="10"/>
  <c r="CI22" i="10"/>
  <c r="CH22" i="10"/>
  <c r="CG22" i="10"/>
  <c r="CF22" i="10"/>
  <c r="CE22" i="10"/>
  <c r="CD22" i="10"/>
  <c r="CC22" i="10"/>
  <c r="CB22" i="10"/>
  <c r="CA22" i="10"/>
  <c r="BZ22" i="10"/>
  <c r="BY22" i="10"/>
  <c r="BX22" i="10"/>
  <c r="BW22" i="10"/>
  <c r="BV22" i="10"/>
  <c r="BU22" i="10"/>
  <c r="BT22" i="10"/>
  <c r="BS22" i="10"/>
  <c r="BR22" i="10"/>
  <c r="BQ22" i="10"/>
  <c r="BP22" i="10"/>
  <c r="BO22" i="10"/>
  <c r="BN22" i="10"/>
  <c r="BM22" i="10"/>
  <c r="BL22" i="10"/>
  <c r="BK22" i="10"/>
  <c r="BJ22" i="10"/>
  <c r="BI22" i="10"/>
  <c r="BH22" i="10"/>
  <c r="BG22" i="10"/>
  <c r="BF22" i="10"/>
  <c r="BE22" i="10"/>
  <c r="BD22" i="10"/>
  <c r="BC22" i="10"/>
  <c r="BB22" i="10"/>
  <c r="BA22" i="10"/>
  <c r="AZ22" i="10"/>
  <c r="AY22" i="10"/>
  <c r="AX22" i="10"/>
  <c r="AW22" i="10"/>
  <c r="AV22" i="10"/>
  <c r="AU22" i="10"/>
  <c r="AT22" i="10"/>
  <c r="AS22" i="10"/>
  <c r="AR22" i="10"/>
  <c r="AQ22" i="10"/>
  <c r="AP22" i="10"/>
  <c r="AO22" i="10"/>
  <c r="AN22" i="10"/>
  <c r="AM22" i="10"/>
  <c r="AL22" i="10"/>
  <c r="AK22" i="10"/>
  <c r="AJ22" i="10"/>
  <c r="AI22" i="10"/>
  <c r="AH22" i="10"/>
  <c r="AG22" i="10"/>
  <c r="AF22" i="10"/>
  <c r="AE22" i="10"/>
  <c r="AD22" i="10"/>
  <c r="AC22" i="10"/>
  <c r="AB22" i="10"/>
  <c r="AA22" i="10"/>
  <c r="Z22" i="10"/>
  <c r="Y22" i="10"/>
  <c r="X22" i="10"/>
  <c r="W22" i="10"/>
  <c r="V22" i="10"/>
  <c r="U22" i="10"/>
  <c r="T22" i="10"/>
  <c r="S22" i="10"/>
  <c r="R22" i="10"/>
  <c r="Q22" i="10"/>
  <c r="P22" i="10"/>
  <c r="O22" i="10"/>
  <c r="N22" i="10"/>
  <c r="M22" i="10"/>
  <c r="L22" i="10"/>
  <c r="K22" i="10"/>
  <c r="J22" i="10"/>
  <c r="I22" i="10"/>
  <c r="H22" i="10"/>
  <c r="G22" i="10"/>
  <c r="F22" i="10"/>
  <c r="E22" i="10"/>
  <c r="D22" i="10"/>
  <c r="C22" i="10"/>
  <c r="B22" i="10"/>
  <c r="CM21" i="10"/>
  <c r="CL21" i="10"/>
  <c r="CK21" i="10"/>
  <c r="CJ21" i="10"/>
  <c r="CI21" i="10"/>
  <c r="CH21" i="10"/>
  <c r="CG21" i="10"/>
  <c r="CF21" i="10"/>
  <c r="CE21" i="10"/>
  <c r="CD21" i="10"/>
  <c r="CC21" i="10"/>
  <c r="CB21" i="10"/>
  <c r="CA21" i="10"/>
  <c r="BZ21" i="10"/>
  <c r="BY21" i="10"/>
  <c r="BX21" i="10"/>
  <c r="BW21" i="10"/>
  <c r="BV21" i="10"/>
  <c r="BU21" i="10"/>
  <c r="BT21" i="10"/>
  <c r="BS21" i="10"/>
  <c r="BR21" i="10"/>
  <c r="BQ21" i="10"/>
  <c r="BP21" i="10"/>
  <c r="BO21" i="10"/>
  <c r="BN21" i="10"/>
  <c r="BM21" i="10"/>
  <c r="BL21" i="10"/>
  <c r="BK21" i="10"/>
  <c r="BJ21" i="10"/>
  <c r="BI21" i="10"/>
  <c r="BH21" i="10"/>
  <c r="BG21" i="10"/>
  <c r="BF21" i="10"/>
  <c r="BE21" i="10"/>
  <c r="BD21" i="10"/>
  <c r="BC21" i="10"/>
  <c r="BB21" i="10"/>
  <c r="BA21" i="10"/>
  <c r="AZ21" i="10"/>
  <c r="AY21" i="10"/>
  <c r="AX21" i="10"/>
  <c r="AW21" i="10"/>
  <c r="AV21" i="10"/>
  <c r="AU21" i="10"/>
  <c r="AT21" i="10"/>
  <c r="AS21" i="10"/>
  <c r="AR21" i="10"/>
  <c r="AQ21" i="10"/>
  <c r="AP21" i="10"/>
  <c r="AO21" i="10"/>
  <c r="AN21" i="10"/>
  <c r="AM21" i="10"/>
  <c r="AL21" i="10"/>
  <c r="AK21" i="10"/>
  <c r="AJ21" i="10"/>
  <c r="AI21" i="10"/>
  <c r="AH21" i="10"/>
  <c r="AG21" i="10"/>
  <c r="AF21" i="10"/>
  <c r="AE21"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B21" i="10"/>
  <c r="CM20" i="10"/>
  <c r="CL20" i="10"/>
  <c r="CK20" i="10"/>
  <c r="CJ20" i="10"/>
  <c r="CI20" i="10"/>
  <c r="CH20" i="10"/>
  <c r="CG20" i="10"/>
  <c r="CF20" i="10"/>
  <c r="CE20" i="10"/>
  <c r="CD20" i="10"/>
  <c r="CC20" i="10"/>
  <c r="CB20" i="10"/>
  <c r="CA20" i="10"/>
  <c r="BZ20" i="10"/>
  <c r="BY20" i="10"/>
  <c r="BX20" i="10"/>
  <c r="BW20" i="10"/>
  <c r="BV20" i="10"/>
  <c r="BU20" i="10"/>
  <c r="BT20" i="10"/>
  <c r="BS20" i="10"/>
  <c r="BR20" i="10"/>
  <c r="BQ20" i="10"/>
  <c r="BP20" i="10"/>
  <c r="BO20" i="10"/>
  <c r="BN20" i="10"/>
  <c r="BM20" i="10"/>
  <c r="BL20" i="10"/>
  <c r="BK20" i="10"/>
  <c r="BJ20" i="10"/>
  <c r="BI20" i="10"/>
  <c r="BH20" i="10"/>
  <c r="BG20" i="10"/>
  <c r="BF20" i="10"/>
  <c r="BE20" i="10"/>
  <c r="BD20" i="10"/>
  <c r="BC20" i="10"/>
  <c r="BB20" i="10"/>
  <c r="BA20" i="10"/>
  <c r="AZ20" i="10"/>
  <c r="AY20" i="10"/>
  <c r="AX20" i="10"/>
  <c r="AW20" i="10"/>
  <c r="AV20" i="10"/>
  <c r="AU20" i="10"/>
  <c r="AT20" i="10"/>
  <c r="AS20" i="10"/>
  <c r="AR20" i="10"/>
  <c r="AQ20" i="10"/>
  <c r="AP20" i="10"/>
  <c r="AO20" i="10"/>
  <c r="AN20" i="10"/>
  <c r="AM20" i="10"/>
  <c r="AL20" i="10"/>
  <c r="AK20" i="10"/>
  <c r="AJ20" i="10"/>
  <c r="AI20" i="10"/>
  <c r="AH20" i="10"/>
  <c r="AG20" i="10"/>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G20" i="10"/>
  <c r="F20" i="10"/>
  <c r="E20" i="10"/>
  <c r="D20" i="10"/>
  <c r="C20" i="10"/>
  <c r="B20" i="10"/>
  <c r="CM19" i="10"/>
  <c r="CL19" i="10"/>
  <c r="CK19" i="10"/>
  <c r="CJ19" i="10"/>
  <c r="CI19" i="10"/>
  <c r="CH19" i="10"/>
  <c r="CG19" i="10"/>
  <c r="CF19" i="10"/>
  <c r="CE19" i="10"/>
  <c r="CD19" i="10"/>
  <c r="CC19" i="10"/>
  <c r="CB19" i="10"/>
  <c r="CA19" i="10"/>
  <c r="BZ19" i="10"/>
  <c r="BY19" i="10"/>
  <c r="BX19" i="10"/>
  <c r="BW19" i="10"/>
  <c r="BV19" i="10"/>
  <c r="BU19" i="10"/>
  <c r="BT19" i="10"/>
  <c r="BS19" i="10"/>
  <c r="BR19" i="10"/>
  <c r="BQ19" i="10"/>
  <c r="BP19" i="10"/>
  <c r="BO19" i="10"/>
  <c r="BN19" i="10"/>
  <c r="BM19" i="10"/>
  <c r="BL19" i="10"/>
  <c r="BK19" i="10"/>
  <c r="BJ19" i="10"/>
  <c r="BI19" i="10"/>
  <c r="BH19" i="10"/>
  <c r="BG19" i="10"/>
  <c r="BF19" i="10"/>
  <c r="BE19" i="10"/>
  <c r="BD19" i="10"/>
  <c r="BC19" i="10"/>
  <c r="BB19" i="10"/>
  <c r="BA19" i="10"/>
  <c r="AZ19" i="10"/>
  <c r="AY19" i="10"/>
  <c r="AX19" i="10"/>
  <c r="AW19" i="10"/>
  <c r="AV19" i="10"/>
  <c r="AU19" i="10"/>
  <c r="AT19" i="10"/>
  <c r="AS19" i="10"/>
  <c r="AR19" i="10"/>
  <c r="AQ19" i="10"/>
  <c r="AP19" i="10"/>
  <c r="AO19" i="10"/>
  <c r="AN19" i="10"/>
  <c r="AM19" i="10"/>
  <c r="AL19" i="10"/>
  <c r="AK19" i="10"/>
  <c r="AJ19" i="10"/>
  <c r="AI19" i="10"/>
  <c r="AH19" i="10"/>
  <c r="AG19" i="10"/>
  <c r="AF19" i="10"/>
  <c r="AE19" i="10"/>
  <c r="AD19" i="10"/>
  <c r="AC19" i="10"/>
  <c r="AB19" i="10"/>
  <c r="AA19" i="10"/>
  <c r="Z19" i="10"/>
  <c r="Y19" i="10"/>
  <c r="X19" i="10"/>
  <c r="W19" i="10"/>
  <c r="V19" i="10"/>
  <c r="U19" i="10"/>
  <c r="T19" i="10"/>
  <c r="S19" i="10"/>
  <c r="R19" i="10"/>
  <c r="Q19" i="10"/>
  <c r="P19" i="10"/>
  <c r="O19" i="10"/>
  <c r="N19" i="10"/>
  <c r="M19" i="10"/>
  <c r="L19" i="10"/>
  <c r="K19" i="10"/>
  <c r="J19" i="10"/>
  <c r="I19" i="10"/>
  <c r="H19" i="10"/>
  <c r="G19" i="10"/>
  <c r="F19" i="10"/>
  <c r="E19" i="10"/>
  <c r="D19" i="10"/>
  <c r="C19" i="10"/>
  <c r="B19" i="10"/>
  <c r="CM18" i="10"/>
  <c r="CL18" i="10"/>
  <c r="CK18" i="10"/>
  <c r="CJ18" i="10"/>
  <c r="CI18" i="10"/>
  <c r="CH18" i="10"/>
  <c r="CG18" i="10"/>
  <c r="CF18" i="10"/>
  <c r="CE18" i="10"/>
  <c r="CD18" i="10"/>
  <c r="CC18" i="10"/>
  <c r="CB18" i="10"/>
  <c r="CA18" i="10"/>
  <c r="BZ18" i="10"/>
  <c r="BY18" i="10"/>
  <c r="BX18" i="10"/>
  <c r="BW18" i="10"/>
  <c r="BV18" i="10"/>
  <c r="BU18" i="10"/>
  <c r="BT18" i="10"/>
  <c r="BS18" i="10"/>
  <c r="BR18" i="10"/>
  <c r="BQ18" i="10"/>
  <c r="BP18" i="10"/>
  <c r="BO18" i="10"/>
  <c r="BN18" i="10"/>
  <c r="BM18" i="10"/>
  <c r="BL18" i="10"/>
  <c r="BK18" i="10"/>
  <c r="BJ18" i="10"/>
  <c r="BI18" i="10"/>
  <c r="BH18" i="10"/>
  <c r="BG18" i="10"/>
  <c r="BF18" i="10"/>
  <c r="BE18" i="10"/>
  <c r="BD18" i="10"/>
  <c r="BC18" i="10"/>
  <c r="BB18" i="10"/>
  <c r="BA18" i="10"/>
  <c r="AZ18" i="10"/>
  <c r="AY18" i="10"/>
  <c r="AX18" i="10"/>
  <c r="AW18" i="10"/>
  <c r="AV18" i="10"/>
  <c r="AU18" i="10"/>
  <c r="AT18" i="10"/>
  <c r="AS18" i="10"/>
  <c r="AR18" i="10"/>
  <c r="AQ18" i="10"/>
  <c r="AP18" i="10"/>
  <c r="AO18" i="10"/>
  <c r="AN18" i="10"/>
  <c r="AM18" i="10"/>
  <c r="AL18" i="10"/>
  <c r="AK18" i="10"/>
  <c r="AJ18" i="10"/>
  <c r="AI18" i="10"/>
  <c r="AH18" i="10"/>
  <c r="AG18"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C18" i="10"/>
  <c r="B18" i="10"/>
  <c r="CM17" i="10"/>
  <c r="CL17" i="10"/>
  <c r="CK17" i="10"/>
  <c r="CJ17" i="10"/>
  <c r="CI17" i="10"/>
  <c r="CH17" i="10"/>
  <c r="CG17" i="10"/>
  <c r="CF17" i="10"/>
  <c r="CE17" i="10"/>
  <c r="CD17" i="10"/>
  <c r="CC17" i="10"/>
  <c r="CB17" i="10"/>
  <c r="CA17" i="10"/>
  <c r="BZ17" i="10"/>
  <c r="BY17" i="10"/>
  <c r="BX17" i="10"/>
  <c r="BW17" i="10"/>
  <c r="BV17" i="10"/>
  <c r="BU17" i="10"/>
  <c r="BT17" i="10"/>
  <c r="BS17" i="10"/>
  <c r="BR17" i="10"/>
  <c r="BQ17" i="10"/>
  <c r="BP17" i="10"/>
  <c r="BO17" i="10"/>
  <c r="BN17" i="10"/>
  <c r="BM17" i="10"/>
  <c r="BL17" i="10"/>
  <c r="BK17" i="10"/>
  <c r="BJ17" i="10"/>
  <c r="BI17" i="10"/>
  <c r="BH17" i="10"/>
  <c r="BG17" i="10"/>
  <c r="BF17" i="10"/>
  <c r="BE17" i="10"/>
  <c r="BD17" i="10"/>
  <c r="BC17" i="10"/>
  <c r="BB17" i="10"/>
  <c r="BA17" i="10"/>
  <c r="AZ17" i="10"/>
  <c r="AY17" i="10"/>
  <c r="AX17" i="10"/>
  <c r="AW17" i="10"/>
  <c r="AV17" i="10"/>
  <c r="AU17" i="10"/>
  <c r="AT17" i="10"/>
  <c r="AS17" i="10"/>
  <c r="AR17" i="10"/>
  <c r="AQ17" i="10"/>
  <c r="AP17" i="10"/>
  <c r="AO17" i="10"/>
  <c r="AN17" i="10"/>
  <c r="AM17" i="10"/>
  <c r="AL17" i="10"/>
  <c r="AK17" i="10"/>
  <c r="AJ17" i="10"/>
  <c r="AI17" i="10"/>
  <c r="AH17" i="10"/>
  <c r="AG17" i="10"/>
  <c r="AF17" i="10"/>
  <c r="AE17" i="10"/>
  <c r="AE28" i="10" s="1"/>
  <c r="AE54" i="6" s="1"/>
  <c r="AD17" i="10"/>
  <c r="AD28" i="10" s="1"/>
  <c r="AD54" i="6" s="1"/>
  <c r="AC17" i="10"/>
  <c r="AB17" i="10"/>
  <c r="AA17" i="10"/>
  <c r="AA28" i="10" s="1"/>
  <c r="AA54" i="6" s="1"/>
  <c r="Z17" i="10"/>
  <c r="Y17" i="10"/>
  <c r="X17" i="10"/>
  <c r="W17" i="10"/>
  <c r="W28" i="10" s="1"/>
  <c r="W54" i="6" s="1"/>
  <c r="V17" i="10"/>
  <c r="V28" i="10" s="1"/>
  <c r="V54" i="6" s="1"/>
  <c r="U17" i="10"/>
  <c r="T17" i="10"/>
  <c r="S17" i="10"/>
  <c r="S28" i="10" s="1"/>
  <c r="S54" i="6" s="1"/>
  <c r="R17" i="10"/>
  <c r="R28" i="10" s="1"/>
  <c r="R54" i="6" s="1"/>
  <c r="Q17" i="10"/>
  <c r="P17" i="10"/>
  <c r="O17" i="10"/>
  <c r="O28" i="10" s="1"/>
  <c r="O54" i="6" s="1"/>
  <c r="N17" i="10"/>
  <c r="N28" i="10" s="1"/>
  <c r="N54" i="6" s="1"/>
  <c r="M17" i="10"/>
  <c r="L17" i="10"/>
  <c r="K17" i="10"/>
  <c r="K28" i="10" s="1"/>
  <c r="K54" i="6" s="1"/>
  <c r="J17" i="10"/>
  <c r="J28" i="10" s="1"/>
  <c r="J54" i="6" s="1"/>
  <c r="I17" i="10"/>
  <c r="H17" i="10"/>
  <c r="G17" i="10"/>
  <c r="G28" i="10" s="1"/>
  <c r="G54" i="6" s="1"/>
  <c r="F17" i="10"/>
  <c r="F28" i="10" s="1"/>
  <c r="F54" i="6" s="1"/>
  <c r="E17" i="10"/>
  <c r="D17" i="10"/>
  <c r="C17" i="10"/>
  <c r="C28" i="10" s="1"/>
  <c r="C54" i="6" s="1"/>
  <c r="B17" i="10"/>
  <c r="B28" i="10" s="1"/>
  <c r="B54" i="6" s="1"/>
  <c r="CM16" i="10"/>
  <c r="CL16" i="10"/>
  <c r="CK16" i="10"/>
  <c r="CJ16" i="10"/>
  <c r="CI16" i="10"/>
  <c r="CH16" i="10"/>
  <c r="CG16" i="10"/>
  <c r="CF16" i="10"/>
  <c r="CE16" i="10"/>
  <c r="CD16" i="10"/>
  <c r="CC16" i="10"/>
  <c r="CB16" i="10"/>
  <c r="CA16" i="10"/>
  <c r="BZ16" i="10"/>
  <c r="BY16" i="10"/>
  <c r="BX16" i="10"/>
  <c r="BW16" i="10"/>
  <c r="BV16" i="10"/>
  <c r="BU16" i="10"/>
  <c r="BT16" i="10"/>
  <c r="BS16" i="10"/>
  <c r="BR16" i="10"/>
  <c r="BQ16" i="10"/>
  <c r="BP16" i="10"/>
  <c r="BO16" i="10"/>
  <c r="BN16" i="10"/>
  <c r="BM16" i="10"/>
  <c r="BL16" i="10"/>
  <c r="BK16" i="10"/>
  <c r="BJ16" i="10"/>
  <c r="BI16" i="10"/>
  <c r="BH16" i="10"/>
  <c r="BG16" i="10"/>
  <c r="BF16" i="10"/>
  <c r="BE16" i="10"/>
  <c r="BD16" i="10"/>
  <c r="BC16" i="10"/>
  <c r="BB16" i="10"/>
  <c r="BA16" i="10"/>
  <c r="AZ16" i="10"/>
  <c r="AY16" i="10"/>
  <c r="AX16" i="10"/>
  <c r="AW16" i="10"/>
  <c r="AV16" i="10"/>
  <c r="AU16" i="10"/>
  <c r="AT16" i="10"/>
  <c r="AS16" i="10"/>
  <c r="AR16" i="10"/>
  <c r="AQ16" i="10"/>
  <c r="AP16" i="10"/>
  <c r="AO16" i="10"/>
  <c r="AN16" i="10"/>
  <c r="AM16" i="10"/>
  <c r="AL16" i="10"/>
  <c r="AK16" i="10"/>
  <c r="AJ16" i="10"/>
  <c r="AI16" i="10"/>
  <c r="AH16" i="10"/>
  <c r="AG16" i="10"/>
  <c r="AF16" i="10"/>
  <c r="AE16" i="10"/>
  <c r="AD16" i="10"/>
  <c r="AC16" i="10"/>
  <c r="AB16" i="10"/>
  <c r="AA16" i="10"/>
  <c r="Z16" i="10"/>
  <c r="Y16" i="10"/>
  <c r="X16" i="10"/>
  <c r="W16" i="10"/>
  <c r="V16" i="10"/>
  <c r="U16" i="10"/>
  <c r="T16" i="10"/>
  <c r="S16" i="10"/>
  <c r="R16" i="10"/>
  <c r="Q16" i="10"/>
  <c r="P16" i="10"/>
  <c r="O16" i="10"/>
  <c r="N16" i="10"/>
  <c r="M16" i="10"/>
  <c r="L16" i="10"/>
  <c r="K16" i="10"/>
  <c r="J16" i="10"/>
  <c r="I16" i="10"/>
  <c r="H16" i="10"/>
  <c r="G16" i="10"/>
  <c r="F16" i="10"/>
  <c r="E16" i="10"/>
  <c r="D16" i="10"/>
  <c r="C16" i="10"/>
  <c r="B16" i="10"/>
  <c r="CM15" i="10"/>
  <c r="CL15" i="10"/>
  <c r="CK15" i="10"/>
  <c r="CJ15" i="10"/>
  <c r="CI15" i="10"/>
  <c r="CH15" i="10"/>
  <c r="CG15" i="10"/>
  <c r="CF15" i="10"/>
  <c r="CE15" i="10"/>
  <c r="CD15" i="10"/>
  <c r="CC15" i="10"/>
  <c r="CB15" i="10"/>
  <c r="CA15" i="10"/>
  <c r="BZ15" i="10"/>
  <c r="BY15" i="10"/>
  <c r="BX15" i="10"/>
  <c r="BW15" i="10"/>
  <c r="BV15" i="10"/>
  <c r="BU15" i="10"/>
  <c r="BT15" i="10"/>
  <c r="BS15" i="10"/>
  <c r="BR15" i="10"/>
  <c r="BQ15" i="10"/>
  <c r="BP15" i="10"/>
  <c r="BO15" i="10"/>
  <c r="BN15" i="10"/>
  <c r="BM15" i="10"/>
  <c r="BL15" i="10"/>
  <c r="BK15" i="10"/>
  <c r="BJ15" i="10"/>
  <c r="BI15" i="10"/>
  <c r="BH15" i="10"/>
  <c r="BG15" i="10"/>
  <c r="BF15" i="10"/>
  <c r="BE15" i="10"/>
  <c r="BD15" i="10"/>
  <c r="BC15" i="10"/>
  <c r="BB15" i="10"/>
  <c r="BA15" i="10"/>
  <c r="AZ15" i="10"/>
  <c r="AY15" i="10"/>
  <c r="AX15" i="10"/>
  <c r="AW15" i="10"/>
  <c r="AV15" i="10"/>
  <c r="AU15" i="10"/>
  <c r="AT15" i="10"/>
  <c r="AS15" i="10"/>
  <c r="AR15" i="10"/>
  <c r="AQ15" i="10"/>
  <c r="AP15" i="10"/>
  <c r="AO15" i="10"/>
  <c r="AN15" i="10"/>
  <c r="AM15" i="10"/>
  <c r="AL15" i="10"/>
  <c r="AK15" i="10"/>
  <c r="AJ15" i="10"/>
  <c r="AI15" i="10"/>
  <c r="AH15" i="10"/>
  <c r="AG15" i="10"/>
  <c r="AF15" i="10"/>
  <c r="AE15" i="10"/>
  <c r="AE27" i="10" s="1"/>
  <c r="AE52" i="5" s="1"/>
  <c r="AD15" i="10"/>
  <c r="AD27" i="10" s="1"/>
  <c r="AD52" i="6" s="1"/>
  <c r="AC15" i="10"/>
  <c r="AB15" i="10"/>
  <c r="AA15" i="10"/>
  <c r="AA27" i="10" s="1"/>
  <c r="AA52" i="5" s="1"/>
  <c r="Z15" i="10"/>
  <c r="Z27" i="10" s="1"/>
  <c r="Z52" i="6" s="1"/>
  <c r="Y15" i="10"/>
  <c r="X15" i="10"/>
  <c r="W15" i="10"/>
  <c r="W27" i="10" s="1"/>
  <c r="W52" i="5" s="1"/>
  <c r="V15" i="10"/>
  <c r="V27" i="10" s="1"/>
  <c r="V52" i="6" s="1"/>
  <c r="U15" i="10"/>
  <c r="T15" i="10"/>
  <c r="S15" i="10"/>
  <c r="S27" i="10" s="1"/>
  <c r="S52" i="5" s="1"/>
  <c r="R15" i="10"/>
  <c r="R27" i="10" s="1"/>
  <c r="R52" i="6" s="1"/>
  <c r="Q15" i="10"/>
  <c r="P15" i="10"/>
  <c r="O15" i="10"/>
  <c r="O27" i="10" s="1"/>
  <c r="O52" i="5" s="1"/>
  <c r="N15" i="10"/>
  <c r="N27" i="10" s="1"/>
  <c r="N52" i="6" s="1"/>
  <c r="M15" i="10"/>
  <c r="L15" i="10"/>
  <c r="K15" i="10"/>
  <c r="K27" i="10" s="1"/>
  <c r="K52" i="5" s="1"/>
  <c r="J15" i="10"/>
  <c r="J27" i="10" s="1"/>
  <c r="J52" i="6" s="1"/>
  <c r="I15" i="10"/>
  <c r="H15" i="10"/>
  <c r="G15" i="10"/>
  <c r="G27" i="10" s="1"/>
  <c r="G52" i="5" s="1"/>
  <c r="F15" i="10"/>
  <c r="F27" i="10" s="1"/>
  <c r="F52" i="6" s="1"/>
  <c r="E15" i="10"/>
  <c r="D15" i="10"/>
  <c r="C15" i="10"/>
  <c r="C27" i="10" s="1"/>
  <c r="C52" i="5" s="1"/>
  <c r="B15" i="10"/>
  <c r="B27" i="10" s="1"/>
  <c r="B52" i="6" s="1"/>
  <c r="BK40" i="9"/>
  <c r="BU39" i="9" s="1"/>
  <c r="BJ40" i="9"/>
  <c r="BI40" i="9"/>
  <c r="BH40" i="9"/>
  <c r="BG40" i="9"/>
  <c r="BF40" i="9"/>
  <c r="BE40" i="9"/>
  <c r="BD40" i="9"/>
  <c r="BC40" i="9"/>
  <c r="BB40" i="9"/>
  <c r="BA40" i="9"/>
  <c r="BT39" i="9" s="1"/>
  <c r="AZ40" i="9"/>
  <c r="AY40" i="9"/>
  <c r="AX40" i="9"/>
  <c r="AW40" i="9"/>
  <c r="AV40" i="9"/>
  <c r="AU40" i="9"/>
  <c r="AT40" i="9"/>
  <c r="AS40" i="9"/>
  <c r="AR40" i="9"/>
  <c r="AQ40" i="9"/>
  <c r="BS39" i="9" s="1"/>
  <c r="AP40" i="9"/>
  <c r="AO40" i="9"/>
  <c r="AN40" i="9"/>
  <c r="AM40" i="9"/>
  <c r="AL40" i="9"/>
  <c r="AK40" i="9"/>
  <c r="AJ40" i="9"/>
  <c r="AI40" i="9"/>
  <c r="AH40" i="9"/>
  <c r="AG40" i="9"/>
  <c r="BR39" i="9" s="1"/>
  <c r="AF40" i="9"/>
  <c r="AE40" i="9"/>
  <c r="AD40" i="9"/>
  <c r="AC40" i="9"/>
  <c r="AB40" i="9"/>
  <c r="AA40" i="9"/>
  <c r="Z40" i="9"/>
  <c r="Y40" i="9"/>
  <c r="X40" i="9"/>
  <c r="W40" i="9"/>
  <c r="BQ39" i="9" s="1"/>
  <c r="V40" i="9"/>
  <c r="U40" i="9"/>
  <c r="T40" i="9"/>
  <c r="S40" i="9"/>
  <c r="R40" i="9"/>
  <c r="Q40" i="9"/>
  <c r="P40" i="9"/>
  <c r="O40" i="9"/>
  <c r="N40" i="9"/>
  <c r="M40" i="9"/>
  <c r="BP39" i="9" s="1"/>
  <c r="L40" i="9"/>
  <c r="K40" i="9"/>
  <c r="J40" i="9"/>
  <c r="I40" i="9"/>
  <c r="H40" i="9"/>
  <c r="G40" i="9"/>
  <c r="F40" i="9"/>
  <c r="E40" i="9"/>
  <c r="D40" i="9"/>
  <c r="BO39" i="9" s="1"/>
  <c r="BK39" i="9"/>
  <c r="BU38" i="9" s="1"/>
  <c r="BJ39" i="9"/>
  <c r="BI39" i="9"/>
  <c r="BH39" i="9"/>
  <c r="BG39" i="9"/>
  <c r="BF39" i="9"/>
  <c r="BE39" i="9"/>
  <c r="BD39" i="9"/>
  <c r="BC39" i="9"/>
  <c r="BB39" i="9"/>
  <c r="BA39" i="9"/>
  <c r="BT38" i="9" s="1"/>
  <c r="AZ39" i="9"/>
  <c r="AY39" i="9"/>
  <c r="AX39" i="9"/>
  <c r="AW39" i="9"/>
  <c r="AV39" i="9"/>
  <c r="AU39" i="9"/>
  <c r="AT39" i="9"/>
  <c r="AS39" i="9"/>
  <c r="AR39" i="9"/>
  <c r="AQ39" i="9"/>
  <c r="BS38" i="9" s="1"/>
  <c r="AP39" i="9"/>
  <c r="AO39" i="9"/>
  <c r="AN39" i="9"/>
  <c r="AM39" i="9"/>
  <c r="AL39" i="9"/>
  <c r="AK39" i="9"/>
  <c r="AJ39" i="9"/>
  <c r="AI39" i="9"/>
  <c r="AH39" i="9"/>
  <c r="AG39" i="9"/>
  <c r="BR38" i="9" s="1"/>
  <c r="AF39" i="9"/>
  <c r="AE39" i="9"/>
  <c r="AD39" i="9"/>
  <c r="AC39" i="9"/>
  <c r="AB39" i="9"/>
  <c r="AA39" i="9"/>
  <c r="Z39" i="9"/>
  <c r="Y39" i="9"/>
  <c r="X39" i="9"/>
  <c r="W39" i="9"/>
  <c r="BQ38" i="9" s="1"/>
  <c r="V39" i="9"/>
  <c r="U39" i="9"/>
  <c r="T39" i="9"/>
  <c r="S39" i="9"/>
  <c r="R39" i="9"/>
  <c r="Q39" i="9"/>
  <c r="P39" i="9"/>
  <c r="O39" i="9"/>
  <c r="N39" i="9"/>
  <c r="M39" i="9"/>
  <c r="BP38" i="9" s="1"/>
  <c r="L39" i="9"/>
  <c r="K39" i="9"/>
  <c r="J39" i="9"/>
  <c r="I39" i="9"/>
  <c r="H39" i="9"/>
  <c r="G39" i="9"/>
  <c r="F39" i="9"/>
  <c r="E39" i="9"/>
  <c r="D39" i="9"/>
  <c r="BO38" i="9" s="1"/>
  <c r="BK38" i="9"/>
  <c r="BU37" i="9" s="1"/>
  <c r="BJ38" i="9"/>
  <c r="BI38" i="9"/>
  <c r="BH38" i="9"/>
  <c r="BG38" i="9"/>
  <c r="BF38" i="9"/>
  <c r="BE38" i="9"/>
  <c r="BD38" i="9"/>
  <c r="BC38" i="9"/>
  <c r="BB38" i="9"/>
  <c r="BA38" i="9"/>
  <c r="BT37" i="9" s="1"/>
  <c r="AZ38" i="9"/>
  <c r="AY38" i="9"/>
  <c r="AX38" i="9"/>
  <c r="AW38" i="9"/>
  <c r="AV38" i="9"/>
  <c r="AU38" i="9"/>
  <c r="AT38" i="9"/>
  <c r="AS38" i="9"/>
  <c r="AR38" i="9"/>
  <c r="AQ38" i="9"/>
  <c r="BS37" i="9" s="1"/>
  <c r="AP38" i="9"/>
  <c r="AO38" i="9"/>
  <c r="AN38" i="9"/>
  <c r="AM38" i="9"/>
  <c r="AL38" i="9"/>
  <c r="AK38" i="9"/>
  <c r="AJ38" i="9"/>
  <c r="AI38" i="9"/>
  <c r="AH38" i="9"/>
  <c r="AG38" i="9"/>
  <c r="BR37" i="9" s="1"/>
  <c r="AF38" i="9"/>
  <c r="AE38" i="9"/>
  <c r="AD38" i="9"/>
  <c r="AC38" i="9"/>
  <c r="AB38" i="9"/>
  <c r="AA38" i="9"/>
  <c r="Z38" i="9"/>
  <c r="Y38" i="9"/>
  <c r="X38" i="9"/>
  <c r="W38" i="9"/>
  <c r="BQ37" i="9" s="1"/>
  <c r="V38" i="9"/>
  <c r="U38" i="9"/>
  <c r="T38" i="9"/>
  <c r="S38" i="9"/>
  <c r="R38" i="9"/>
  <c r="Q38" i="9"/>
  <c r="P38" i="9"/>
  <c r="O38" i="9"/>
  <c r="N38" i="9"/>
  <c r="M38" i="9"/>
  <c r="BP37" i="9" s="1"/>
  <c r="L38" i="9"/>
  <c r="K38" i="9"/>
  <c r="J38" i="9"/>
  <c r="I38" i="9"/>
  <c r="H38" i="9"/>
  <c r="G38" i="9"/>
  <c r="F38" i="9"/>
  <c r="E38" i="9"/>
  <c r="D38" i="9"/>
  <c r="BO37" i="9" s="1"/>
  <c r="BK37" i="9"/>
  <c r="BU36" i="9" s="1"/>
  <c r="BJ37" i="9"/>
  <c r="BI37" i="9"/>
  <c r="BH37" i="9"/>
  <c r="BG37" i="9"/>
  <c r="BF37" i="9"/>
  <c r="BE37" i="9"/>
  <c r="BD37" i="9"/>
  <c r="BC37" i="9"/>
  <c r="BB37" i="9"/>
  <c r="BA37" i="9"/>
  <c r="BT36" i="9" s="1"/>
  <c r="AZ37" i="9"/>
  <c r="AY37" i="9"/>
  <c r="AX37" i="9"/>
  <c r="AW37" i="9"/>
  <c r="AV37" i="9"/>
  <c r="AU37" i="9"/>
  <c r="AT37" i="9"/>
  <c r="AS37" i="9"/>
  <c r="AR37" i="9"/>
  <c r="AQ37" i="9"/>
  <c r="BS36" i="9" s="1"/>
  <c r="AP37" i="9"/>
  <c r="AO37" i="9"/>
  <c r="AN37" i="9"/>
  <c r="AM37" i="9"/>
  <c r="AL37" i="9"/>
  <c r="AK37" i="9"/>
  <c r="AJ37" i="9"/>
  <c r="AI37" i="9"/>
  <c r="AH37" i="9"/>
  <c r="AG37" i="9"/>
  <c r="BR36" i="9" s="1"/>
  <c r="AF37" i="9"/>
  <c r="AE37" i="9"/>
  <c r="AD37" i="9"/>
  <c r="AC37" i="9"/>
  <c r="AB37" i="9"/>
  <c r="AA37" i="9"/>
  <c r="Z37" i="9"/>
  <c r="Y37" i="9"/>
  <c r="X37" i="9"/>
  <c r="W37" i="9"/>
  <c r="BQ36" i="9" s="1"/>
  <c r="V37" i="9"/>
  <c r="U37" i="9"/>
  <c r="T37" i="9"/>
  <c r="S37" i="9"/>
  <c r="R37" i="9"/>
  <c r="Q37" i="9"/>
  <c r="P37" i="9"/>
  <c r="O37" i="9"/>
  <c r="N37" i="9"/>
  <c r="M37" i="9"/>
  <c r="BP36" i="9" s="1"/>
  <c r="L37" i="9"/>
  <c r="K37" i="9"/>
  <c r="J37" i="9"/>
  <c r="I37" i="9"/>
  <c r="H37" i="9"/>
  <c r="G37" i="9"/>
  <c r="F37" i="9"/>
  <c r="E37" i="9"/>
  <c r="D37" i="9"/>
  <c r="BO36" i="9" s="1"/>
  <c r="BK36" i="9"/>
  <c r="BU35" i="9" s="1"/>
  <c r="BJ36" i="9"/>
  <c r="BI36" i="9"/>
  <c r="BH36" i="9"/>
  <c r="BG36" i="9"/>
  <c r="BF36" i="9"/>
  <c r="BE36" i="9"/>
  <c r="BD36" i="9"/>
  <c r="BC36" i="9"/>
  <c r="BB36" i="9"/>
  <c r="BA36" i="9"/>
  <c r="BT35" i="9" s="1"/>
  <c r="AZ36" i="9"/>
  <c r="AY36" i="9"/>
  <c r="AX36" i="9"/>
  <c r="AW36" i="9"/>
  <c r="AV36" i="9"/>
  <c r="AU36" i="9"/>
  <c r="AT36" i="9"/>
  <c r="AS36" i="9"/>
  <c r="AR36" i="9"/>
  <c r="AQ36" i="9"/>
  <c r="BS35" i="9" s="1"/>
  <c r="AP36" i="9"/>
  <c r="AO36" i="9"/>
  <c r="AN36" i="9"/>
  <c r="AM36" i="9"/>
  <c r="AL36" i="9"/>
  <c r="AK36" i="9"/>
  <c r="AJ36" i="9"/>
  <c r="AI36" i="9"/>
  <c r="AH36" i="9"/>
  <c r="AG36" i="9"/>
  <c r="BR35" i="9" s="1"/>
  <c r="AF36" i="9"/>
  <c r="AE36" i="9"/>
  <c r="AD36" i="9"/>
  <c r="AC36" i="9"/>
  <c r="AB36" i="9"/>
  <c r="AA36" i="9"/>
  <c r="Z36" i="9"/>
  <c r="Y36" i="9"/>
  <c r="X36" i="9"/>
  <c r="W36" i="9"/>
  <c r="BQ35" i="9" s="1"/>
  <c r="V36" i="9"/>
  <c r="U36" i="9"/>
  <c r="T36" i="9"/>
  <c r="S36" i="9"/>
  <c r="R36" i="9"/>
  <c r="Q36" i="9"/>
  <c r="P36" i="9"/>
  <c r="O36" i="9"/>
  <c r="N36" i="9"/>
  <c r="M36" i="9"/>
  <c r="BP35" i="9" s="1"/>
  <c r="L36" i="9"/>
  <c r="K36" i="9"/>
  <c r="J36" i="9"/>
  <c r="I36" i="9"/>
  <c r="H36" i="9"/>
  <c r="G36" i="9"/>
  <c r="F36" i="9"/>
  <c r="E36" i="9"/>
  <c r="D36" i="9"/>
  <c r="BO35" i="9" s="1"/>
  <c r="BK35" i="9"/>
  <c r="BU34" i="9" s="1"/>
  <c r="BJ35" i="9"/>
  <c r="BI35" i="9"/>
  <c r="BH35" i="9"/>
  <c r="BG35" i="9"/>
  <c r="BF35" i="9"/>
  <c r="BE35" i="9"/>
  <c r="BD35" i="9"/>
  <c r="BC35" i="9"/>
  <c r="BB35" i="9"/>
  <c r="BA35" i="9"/>
  <c r="BT34" i="9" s="1"/>
  <c r="AZ35" i="9"/>
  <c r="AY35" i="9"/>
  <c r="AX35" i="9"/>
  <c r="AW35" i="9"/>
  <c r="AV35" i="9"/>
  <c r="AU35" i="9"/>
  <c r="AT35" i="9"/>
  <c r="AS35" i="9"/>
  <c r="AR35" i="9"/>
  <c r="AQ35" i="9"/>
  <c r="BS34" i="9" s="1"/>
  <c r="AP35" i="9"/>
  <c r="AO35" i="9"/>
  <c r="AN35" i="9"/>
  <c r="AM35" i="9"/>
  <c r="AL35" i="9"/>
  <c r="AK35" i="9"/>
  <c r="AJ35" i="9"/>
  <c r="AI35" i="9"/>
  <c r="AH35" i="9"/>
  <c r="AG35" i="9"/>
  <c r="BR34" i="9" s="1"/>
  <c r="AF35" i="9"/>
  <c r="AE35" i="9"/>
  <c r="AD35" i="9"/>
  <c r="AC35" i="9"/>
  <c r="AB35" i="9"/>
  <c r="AA35" i="9"/>
  <c r="Z35" i="9"/>
  <c r="Y35" i="9"/>
  <c r="X35" i="9"/>
  <c r="W35" i="9"/>
  <c r="BQ34" i="9" s="1"/>
  <c r="V35" i="9"/>
  <c r="U35" i="9"/>
  <c r="T35" i="9"/>
  <c r="S35" i="9"/>
  <c r="R35" i="9"/>
  <c r="Q35" i="9"/>
  <c r="P35" i="9"/>
  <c r="O35" i="9"/>
  <c r="N35" i="9"/>
  <c r="M35" i="9"/>
  <c r="BP34" i="9" s="1"/>
  <c r="L35" i="9"/>
  <c r="K35" i="9"/>
  <c r="J35" i="9"/>
  <c r="I35" i="9"/>
  <c r="H35" i="9"/>
  <c r="G35" i="9"/>
  <c r="F35" i="9"/>
  <c r="E35" i="9"/>
  <c r="D35" i="9"/>
  <c r="BO34" i="9" s="1"/>
  <c r="BK34" i="9"/>
  <c r="BU33" i="9" s="1"/>
  <c r="BJ34" i="9"/>
  <c r="BI34" i="9"/>
  <c r="BH34" i="9"/>
  <c r="BG34" i="9"/>
  <c r="BF34" i="9"/>
  <c r="BE34" i="9"/>
  <c r="BD34" i="9"/>
  <c r="BC34" i="9"/>
  <c r="BB34" i="9"/>
  <c r="BA34" i="9"/>
  <c r="BT33" i="9" s="1"/>
  <c r="AZ34" i="9"/>
  <c r="AY34" i="9"/>
  <c r="AX34" i="9"/>
  <c r="AW34" i="9"/>
  <c r="AV34" i="9"/>
  <c r="AU34" i="9"/>
  <c r="AT34" i="9"/>
  <c r="AS34" i="9"/>
  <c r="AR34" i="9"/>
  <c r="AQ34" i="9"/>
  <c r="BS33" i="9" s="1"/>
  <c r="AP34" i="9"/>
  <c r="AO34" i="9"/>
  <c r="AN34" i="9"/>
  <c r="AM34" i="9"/>
  <c r="AL34" i="9"/>
  <c r="AK34" i="9"/>
  <c r="AJ34" i="9"/>
  <c r="AI34" i="9"/>
  <c r="AH34" i="9"/>
  <c r="AG34" i="9"/>
  <c r="BR33" i="9" s="1"/>
  <c r="AF34" i="9"/>
  <c r="AE34" i="9"/>
  <c r="AD34" i="9"/>
  <c r="AC34" i="9"/>
  <c r="AB34" i="9"/>
  <c r="AA34" i="9"/>
  <c r="Z34" i="9"/>
  <c r="Y34" i="9"/>
  <c r="X34" i="9"/>
  <c r="W34" i="9"/>
  <c r="BQ33" i="9" s="1"/>
  <c r="V34" i="9"/>
  <c r="U34" i="9"/>
  <c r="T34" i="9"/>
  <c r="S34" i="9"/>
  <c r="R34" i="9"/>
  <c r="Q34" i="9"/>
  <c r="P34" i="9"/>
  <c r="O34" i="9"/>
  <c r="N34" i="9"/>
  <c r="M34" i="9"/>
  <c r="BP33" i="9" s="1"/>
  <c r="L34" i="9"/>
  <c r="K34" i="9"/>
  <c r="J34" i="9"/>
  <c r="I34" i="9"/>
  <c r="H34" i="9"/>
  <c r="G34" i="9"/>
  <c r="F34" i="9"/>
  <c r="E34" i="9"/>
  <c r="D34" i="9"/>
  <c r="BO33" i="9" s="1"/>
  <c r="BK32" i="9"/>
  <c r="BU32" i="9" s="1"/>
  <c r="BJ32" i="9"/>
  <c r="BI32" i="9"/>
  <c r="BH32" i="9"/>
  <c r="BG32" i="9"/>
  <c r="BF32" i="9"/>
  <c r="BE32" i="9"/>
  <c r="BD32" i="9"/>
  <c r="BC32" i="9"/>
  <c r="BB32" i="9"/>
  <c r="BA32" i="9"/>
  <c r="BT32" i="9" s="1"/>
  <c r="AZ32" i="9"/>
  <c r="AY32" i="9"/>
  <c r="AX32" i="9"/>
  <c r="AW32" i="9"/>
  <c r="AV32" i="9"/>
  <c r="AU32" i="9"/>
  <c r="AT32" i="9"/>
  <c r="AS32" i="9"/>
  <c r="AR32" i="9"/>
  <c r="AQ32" i="9"/>
  <c r="BS32" i="9" s="1"/>
  <c r="AP32" i="9"/>
  <c r="AO32" i="9"/>
  <c r="AN32" i="9"/>
  <c r="AM32" i="9"/>
  <c r="AL32" i="9"/>
  <c r="AK32" i="9"/>
  <c r="AJ32" i="9"/>
  <c r="AI32" i="9"/>
  <c r="AH32" i="9"/>
  <c r="AG32" i="9"/>
  <c r="BR32" i="9" s="1"/>
  <c r="AF32" i="9"/>
  <c r="AE32" i="9"/>
  <c r="AD32" i="9"/>
  <c r="AC32" i="9"/>
  <c r="AB32" i="9"/>
  <c r="AA32" i="9"/>
  <c r="Z32" i="9"/>
  <c r="Y32" i="9"/>
  <c r="X32" i="9"/>
  <c r="W32" i="9"/>
  <c r="BQ32" i="9" s="1"/>
  <c r="V32" i="9"/>
  <c r="U32" i="9"/>
  <c r="T32" i="9"/>
  <c r="S32" i="9"/>
  <c r="R32" i="9"/>
  <c r="Q32" i="9"/>
  <c r="P32" i="9"/>
  <c r="O32" i="9"/>
  <c r="N32" i="9"/>
  <c r="M32" i="9"/>
  <c r="BP32" i="9" s="1"/>
  <c r="L32" i="9"/>
  <c r="K32" i="9"/>
  <c r="J32" i="9"/>
  <c r="I32" i="9"/>
  <c r="H32" i="9"/>
  <c r="G32" i="9"/>
  <c r="F32" i="9"/>
  <c r="E32" i="9"/>
  <c r="D32" i="9"/>
  <c r="BO32" i="9" s="1"/>
  <c r="BK31" i="9"/>
  <c r="BU31" i="9" s="1"/>
  <c r="BJ31" i="9"/>
  <c r="BI31" i="9"/>
  <c r="BH31" i="9"/>
  <c r="BG31" i="9"/>
  <c r="BF31" i="9"/>
  <c r="BE31" i="9"/>
  <c r="BD31" i="9"/>
  <c r="BC31" i="9"/>
  <c r="BB31" i="9"/>
  <c r="BA31" i="9"/>
  <c r="BT31" i="9" s="1"/>
  <c r="AZ31" i="9"/>
  <c r="AY31" i="9"/>
  <c r="AX31" i="9"/>
  <c r="AW31" i="9"/>
  <c r="AV31" i="9"/>
  <c r="AU31" i="9"/>
  <c r="AT31" i="9"/>
  <c r="AS31" i="9"/>
  <c r="AR31" i="9"/>
  <c r="AQ31" i="9"/>
  <c r="BS31" i="9" s="1"/>
  <c r="AP31" i="9"/>
  <c r="AO31" i="9"/>
  <c r="AN31" i="9"/>
  <c r="AM31" i="9"/>
  <c r="AL31" i="9"/>
  <c r="AK31" i="9"/>
  <c r="AJ31" i="9"/>
  <c r="AI31" i="9"/>
  <c r="AH31" i="9"/>
  <c r="AG31" i="9"/>
  <c r="BR31" i="9" s="1"/>
  <c r="AF31" i="9"/>
  <c r="AE31" i="9"/>
  <c r="AD31" i="9"/>
  <c r="AC31" i="9"/>
  <c r="AB31" i="9"/>
  <c r="AA31" i="9"/>
  <c r="Z31" i="9"/>
  <c r="Y31" i="9"/>
  <c r="X31" i="9"/>
  <c r="W31" i="9"/>
  <c r="BQ31" i="9" s="1"/>
  <c r="V31" i="9"/>
  <c r="U31" i="9"/>
  <c r="T31" i="9"/>
  <c r="S31" i="9"/>
  <c r="R31" i="9"/>
  <c r="Q31" i="9"/>
  <c r="P31" i="9"/>
  <c r="O31" i="9"/>
  <c r="N31" i="9"/>
  <c r="M31" i="9"/>
  <c r="BP31" i="9" s="1"/>
  <c r="L31" i="9"/>
  <c r="K31" i="9"/>
  <c r="J31" i="9"/>
  <c r="I31" i="9"/>
  <c r="H31" i="9"/>
  <c r="G31" i="9"/>
  <c r="F31" i="9"/>
  <c r="E31" i="9"/>
  <c r="D31" i="9"/>
  <c r="BO31" i="9" s="1"/>
  <c r="BK30" i="9"/>
  <c r="BU30" i="9" s="1"/>
  <c r="BJ30" i="9"/>
  <c r="BI30" i="9"/>
  <c r="BH30" i="9"/>
  <c r="BG30" i="9"/>
  <c r="BF30" i="9"/>
  <c r="BE30" i="9"/>
  <c r="BD30" i="9"/>
  <c r="BC30" i="9"/>
  <c r="BB30" i="9"/>
  <c r="BA30" i="9"/>
  <c r="BT30" i="9" s="1"/>
  <c r="AZ30" i="9"/>
  <c r="AY30" i="9"/>
  <c r="AX30" i="9"/>
  <c r="AW30" i="9"/>
  <c r="AV30" i="9"/>
  <c r="AU30" i="9"/>
  <c r="AT30" i="9"/>
  <c r="AS30" i="9"/>
  <c r="AR30" i="9"/>
  <c r="AQ30" i="9"/>
  <c r="BS30" i="9" s="1"/>
  <c r="AP30" i="9"/>
  <c r="AO30" i="9"/>
  <c r="AN30" i="9"/>
  <c r="AM30" i="9"/>
  <c r="AL30" i="9"/>
  <c r="AK30" i="9"/>
  <c r="AJ30" i="9"/>
  <c r="AI30" i="9"/>
  <c r="AH30" i="9"/>
  <c r="AG30" i="9"/>
  <c r="BR30" i="9" s="1"/>
  <c r="AF30" i="9"/>
  <c r="AE30" i="9"/>
  <c r="AD30" i="9"/>
  <c r="AC30" i="9"/>
  <c r="AB30" i="9"/>
  <c r="AA30" i="9"/>
  <c r="Z30" i="9"/>
  <c r="Y30" i="9"/>
  <c r="X30" i="9"/>
  <c r="W30" i="9"/>
  <c r="BQ30" i="9" s="1"/>
  <c r="V30" i="9"/>
  <c r="U30" i="9"/>
  <c r="T30" i="9"/>
  <c r="S30" i="9"/>
  <c r="R30" i="9"/>
  <c r="Q30" i="9"/>
  <c r="P30" i="9"/>
  <c r="O30" i="9"/>
  <c r="N30" i="9"/>
  <c r="M30" i="9"/>
  <c r="BP30" i="9" s="1"/>
  <c r="L30" i="9"/>
  <c r="K30" i="9"/>
  <c r="J30" i="9"/>
  <c r="I30" i="9"/>
  <c r="H30" i="9"/>
  <c r="G30" i="9"/>
  <c r="F30" i="9"/>
  <c r="E30" i="9"/>
  <c r="D30" i="9"/>
  <c r="BO30" i="9" s="1"/>
  <c r="BK29" i="9"/>
  <c r="BU29" i="9" s="1"/>
  <c r="BJ29" i="9"/>
  <c r="BI29" i="9"/>
  <c r="BH29" i="9"/>
  <c r="BG29" i="9"/>
  <c r="BF29" i="9"/>
  <c r="BE29" i="9"/>
  <c r="BD29" i="9"/>
  <c r="BC29" i="9"/>
  <c r="BB29" i="9"/>
  <c r="BA29" i="9"/>
  <c r="BT29" i="9" s="1"/>
  <c r="AZ29" i="9"/>
  <c r="AY29" i="9"/>
  <c r="AX29" i="9"/>
  <c r="AW29" i="9"/>
  <c r="AV29" i="9"/>
  <c r="AU29" i="9"/>
  <c r="AT29" i="9"/>
  <c r="AS29" i="9"/>
  <c r="AR29" i="9"/>
  <c r="AQ29" i="9"/>
  <c r="BS29" i="9" s="1"/>
  <c r="AP29" i="9"/>
  <c r="AO29" i="9"/>
  <c r="AN29" i="9"/>
  <c r="AM29" i="9"/>
  <c r="AL29" i="9"/>
  <c r="AK29" i="9"/>
  <c r="AJ29" i="9"/>
  <c r="AI29" i="9"/>
  <c r="AH29" i="9"/>
  <c r="AG29" i="9"/>
  <c r="BR29" i="9" s="1"/>
  <c r="AF29" i="9"/>
  <c r="AE29" i="9"/>
  <c r="AD29" i="9"/>
  <c r="AC29" i="9"/>
  <c r="AB29" i="9"/>
  <c r="AA29" i="9"/>
  <c r="Z29" i="9"/>
  <c r="Y29" i="9"/>
  <c r="X29" i="9"/>
  <c r="W29" i="9"/>
  <c r="BQ29" i="9" s="1"/>
  <c r="V29" i="9"/>
  <c r="U29" i="9"/>
  <c r="T29" i="9"/>
  <c r="S29" i="9"/>
  <c r="R29" i="9"/>
  <c r="Q29" i="9"/>
  <c r="P29" i="9"/>
  <c r="O29" i="9"/>
  <c r="N29" i="9"/>
  <c r="M29" i="9"/>
  <c r="BP29" i="9" s="1"/>
  <c r="L29" i="9"/>
  <c r="K29" i="9"/>
  <c r="J29" i="9"/>
  <c r="I29" i="9"/>
  <c r="H29" i="9"/>
  <c r="G29" i="9"/>
  <c r="F29" i="9"/>
  <c r="E29" i="9"/>
  <c r="D29" i="9"/>
  <c r="BO29" i="9" s="1"/>
  <c r="BK28" i="9"/>
  <c r="BU28" i="9" s="1"/>
  <c r="BJ28" i="9"/>
  <c r="BI28" i="9"/>
  <c r="BH28" i="9"/>
  <c r="BG28" i="9"/>
  <c r="BF28" i="9"/>
  <c r="BE28" i="9"/>
  <c r="BD28" i="9"/>
  <c r="BC28" i="9"/>
  <c r="BB28" i="9"/>
  <c r="BA28" i="9"/>
  <c r="BT28" i="9" s="1"/>
  <c r="AZ28" i="9"/>
  <c r="AY28" i="9"/>
  <c r="AX28" i="9"/>
  <c r="AW28" i="9"/>
  <c r="AV28" i="9"/>
  <c r="AU28" i="9"/>
  <c r="AT28" i="9"/>
  <c r="AS28" i="9"/>
  <c r="AR28" i="9"/>
  <c r="AQ28" i="9"/>
  <c r="BS28" i="9" s="1"/>
  <c r="AP28" i="9"/>
  <c r="AO28" i="9"/>
  <c r="AN28" i="9"/>
  <c r="AM28" i="9"/>
  <c r="AL28" i="9"/>
  <c r="AK28" i="9"/>
  <c r="AJ28" i="9"/>
  <c r="AI28" i="9"/>
  <c r="AH28" i="9"/>
  <c r="AG28" i="9"/>
  <c r="BR28" i="9" s="1"/>
  <c r="AF28" i="9"/>
  <c r="AE28" i="9"/>
  <c r="AD28" i="9"/>
  <c r="AC28" i="9"/>
  <c r="AB28" i="9"/>
  <c r="AA28" i="9"/>
  <c r="Z28" i="9"/>
  <c r="Y28" i="9"/>
  <c r="X28" i="9"/>
  <c r="W28" i="9"/>
  <c r="BQ28" i="9" s="1"/>
  <c r="V28" i="9"/>
  <c r="U28" i="9"/>
  <c r="T28" i="9"/>
  <c r="S28" i="9"/>
  <c r="R28" i="9"/>
  <c r="Q28" i="9"/>
  <c r="P28" i="9"/>
  <c r="O28" i="9"/>
  <c r="N28" i="9"/>
  <c r="M28" i="9"/>
  <c r="BP28" i="9" s="1"/>
  <c r="L28" i="9"/>
  <c r="K28" i="9"/>
  <c r="J28" i="9"/>
  <c r="I28" i="9"/>
  <c r="H28" i="9"/>
  <c r="G28" i="9"/>
  <c r="F28" i="9"/>
  <c r="E28" i="9"/>
  <c r="D28" i="9"/>
  <c r="BO28" i="9" s="1"/>
  <c r="BK27" i="9"/>
  <c r="BU27" i="9" s="1"/>
  <c r="BJ27" i="9"/>
  <c r="BI27" i="9"/>
  <c r="BH27" i="9"/>
  <c r="BG27" i="9"/>
  <c r="BF27" i="9"/>
  <c r="BE27" i="9"/>
  <c r="BD27" i="9"/>
  <c r="BC27" i="9"/>
  <c r="BB27" i="9"/>
  <c r="BA27" i="9"/>
  <c r="BT27" i="9" s="1"/>
  <c r="AZ27" i="9"/>
  <c r="AY27" i="9"/>
  <c r="AX27" i="9"/>
  <c r="AW27" i="9"/>
  <c r="AV27" i="9"/>
  <c r="AU27" i="9"/>
  <c r="AT27" i="9"/>
  <c r="AS27" i="9"/>
  <c r="AR27" i="9"/>
  <c r="AQ27" i="9"/>
  <c r="BS27" i="9" s="1"/>
  <c r="AP27" i="9"/>
  <c r="AO27" i="9"/>
  <c r="AN27" i="9"/>
  <c r="AM27" i="9"/>
  <c r="AL27" i="9"/>
  <c r="AK27" i="9"/>
  <c r="AJ27" i="9"/>
  <c r="AI27" i="9"/>
  <c r="AH27" i="9"/>
  <c r="AG27" i="9"/>
  <c r="BR27" i="9" s="1"/>
  <c r="AF27" i="9"/>
  <c r="AE27" i="9"/>
  <c r="AD27" i="9"/>
  <c r="AC27" i="9"/>
  <c r="AB27" i="9"/>
  <c r="AA27" i="9"/>
  <c r="Z27" i="9"/>
  <c r="Y27" i="9"/>
  <c r="X27" i="9"/>
  <c r="W27" i="9"/>
  <c r="BQ27" i="9" s="1"/>
  <c r="V27" i="9"/>
  <c r="U27" i="9"/>
  <c r="T27" i="9"/>
  <c r="S27" i="9"/>
  <c r="R27" i="9"/>
  <c r="Q27" i="9"/>
  <c r="P27" i="9"/>
  <c r="O27" i="9"/>
  <c r="N27" i="9"/>
  <c r="M27" i="9"/>
  <c r="BP27" i="9" s="1"/>
  <c r="L27" i="9"/>
  <c r="K27" i="9"/>
  <c r="J27" i="9"/>
  <c r="I27" i="9"/>
  <c r="H27" i="9"/>
  <c r="G27" i="9"/>
  <c r="F27" i="9"/>
  <c r="E27" i="9"/>
  <c r="D27" i="9"/>
  <c r="BO27" i="9" s="1"/>
  <c r="BK26" i="9"/>
  <c r="BU26" i="9" s="1"/>
  <c r="BJ26" i="9"/>
  <c r="BI26" i="9"/>
  <c r="BH26" i="9"/>
  <c r="BG26" i="9"/>
  <c r="BF26" i="9"/>
  <c r="BE26" i="9"/>
  <c r="BD26" i="9"/>
  <c r="BC26" i="9"/>
  <c r="BB26" i="9"/>
  <c r="BA26" i="9"/>
  <c r="BT26" i="9" s="1"/>
  <c r="AZ26" i="9"/>
  <c r="AY26" i="9"/>
  <c r="AX26" i="9"/>
  <c r="AW26" i="9"/>
  <c r="AV26" i="9"/>
  <c r="AU26" i="9"/>
  <c r="AT26" i="9"/>
  <c r="AS26" i="9"/>
  <c r="AR26" i="9"/>
  <c r="AQ26" i="9"/>
  <c r="BS26" i="9" s="1"/>
  <c r="AP26" i="9"/>
  <c r="AO26" i="9"/>
  <c r="AN26" i="9"/>
  <c r="AM26" i="9"/>
  <c r="AL26" i="9"/>
  <c r="AK26" i="9"/>
  <c r="AJ26" i="9"/>
  <c r="AI26" i="9"/>
  <c r="AH26" i="9"/>
  <c r="AG26" i="9"/>
  <c r="BR26" i="9" s="1"/>
  <c r="AF26" i="9"/>
  <c r="AE26" i="9"/>
  <c r="AD26" i="9"/>
  <c r="AC26" i="9"/>
  <c r="AB26" i="9"/>
  <c r="AA26" i="9"/>
  <c r="Z26" i="9"/>
  <c r="Y26" i="9"/>
  <c r="X26" i="9"/>
  <c r="W26" i="9"/>
  <c r="BQ26" i="9" s="1"/>
  <c r="V26" i="9"/>
  <c r="U26" i="9"/>
  <c r="T26" i="9"/>
  <c r="S26" i="9"/>
  <c r="R26" i="9"/>
  <c r="Q26" i="9"/>
  <c r="P26" i="9"/>
  <c r="O26" i="9"/>
  <c r="N26" i="9"/>
  <c r="M26" i="9"/>
  <c r="BP26" i="9" s="1"/>
  <c r="L26" i="9"/>
  <c r="K26" i="9"/>
  <c r="J26" i="9"/>
  <c r="I26" i="9"/>
  <c r="H26" i="9"/>
  <c r="G26" i="9"/>
  <c r="F26" i="9"/>
  <c r="E26" i="9"/>
  <c r="D26" i="9"/>
  <c r="BO26" i="9" s="1"/>
  <c r="BK24" i="9"/>
  <c r="BJ24" i="9"/>
  <c r="BI24" i="9"/>
  <c r="BH24" i="9"/>
  <c r="BG24" i="9"/>
  <c r="BF24" i="9"/>
  <c r="BE24" i="9"/>
  <c r="BD24" i="9"/>
  <c r="BC24" i="9"/>
  <c r="BB24" i="9"/>
  <c r="BA24" i="9"/>
  <c r="BT23" i="9" s="1"/>
  <c r="AZ24" i="9"/>
  <c r="AY24" i="9"/>
  <c r="AX24" i="9"/>
  <c r="AW24" i="9"/>
  <c r="AV24" i="9"/>
  <c r="AU24" i="9"/>
  <c r="AT24" i="9"/>
  <c r="AS24" i="9"/>
  <c r="AR24" i="9"/>
  <c r="AQ24" i="9"/>
  <c r="BS23" i="9" s="1"/>
  <c r="AP24" i="9"/>
  <c r="AO24" i="9"/>
  <c r="AN24" i="9"/>
  <c r="AM24" i="9"/>
  <c r="AL24" i="9"/>
  <c r="AK24" i="9"/>
  <c r="AJ24" i="9"/>
  <c r="AI24" i="9"/>
  <c r="AH24" i="9"/>
  <c r="AG24" i="9"/>
  <c r="BR23" i="9" s="1"/>
  <c r="AF24" i="9"/>
  <c r="AE24" i="9"/>
  <c r="AD24" i="9"/>
  <c r="AC24" i="9"/>
  <c r="AB24" i="9"/>
  <c r="AA24" i="9"/>
  <c r="Z24" i="9"/>
  <c r="Y24" i="9"/>
  <c r="X24" i="9"/>
  <c r="W24" i="9"/>
  <c r="BQ23" i="9" s="1"/>
  <c r="V24" i="9"/>
  <c r="U24" i="9"/>
  <c r="T24" i="9"/>
  <c r="S24" i="9"/>
  <c r="R24" i="9"/>
  <c r="Q24" i="9"/>
  <c r="P24" i="9"/>
  <c r="O24" i="9"/>
  <c r="N24" i="9"/>
  <c r="M24" i="9"/>
  <c r="BP23" i="9" s="1"/>
  <c r="L24" i="9"/>
  <c r="K24" i="9"/>
  <c r="J24" i="9"/>
  <c r="I24" i="9"/>
  <c r="H24" i="9"/>
  <c r="G24" i="9"/>
  <c r="F24" i="9"/>
  <c r="E24" i="9"/>
  <c r="D24" i="9"/>
  <c r="BO23" i="9" s="1"/>
  <c r="BK23" i="9"/>
  <c r="BJ23" i="9"/>
  <c r="BI23" i="9"/>
  <c r="BH23" i="9"/>
  <c r="BG23" i="9"/>
  <c r="BF23" i="9"/>
  <c r="BE23" i="9"/>
  <c r="BD23" i="9"/>
  <c r="BC23" i="9"/>
  <c r="BB23" i="9"/>
  <c r="BA23" i="9"/>
  <c r="BT22" i="9" s="1"/>
  <c r="AZ23" i="9"/>
  <c r="AY23" i="9"/>
  <c r="AX23" i="9"/>
  <c r="AW23" i="9"/>
  <c r="AV23" i="9"/>
  <c r="AU23" i="9"/>
  <c r="AT23" i="9"/>
  <c r="AS23" i="9"/>
  <c r="AR23" i="9"/>
  <c r="AQ23" i="9"/>
  <c r="BS22" i="9" s="1"/>
  <c r="AP23" i="9"/>
  <c r="AO23" i="9"/>
  <c r="AN23" i="9"/>
  <c r="AM23" i="9"/>
  <c r="AL23" i="9"/>
  <c r="AK23" i="9"/>
  <c r="AJ23" i="9"/>
  <c r="AI23" i="9"/>
  <c r="AH23" i="9"/>
  <c r="AG23" i="9"/>
  <c r="BR22" i="9" s="1"/>
  <c r="AF23" i="9"/>
  <c r="AE23" i="9"/>
  <c r="AD23" i="9"/>
  <c r="AC23" i="9"/>
  <c r="AB23" i="9"/>
  <c r="AA23" i="9"/>
  <c r="Z23" i="9"/>
  <c r="Y23" i="9"/>
  <c r="X23" i="9"/>
  <c r="W23" i="9"/>
  <c r="BQ22" i="9" s="1"/>
  <c r="V23" i="9"/>
  <c r="U23" i="9"/>
  <c r="T23" i="9"/>
  <c r="S23" i="9"/>
  <c r="R23" i="9"/>
  <c r="Q23" i="9"/>
  <c r="P23" i="9"/>
  <c r="O23" i="9"/>
  <c r="N23" i="9"/>
  <c r="M23" i="9"/>
  <c r="BP22" i="9" s="1"/>
  <c r="L23" i="9"/>
  <c r="K23" i="9"/>
  <c r="J23" i="9"/>
  <c r="I23" i="9"/>
  <c r="H23" i="9"/>
  <c r="G23" i="9"/>
  <c r="F23" i="9"/>
  <c r="E23" i="9"/>
  <c r="D23" i="9"/>
  <c r="BO22" i="9" s="1"/>
  <c r="BK22" i="9"/>
  <c r="BJ22" i="9"/>
  <c r="BI22" i="9"/>
  <c r="BH22" i="9"/>
  <c r="BG22" i="9"/>
  <c r="BF22" i="9"/>
  <c r="BE22" i="9"/>
  <c r="BD22" i="9"/>
  <c r="BC22" i="9"/>
  <c r="BB22" i="9"/>
  <c r="BA22" i="9"/>
  <c r="BT21" i="9" s="1"/>
  <c r="AZ22" i="9"/>
  <c r="AY22" i="9"/>
  <c r="AX22" i="9"/>
  <c r="AW22" i="9"/>
  <c r="AV22" i="9"/>
  <c r="AU22" i="9"/>
  <c r="AT22" i="9"/>
  <c r="AS22" i="9"/>
  <c r="AR22" i="9"/>
  <c r="AQ22" i="9"/>
  <c r="BS21" i="9" s="1"/>
  <c r="AP22" i="9"/>
  <c r="AO22" i="9"/>
  <c r="AN22" i="9"/>
  <c r="AM22" i="9"/>
  <c r="AL22" i="9"/>
  <c r="AK22" i="9"/>
  <c r="AJ22" i="9"/>
  <c r="AI22" i="9"/>
  <c r="AH22" i="9"/>
  <c r="AG22" i="9"/>
  <c r="BR21" i="9" s="1"/>
  <c r="AF22" i="9"/>
  <c r="AE22" i="9"/>
  <c r="AD22" i="9"/>
  <c r="AC22" i="9"/>
  <c r="AB22" i="9"/>
  <c r="AA22" i="9"/>
  <c r="Z22" i="9"/>
  <c r="Y22" i="9"/>
  <c r="X22" i="9"/>
  <c r="W22" i="9"/>
  <c r="BQ21" i="9" s="1"/>
  <c r="V22" i="9"/>
  <c r="U22" i="9"/>
  <c r="T22" i="9"/>
  <c r="S22" i="9"/>
  <c r="R22" i="9"/>
  <c r="Q22" i="9"/>
  <c r="P22" i="9"/>
  <c r="O22" i="9"/>
  <c r="N22" i="9"/>
  <c r="M22" i="9"/>
  <c r="BP21" i="9" s="1"/>
  <c r="L22" i="9"/>
  <c r="K22" i="9"/>
  <c r="J22" i="9"/>
  <c r="I22" i="9"/>
  <c r="H22" i="9"/>
  <c r="G22" i="9"/>
  <c r="F22" i="9"/>
  <c r="E22" i="9"/>
  <c r="D22" i="9"/>
  <c r="BO21" i="9" s="1"/>
  <c r="BK21" i="9"/>
  <c r="BJ21" i="9"/>
  <c r="BI21" i="9"/>
  <c r="BH21" i="9"/>
  <c r="BG21" i="9"/>
  <c r="BF21" i="9"/>
  <c r="BE21" i="9"/>
  <c r="BD21" i="9"/>
  <c r="BC21" i="9"/>
  <c r="BB21" i="9"/>
  <c r="BA21" i="9"/>
  <c r="BT20" i="9" s="1"/>
  <c r="AZ21" i="9"/>
  <c r="AY21" i="9"/>
  <c r="AX21" i="9"/>
  <c r="AW21" i="9"/>
  <c r="AV21" i="9"/>
  <c r="AU21" i="9"/>
  <c r="AT21" i="9"/>
  <c r="AS21" i="9"/>
  <c r="AR21" i="9"/>
  <c r="AQ21" i="9"/>
  <c r="BS20" i="9" s="1"/>
  <c r="AP21" i="9"/>
  <c r="AO21" i="9"/>
  <c r="AN21" i="9"/>
  <c r="AM21" i="9"/>
  <c r="AL21" i="9"/>
  <c r="AK21" i="9"/>
  <c r="AJ21" i="9"/>
  <c r="AI21" i="9"/>
  <c r="AH21" i="9"/>
  <c r="AG21" i="9"/>
  <c r="BR20" i="9" s="1"/>
  <c r="AF21" i="9"/>
  <c r="AE21" i="9"/>
  <c r="AD21" i="9"/>
  <c r="AC21" i="9"/>
  <c r="AB21" i="9"/>
  <c r="AA21" i="9"/>
  <c r="Z21" i="9"/>
  <c r="Y21" i="9"/>
  <c r="X21" i="9"/>
  <c r="W21" i="9"/>
  <c r="BQ20" i="9" s="1"/>
  <c r="V21" i="9"/>
  <c r="U21" i="9"/>
  <c r="T21" i="9"/>
  <c r="S21" i="9"/>
  <c r="R21" i="9"/>
  <c r="Q21" i="9"/>
  <c r="P21" i="9"/>
  <c r="O21" i="9"/>
  <c r="N21" i="9"/>
  <c r="M21" i="9"/>
  <c r="BP20" i="9" s="1"/>
  <c r="L21" i="9"/>
  <c r="K21" i="9"/>
  <c r="J21" i="9"/>
  <c r="I21" i="9"/>
  <c r="H21" i="9"/>
  <c r="G21" i="9"/>
  <c r="F21" i="9"/>
  <c r="E21" i="9"/>
  <c r="D21" i="9"/>
  <c r="BO20" i="9" s="1"/>
  <c r="BK20" i="9"/>
  <c r="BJ20" i="9"/>
  <c r="BI20" i="9"/>
  <c r="BH20" i="9"/>
  <c r="BG20" i="9"/>
  <c r="BF20" i="9"/>
  <c r="BE20" i="9"/>
  <c r="BD20" i="9"/>
  <c r="BC20" i="9"/>
  <c r="BB20" i="9"/>
  <c r="BA20" i="9"/>
  <c r="BT19" i="9" s="1"/>
  <c r="AZ20" i="9"/>
  <c r="AY20" i="9"/>
  <c r="AX20" i="9"/>
  <c r="AW20" i="9"/>
  <c r="AV20" i="9"/>
  <c r="AU20" i="9"/>
  <c r="AT20" i="9"/>
  <c r="AS20" i="9"/>
  <c r="AR20" i="9"/>
  <c r="AQ20" i="9"/>
  <c r="BS19" i="9" s="1"/>
  <c r="AP20" i="9"/>
  <c r="AO20" i="9"/>
  <c r="AN20" i="9"/>
  <c r="AM20" i="9"/>
  <c r="AL20" i="9"/>
  <c r="AK20" i="9"/>
  <c r="AJ20" i="9"/>
  <c r="AI20" i="9"/>
  <c r="AH20" i="9"/>
  <c r="AG20" i="9"/>
  <c r="BR19" i="9" s="1"/>
  <c r="AF20" i="9"/>
  <c r="AE20" i="9"/>
  <c r="AD20" i="9"/>
  <c r="AC20" i="9"/>
  <c r="AB20" i="9"/>
  <c r="AA20" i="9"/>
  <c r="Z20" i="9"/>
  <c r="Y20" i="9"/>
  <c r="X20" i="9"/>
  <c r="W20" i="9"/>
  <c r="BQ19" i="9" s="1"/>
  <c r="V20" i="9"/>
  <c r="U20" i="9"/>
  <c r="T20" i="9"/>
  <c r="S20" i="9"/>
  <c r="R20" i="9"/>
  <c r="Q20" i="9"/>
  <c r="P20" i="9"/>
  <c r="O20" i="9"/>
  <c r="N20" i="9"/>
  <c r="M20" i="9"/>
  <c r="BP19" i="9" s="1"/>
  <c r="L20" i="9"/>
  <c r="K20" i="9"/>
  <c r="J20" i="9"/>
  <c r="I20" i="9"/>
  <c r="H20" i="9"/>
  <c r="G20" i="9"/>
  <c r="F20" i="9"/>
  <c r="E20" i="9"/>
  <c r="D20" i="9"/>
  <c r="BO19" i="9" s="1"/>
  <c r="BK19" i="9"/>
  <c r="BJ19" i="9"/>
  <c r="BI19" i="9"/>
  <c r="BH19" i="9"/>
  <c r="BG19" i="9"/>
  <c r="BF19" i="9"/>
  <c r="BE19" i="9"/>
  <c r="BD19" i="9"/>
  <c r="BC19" i="9"/>
  <c r="BB19" i="9"/>
  <c r="BA19" i="9"/>
  <c r="BT18" i="9" s="1"/>
  <c r="AZ19" i="9"/>
  <c r="AY19" i="9"/>
  <c r="AX19" i="9"/>
  <c r="AW19" i="9"/>
  <c r="AV19" i="9"/>
  <c r="AU19" i="9"/>
  <c r="AT19" i="9"/>
  <c r="AS19" i="9"/>
  <c r="AR19" i="9"/>
  <c r="AQ19" i="9"/>
  <c r="BS18" i="9" s="1"/>
  <c r="AP19" i="9"/>
  <c r="AO19" i="9"/>
  <c r="AN19" i="9"/>
  <c r="AM19" i="9"/>
  <c r="AL19" i="9"/>
  <c r="AK19" i="9"/>
  <c r="AJ19" i="9"/>
  <c r="AI19" i="9"/>
  <c r="AH19" i="9"/>
  <c r="AG19" i="9"/>
  <c r="BR18" i="9" s="1"/>
  <c r="AF19" i="9"/>
  <c r="AE19" i="9"/>
  <c r="AD19" i="9"/>
  <c r="AC19" i="9"/>
  <c r="AB19" i="9"/>
  <c r="AA19" i="9"/>
  <c r="Z19" i="9"/>
  <c r="Y19" i="9"/>
  <c r="X19" i="9"/>
  <c r="W19" i="9"/>
  <c r="BQ18" i="9" s="1"/>
  <c r="V19" i="9"/>
  <c r="U19" i="9"/>
  <c r="T19" i="9"/>
  <c r="S19" i="9"/>
  <c r="R19" i="9"/>
  <c r="Q19" i="9"/>
  <c r="P19" i="9"/>
  <c r="O19" i="9"/>
  <c r="N19" i="9"/>
  <c r="M19" i="9"/>
  <c r="BP18" i="9" s="1"/>
  <c r="L19" i="9"/>
  <c r="K19" i="9"/>
  <c r="J19" i="9"/>
  <c r="I19" i="9"/>
  <c r="H19" i="9"/>
  <c r="G19" i="9"/>
  <c r="F19" i="9"/>
  <c r="E19" i="9"/>
  <c r="D19" i="9"/>
  <c r="BO18" i="9" s="1"/>
  <c r="BK18" i="9"/>
  <c r="BJ18" i="9"/>
  <c r="BI18" i="9"/>
  <c r="BH18" i="9"/>
  <c r="BG18" i="9"/>
  <c r="BF18" i="9"/>
  <c r="BE18" i="9"/>
  <c r="BD18" i="9"/>
  <c r="BC18" i="9"/>
  <c r="BB18" i="9"/>
  <c r="BA18" i="9"/>
  <c r="BT17" i="9" s="1"/>
  <c r="AZ18" i="9"/>
  <c r="AY18" i="9"/>
  <c r="AX18" i="9"/>
  <c r="AW18" i="9"/>
  <c r="AV18" i="9"/>
  <c r="AU18" i="9"/>
  <c r="AT18" i="9"/>
  <c r="AS18" i="9"/>
  <c r="AR18" i="9"/>
  <c r="AQ18" i="9"/>
  <c r="BS17" i="9" s="1"/>
  <c r="AP18" i="9"/>
  <c r="AO18" i="9"/>
  <c r="AN18" i="9"/>
  <c r="AM18" i="9"/>
  <c r="AL18" i="9"/>
  <c r="AK18" i="9"/>
  <c r="AJ18" i="9"/>
  <c r="AI18" i="9"/>
  <c r="AH18" i="9"/>
  <c r="AG18" i="9"/>
  <c r="BR17" i="9" s="1"/>
  <c r="AF18" i="9"/>
  <c r="AE18" i="9"/>
  <c r="AD18" i="9"/>
  <c r="AC18" i="9"/>
  <c r="AB18" i="9"/>
  <c r="AA18" i="9"/>
  <c r="Z18" i="9"/>
  <c r="Y18" i="9"/>
  <c r="X18" i="9"/>
  <c r="W18" i="9"/>
  <c r="BQ17" i="9" s="1"/>
  <c r="V18" i="9"/>
  <c r="U18" i="9"/>
  <c r="T18" i="9"/>
  <c r="S18" i="9"/>
  <c r="R18" i="9"/>
  <c r="Q18" i="9"/>
  <c r="P18" i="9"/>
  <c r="O18" i="9"/>
  <c r="N18" i="9"/>
  <c r="M18" i="9"/>
  <c r="BV17" i="9" s="1"/>
  <c r="L18" i="9"/>
  <c r="K18" i="9"/>
  <c r="J18" i="9"/>
  <c r="I18" i="9"/>
  <c r="H18" i="9"/>
  <c r="G18" i="9"/>
  <c r="F18" i="9"/>
  <c r="E18" i="9"/>
  <c r="D18" i="9"/>
  <c r="BO17" i="9" s="1"/>
  <c r="BK17" i="9"/>
  <c r="BJ17" i="9"/>
  <c r="BI17" i="9"/>
  <c r="BH17" i="9"/>
  <c r="BG17" i="9"/>
  <c r="BF17" i="9"/>
  <c r="BE17" i="9"/>
  <c r="BD17" i="9"/>
  <c r="BC17" i="9"/>
  <c r="BB17" i="9"/>
  <c r="BA17" i="9"/>
  <c r="BT16" i="9" s="1"/>
  <c r="AZ17" i="9"/>
  <c r="AY17" i="9"/>
  <c r="AX17" i="9"/>
  <c r="AW17" i="9"/>
  <c r="AV17" i="9"/>
  <c r="AU17" i="9"/>
  <c r="AT17" i="9"/>
  <c r="AS17" i="9"/>
  <c r="AR17" i="9"/>
  <c r="AQ17" i="9"/>
  <c r="BS16" i="9" s="1"/>
  <c r="AP17" i="9"/>
  <c r="AO17" i="9"/>
  <c r="AN17" i="9"/>
  <c r="AM17" i="9"/>
  <c r="AL17" i="9"/>
  <c r="AK17" i="9"/>
  <c r="AJ17" i="9"/>
  <c r="AI17" i="9"/>
  <c r="AH17" i="9"/>
  <c r="AG17" i="9"/>
  <c r="BR16" i="9" s="1"/>
  <c r="AF17" i="9"/>
  <c r="AE17" i="9"/>
  <c r="AD17" i="9"/>
  <c r="AC17" i="9"/>
  <c r="AB17" i="9"/>
  <c r="AA17" i="9"/>
  <c r="Z17" i="9"/>
  <c r="Y17" i="9"/>
  <c r="X17" i="9"/>
  <c r="W17" i="9"/>
  <c r="BQ16" i="9" s="1"/>
  <c r="V17" i="9"/>
  <c r="U17" i="9"/>
  <c r="T17" i="9"/>
  <c r="S17" i="9"/>
  <c r="R17" i="9"/>
  <c r="Q17" i="9"/>
  <c r="P17" i="9"/>
  <c r="O17" i="9"/>
  <c r="N17" i="9"/>
  <c r="M17" i="9"/>
  <c r="BP16" i="9" s="1"/>
  <c r="L17" i="9"/>
  <c r="K17" i="9"/>
  <c r="J17" i="9"/>
  <c r="I17" i="9"/>
  <c r="H17" i="9"/>
  <c r="G17" i="9"/>
  <c r="F17" i="9"/>
  <c r="E17" i="9"/>
  <c r="D17" i="9"/>
  <c r="BO16" i="9" s="1"/>
  <c r="BK16" i="9"/>
  <c r="BJ16" i="9"/>
  <c r="BI16" i="9"/>
  <c r="BH16" i="9"/>
  <c r="BG16" i="9"/>
  <c r="BF16" i="9"/>
  <c r="BE16" i="9"/>
  <c r="BD16" i="9"/>
  <c r="BC16" i="9"/>
  <c r="BB16" i="9"/>
  <c r="BA16" i="9"/>
  <c r="BT15" i="9" s="1"/>
  <c r="AZ16" i="9"/>
  <c r="AY16" i="9"/>
  <c r="AX16" i="9"/>
  <c r="AW16" i="9"/>
  <c r="AV16" i="9"/>
  <c r="AU16" i="9"/>
  <c r="AT16" i="9"/>
  <c r="AS16" i="9"/>
  <c r="AR16" i="9"/>
  <c r="AQ16" i="9"/>
  <c r="BS15" i="9" s="1"/>
  <c r="AP16" i="9"/>
  <c r="AO16" i="9"/>
  <c r="AN16" i="9"/>
  <c r="AM16" i="9"/>
  <c r="AL16" i="9"/>
  <c r="AK16" i="9"/>
  <c r="AJ16" i="9"/>
  <c r="AI16" i="9"/>
  <c r="AH16" i="9"/>
  <c r="AG16" i="9"/>
  <c r="BR15" i="9" s="1"/>
  <c r="AF16" i="9"/>
  <c r="AE16" i="9"/>
  <c r="AD16" i="9"/>
  <c r="AC16" i="9"/>
  <c r="AB16" i="9"/>
  <c r="AA16" i="9"/>
  <c r="Z16" i="9"/>
  <c r="Y16" i="9"/>
  <c r="X16" i="9"/>
  <c r="W16" i="9"/>
  <c r="BQ15" i="9" s="1"/>
  <c r="V16" i="9"/>
  <c r="U16" i="9"/>
  <c r="T16" i="9"/>
  <c r="S16" i="9"/>
  <c r="R16" i="9"/>
  <c r="Q16" i="9"/>
  <c r="P16" i="9"/>
  <c r="O16" i="9"/>
  <c r="N16" i="9"/>
  <c r="M16" i="9"/>
  <c r="BP15" i="9" s="1"/>
  <c r="L16" i="9"/>
  <c r="K16" i="9"/>
  <c r="J16" i="9"/>
  <c r="I16" i="9"/>
  <c r="H16" i="9"/>
  <c r="G16" i="9"/>
  <c r="F16" i="9"/>
  <c r="E16" i="9"/>
  <c r="D16" i="9"/>
  <c r="BO15" i="9" s="1"/>
  <c r="BK15" i="9"/>
  <c r="BJ15" i="9"/>
  <c r="BI15" i="9"/>
  <c r="BH15" i="9"/>
  <c r="BG15" i="9"/>
  <c r="BF15" i="9"/>
  <c r="BE15" i="9"/>
  <c r="BD15" i="9"/>
  <c r="BC15" i="9"/>
  <c r="BB15" i="9"/>
  <c r="BA15" i="9"/>
  <c r="BT14" i="9" s="1"/>
  <c r="AZ15" i="9"/>
  <c r="AY15" i="9"/>
  <c r="AX15" i="9"/>
  <c r="AW15" i="9"/>
  <c r="AV15" i="9"/>
  <c r="AU15" i="9"/>
  <c r="AT15" i="9"/>
  <c r="AS15" i="9"/>
  <c r="AR15" i="9"/>
  <c r="AQ15" i="9"/>
  <c r="BS14" i="9" s="1"/>
  <c r="AP15" i="9"/>
  <c r="AO15" i="9"/>
  <c r="AN15" i="9"/>
  <c r="AM15" i="9"/>
  <c r="AL15" i="9"/>
  <c r="AK15" i="9"/>
  <c r="AJ15" i="9"/>
  <c r="AI15" i="9"/>
  <c r="AH15" i="9"/>
  <c r="AG15" i="9"/>
  <c r="BR14" i="9" s="1"/>
  <c r="AF15" i="9"/>
  <c r="AE15" i="9"/>
  <c r="AD15" i="9"/>
  <c r="AC15" i="9"/>
  <c r="AB15" i="9"/>
  <c r="AA15" i="9"/>
  <c r="Z15" i="9"/>
  <c r="Y15" i="9"/>
  <c r="X15" i="9"/>
  <c r="W15" i="9"/>
  <c r="BQ14" i="9" s="1"/>
  <c r="V15" i="9"/>
  <c r="U15" i="9"/>
  <c r="T15" i="9"/>
  <c r="S15" i="9"/>
  <c r="R15" i="9"/>
  <c r="Q15" i="9"/>
  <c r="P15" i="9"/>
  <c r="O15" i="9"/>
  <c r="N15" i="9"/>
  <c r="M15" i="9"/>
  <c r="BP14" i="9" s="1"/>
  <c r="L15" i="9"/>
  <c r="K15" i="9"/>
  <c r="J15" i="9"/>
  <c r="I15" i="9"/>
  <c r="H15" i="9"/>
  <c r="G15" i="9"/>
  <c r="F15" i="9"/>
  <c r="E15" i="9"/>
  <c r="D15" i="9"/>
  <c r="BO14" i="9" s="1"/>
  <c r="BK14" i="9"/>
  <c r="BJ14" i="9"/>
  <c r="BI14" i="9"/>
  <c r="BH14" i="9"/>
  <c r="BG14" i="9"/>
  <c r="BF14" i="9"/>
  <c r="BE14" i="9"/>
  <c r="BD14" i="9"/>
  <c r="BC14" i="9"/>
  <c r="BB14" i="9"/>
  <c r="BA14" i="9"/>
  <c r="BT13" i="9" s="1"/>
  <c r="AZ14" i="9"/>
  <c r="AY14" i="9"/>
  <c r="AX14" i="9"/>
  <c r="AW14" i="9"/>
  <c r="AV14" i="9"/>
  <c r="AU14" i="9"/>
  <c r="AT14" i="9"/>
  <c r="AS14" i="9"/>
  <c r="AR14" i="9"/>
  <c r="AQ14" i="9"/>
  <c r="BS13" i="9" s="1"/>
  <c r="AP14" i="9"/>
  <c r="AO14" i="9"/>
  <c r="AN14" i="9"/>
  <c r="AM14" i="9"/>
  <c r="AL14" i="9"/>
  <c r="AK14" i="9"/>
  <c r="AJ14" i="9"/>
  <c r="AI14" i="9"/>
  <c r="AH14" i="9"/>
  <c r="AG14" i="9"/>
  <c r="BR13" i="9" s="1"/>
  <c r="AF14" i="9"/>
  <c r="AE14" i="9"/>
  <c r="AD14" i="9"/>
  <c r="AC14" i="9"/>
  <c r="AB14" i="9"/>
  <c r="AA14" i="9"/>
  <c r="Z14" i="9"/>
  <c r="Y14" i="9"/>
  <c r="X14" i="9"/>
  <c r="W14" i="9"/>
  <c r="BQ13" i="9" s="1"/>
  <c r="V14" i="9"/>
  <c r="U14" i="9"/>
  <c r="T14" i="9"/>
  <c r="S14" i="9"/>
  <c r="R14" i="9"/>
  <c r="Q14" i="9"/>
  <c r="P14" i="9"/>
  <c r="O14" i="9"/>
  <c r="N14" i="9"/>
  <c r="M14" i="9"/>
  <c r="BV13" i="9" s="1"/>
  <c r="L14" i="9"/>
  <c r="K14" i="9"/>
  <c r="J14" i="9"/>
  <c r="I14" i="9"/>
  <c r="H14" i="9"/>
  <c r="G14" i="9"/>
  <c r="F14" i="9"/>
  <c r="E14" i="9"/>
  <c r="D14" i="9"/>
  <c r="BO13" i="9" s="1"/>
  <c r="BK12" i="9"/>
  <c r="BJ12" i="9"/>
  <c r="BI12" i="9"/>
  <c r="BH12" i="9"/>
  <c r="BG12" i="9"/>
  <c r="BF12" i="9"/>
  <c r="BE12" i="9"/>
  <c r="BD12" i="9"/>
  <c r="BC12" i="9"/>
  <c r="BB12" i="9"/>
  <c r="BA12" i="9"/>
  <c r="BT12" i="9" s="1"/>
  <c r="AZ12" i="9"/>
  <c r="AY12" i="9"/>
  <c r="AX12" i="9"/>
  <c r="AW12" i="9"/>
  <c r="AV12" i="9"/>
  <c r="AU12" i="9"/>
  <c r="AT12" i="9"/>
  <c r="AS12" i="9"/>
  <c r="AR12" i="9"/>
  <c r="AQ12" i="9"/>
  <c r="BS12" i="9" s="1"/>
  <c r="AP12" i="9"/>
  <c r="AO12" i="9"/>
  <c r="AN12" i="9"/>
  <c r="AM12" i="9"/>
  <c r="AL12" i="9"/>
  <c r="AK12" i="9"/>
  <c r="AJ12" i="9"/>
  <c r="AI12" i="9"/>
  <c r="AH12" i="9"/>
  <c r="AG12" i="9"/>
  <c r="BR12" i="9" s="1"/>
  <c r="AF12" i="9"/>
  <c r="AE12" i="9"/>
  <c r="AD12" i="9"/>
  <c r="AC12" i="9"/>
  <c r="AB12" i="9"/>
  <c r="AA12" i="9"/>
  <c r="Z12" i="9"/>
  <c r="Y12" i="9"/>
  <c r="X12" i="9"/>
  <c r="W12" i="9"/>
  <c r="BQ12" i="9" s="1"/>
  <c r="V12" i="9"/>
  <c r="U12" i="9"/>
  <c r="T12" i="9"/>
  <c r="S12" i="9"/>
  <c r="R12" i="9"/>
  <c r="Q12" i="9"/>
  <c r="P12" i="9"/>
  <c r="O12" i="9"/>
  <c r="N12" i="9"/>
  <c r="M12" i="9"/>
  <c r="BP12" i="9" s="1"/>
  <c r="L12" i="9"/>
  <c r="K12" i="9"/>
  <c r="J12" i="9"/>
  <c r="I12" i="9"/>
  <c r="H12" i="9"/>
  <c r="G12" i="9"/>
  <c r="F12" i="9"/>
  <c r="E12" i="9"/>
  <c r="D12" i="9"/>
  <c r="BO12" i="9" s="1"/>
  <c r="BK11" i="9"/>
  <c r="BJ11" i="9"/>
  <c r="BI11" i="9"/>
  <c r="BH11" i="9"/>
  <c r="BG11" i="9"/>
  <c r="BF11" i="9"/>
  <c r="BE11" i="9"/>
  <c r="BD11" i="9"/>
  <c r="BC11" i="9"/>
  <c r="BB11" i="9"/>
  <c r="BA11" i="9"/>
  <c r="BT11" i="9" s="1"/>
  <c r="AZ11" i="9"/>
  <c r="AY11" i="9"/>
  <c r="AX11" i="9"/>
  <c r="AW11" i="9"/>
  <c r="AV11" i="9"/>
  <c r="AU11" i="9"/>
  <c r="AT11" i="9"/>
  <c r="AS11" i="9"/>
  <c r="AR11" i="9"/>
  <c r="AQ11" i="9"/>
  <c r="BS11" i="9" s="1"/>
  <c r="AP11" i="9"/>
  <c r="AO11" i="9"/>
  <c r="AN11" i="9"/>
  <c r="AM11" i="9"/>
  <c r="AL11" i="9"/>
  <c r="AK11" i="9"/>
  <c r="AJ11" i="9"/>
  <c r="AI11" i="9"/>
  <c r="AH11" i="9"/>
  <c r="AG11" i="9"/>
  <c r="BR11" i="9" s="1"/>
  <c r="AF11" i="9"/>
  <c r="AE11" i="9"/>
  <c r="AD11" i="9"/>
  <c r="AC11" i="9"/>
  <c r="AB11" i="9"/>
  <c r="AA11" i="9"/>
  <c r="Z11" i="9"/>
  <c r="Y11" i="9"/>
  <c r="X11" i="9"/>
  <c r="W11" i="9"/>
  <c r="BQ11" i="9" s="1"/>
  <c r="V11" i="9"/>
  <c r="U11" i="9"/>
  <c r="T11" i="9"/>
  <c r="S11" i="9"/>
  <c r="R11" i="9"/>
  <c r="Q11" i="9"/>
  <c r="P11" i="9"/>
  <c r="O11" i="9"/>
  <c r="N11" i="9"/>
  <c r="M11" i="9"/>
  <c r="BP11" i="9" s="1"/>
  <c r="L11" i="9"/>
  <c r="K11" i="9"/>
  <c r="J11" i="9"/>
  <c r="I11" i="9"/>
  <c r="H11" i="9"/>
  <c r="G11" i="9"/>
  <c r="F11" i="9"/>
  <c r="E11" i="9"/>
  <c r="D11" i="9"/>
  <c r="BO11" i="9" s="1"/>
  <c r="BK10" i="9"/>
  <c r="BJ10" i="9"/>
  <c r="BI10" i="9"/>
  <c r="BH10" i="9"/>
  <c r="BG10" i="9"/>
  <c r="BF10" i="9"/>
  <c r="BE10" i="9"/>
  <c r="BD10" i="9"/>
  <c r="BC10" i="9"/>
  <c r="BB10" i="9"/>
  <c r="BA10" i="9"/>
  <c r="BT10" i="9" s="1"/>
  <c r="AZ10" i="9"/>
  <c r="AY10" i="9"/>
  <c r="AX10" i="9"/>
  <c r="AW10" i="9"/>
  <c r="AV10" i="9"/>
  <c r="AU10" i="9"/>
  <c r="AT10" i="9"/>
  <c r="AS10" i="9"/>
  <c r="AR10" i="9"/>
  <c r="AQ10" i="9"/>
  <c r="BS10" i="9" s="1"/>
  <c r="AP10" i="9"/>
  <c r="AO10" i="9"/>
  <c r="AN10" i="9"/>
  <c r="AM10" i="9"/>
  <c r="AL10" i="9"/>
  <c r="AK10" i="9"/>
  <c r="AJ10" i="9"/>
  <c r="AI10" i="9"/>
  <c r="AH10" i="9"/>
  <c r="AG10" i="9"/>
  <c r="BR10" i="9" s="1"/>
  <c r="AF10" i="9"/>
  <c r="AE10" i="9"/>
  <c r="AD10" i="9"/>
  <c r="AC10" i="9"/>
  <c r="AB10" i="9"/>
  <c r="AA10" i="9"/>
  <c r="Z10" i="9"/>
  <c r="Y10" i="9"/>
  <c r="X10" i="9"/>
  <c r="W10" i="9"/>
  <c r="BQ10" i="9" s="1"/>
  <c r="V10" i="9"/>
  <c r="U10" i="9"/>
  <c r="T10" i="9"/>
  <c r="S10" i="9"/>
  <c r="R10" i="9"/>
  <c r="Q10" i="9"/>
  <c r="P10" i="9"/>
  <c r="O10" i="9"/>
  <c r="N10" i="9"/>
  <c r="M10" i="9"/>
  <c r="BP10" i="9" s="1"/>
  <c r="L10" i="9"/>
  <c r="K10" i="9"/>
  <c r="J10" i="9"/>
  <c r="I10" i="9"/>
  <c r="H10" i="9"/>
  <c r="G10" i="9"/>
  <c r="F10" i="9"/>
  <c r="E10" i="9"/>
  <c r="D10" i="9"/>
  <c r="BO10" i="9" s="1"/>
  <c r="BK9" i="9"/>
  <c r="BJ9" i="9"/>
  <c r="BI9" i="9"/>
  <c r="BH9" i="9"/>
  <c r="BG9" i="9"/>
  <c r="BF9" i="9"/>
  <c r="BE9" i="9"/>
  <c r="BD9" i="9"/>
  <c r="BC9" i="9"/>
  <c r="BB9" i="9"/>
  <c r="BA9" i="9"/>
  <c r="BT9" i="9" s="1"/>
  <c r="AZ9" i="9"/>
  <c r="AY9" i="9"/>
  <c r="AX9" i="9"/>
  <c r="AW9" i="9"/>
  <c r="AV9" i="9"/>
  <c r="AU9" i="9"/>
  <c r="AT9" i="9"/>
  <c r="AS9" i="9"/>
  <c r="AR9" i="9"/>
  <c r="AQ9" i="9"/>
  <c r="BS9" i="9" s="1"/>
  <c r="AP9" i="9"/>
  <c r="AO9" i="9"/>
  <c r="AN9" i="9"/>
  <c r="AM9" i="9"/>
  <c r="AL9" i="9"/>
  <c r="AK9" i="9"/>
  <c r="AJ9" i="9"/>
  <c r="AI9" i="9"/>
  <c r="AH9" i="9"/>
  <c r="AG9" i="9"/>
  <c r="BR9" i="9" s="1"/>
  <c r="AF9" i="9"/>
  <c r="AE9" i="9"/>
  <c r="AD9" i="9"/>
  <c r="AC9" i="9"/>
  <c r="AB9" i="9"/>
  <c r="AA9" i="9"/>
  <c r="Z9" i="9"/>
  <c r="Y9" i="9"/>
  <c r="X9" i="9"/>
  <c r="W9" i="9"/>
  <c r="BQ9" i="9" s="1"/>
  <c r="V9" i="9"/>
  <c r="U9" i="9"/>
  <c r="T9" i="9"/>
  <c r="S9" i="9"/>
  <c r="R9" i="9"/>
  <c r="Q9" i="9"/>
  <c r="P9" i="9"/>
  <c r="O9" i="9"/>
  <c r="N9" i="9"/>
  <c r="M9" i="9"/>
  <c r="BP9" i="9" s="1"/>
  <c r="L9" i="9"/>
  <c r="K9" i="9"/>
  <c r="J9" i="9"/>
  <c r="I9" i="9"/>
  <c r="H9" i="9"/>
  <c r="G9" i="9"/>
  <c r="F9" i="9"/>
  <c r="E9" i="9"/>
  <c r="D9" i="9"/>
  <c r="BO9" i="9" s="1"/>
  <c r="BK8" i="9"/>
  <c r="BJ8" i="9"/>
  <c r="BI8" i="9"/>
  <c r="BH8" i="9"/>
  <c r="BG8" i="9"/>
  <c r="BF8" i="9"/>
  <c r="BE8" i="9"/>
  <c r="BD8" i="9"/>
  <c r="BC8" i="9"/>
  <c r="BB8" i="9"/>
  <c r="BA8" i="9"/>
  <c r="BT8" i="9" s="1"/>
  <c r="AZ8" i="9"/>
  <c r="AY8" i="9"/>
  <c r="AX8" i="9"/>
  <c r="AW8" i="9"/>
  <c r="AV8" i="9"/>
  <c r="AU8" i="9"/>
  <c r="AT8" i="9"/>
  <c r="AS8" i="9"/>
  <c r="AR8" i="9"/>
  <c r="AQ8" i="9"/>
  <c r="BS8" i="9" s="1"/>
  <c r="AP8" i="9"/>
  <c r="AO8" i="9"/>
  <c r="AN8" i="9"/>
  <c r="AM8" i="9"/>
  <c r="AL8" i="9"/>
  <c r="AK8" i="9"/>
  <c r="AJ8" i="9"/>
  <c r="AI8" i="9"/>
  <c r="AH8" i="9"/>
  <c r="AG8" i="9"/>
  <c r="BR8" i="9" s="1"/>
  <c r="AF8" i="9"/>
  <c r="AE8" i="9"/>
  <c r="AD8" i="9"/>
  <c r="AC8" i="9"/>
  <c r="AB8" i="9"/>
  <c r="AA8" i="9"/>
  <c r="Z8" i="9"/>
  <c r="Y8" i="9"/>
  <c r="X8" i="9"/>
  <c r="W8" i="9"/>
  <c r="BQ8" i="9" s="1"/>
  <c r="V8" i="9"/>
  <c r="U8" i="9"/>
  <c r="T8" i="9"/>
  <c r="S8" i="9"/>
  <c r="R8" i="9"/>
  <c r="Q8" i="9"/>
  <c r="P8" i="9"/>
  <c r="O8" i="9"/>
  <c r="N8" i="9"/>
  <c r="M8" i="9"/>
  <c r="BP8" i="9" s="1"/>
  <c r="L8" i="9"/>
  <c r="K8" i="9"/>
  <c r="J8" i="9"/>
  <c r="I8" i="9"/>
  <c r="H8" i="9"/>
  <c r="G8" i="9"/>
  <c r="F8" i="9"/>
  <c r="E8" i="9"/>
  <c r="D8" i="9"/>
  <c r="BO8" i="9" s="1"/>
  <c r="BK7" i="9"/>
  <c r="BJ7" i="9"/>
  <c r="BI7" i="9"/>
  <c r="BH7" i="9"/>
  <c r="BG7" i="9"/>
  <c r="BF7" i="9"/>
  <c r="BE7" i="9"/>
  <c r="BD7" i="9"/>
  <c r="BC7" i="9"/>
  <c r="BB7" i="9"/>
  <c r="BA7" i="9"/>
  <c r="BT7" i="9" s="1"/>
  <c r="AZ7" i="9"/>
  <c r="AY7" i="9"/>
  <c r="AX7" i="9"/>
  <c r="AW7" i="9"/>
  <c r="AV7" i="9"/>
  <c r="AU7" i="9"/>
  <c r="AT7" i="9"/>
  <c r="AS7" i="9"/>
  <c r="AR7" i="9"/>
  <c r="AQ7" i="9"/>
  <c r="BS7" i="9" s="1"/>
  <c r="AP7" i="9"/>
  <c r="AO7" i="9"/>
  <c r="AN7" i="9"/>
  <c r="AM7" i="9"/>
  <c r="AL7" i="9"/>
  <c r="AK7" i="9"/>
  <c r="AJ7" i="9"/>
  <c r="AI7" i="9"/>
  <c r="AH7" i="9"/>
  <c r="AG7" i="9"/>
  <c r="BR7" i="9" s="1"/>
  <c r="AF7" i="9"/>
  <c r="AE7" i="9"/>
  <c r="AD7" i="9"/>
  <c r="AC7" i="9"/>
  <c r="AB7" i="9"/>
  <c r="AA7" i="9"/>
  <c r="Z7" i="9"/>
  <c r="Y7" i="9"/>
  <c r="X7" i="9"/>
  <c r="W7" i="9"/>
  <c r="BQ7" i="9" s="1"/>
  <c r="V7" i="9"/>
  <c r="U7" i="9"/>
  <c r="T7" i="9"/>
  <c r="S7" i="9"/>
  <c r="R7" i="9"/>
  <c r="Q7" i="9"/>
  <c r="P7" i="9"/>
  <c r="O7" i="9"/>
  <c r="N7" i="9"/>
  <c r="M7" i="9"/>
  <c r="BP7" i="9" s="1"/>
  <c r="L7" i="9"/>
  <c r="K7" i="9"/>
  <c r="J7" i="9"/>
  <c r="I7" i="9"/>
  <c r="H7" i="9"/>
  <c r="G7" i="9"/>
  <c r="F7" i="9"/>
  <c r="E7" i="9"/>
  <c r="D7" i="9"/>
  <c r="BO7" i="9" s="1"/>
  <c r="BK6" i="9"/>
  <c r="BJ6" i="9"/>
  <c r="BI6" i="9"/>
  <c r="BH6" i="9"/>
  <c r="BG6" i="9"/>
  <c r="BF6" i="9"/>
  <c r="BE6" i="9"/>
  <c r="BD6" i="9"/>
  <c r="BC6" i="9"/>
  <c r="BB6" i="9"/>
  <c r="BA6" i="9"/>
  <c r="BT6" i="9" s="1"/>
  <c r="AZ6" i="9"/>
  <c r="AY6" i="9"/>
  <c r="AX6" i="9"/>
  <c r="AW6" i="9"/>
  <c r="AV6" i="9"/>
  <c r="AU6" i="9"/>
  <c r="AT6" i="9"/>
  <c r="AS6" i="9"/>
  <c r="AR6" i="9"/>
  <c r="AQ6" i="9"/>
  <c r="BS6" i="9" s="1"/>
  <c r="AP6" i="9"/>
  <c r="AO6" i="9"/>
  <c r="AN6" i="9"/>
  <c r="AM6" i="9"/>
  <c r="AL6" i="9"/>
  <c r="AK6" i="9"/>
  <c r="AJ6" i="9"/>
  <c r="AI6" i="9"/>
  <c r="AH6" i="9"/>
  <c r="AG6" i="9"/>
  <c r="BR6" i="9" s="1"/>
  <c r="AF6" i="9"/>
  <c r="AE6" i="9"/>
  <c r="AD6" i="9"/>
  <c r="AC6" i="9"/>
  <c r="AB6" i="9"/>
  <c r="AA6" i="9"/>
  <c r="Z6" i="9"/>
  <c r="Y6" i="9"/>
  <c r="X6" i="9"/>
  <c r="W6" i="9"/>
  <c r="BQ6" i="9" s="1"/>
  <c r="V6" i="9"/>
  <c r="U6" i="9"/>
  <c r="T6" i="9"/>
  <c r="S6" i="9"/>
  <c r="R6" i="9"/>
  <c r="Q6" i="9"/>
  <c r="P6" i="9"/>
  <c r="O6" i="9"/>
  <c r="N6" i="9"/>
  <c r="M6" i="9"/>
  <c r="BV6" i="9" s="1"/>
  <c r="L6" i="9"/>
  <c r="K6" i="9"/>
  <c r="J6" i="9"/>
  <c r="I6" i="9"/>
  <c r="H6" i="9"/>
  <c r="G6" i="9"/>
  <c r="F6" i="9"/>
  <c r="E6" i="9"/>
  <c r="D6" i="9"/>
  <c r="BO6" i="9" s="1"/>
  <c r="BK5" i="9"/>
  <c r="BJ5" i="9"/>
  <c r="BI5" i="9"/>
  <c r="BH5" i="9"/>
  <c r="BG5" i="9"/>
  <c r="BF5" i="9"/>
  <c r="BE5" i="9"/>
  <c r="BD5" i="9"/>
  <c r="BC5" i="9"/>
  <c r="BB5" i="9"/>
  <c r="BA5" i="9"/>
  <c r="BT5" i="9" s="1"/>
  <c r="AZ5" i="9"/>
  <c r="AY5" i="9"/>
  <c r="AX5" i="9"/>
  <c r="AW5" i="9"/>
  <c r="AV5" i="9"/>
  <c r="AU5" i="9"/>
  <c r="AT5" i="9"/>
  <c r="AS5" i="9"/>
  <c r="AR5" i="9"/>
  <c r="AQ5" i="9"/>
  <c r="BS5" i="9" s="1"/>
  <c r="AP5" i="9"/>
  <c r="AO5" i="9"/>
  <c r="AN5" i="9"/>
  <c r="AM5" i="9"/>
  <c r="AL5" i="9"/>
  <c r="AK5" i="9"/>
  <c r="AJ5" i="9"/>
  <c r="AI5" i="9"/>
  <c r="AH5" i="9"/>
  <c r="AG5" i="9"/>
  <c r="BR5" i="9" s="1"/>
  <c r="AF5" i="9"/>
  <c r="AE5" i="9"/>
  <c r="AD5" i="9"/>
  <c r="AC5" i="9"/>
  <c r="AB5" i="9"/>
  <c r="AA5" i="9"/>
  <c r="Z5" i="9"/>
  <c r="Y5" i="9"/>
  <c r="X5" i="9"/>
  <c r="W5" i="9"/>
  <c r="BQ5" i="9" s="1"/>
  <c r="V5" i="9"/>
  <c r="U5" i="9"/>
  <c r="T5" i="9"/>
  <c r="S5" i="9"/>
  <c r="R5" i="9"/>
  <c r="Q5" i="9"/>
  <c r="P5" i="9"/>
  <c r="O5" i="9"/>
  <c r="N5" i="9"/>
  <c r="M5" i="9"/>
  <c r="BP5" i="9" s="1"/>
  <c r="L5" i="9"/>
  <c r="K5" i="9"/>
  <c r="J5" i="9"/>
  <c r="I5" i="9"/>
  <c r="H5" i="9"/>
  <c r="G5" i="9"/>
  <c r="F5" i="9"/>
  <c r="E5" i="9"/>
  <c r="D5" i="9"/>
  <c r="BO5" i="9" s="1"/>
  <c r="BK4" i="9"/>
  <c r="BJ4" i="9"/>
  <c r="BI4" i="9"/>
  <c r="BH4" i="9"/>
  <c r="BG4" i="9"/>
  <c r="BF4" i="9"/>
  <c r="BE4" i="9"/>
  <c r="BD4" i="9"/>
  <c r="BC4" i="9"/>
  <c r="BB4" i="9"/>
  <c r="BA4" i="9"/>
  <c r="BT4" i="9" s="1"/>
  <c r="AZ4" i="9"/>
  <c r="AY4" i="9"/>
  <c r="AX4" i="9"/>
  <c r="AW4" i="9"/>
  <c r="AV4" i="9"/>
  <c r="AU4" i="9"/>
  <c r="AT4" i="9"/>
  <c r="AS4" i="9"/>
  <c r="AR4" i="9"/>
  <c r="AQ4" i="9"/>
  <c r="BS4" i="9" s="1"/>
  <c r="AP4" i="9"/>
  <c r="AO4" i="9"/>
  <c r="AN4" i="9"/>
  <c r="AM4" i="9"/>
  <c r="AL4" i="9"/>
  <c r="AK4" i="9"/>
  <c r="AJ4" i="9"/>
  <c r="AI4" i="9"/>
  <c r="AH4" i="9"/>
  <c r="AG4" i="9"/>
  <c r="BR4" i="9" s="1"/>
  <c r="AF4" i="9"/>
  <c r="AE4" i="9"/>
  <c r="AD4" i="9"/>
  <c r="AC4" i="9"/>
  <c r="AB4" i="9"/>
  <c r="AA4" i="9"/>
  <c r="Z4" i="9"/>
  <c r="Y4" i="9"/>
  <c r="X4" i="9"/>
  <c r="W4" i="9"/>
  <c r="BQ4" i="9" s="1"/>
  <c r="V4" i="9"/>
  <c r="U4" i="9"/>
  <c r="T4" i="9"/>
  <c r="S4" i="9"/>
  <c r="R4" i="9"/>
  <c r="Q4" i="9"/>
  <c r="P4" i="9"/>
  <c r="O4" i="9"/>
  <c r="N4" i="9"/>
  <c r="M4" i="9"/>
  <c r="BP4" i="9" s="1"/>
  <c r="L4" i="9"/>
  <c r="K4" i="9"/>
  <c r="J4" i="9"/>
  <c r="I4" i="9"/>
  <c r="H4" i="9"/>
  <c r="G4" i="9"/>
  <c r="F4" i="9"/>
  <c r="E4" i="9"/>
  <c r="D4" i="9"/>
  <c r="BO4" i="9" s="1"/>
  <c r="BK3" i="9"/>
  <c r="BJ3" i="9"/>
  <c r="BI3" i="9"/>
  <c r="BH3" i="9"/>
  <c r="BG3" i="9"/>
  <c r="BF3" i="9"/>
  <c r="BE3" i="9"/>
  <c r="BD3" i="9"/>
  <c r="BC3" i="9"/>
  <c r="BB3" i="9"/>
  <c r="BA3" i="9"/>
  <c r="BT3" i="9" s="1"/>
  <c r="AZ3" i="9"/>
  <c r="AY3" i="9"/>
  <c r="AX3" i="9"/>
  <c r="AW3" i="9"/>
  <c r="AV3" i="9"/>
  <c r="AU3" i="9"/>
  <c r="AT3" i="9"/>
  <c r="AS3" i="9"/>
  <c r="AR3" i="9"/>
  <c r="AQ3" i="9"/>
  <c r="BS3" i="9" s="1"/>
  <c r="AP3" i="9"/>
  <c r="AO3" i="9"/>
  <c r="AN3" i="9"/>
  <c r="AM3" i="9"/>
  <c r="AL3" i="9"/>
  <c r="AK3" i="9"/>
  <c r="AJ3" i="9"/>
  <c r="AI3" i="9"/>
  <c r="AH3" i="9"/>
  <c r="AG3" i="9"/>
  <c r="BR3" i="9" s="1"/>
  <c r="AF3" i="9"/>
  <c r="AE3" i="9"/>
  <c r="AD3" i="9"/>
  <c r="AC3" i="9"/>
  <c r="AB3" i="9"/>
  <c r="AA3" i="9"/>
  <c r="Z3" i="9"/>
  <c r="Y3" i="9"/>
  <c r="X3" i="9"/>
  <c r="W3" i="9"/>
  <c r="BQ3" i="9" s="1"/>
  <c r="V3" i="9"/>
  <c r="U3" i="9"/>
  <c r="T3" i="9"/>
  <c r="S3" i="9"/>
  <c r="R3" i="9"/>
  <c r="Q3" i="9"/>
  <c r="P3" i="9"/>
  <c r="O3" i="9"/>
  <c r="N3" i="9"/>
  <c r="M3" i="9"/>
  <c r="BP3" i="9" s="1"/>
  <c r="L3" i="9"/>
  <c r="K3" i="9"/>
  <c r="J3" i="9"/>
  <c r="I3" i="9"/>
  <c r="H3" i="9"/>
  <c r="G3" i="9"/>
  <c r="F3" i="9"/>
  <c r="E3" i="9"/>
  <c r="D3" i="9"/>
  <c r="BO3" i="9" s="1"/>
  <c r="BK2" i="9"/>
  <c r="BJ2" i="9"/>
  <c r="BI2" i="9"/>
  <c r="BH2" i="9"/>
  <c r="BG2" i="9"/>
  <c r="BF2" i="9"/>
  <c r="BE2" i="9"/>
  <c r="BD2" i="9"/>
  <c r="BC2" i="9"/>
  <c r="BB2" i="9"/>
  <c r="BA2" i="9"/>
  <c r="BT2" i="9" s="1"/>
  <c r="AZ2" i="9"/>
  <c r="AY2" i="9"/>
  <c r="AX2" i="9"/>
  <c r="AW2" i="9"/>
  <c r="AV2" i="9"/>
  <c r="AU2" i="9"/>
  <c r="AT2" i="9"/>
  <c r="AS2" i="9"/>
  <c r="AR2" i="9"/>
  <c r="AQ2" i="9"/>
  <c r="BS2" i="9" s="1"/>
  <c r="AP2" i="9"/>
  <c r="AO2" i="9"/>
  <c r="AN2" i="9"/>
  <c r="AM2" i="9"/>
  <c r="AL2" i="9"/>
  <c r="AK2" i="9"/>
  <c r="AJ2" i="9"/>
  <c r="AI2" i="9"/>
  <c r="AH2" i="9"/>
  <c r="AG2" i="9"/>
  <c r="BR2" i="9" s="1"/>
  <c r="AF2" i="9"/>
  <c r="AE2" i="9"/>
  <c r="AD2" i="9"/>
  <c r="AC2" i="9"/>
  <c r="AB2" i="9"/>
  <c r="AA2" i="9"/>
  <c r="Z2" i="9"/>
  <c r="Y2" i="9"/>
  <c r="X2" i="9"/>
  <c r="W2" i="9"/>
  <c r="BQ2" i="9" s="1"/>
  <c r="V2" i="9"/>
  <c r="U2" i="9"/>
  <c r="T2" i="9"/>
  <c r="S2" i="9"/>
  <c r="R2" i="9"/>
  <c r="Q2" i="9"/>
  <c r="P2" i="9"/>
  <c r="O2" i="9"/>
  <c r="N2" i="9"/>
  <c r="M2" i="9"/>
  <c r="BV2" i="9" s="1"/>
  <c r="L2" i="9"/>
  <c r="K2" i="9"/>
  <c r="J2" i="9"/>
  <c r="I2" i="9"/>
  <c r="H2" i="9"/>
  <c r="G2" i="9"/>
  <c r="F2" i="9"/>
  <c r="E2" i="9"/>
  <c r="D2" i="9"/>
  <c r="BO2" i="9" s="1"/>
  <c r="F2" i="8"/>
  <c r="E2" i="8"/>
  <c r="D2" i="8"/>
  <c r="C2" i="8"/>
  <c r="BX2" i="9" l="1"/>
  <c r="BX3" i="9"/>
  <c r="BX4" i="9"/>
  <c r="BX5" i="9"/>
  <c r="BX6" i="9"/>
  <c r="BX7" i="9"/>
  <c r="BX8" i="9"/>
  <c r="BX9" i="9"/>
  <c r="BX10" i="9"/>
  <c r="BX11" i="9"/>
  <c r="BX12" i="9"/>
  <c r="BX13" i="9"/>
  <c r="BX14" i="9"/>
  <c r="BX15" i="9"/>
  <c r="BX16" i="9"/>
  <c r="BX17" i="9"/>
  <c r="BX18" i="9"/>
  <c r="E27" i="10"/>
  <c r="E52" i="5" s="1"/>
  <c r="M27" i="10"/>
  <c r="M52" i="5" s="1"/>
  <c r="U27" i="10"/>
  <c r="U52" i="5" s="1"/>
  <c r="AC27" i="10"/>
  <c r="AC52" i="5" s="1"/>
  <c r="E28" i="10"/>
  <c r="E54" i="6" s="1"/>
  <c r="M28" i="10"/>
  <c r="M54" i="6" s="1"/>
  <c r="U28" i="10"/>
  <c r="U54" i="6" s="1"/>
  <c r="AC28" i="10"/>
  <c r="AC54" i="6" s="1"/>
  <c r="E23" i="11"/>
  <c r="E553" i="1" s="1"/>
  <c r="M23" i="11"/>
  <c r="M553" i="1" s="1"/>
  <c r="U23" i="11"/>
  <c r="U553" i="1" s="1"/>
  <c r="AC23" i="11"/>
  <c r="AC553" i="1" s="1"/>
  <c r="E24" i="11"/>
  <c r="E54" i="4" s="1"/>
  <c r="M24" i="11"/>
  <c r="M54" i="4" s="1"/>
  <c r="U24" i="11"/>
  <c r="U54" i="4" s="1"/>
  <c r="Y24" i="11"/>
  <c r="Y54" i="4" s="1"/>
  <c r="D27" i="10"/>
  <c r="D52" i="6" s="1"/>
  <c r="H27" i="10"/>
  <c r="H52" i="6" s="1"/>
  <c r="L27" i="10"/>
  <c r="L52" i="6" s="1"/>
  <c r="P27" i="10"/>
  <c r="P52" i="6" s="1"/>
  <c r="T27" i="10"/>
  <c r="T52" i="6" s="1"/>
  <c r="X27" i="10"/>
  <c r="X52" i="6" s="1"/>
  <c r="AB27" i="10"/>
  <c r="AB52" i="6" s="1"/>
  <c r="D28" i="10"/>
  <c r="D54" i="6" s="1"/>
  <c r="H28" i="10"/>
  <c r="H54" i="6" s="1"/>
  <c r="L28" i="10"/>
  <c r="L54" i="6" s="1"/>
  <c r="P28" i="10"/>
  <c r="P54" i="6" s="1"/>
  <c r="T28" i="10"/>
  <c r="T54" i="6" s="1"/>
  <c r="X28" i="10"/>
  <c r="X54" i="6" s="1"/>
  <c r="AB28" i="10"/>
  <c r="AB54" i="6" s="1"/>
  <c r="D23" i="11"/>
  <c r="D52" i="4" s="1"/>
  <c r="H23" i="11"/>
  <c r="H52" i="4" s="1"/>
  <c r="L23" i="11"/>
  <c r="L52" i="4" s="1"/>
  <c r="P23" i="11"/>
  <c r="P52" i="4" s="1"/>
  <c r="T23" i="11"/>
  <c r="T52" i="4" s="1"/>
  <c r="X23" i="11"/>
  <c r="X52" i="4" s="1"/>
  <c r="AB23" i="11"/>
  <c r="AB52" i="4" s="1"/>
  <c r="D24" i="11"/>
  <c r="D54" i="4" s="1"/>
  <c r="H24" i="11"/>
  <c r="H54" i="4" s="1"/>
  <c r="L24" i="11"/>
  <c r="L54" i="4" s="1"/>
  <c r="P24" i="11"/>
  <c r="P54" i="4" s="1"/>
  <c r="T24" i="11"/>
  <c r="T54" i="4" s="1"/>
  <c r="X24" i="11"/>
  <c r="X54" i="4" s="1"/>
  <c r="AB24" i="11"/>
  <c r="AB54" i="4" s="1"/>
  <c r="I27" i="10"/>
  <c r="I52" i="5" s="1"/>
  <c r="Q27" i="10"/>
  <c r="Q52" i="5" s="1"/>
  <c r="Y27" i="10"/>
  <c r="Y52" i="5" s="1"/>
  <c r="I28" i="10"/>
  <c r="I54" i="6" s="1"/>
  <c r="Q28" i="10"/>
  <c r="Q54" i="6" s="1"/>
  <c r="Y28" i="10"/>
  <c r="Y54" i="6" s="1"/>
  <c r="I23" i="11"/>
  <c r="I553" i="1" s="1"/>
  <c r="Q23" i="11"/>
  <c r="Q553" i="1" s="1"/>
  <c r="Y23" i="11"/>
  <c r="Y553" i="1" s="1"/>
  <c r="I24" i="11"/>
  <c r="I54" i="4" s="1"/>
  <c r="Q24" i="11"/>
  <c r="Q54" i="4" s="1"/>
  <c r="AC24" i="11"/>
  <c r="AC54" i="4" s="1"/>
  <c r="BP13" i="12"/>
  <c r="BV13" i="12"/>
  <c r="BP17" i="12"/>
  <c r="BV17" i="12"/>
  <c r="BP2" i="12"/>
  <c r="BP6" i="12"/>
  <c r="BV6" i="12"/>
  <c r="BX19" i="9"/>
  <c r="BX20" i="9"/>
  <c r="BX21" i="9"/>
  <c r="BX22" i="9"/>
  <c r="BX23" i="9"/>
  <c r="BP2" i="9"/>
  <c r="BU2" i="9"/>
  <c r="BU3" i="9"/>
  <c r="BU4" i="9"/>
  <c r="BU5" i="9"/>
  <c r="BP6" i="9"/>
  <c r="BU6" i="9"/>
  <c r="BU7" i="9"/>
  <c r="BU8" i="9"/>
  <c r="BU9" i="9"/>
  <c r="BU10" i="9"/>
  <c r="BU11" i="9"/>
  <c r="BU12" i="9"/>
  <c r="BP13" i="9"/>
  <c r="BU13" i="9"/>
  <c r="BU14" i="9"/>
  <c r="BU15" i="9"/>
  <c r="BU16" i="9"/>
  <c r="BP17" i="9"/>
  <c r="BU17" i="9"/>
  <c r="BU18" i="9"/>
  <c r="BU19" i="9"/>
  <c r="BU20" i="9"/>
  <c r="BU21" i="9"/>
  <c r="BU22" i="9"/>
  <c r="BU23" i="9"/>
  <c r="BU2" i="12"/>
  <c r="BZ2" i="12"/>
  <c r="BX2" i="12"/>
  <c r="BU3" i="12"/>
  <c r="BZ3" i="12"/>
  <c r="BX3" i="12"/>
  <c r="BU4" i="12"/>
  <c r="BZ4" i="12"/>
  <c r="BX4" i="12"/>
  <c r="BU5" i="12"/>
  <c r="BZ5" i="12"/>
  <c r="BX5" i="12"/>
  <c r="BU6" i="12"/>
  <c r="BZ6" i="12"/>
  <c r="BX6" i="12"/>
  <c r="BU7" i="12"/>
  <c r="BZ7" i="12"/>
  <c r="BX7" i="12"/>
  <c r="BU8" i="12"/>
  <c r="BZ8" i="12"/>
  <c r="BX8" i="12"/>
  <c r="BU9" i="12"/>
  <c r="BZ9" i="12"/>
  <c r="BX9" i="12"/>
  <c r="BU10" i="12"/>
  <c r="BZ10" i="12"/>
  <c r="BX10" i="12"/>
  <c r="BU11" i="12"/>
  <c r="BZ11" i="12"/>
  <c r="BX11" i="12"/>
  <c r="BU12" i="12"/>
  <c r="BZ12" i="12"/>
  <c r="BX12" i="12"/>
  <c r="BU13" i="12"/>
  <c r="BZ13" i="12"/>
  <c r="BX13" i="12"/>
  <c r="BU14" i="12"/>
  <c r="BZ14" i="12"/>
  <c r="BX14" i="12"/>
  <c r="BU15" i="12"/>
  <c r="BZ15" i="12"/>
  <c r="BX15" i="12"/>
  <c r="BU16" i="12"/>
  <c r="BZ16" i="12"/>
  <c r="BX16" i="12"/>
  <c r="BU17" i="12"/>
  <c r="BZ17" i="12"/>
  <c r="BX17" i="12"/>
  <c r="BU18" i="12"/>
  <c r="BZ18" i="12"/>
  <c r="BX18" i="12"/>
  <c r="BU19" i="12"/>
  <c r="BZ19" i="12"/>
  <c r="BX19" i="12"/>
  <c r="BU20" i="12"/>
  <c r="BZ20" i="12"/>
  <c r="BX20" i="12"/>
  <c r="BU21" i="12"/>
  <c r="BZ21" i="12"/>
  <c r="BX21" i="12"/>
  <c r="BU22" i="12"/>
  <c r="BZ22" i="12"/>
  <c r="BX22" i="12"/>
  <c r="BU23" i="12"/>
  <c r="BZ23" i="12"/>
  <c r="BX23" i="12"/>
  <c r="BP16" i="15"/>
  <c r="BP18" i="15"/>
  <c r="BQ16" i="15"/>
  <c r="BQ18" i="15"/>
  <c r="BR16" i="15"/>
  <c r="BR18" i="15"/>
  <c r="BS16" i="15"/>
  <c r="BS18" i="15"/>
  <c r="BP15" i="15"/>
  <c r="BP17" i="15"/>
  <c r="BQ17" i="15"/>
  <c r="BQ15" i="15"/>
  <c r="BR17" i="15"/>
  <c r="BR15" i="15"/>
  <c r="BS15" i="15"/>
  <c r="BS17" i="15"/>
  <c r="Z28" i="10"/>
  <c r="Z54" i="6" s="1"/>
  <c r="AG23" i="11"/>
  <c r="E42" i="12"/>
  <c r="E42" i="9"/>
  <c r="AI23" i="11"/>
  <c r="G42" i="12"/>
  <c r="G42" i="9"/>
  <c r="AK23" i="11"/>
  <c r="I42" i="12"/>
  <c r="I42" i="9"/>
  <c r="AM23" i="11"/>
  <c r="K42" i="12"/>
  <c r="K42" i="9"/>
  <c r="AO23" i="11"/>
  <c r="M42" i="12"/>
  <c r="BP42" i="12" s="1"/>
  <c r="M42" i="9"/>
  <c r="BP42" i="9" s="1"/>
  <c r="AQ23" i="11"/>
  <c r="O42" i="12"/>
  <c r="O42" i="9"/>
  <c r="AS23" i="11"/>
  <c r="Q42" i="12"/>
  <c r="Q42" i="9"/>
  <c r="AU23" i="11"/>
  <c r="S42" i="12"/>
  <c r="S42" i="9"/>
  <c r="AW23" i="11"/>
  <c r="U42" i="12"/>
  <c r="U42" i="9"/>
  <c r="AY23" i="11"/>
  <c r="W42" i="12"/>
  <c r="BQ42" i="12" s="1"/>
  <c r="W42" i="9"/>
  <c r="BQ42" i="9" s="1"/>
  <c r="BA23" i="11"/>
  <c r="Y42" i="12"/>
  <c r="Y42" i="9"/>
  <c r="BC23" i="11"/>
  <c r="AA42" i="12"/>
  <c r="AA42" i="9"/>
  <c r="BE23" i="11"/>
  <c r="AC42" i="12"/>
  <c r="AC42" i="9"/>
  <c r="BG23" i="11"/>
  <c r="AE42" i="12"/>
  <c r="AE42" i="9"/>
  <c r="BI23" i="11"/>
  <c r="AG42" i="12"/>
  <c r="BR42" i="12" s="1"/>
  <c r="AG42" i="9"/>
  <c r="BR42" i="9" s="1"/>
  <c r="BK23" i="11"/>
  <c r="AI42" i="12"/>
  <c r="AI42" i="9"/>
  <c r="BM23" i="11"/>
  <c r="AK42" i="12"/>
  <c r="AK42" i="9"/>
  <c r="BO23" i="11"/>
  <c r="AM42" i="12"/>
  <c r="AM42" i="9"/>
  <c r="BQ23" i="11"/>
  <c r="AO42" i="12"/>
  <c r="AO42" i="9"/>
  <c r="BS23" i="11"/>
  <c r="AQ42" i="12"/>
  <c r="BS42" i="12" s="1"/>
  <c r="AQ42" i="9"/>
  <c r="BS42" i="9" s="1"/>
  <c r="BU23" i="11"/>
  <c r="AS42" i="12"/>
  <c r="AS42" i="9"/>
  <c r="BW23" i="11"/>
  <c r="AU42" i="12"/>
  <c r="AU42" i="9"/>
  <c r="BY23" i="11"/>
  <c r="AW42" i="12"/>
  <c r="AW42" i="9"/>
  <c r="CA23" i="11"/>
  <c r="AY42" i="12"/>
  <c r="AY42" i="9"/>
  <c r="CC23" i="11"/>
  <c r="BA42" i="12"/>
  <c r="BT42" i="12" s="1"/>
  <c r="BA42" i="9"/>
  <c r="BT42" i="9" s="1"/>
  <c r="CE23" i="11"/>
  <c r="BC42" i="12"/>
  <c r="BC42" i="9"/>
  <c r="CG23" i="11"/>
  <c r="BE42" i="12"/>
  <c r="BE42" i="9"/>
  <c r="CI23" i="11"/>
  <c r="BG42" i="12"/>
  <c r="BG42" i="9"/>
  <c r="CK23" i="11"/>
  <c r="BI42" i="12"/>
  <c r="BI42" i="9"/>
  <c r="CM23" i="11"/>
  <c r="BK42" i="12"/>
  <c r="BU42" i="12" s="1"/>
  <c r="BK42" i="9"/>
  <c r="BU42" i="9" s="1"/>
  <c r="E43" i="12"/>
  <c r="E43" i="9"/>
  <c r="G43" i="12"/>
  <c r="G43" i="9"/>
  <c r="I43" i="12"/>
  <c r="I43" i="9"/>
  <c r="K43" i="12"/>
  <c r="K43" i="9"/>
  <c r="M43" i="12"/>
  <c r="BP43" i="12" s="1"/>
  <c r="M43" i="9"/>
  <c r="BP43" i="9" s="1"/>
  <c r="O43" i="12"/>
  <c r="O43" i="9"/>
  <c r="Q43" i="12"/>
  <c r="Q43" i="9"/>
  <c r="S43" i="12"/>
  <c r="S43" i="9"/>
  <c r="U43" i="12"/>
  <c r="U43" i="9"/>
  <c r="W43" i="12"/>
  <c r="BQ43" i="12" s="1"/>
  <c r="W43" i="9"/>
  <c r="BQ43" i="9" s="1"/>
  <c r="Y43" i="12"/>
  <c r="Y43" i="9"/>
  <c r="AA43" i="12"/>
  <c r="AA43" i="9"/>
  <c r="AC43" i="12"/>
  <c r="AC43" i="9"/>
  <c r="AE43" i="12"/>
  <c r="AE43" i="9"/>
  <c r="AG43" i="12"/>
  <c r="BR43" i="12" s="1"/>
  <c r="AG43" i="9"/>
  <c r="BR43" i="9" s="1"/>
  <c r="AI43" i="12"/>
  <c r="AI43" i="9"/>
  <c r="AK43" i="12"/>
  <c r="AK43" i="9"/>
  <c r="AM43" i="12"/>
  <c r="AM43" i="9"/>
  <c r="AO43" i="12"/>
  <c r="AO43" i="9"/>
  <c r="AQ43" i="12"/>
  <c r="BS43" i="12" s="1"/>
  <c r="AQ43" i="9"/>
  <c r="BS43" i="9" s="1"/>
  <c r="AS43" i="12"/>
  <c r="AS43" i="9"/>
  <c r="AU43" i="12"/>
  <c r="AU43" i="9"/>
  <c r="AW43" i="12"/>
  <c r="AW43" i="9"/>
  <c r="AY43" i="12"/>
  <c r="AY43" i="9"/>
  <c r="BA43" i="12"/>
  <c r="BT43" i="12" s="1"/>
  <c r="BA43" i="9"/>
  <c r="BT43" i="9" s="1"/>
  <c r="BC43" i="12"/>
  <c r="BC43" i="9"/>
  <c r="BE43" i="12"/>
  <c r="BE43" i="9"/>
  <c r="BG43" i="12"/>
  <c r="BG43" i="9"/>
  <c r="BI43" i="12"/>
  <c r="BI43" i="9"/>
  <c r="BK43" i="12"/>
  <c r="BU43" i="12" s="1"/>
  <c r="BK43" i="9"/>
  <c r="BU43" i="9" s="1"/>
  <c r="AG24" i="11"/>
  <c r="E44" i="12"/>
  <c r="E44" i="9"/>
  <c r="AI24" i="11"/>
  <c r="G44" i="12"/>
  <c r="G44" i="9"/>
  <c r="AK24" i="11"/>
  <c r="I44" i="12"/>
  <c r="I44" i="9"/>
  <c r="AM24" i="11"/>
  <c r="K44" i="12"/>
  <c r="K44" i="9"/>
  <c r="AO24" i="11"/>
  <c r="M44" i="12"/>
  <c r="BP44" i="12" s="1"/>
  <c r="M44" i="9"/>
  <c r="BP44" i="9" s="1"/>
  <c r="AQ24" i="11"/>
  <c r="O44" i="12"/>
  <c r="O44" i="9"/>
  <c r="AS24" i="11"/>
  <c r="Q44" i="12"/>
  <c r="Q44" i="9"/>
  <c r="AU24" i="11"/>
  <c r="S44" i="12"/>
  <c r="S44" i="9"/>
  <c r="AW24" i="11"/>
  <c r="U44" i="12"/>
  <c r="U44" i="9"/>
  <c r="AY24" i="11"/>
  <c r="W44" i="12"/>
  <c r="BQ44" i="12" s="1"/>
  <c r="W44" i="9"/>
  <c r="BQ44" i="9" s="1"/>
  <c r="BA24" i="11"/>
  <c r="Y44" i="12"/>
  <c r="Y44" i="9"/>
  <c r="BC24" i="11"/>
  <c r="AA44" i="12"/>
  <c r="AA44" i="9"/>
  <c r="BE24" i="11"/>
  <c r="AC44" i="12"/>
  <c r="AC44" i="9"/>
  <c r="BG24" i="11"/>
  <c r="AE44" i="12"/>
  <c r="AE44" i="9"/>
  <c r="BI24" i="11"/>
  <c r="AG44" i="12"/>
  <c r="BR44" i="12" s="1"/>
  <c r="AG44" i="9"/>
  <c r="BR44" i="9" s="1"/>
  <c r="BK24" i="11"/>
  <c r="AI44" i="12"/>
  <c r="AI44" i="9"/>
  <c r="BM24" i="11"/>
  <c r="AK44" i="12"/>
  <c r="AK44" i="9"/>
  <c r="BO24" i="11"/>
  <c r="AM44" i="12"/>
  <c r="AM44" i="9"/>
  <c r="BQ24" i="11"/>
  <c r="AO44" i="12"/>
  <c r="AO44" i="9"/>
  <c r="BS24" i="11"/>
  <c r="AQ44" i="12"/>
  <c r="BS44" i="12" s="1"/>
  <c r="AQ44" i="9"/>
  <c r="BS44" i="9" s="1"/>
  <c r="BU24" i="11"/>
  <c r="AS44" i="12"/>
  <c r="AS44" i="9"/>
  <c r="BW24" i="11"/>
  <c r="AU44" i="12"/>
  <c r="AU44" i="9"/>
  <c r="BY24" i="11"/>
  <c r="AW44" i="12"/>
  <c r="AW44" i="9"/>
  <c r="CA24" i="11"/>
  <c r="AY44" i="12"/>
  <c r="AY44" i="9"/>
  <c r="CC24" i="11"/>
  <c r="BA44" i="12"/>
  <c r="BT44" i="12" s="1"/>
  <c r="BA44" i="9"/>
  <c r="BT44" i="9" s="1"/>
  <c r="CE24" i="11"/>
  <c r="BC44" i="12"/>
  <c r="BC44" i="9"/>
  <c r="CG24" i="11"/>
  <c r="BE44" i="12"/>
  <c r="BE44" i="9"/>
  <c r="CI24" i="11"/>
  <c r="BG44" i="12"/>
  <c r="BG44" i="9"/>
  <c r="CK24" i="11"/>
  <c r="BI44" i="12"/>
  <c r="BI44" i="9"/>
  <c r="CM24" i="11"/>
  <c r="BK44" i="12"/>
  <c r="BU44" i="12" s="1"/>
  <c r="BK44" i="9"/>
  <c r="BU44" i="9" s="1"/>
  <c r="E45" i="12"/>
  <c r="E45" i="9"/>
  <c r="G45" i="12"/>
  <c r="G45" i="9"/>
  <c r="I45" i="12"/>
  <c r="I45" i="9"/>
  <c r="K45" i="12"/>
  <c r="K45" i="9"/>
  <c r="M45" i="12"/>
  <c r="BP45" i="12" s="1"/>
  <c r="M45" i="9"/>
  <c r="BP45" i="9" s="1"/>
  <c r="O45" i="12"/>
  <c r="O45" i="9"/>
  <c r="Q45" i="12"/>
  <c r="Q45" i="9"/>
  <c r="S45" i="12"/>
  <c r="S45" i="9"/>
  <c r="U45" i="12"/>
  <c r="U45" i="9"/>
  <c r="W45" i="12"/>
  <c r="BQ45" i="12" s="1"/>
  <c r="W45" i="9"/>
  <c r="BQ45" i="9" s="1"/>
  <c r="Y45" i="12"/>
  <c r="Y45" i="9"/>
  <c r="AA45" i="12"/>
  <c r="AA45" i="9"/>
  <c r="AC45" i="12"/>
  <c r="AC45" i="9"/>
  <c r="AE45" i="12"/>
  <c r="AE45" i="9"/>
  <c r="AG45" i="12"/>
  <c r="BR45" i="12" s="1"/>
  <c r="AG45" i="9"/>
  <c r="BR45" i="9" s="1"/>
  <c r="AI45" i="12"/>
  <c r="AI45" i="9"/>
  <c r="AK45" i="12"/>
  <c r="AK45" i="9"/>
  <c r="AM45" i="12"/>
  <c r="AM45" i="9"/>
  <c r="AO45" i="12"/>
  <c r="AO45" i="9"/>
  <c r="AQ45" i="12"/>
  <c r="BS45" i="12" s="1"/>
  <c r="AQ45" i="9"/>
  <c r="BS45" i="9" s="1"/>
  <c r="AS45" i="12"/>
  <c r="AS45" i="9"/>
  <c r="AU45" i="12"/>
  <c r="AU45" i="9"/>
  <c r="AW45" i="12"/>
  <c r="AW45" i="9"/>
  <c r="AY45" i="12"/>
  <c r="AY45" i="9"/>
  <c r="BA45" i="12"/>
  <c r="BT45" i="12" s="1"/>
  <c r="BA45" i="9"/>
  <c r="BT45" i="9" s="1"/>
  <c r="BC45" i="12"/>
  <c r="BC45" i="9"/>
  <c r="BE45" i="12"/>
  <c r="BE45" i="9"/>
  <c r="BG45" i="12"/>
  <c r="BG45" i="9"/>
  <c r="BI45" i="12"/>
  <c r="BI45" i="9"/>
  <c r="BK45" i="12"/>
  <c r="BU45" i="12" s="1"/>
  <c r="BK45" i="9"/>
  <c r="BU45" i="9" s="1"/>
  <c r="B555" i="1"/>
  <c r="D553" i="1"/>
  <c r="F553" i="1"/>
  <c r="H553" i="1"/>
  <c r="J553" i="1"/>
  <c r="L553" i="1"/>
  <c r="N553" i="1"/>
  <c r="P553" i="1"/>
  <c r="R553" i="1"/>
  <c r="T553" i="1"/>
  <c r="V553" i="1"/>
  <c r="X553" i="1"/>
  <c r="Z553" i="1"/>
  <c r="AB553" i="1"/>
  <c r="AD553" i="1"/>
  <c r="C555" i="1"/>
  <c r="G555" i="1"/>
  <c r="I555" i="1"/>
  <c r="K555" i="1"/>
  <c r="M555" i="1"/>
  <c r="O555" i="1"/>
  <c r="S555" i="1"/>
  <c r="W555" i="1"/>
  <c r="Y555" i="1"/>
  <c r="AA555" i="1"/>
  <c r="AC555" i="1"/>
  <c r="AE555" i="1"/>
  <c r="C52" i="4"/>
  <c r="E52" i="4"/>
  <c r="G52" i="4"/>
  <c r="I52" i="4"/>
  <c r="K52" i="4"/>
  <c r="M52" i="4"/>
  <c r="O52" i="4"/>
  <c r="Q52" i="4"/>
  <c r="S52" i="4"/>
  <c r="U52" i="4"/>
  <c r="W52" i="4"/>
  <c r="Y52" i="4"/>
  <c r="AA52" i="4"/>
  <c r="AC52" i="4"/>
  <c r="AE52" i="4"/>
  <c r="AF23" i="11"/>
  <c r="D42" i="12"/>
  <c r="BO42" i="12" s="1"/>
  <c r="BO42" i="9"/>
  <c r="AH23" i="11"/>
  <c r="F42" i="9"/>
  <c r="F42" i="12"/>
  <c r="AJ23" i="11"/>
  <c r="H42" i="9"/>
  <c r="H42" i="12"/>
  <c r="AL23" i="11"/>
  <c r="J42" i="9"/>
  <c r="J42" i="12"/>
  <c r="AN23" i="11"/>
  <c r="L42" i="9"/>
  <c r="L42" i="12"/>
  <c r="AP23" i="11"/>
  <c r="N42" i="9"/>
  <c r="N42" i="12"/>
  <c r="AR23" i="11"/>
  <c r="P42" i="9"/>
  <c r="P42" i="12"/>
  <c r="AT23" i="11"/>
  <c r="R42" i="9"/>
  <c r="R42" i="12"/>
  <c r="AV23" i="11"/>
  <c r="T42" i="9"/>
  <c r="T42" i="12"/>
  <c r="AX23" i="11"/>
  <c r="V42" i="9"/>
  <c r="V42" i="12"/>
  <c r="AZ23" i="11"/>
  <c r="X42" i="9"/>
  <c r="X42" i="12"/>
  <c r="BB23" i="11"/>
  <c r="Z42" i="9"/>
  <c r="Z42" i="12"/>
  <c r="BD23" i="11"/>
  <c r="AB42" i="9"/>
  <c r="AB42" i="12"/>
  <c r="BF23" i="11"/>
  <c r="AD42" i="9"/>
  <c r="AD42" i="12"/>
  <c r="BH23" i="11"/>
  <c r="AF42" i="9"/>
  <c r="AF42" i="12"/>
  <c r="BJ23" i="11"/>
  <c r="AH42" i="9"/>
  <c r="AH42" i="12"/>
  <c r="BL23" i="11"/>
  <c r="AJ42" i="9"/>
  <c r="AJ42" i="12"/>
  <c r="BN23" i="11"/>
  <c r="AL42" i="9"/>
  <c r="AL42" i="12"/>
  <c r="BP23" i="11"/>
  <c r="AN42" i="9"/>
  <c r="AN42" i="12"/>
  <c r="BR23" i="11"/>
  <c r="AP42" i="9"/>
  <c r="AP42" i="12"/>
  <c r="BT23" i="11"/>
  <c r="AR42" i="9"/>
  <c r="AR42" i="12"/>
  <c r="BV23" i="11"/>
  <c r="AT42" i="9"/>
  <c r="AT42" i="12"/>
  <c r="BX23" i="11"/>
  <c r="AV42" i="9"/>
  <c r="AV42" i="12"/>
  <c r="BZ23" i="11"/>
  <c r="AX42" i="9"/>
  <c r="AX42" i="12"/>
  <c r="CB23" i="11"/>
  <c r="AZ42" i="9"/>
  <c r="AZ42" i="12"/>
  <c r="CD23" i="11"/>
  <c r="BB42" i="9"/>
  <c r="BB42" i="12"/>
  <c r="CF23" i="11"/>
  <c r="BD42" i="9"/>
  <c r="BD42" i="12"/>
  <c r="CH23" i="11"/>
  <c r="BF42" i="9"/>
  <c r="BF42" i="12"/>
  <c r="CJ23" i="11"/>
  <c r="BH42" i="9"/>
  <c r="BH42" i="12"/>
  <c r="CL23" i="11"/>
  <c r="BJ42" i="9"/>
  <c r="BJ42" i="12"/>
  <c r="D43" i="9"/>
  <c r="BO43" i="9" s="1"/>
  <c r="D43" i="12"/>
  <c r="BO43" i="12" s="1"/>
  <c r="F43" i="12"/>
  <c r="F43" i="9"/>
  <c r="H43" i="12"/>
  <c r="H43" i="9"/>
  <c r="J43" i="12"/>
  <c r="J43" i="9"/>
  <c r="L43" i="12"/>
  <c r="L43" i="9"/>
  <c r="N43" i="12"/>
  <c r="N43" i="9"/>
  <c r="P43" i="12"/>
  <c r="P43" i="9"/>
  <c r="R43" i="12"/>
  <c r="R43" i="9"/>
  <c r="T43" i="12"/>
  <c r="T43" i="9"/>
  <c r="V43" i="12"/>
  <c r="V43" i="9"/>
  <c r="X43" i="12"/>
  <c r="X43" i="9"/>
  <c r="Z43" i="12"/>
  <c r="Z43" i="9"/>
  <c r="AB43" i="12"/>
  <c r="AB43" i="9"/>
  <c r="AD43" i="12"/>
  <c r="AD43" i="9"/>
  <c r="AF43" i="12"/>
  <c r="AF43" i="9"/>
  <c r="AH43" i="12"/>
  <c r="AH43" i="9"/>
  <c r="AJ43" i="12"/>
  <c r="AJ43" i="9"/>
  <c r="AL43" i="12"/>
  <c r="AL43" i="9"/>
  <c r="AN43" i="12"/>
  <c r="AN43" i="9"/>
  <c r="AP43" i="12"/>
  <c r="AP43" i="9"/>
  <c r="AR43" i="12"/>
  <c r="AR43" i="9"/>
  <c r="AT43" i="12"/>
  <c r="AT43" i="9"/>
  <c r="AV43" i="12"/>
  <c r="AV43" i="9"/>
  <c r="AX43" i="12"/>
  <c r="AX43" i="9"/>
  <c r="AZ43" i="12"/>
  <c r="AZ43" i="9"/>
  <c r="BB43" i="12"/>
  <c r="BB43" i="9"/>
  <c r="BD43" i="12"/>
  <c r="BD43" i="9"/>
  <c r="BF43" i="12"/>
  <c r="BF43" i="9"/>
  <c r="BH43" i="12"/>
  <c r="BH43" i="9"/>
  <c r="BJ43" i="12"/>
  <c r="BJ43" i="9"/>
  <c r="AF24" i="11"/>
  <c r="D44" i="12"/>
  <c r="BO44" i="12" s="1"/>
  <c r="D44" i="9"/>
  <c r="BO44" i="9" s="1"/>
  <c r="AH24" i="11"/>
  <c r="F44" i="9"/>
  <c r="F44" i="12"/>
  <c r="AJ24" i="11"/>
  <c r="H44" i="9"/>
  <c r="H44" i="12"/>
  <c r="AL24" i="11"/>
  <c r="J44" i="9"/>
  <c r="J44" i="12"/>
  <c r="AN24" i="11"/>
  <c r="L44" i="9"/>
  <c r="L44" i="12"/>
  <c r="AP24" i="11"/>
  <c r="N44" i="9"/>
  <c r="N44" i="12"/>
  <c r="AR24" i="11"/>
  <c r="P44" i="9"/>
  <c r="P44" i="12"/>
  <c r="AT24" i="11"/>
  <c r="R44" i="9"/>
  <c r="R44" i="12"/>
  <c r="AV24" i="11"/>
  <c r="T44" i="9"/>
  <c r="T44" i="12"/>
  <c r="AX24" i="11"/>
  <c r="V44" i="9"/>
  <c r="V44" i="12"/>
  <c r="AZ24" i="11"/>
  <c r="X44" i="9"/>
  <c r="X44" i="12"/>
  <c r="BB24" i="11"/>
  <c r="Z44" i="9"/>
  <c r="Z44" i="12"/>
  <c r="BD24" i="11"/>
  <c r="AB44" i="9"/>
  <c r="AB44" i="12"/>
  <c r="BF24" i="11"/>
  <c r="AD44" i="9"/>
  <c r="AD44" i="12"/>
  <c r="BH24" i="11"/>
  <c r="AF44" i="9"/>
  <c r="AF44" i="12"/>
  <c r="BJ24" i="11"/>
  <c r="AH44" i="9"/>
  <c r="AH44" i="12"/>
  <c r="BL24" i="11"/>
  <c r="AJ44" i="9"/>
  <c r="AJ44" i="12"/>
  <c r="BN24" i="11"/>
  <c r="AL44" i="9"/>
  <c r="AL44" i="12"/>
  <c r="BP24" i="11"/>
  <c r="AN44" i="9"/>
  <c r="AN44" i="12"/>
  <c r="BR24" i="11"/>
  <c r="AP44" i="9"/>
  <c r="AP44" i="12"/>
  <c r="BT24" i="11"/>
  <c r="AR44" i="9"/>
  <c r="AR44" i="12"/>
  <c r="BV24" i="11"/>
  <c r="AT44" i="9"/>
  <c r="AT44" i="12"/>
  <c r="BX24" i="11"/>
  <c r="AV44" i="9"/>
  <c r="AV44" i="12"/>
  <c r="BZ24" i="11"/>
  <c r="AX44" i="9"/>
  <c r="AX44" i="12"/>
  <c r="CB24" i="11"/>
  <c r="AZ44" i="9"/>
  <c r="AZ44" i="12"/>
  <c r="CD24" i="11"/>
  <c r="BB44" i="9"/>
  <c r="BB44" i="12"/>
  <c r="CF24" i="11"/>
  <c r="BD44" i="9"/>
  <c r="BD44" i="12"/>
  <c r="CH24" i="11"/>
  <c r="BF44" i="9"/>
  <c r="BF44" i="12"/>
  <c r="CJ24" i="11"/>
  <c r="BH44" i="9"/>
  <c r="BH44" i="12"/>
  <c r="CL24" i="11"/>
  <c r="BJ44" i="9"/>
  <c r="BJ44" i="12"/>
  <c r="D45" i="9"/>
  <c r="BO45" i="9" s="1"/>
  <c r="D45" i="12"/>
  <c r="BO45" i="12" s="1"/>
  <c r="F45" i="12"/>
  <c r="F45" i="9"/>
  <c r="H45" i="12"/>
  <c r="H45" i="9"/>
  <c r="J45" i="12"/>
  <c r="J45" i="9"/>
  <c r="L45" i="12"/>
  <c r="L45" i="9"/>
  <c r="N45" i="12"/>
  <c r="N45" i="9"/>
  <c r="P45" i="12"/>
  <c r="P45" i="9"/>
  <c r="R45" i="12"/>
  <c r="R45" i="9"/>
  <c r="T45" i="12"/>
  <c r="T45" i="9"/>
  <c r="V45" i="12"/>
  <c r="V45" i="9"/>
  <c r="X45" i="12"/>
  <c r="X45" i="9"/>
  <c r="Z45" i="12"/>
  <c r="Z45" i="9"/>
  <c r="AB45" i="12"/>
  <c r="AB45" i="9"/>
  <c r="AD45" i="12"/>
  <c r="AD45" i="9"/>
  <c r="AF45" i="12"/>
  <c r="AF45" i="9"/>
  <c r="AH45" i="12"/>
  <c r="AH45" i="9"/>
  <c r="AJ45" i="12"/>
  <c r="AJ45" i="9"/>
  <c r="AL45" i="12"/>
  <c r="AL45" i="9"/>
  <c r="AN45" i="12"/>
  <c r="AN45" i="9"/>
  <c r="AP45" i="12"/>
  <c r="AP45" i="9"/>
  <c r="AR45" i="12"/>
  <c r="AR45" i="9"/>
  <c r="AT45" i="12"/>
  <c r="AT45" i="9"/>
  <c r="AV45" i="12"/>
  <c r="AV45" i="9"/>
  <c r="AX45" i="12"/>
  <c r="AX45" i="9"/>
  <c r="AZ45" i="12"/>
  <c r="AZ45" i="9"/>
  <c r="BB45" i="12"/>
  <c r="BB45" i="9"/>
  <c r="BD45" i="12"/>
  <c r="BD45" i="9"/>
  <c r="BF45" i="12"/>
  <c r="BF45" i="9"/>
  <c r="BH45" i="12"/>
  <c r="BH45" i="9"/>
  <c r="BJ45" i="12"/>
  <c r="BJ45" i="9"/>
  <c r="B553" i="1"/>
  <c r="F555" i="1"/>
  <c r="H555" i="1"/>
  <c r="J555" i="1"/>
  <c r="N555" i="1"/>
  <c r="P555" i="1"/>
  <c r="R555" i="1"/>
  <c r="V555" i="1"/>
  <c r="X555" i="1"/>
  <c r="Z555" i="1"/>
  <c r="AD555" i="1"/>
  <c r="AG27" i="10"/>
  <c r="E42" i="13"/>
  <c r="E42" i="14"/>
  <c r="AI27" i="10"/>
  <c r="G42" i="13"/>
  <c r="G42" i="14"/>
  <c r="AK27" i="10"/>
  <c r="I42" i="13"/>
  <c r="I42" i="14"/>
  <c r="AM27" i="10"/>
  <c r="K42" i="13"/>
  <c r="K42" i="14"/>
  <c r="AO27" i="10"/>
  <c r="M42" i="13"/>
  <c r="BP42" i="13" s="1"/>
  <c r="M42" i="14"/>
  <c r="BP42" i="14" s="1"/>
  <c r="AQ27" i="10"/>
  <c r="O42" i="13"/>
  <c r="O42" i="14"/>
  <c r="AS27" i="10"/>
  <c r="Q42" i="13"/>
  <c r="Q42" i="14"/>
  <c r="AU27" i="10"/>
  <c r="S42" i="13"/>
  <c r="S42" i="14"/>
  <c r="AW27" i="10"/>
  <c r="U42" i="13"/>
  <c r="U42" i="14"/>
  <c r="AY27" i="10"/>
  <c r="W42" i="13"/>
  <c r="BQ42" i="13" s="1"/>
  <c r="W42" i="14"/>
  <c r="BQ42" i="14" s="1"/>
  <c r="BA27" i="10"/>
  <c r="Y42" i="13"/>
  <c r="Y42" i="14"/>
  <c r="BC27" i="10"/>
  <c r="AA42" i="13"/>
  <c r="AA42" i="14"/>
  <c r="BE27" i="10"/>
  <c r="AC42" i="13"/>
  <c r="AC42" i="14"/>
  <c r="BG27" i="10"/>
  <c r="AE42" i="13"/>
  <c r="AE42" i="14"/>
  <c r="BI27" i="10"/>
  <c r="AG42" i="13"/>
  <c r="BR42" i="13" s="1"/>
  <c r="AG42" i="14"/>
  <c r="BR42" i="14" s="1"/>
  <c r="BK27" i="10"/>
  <c r="AI42" i="13"/>
  <c r="AI42" i="14"/>
  <c r="BM27" i="10"/>
  <c r="AK42" i="13"/>
  <c r="AK42" i="14"/>
  <c r="BO27" i="10"/>
  <c r="AM42" i="13"/>
  <c r="AM42" i="14"/>
  <c r="BQ27" i="10"/>
  <c r="AO42" i="13"/>
  <c r="AO42" i="14"/>
  <c r="BS27" i="10"/>
  <c r="AQ42" i="13"/>
  <c r="BS42" i="13" s="1"/>
  <c r="AQ42" i="14"/>
  <c r="BS42" i="14" s="1"/>
  <c r="BU27" i="10"/>
  <c r="AS42" i="13"/>
  <c r="AS42" i="14"/>
  <c r="BW27" i="10"/>
  <c r="AU42" i="13"/>
  <c r="AU42" i="14"/>
  <c r="BY27" i="10"/>
  <c r="AW42" i="13"/>
  <c r="AW42" i="14"/>
  <c r="CA27" i="10"/>
  <c r="AY42" i="13"/>
  <c r="AY42" i="14"/>
  <c r="CC27" i="10"/>
  <c r="BA42" i="13"/>
  <c r="BT42" i="13" s="1"/>
  <c r="BA42" i="14"/>
  <c r="BT42" i="14" s="1"/>
  <c r="CE27" i="10"/>
  <c r="BC42" i="13"/>
  <c r="BC42" i="14"/>
  <c r="CG27" i="10"/>
  <c r="BE42" i="13"/>
  <c r="BE42" i="14"/>
  <c r="CI27" i="10"/>
  <c r="BG42" i="13"/>
  <c r="BG42" i="14"/>
  <c r="CK27" i="10"/>
  <c r="BI42" i="13"/>
  <c r="BI42" i="14"/>
  <c r="CM27" i="10"/>
  <c r="BK42" i="13"/>
  <c r="BU42" i="13" s="1"/>
  <c r="BK42" i="14"/>
  <c r="BU42" i="14" s="1"/>
  <c r="AG28" i="10"/>
  <c r="E44" i="13"/>
  <c r="E44" i="14"/>
  <c r="AI28" i="10"/>
  <c r="G44" i="13"/>
  <c r="G44" i="14"/>
  <c r="AK28" i="10"/>
  <c r="I44" i="13"/>
  <c r="I44" i="14"/>
  <c r="AM28" i="10"/>
  <c r="K44" i="13"/>
  <c r="K44" i="14"/>
  <c r="AO28" i="10"/>
  <c r="M44" i="13"/>
  <c r="BP44" i="13" s="1"/>
  <c r="M44" i="14"/>
  <c r="BP44" i="14" s="1"/>
  <c r="AQ28" i="10"/>
  <c r="O44" i="13"/>
  <c r="O44" i="14"/>
  <c r="AS28" i="10"/>
  <c r="Q44" i="13"/>
  <c r="Q44" i="14"/>
  <c r="AU28" i="10"/>
  <c r="S44" i="13"/>
  <c r="S44" i="14"/>
  <c r="AW28" i="10"/>
  <c r="U44" i="13"/>
  <c r="U44" i="14"/>
  <c r="AY28" i="10"/>
  <c r="W44" i="13"/>
  <c r="BQ44" i="13" s="1"/>
  <c r="W44" i="14"/>
  <c r="BQ44" i="14" s="1"/>
  <c r="BA28" i="10"/>
  <c r="Y44" i="13"/>
  <c r="Y44" i="14"/>
  <c r="BC28" i="10"/>
  <c r="AA44" i="13"/>
  <c r="AA44" i="14"/>
  <c r="BE28" i="10"/>
  <c r="AC44" i="13"/>
  <c r="AC44" i="14"/>
  <c r="BG28" i="10"/>
  <c r="AE44" i="13"/>
  <c r="AE44" i="14"/>
  <c r="BI28" i="10"/>
  <c r="AG44" i="13"/>
  <c r="BR44" i="13" s="1"/>
  <c r="AG44" i="14"/>
  <c r="BR44" i="14" s="1"/>
  <c r="BK28" i="10"/>
  <c r="AI44" i="13"/>
  <c r="AI44" i="14"/>
  <c r="BM28" i="10"/>
  <c r="AK44" i="13"/>
  <c r="AK44" i="14"/>
  <c r="BO28" i="10"/>
  <c r="AM44" i="13"/>
  <c r="AM44" i="14"/>
  <c r="BQ28" i="10"/>
  <c r="AO44" i="13"/>
  <c r="AO44" i="14"/>
  <c r="BS28" i="10"/>
  <c r="AQ44" i="13"/>
  <c r="BS44" i="13" s="1"/>
  <c r="AQ44" i="14"/>
  <c r="BS44" i="14" s="1"/>
  <c r="BU28" i="10"/>
  <c r="AS44" i="13"/>
  <c r="AS44" i="14"/>
  <c r="BW28" i="10"/>
  <c r="AU44" i="13"/>
  <c r="AU44" i="14"/>
  <c r="BY28" i="10"/>
  <c r="AW44" i="13"/>
  <c r="AW44" i="14"/>
  <c r="CA28" i="10"/>
  <c r="AY44" i="13"/>
  <c r="AY44" i="14"/>
  <c r="CC28" i="10"/>
  <c r="BA44" i="13"/>
  <c r="BT44" i="13" s="1"/>
  <c r="BA44" i="14"/>
  <c r="BT44" i="14" s="1"/>
  <c r="CE28" i="10"/>
  <c r="BC44" i="13"/>
  <c r="BC44" i="14"/>
  <c r="CG28" i="10"/>
  <c r="BE44" i="13"/>
  <c r="BE44" i="14"/>
  <c r="CI28" i="10"/>
  <c r="BG44" i="13"/>
  <c r="BG44" i="14"/>
  <c r="CK28" i="10"/>
  <c r="BI44" i="13"/>
  <c r="BI44" i="14"/>
  <c r="CM28" i="10"/>
  <c r="BK44" i="13"/>
  <c r="BU44" i="13" s="1"/>
  <c r="BK44" i="14"/>
  <c r="BU44" i="14" s="1"/>
  <c r="E43" i="14"/>
  <c r="E43" i="13"/>
  <c r="G43" i="14"/>
  <c r="G43" i="13"/>
  <c r="I43" i="14"/>
  <c r="I43" i="13"/>
  <c r="K43" i="14"/>
  <c r="K43" i="13"/>
  <c r="M43" i="14"/>
  <c r="BP43" i="14" s="1"/>
  <c r="M43" i="13"/>
  <c r="BP43" i="13" s="1"/>
  <c r="O43" i="14"/>
  <c r="O43" i="13"/>
  <c r="Q43" i="14"/>
  <c r="Q43" i="13"/>
  <c r="S43" i="14"/>
  <c r="S43" i="13"/>
  <c r="U43" i="14"/>
  <c r="U43" i="13"/>
  <c r="W43" i="14"/>
  <c r="BQ43" i="14" s="1"/>
  <c r="W43" i="13"/>
  <c r="BQ43" i="13" s="1"/>
  <c r="Y43" i="14"/>
  <c r="Y43" i="13"/>
  <c r="AA43" i="14"/>
  <c r="AA43" i="13"/>
  <c r="AC43" i="14"/>
  <c r="AC43" i="13"/>
  <c r="AE43" i="14"/>
  <c r="AE43" i="13"/>
  <c r="AG43" i="14"/>
  <c r="BR43" i="14" s="1"/>
  <c r="AG43" i="13"/>
  <c r="BR43" i="13" s="1"/>
  <c r="AI43" i="14"/>
  <c r="AI43" i="13"/>
  <c r="AK43" i="14"/>
  <c r="AK43" i="13"/>
  <c r="AM43" i="14"/>
  <c r="AM43" i="13"/>
  <c r="AO43" i="14"/>
  <c r="AO43" i="13"/>
  <c r="AQ43" i="14"/>
  <c r="BS43" i="14" s="1"/>
  <c r="AQ43" i="13"/>
  <c r="BS43" i="13" s="1"/>
  <c r="AS43" i="14"/>
  <c r="AS43" i="13"/>
  <c r="AU43" i="14"/>
  <c r="AU43" i="13"/>
  <c r="AW43" i="14"/>
  <c r="AW43" i="13"/>
  <c r="AY43" i="14"/>
  <c r="AY43" i="13"/>
  <c r="BA43" i="14"/>
  <c r="BT43" i="14" s="1"/>
  <c r="BA43" i="13"/>
  <c r="BT43" i="13" s="1"/>
  <c r="BC43" i="14"/>
  <c r="BC43" i="13"/>
  <c r="BE43" i="14"/>
  <c r="BE43" i="13"/>
  <c r="BG43" i="14"/>
  <c r="BG43" i="13"/>
  <c r="BI43" i="14"/>
  <c r="BI43" i="13"/>
  <c r="BK43" i="14"/>
  <c r="BU43" i="14" s="1"/>
  <c r="BK43" i="13"/>
  <c r="BU43" i="13" s="1"/>
  <c r="E45" i="14"/>
  <c r="E45" i="13"/>
  <c r="G45" i="14"/>
  <c r="G45" i="13"/>
  <c r="I45" i="14"/>
  <c r="I45" i="13"/>
  <c r="K45" i="14"/>
  <c r="K45" i="13"/>
  <c r="M45" i="14"/>
  <c r="BP45" i="14" s="1"/>
  <c r="M45" i="13"/>
  <c r="BP45" i="13" s="1"/>
  <c r="O45" i="14"/>
  <c r="O45" i="13"/>
  <c r="Q45" i="14"/>
  <c r="Q45" i="13"/>
  <c r="S45" i="14"/>
  <c r="S45" i="13"/>
  <c r="U45" i="14"/>
  <c r="U45" i="13"/>
  <c r="W45" i="14"/>
  <c r="BQ45" i="14" s="1"/>
  <c r="W45" i="13"/>
  <c r="BQ45" i="13" s="1"/>
  <c r="Y45" i="14"/>
  <c r="Y45" i="13"/>
  <c r="AA45" i="14"/>
  <c r="AA45" i="13"/>
  <c r="AC45" i="14"/>
  <c r="AC45" i="13"/>
  <c r="AE45" i="14"/>
  <c r="AE45" i="13"/>
  <c r="AG45" i="14"/>
  <c r="BR45" i="14" s="1"/>
  <c r="AG45" i="13"/>
  <c r="BR45" i="13" s="1"/>
  <c r="AI45" i="14"/>
  <c r="AI45" i="13"/>
  <c r="AK45" i="14"/>
  <c r="AK45" i="13"/>
  <c r="AM45" i="14"/>
  <c r="AM45" i="13"/>
  <c r="AO45" i="14"/>
  <c r="AO45" i="13"/>
  <c r="AQ45" i="14"/>
  <c r="BS45" i="14" s="1"/>
  <c r="AQ45" i="13"/>
  <c r="BS45" i="13" s="1"/>
  <c r="AS45" i="14"/>
  <c r="AS45" i="13"/>
  <c r="AU45" i="14"/>
  <c r="AU45" i="13"/>
  <c r="AW45" i="14"/>
  <c r="AW45" i="13"/>
  <c r="AY45" i="14"/>
  <c r="AY45" i="13"/>
  <c r="BA45" i="14"/>
  <c r="BT45" i="14" s="1"/>
  <c r="BA45" i="13"/>
  <c r="BT45" i="13" s="1"/>
  <c r="BC45" i="14"/>
  <c r="BC45" i="13"/>
  <c r="BE45" i="14"/>
  <c r="BE45" i="13"/>
  <c r="BG45" i="14"/>
  <c r="BG45" i="13"/>
  <c r="BI45" i="14"/>
  <c r="BI45" i="13"/>
  <c r="BK45" i="14"/>
  <c r="BU45" i="14" s="1"/>
  <c r="BK45" i="13"/>
  <c r="BU45" i="13" s="1"/>
  <c r="B54" i="5"/>
  <c r="D52" i="5"/>
  <c r="F52" i="5"/>
  <c r="H52" i="5"/>
  <c r="J52" i="5"/>
  <c r="L52" i="5"/>
  <c r="N52" i="5"/>
  <c r="P52" i="5"/>
  <c r="R52" i="5"/>
  <c r="T52" i="5"/>
  <c r="V52" i="5"/>
  <c r="X52" i="5"/>
  <c r="Z52" i="5"/>
  <c r="AB52" i="5"/>
  <c r="AD52" i="5"/>
  <c r="C54" i="5"/>
  <c r="G54" i="5"/>
  <c r="I54" i="5"/>
  <c r="K54" i="5"/>
  <c r="M54" i="5"/>
  <c r="O54" i="5"/>
  <c r="S54" i="5"/>
  <c r="W54" i="5"/>
  <c r="Y54" i="5"/>
  <c r="AA54" i="5"/>
  <c r="AC54" i="5"/>
  <c r="AE54" i="5"/>
  <c r="C52" i="6"/>
  <c r="G52" i="6"/>
  <c r="I52" i="6"/>
  <c r="K52" i="6"/>
  <c r="M52" i="6"/>
  <c r="O52" i="6"/>
  <c r="Q52" i="6"/>
  <c r="S52" i="6"/>
  <c r="U52" i="6"/>
  <c r="W52" i="6"/>
  <c r="Y52" i="6"/>
  <c r="AA52" i="6"/>
  <c r="AC52" i="6"/>
  <c r="AE52" i="6"/>
  <c r="AF27" i="10"/>
  <c r="D42" i="14"/>
  <c r="BO42" i="14" s="1"/>
  <c r="D42" i="13"/>
  <c r="BO42" i="13" s="1"/>
  <c r="AH27" i="10"/>
  <c r="F42" i="14"/>
  <c r="F42" i="13"/>
  <c r="AJ27" i="10"/>
  <c r="H42" i="14"/>
  <c r="H42" i="13"/>
  <c r="AL27" i="10"/>
  <c r="J42" i="14"/>
  <c r="J42" i="13"/>
  <c r="AN27" i="10"/>
  <c r="L42" i="14"/>
  <c r="L42" i="13"/>
  <c r="AP27" i="10"/>
  <c r="N42" i="14"/>
  <c r="N42" i="13"/>
  <c r="AR27" i="10"/>
  <c r="P42" i="14"/>
  <c r="P42" i="13"/>
  <c r="AT27" i="10"/>
  <c r="R42" i="14"/>
  <c r="R42" i="13"/>
  <c r="AV27" i="10"/>
  <c r="T42" i="14"/>
  <c r="T42" i="13"/>
  <c r="AX27" i="10"/>
  <c r="V42" i="14"/>
  <c r="V42" i="13"/>
  <c r="AZ27" i="10"/>
  <c r="X42" i="14"/>
  <c r="X42" i="13"/>
  <c r="BB27" i="10"/>
  <c r="Z42" i="14"/>
  <c r="Z42" i="13"/>
  <c r="BD27" i="10"/>
  <c r="AB42" i="14"/>
  <c r="AB42" i="13"/>
  <c r="BF27" i="10"/>
  <c r="AD42" i="14"/>
  <c r="AD42" i="13"/>
  <c r="BH27" i="10"/>
  <c r="AF42" i="14"/>
  <c r="AF42" i="13"/>
  <c r="BJ27" i="10"/>
  <c r="AH42" i="14"/>
  <c r="AH42" i="13"/>
  <c r="BL27" i="10"/>
  <c r="AJ42" i="14"/>
  <c r="AJ42" i="13"/>
  <c r="BN27" i="10"/>
  <c r="AL42" i="14"/>
  <c r="AL42" i="13"/>
  <c r="BP27" i="10"/>
  <c r="AN42" i="14"/>
  <c r="AN42" i="13"/>
  <c r="BR27" i="10"/>
  <c r="AP42" i="14"/>
  <c r="AP42" i="13"/>
  <c r="BT27" i="10"/>
  <c r="AR42" i="14"/>
  <c r="AR42" i="13"/>
  <c r="BV27" i="10"/>
  <c r="AT42" i="14"/>
  <c r="AT42" i="13"/>
  <c r="BX27" i="10"/>
  <c r="AV42" i="14"/>
  <c r="AV42" i="13"/>
  <c r="BZ27" i="10"/>
  <c r="AX42" i="14"/>
  <c r="AX42" i="13"/>
  <c r="CB27" i="10"/>
  <c r="AZ42" i="14"/>
  <c r="AZ42" i="13"/>
  <c r="CD27" i="10"/>
  <c r="BB42" i="14"/>
  <c r="BB42" i="13"/>
  <c r="CF27" i="10"/>
  <c r="BD42" i="14"/>
  <c r="BD42" i="13"/>
  <c r="CH27" i="10"/>
  <c r="BF42" i="14"/>
  <c r="BF42" i="13"/>
  <c r="CJ27" i="10"/>
  <c r="BH42" i="14"/>
  <c r="BH42" i="13"/>
  <c r="CL27" i="10"/>
  <c r="BJ42" i="14"/>
  <c r="BJ42" i="13"/>
  <c r="AF28" i="10"/>
  <c r="D44" i="14"/>
  <c r="BO44" i="14" s="1"/>
  <c r="D44" i="13"/>
  <c r="BO44" i="13" s="1"/>
  <c r="AH28" i="10"/>
  <c r="F44" i="14"/>
  <c r="F44" i="13"/>
  <c r="AJ28" i="10"/>
  <c r="H44" i="14"/>
  <c r="H44" i="13"/>
  <c r="AL28" i="10"/>
  <c r="J44" i="14"/>
  <c r="J44" i="13"/>
  <c r="AN28" i="10"/>
  <c r="L44" i="14"/>
  <c r="L44" i="13"/>
  <c r="AP28" i="10"/>
  <c r="N44" i="14"/>
  <c r="N44" i="13"/>
  <c r="AR28" i="10"/>
  <c r="P44" i="14"/>
  <c r="P44" i="13"/>
  <c r="AT28" i="10"/>
  <c r="R44" i="14"/>
  <c r="R44" i="13"/>
  <c r="AV28" i="10"/>
  <c r="T44" i="14"/>
  <c r="T44" i="13"/>
  <c r="AX28" i="10"/>
  <c r="V44" i="14"/>
  <c r="V44" i="13"/>
  <c r="AZ28" i="10"/>
  <c r="X44" i="14"/>
  <c r="X44" i="13"/>
  <c r="BB28" i="10"/>
  <c r="Z44" i="14"/>
  <c r="Z44" i="13"/>
  <c r="BD28" i="10"/>
  <c r="AB44" i="14"/>
  <c r="AB44" i="13"/>
  <c r="BF28" i="10"/>
  <c r="AD44" i="14"/>
  <c r="AD44" i="13"/>
  <c r="BH28" i="10"/>
  <c r="AF44" i="14"/>
  <c r="AF44" i="13"/>
  <c r="BJ28" i="10"/>
  <c r="AH44" i="14"/>
  <c r="AH44" i="13"/>
  <c r="BL28" i="10"/>
  <c r="AJ44" i="14"/>
  <c r="AJ44" i="13"/>
  <c r="BN28" i="10"/>
  <c r="AL44" i="14"/>
  <c r="AL44" i="13"/>
  <c r="BP28" i="10"/>
  <c r="AN44" i="14"/>
  <c r="AN44" i="13"/>
  <c r="BR28" i="10"/>
  <c r="AP44" i="14"/>
  <c r="AP44" i="13"/>
  <c r="BT28" i="10"/>
  <c r="AR44" i="14"/>
  <c r="AR44" i="13"/>
  <c r="BV28" i="10"/>
  <c r="AT44" i="14"/>
  <c r="AT44" i="13"/>
  <c r="BX28" i="10"/>
  <c r="AV44" i="14"/>
  <c r="AV44" i="13"/>
  <c r="BZ28" i="10"/>
  <c r="AX44" i="14"/>
  <c r="AX44" i="13"/>
  <c r="CB28" i="10"/>
  <c r="AZ44" i="14"/>
  <c r="AZ44" i="13"/>
  <c r="CD28" i="10"/>
  <c r="BB44" i="14"/>
  <c r="BB44" i="13"/>
  <c r="CF28" i="10"/>
  <c r="BD44" i="14"/>
  <c r="BD44" i="13"/>
  <c r="CH28" i="10"/>
  <c r="BF44" i="14"/>
  <c r="BF44" i="13"/>
  <c r="CJ28" i="10"/>
  <c r="BH44" i="14"/>
  <c r="BH44" i="13"/>
  <c r="CL28" i="10"/>
  <c r="BJ44" i="14"/>
  <c r="BJ44" i="13"/>
  <c r="D43" i="14"/>
  <c r="BO43" i="14" s="1"/>
  <c r="D43" i="13"/>
  <c r="BO43" i="13" s="1"/>
  <c r="F43" i="14"/>
  <c r="F43" i="13"/>
  <c r="H43" i="14"/>
  <c r="H43" i="13"/>
  <c r="J43" i="14"/>
  <c r="J43" i="13"/>
  <c r="L43" i="14"/>
  <c r="L43" i="13"/>
  <c r="N43" i="14"/>
  <c r="N43" i="13"/>
  <c r="P43" i="14"/>
  <c r="P43" i="13"/>
  <c r="R43" i="14"/>
  <c r="R43" i="13"/>
  <c r="T43" i="14"/>
  <c r="T43" i="13"/>
  <c r="V43" i="14"/>
  <c r="V43" i="13"/>
  <c r="X43" i="14"/>
  <c r="X43" i="13"/>
  <c r="Z43" i="14"/>
  <c r="Z43" i="13"/>
  <c r="AB43" i="14"/>
  <c r="AB43" i="13"/>
  <c r="AD43" i="14"/>
  <c r="AD43" i="13"/>
  <c r="AF43" i="14"/>
  <c r="AF43" i="13"/>
  <c r="AH43" i="14"/>
  <c r="AH43" i="13"/>
  <c r="AJ43" i="14"/>
  <c r="AJ43" i="13"/>
  <c r="AL43" i="14"/>
  <c r="AL43" i="13"/>
  <c r="AN43" i="14"/>
  <c r="AN43" i="13"/>
  <c r="AP43" i="14"/>
  <c r="AP43" i="13"/>
  <c r="AR43" i="14"/>
  <c r="AR43" i="13"/>
  <c r="AT43" i="14"/>
  <c r="AT43" i="13"/>
  <c r="AV43" i="14"/>
  <c r="AV43" i="13"/>
  <c r="AX43" i="14"/>
  <c r="AX43" i="13"/>
  <c r="AZ43" i="14"/>
  <c r="AZ43" i="13"/>
  <c r="BB43" i="14"/>
  <c r="BB43" i="13"/>
  <c r="BD43" i="14"/>
  <c r="BD43" i="13"/>
  <c r="BF43" i="14"/>
  <c r="BF43" i="13"/>
  <c r="BH43" i="14"/>
  <c r="BH43" i="13"/>
  <c r="BJ43" i="14"/>
  <c r="BJ43" i="13"/>
  <c r="D45" i="14"/>
  <c r="BO45" i="14" s="1"/>
  <c r="D45" i="13"/>
  <c r="BO45" i="13" s="1"/>
  <c r="F45" i="14"/>
  <c r="F45" i="13"/>
  <c r="H45" i="14"/>
  <c r="H45" i="13"/>
  <c r="J45" i="14"/>
  <c r="J45" i="13"/>
  <c r="L45" i="14"/>
  <c r="L45" i="13"/>
  <c r="N45" i="14"/>
  <c r="N45" i="13"/>
  <c r="P45" i="14"/>
  <c r="P45" i="13"/>
  <c r="R45" i="14"/>
  <c r="R45" i="13"/>
  <c r="T45" i="14"/>
  <c r="T45" i="13"/>
  <c r="V45" i="14"/>
  <c r="V45" i="13"/>
  <c r="X45" i="14"/>
  <c r="X45" i="13"/>
  <c r="Z45" i="14"/>
  <c r="Z45" i="13"/>
  <c r="AB45" i="14"/>
  <c r="AB45" i="13"/>
  <c r="AD45" i="14"/>
  <c r="AD45" i="13"/>
  <c r="AF45" i="14"/>
  <c r="AF45" i="13"/>
  <c r="AH45" i="14"/>
  <c r="AH45" i="13"/>
  <c r="AJ45" i="14"/>
  <c r="AJ45" i="13"/>
  <c r="AL45" i="14"/>
  <c r="AL45" i="13"/>
  <c r="AN45" i="14"/>
  <c r="AN45" i="13"/>
  <c r="AP45" i="14"/>
  <c r="AP45" i="13"/>
  <c r="AR45" i="14"/>
  <c r="AR45" i="13"/>
  <c r="AT45" i="14"/>
  <c r="AT45" i="13"/>
  <c r="AV45" i="14"/>
  <c r="AV45" i="13"/>
  <c r="AX45" i="14"/>
  <c r="AX45" i="13"/>
  <c r="AZ45" i="14"/>
  <c r="AZ45" i="13"/>
  <c r="BB45" i="14"/>
  <c r="BB45" i="13"/>
  <c r="BD45" i="14"/>
  <c r="BD45" i="13"/>
  <c r="BF45" i="14"/>
  <c r="BF45" i="13"/>
  <c r="BH45" i="14"/>
  <c r="BH45" i="13"/>
  <c r="BJ45" i="14"/>
  <c r="BJ45" i="13"/>
  <c r="B52" i="5"/>
  <c r="F54" i="5"/>
  <c r="H54" i="5"/>
  <c r="J54" i="5"/>
  <c r="N54" i="5"/>
  <c r="P54" i="5"/>
  <c r="R54" i="5"/>
  <c r="V54" i="5"/>
  <c r="X54" i="5"/>
  <c r="Z54" i="5"/>
  <c r="AD54" i="5"/>
  <c r="J29" i="3"/>
  <c r="D3" i="8" s="1"/>
  <c r="D4" i="8" s="1"/>
  <c r="K29" i="3"/>
  <c r="E3" i="8" s="1"/>
  <c r="E4" i="8" s="1"/>
  <c r="L29" i="3"/>
  <c r="F3" i="8" s="1"/>
  <c r="F4" i="8" s="1"/>
  <c r="I29" i="3"/>
  <c r="C3" i="8" s="1"/>
  <c r="C4" i="8" s="1"/>
  <c r="E52" i="6" l="1"/>
  <c r="AB54" i="5"/>
  <c r="T54" i="5"/>
  <c r="L54" i="5"/>
  <c r="D54" i="5"/>
  <c r="Q54" i="5"/>
  <c r="AB555" i="1"/>
  <c r="T555" i="1"/>
  <c r="L555" i="1"/>
  <c r="D555" i="1"/>
  <c r="Q555" i="1"/>
  <c r="U54" i="5"/>
  <c r="E54" i="5"/>
  <c r="U555" i="1"/>
  <c r="E555" i="1"/>
  <c r="CB15" i="12"/>
  <c r="BV45" i="9"/>
  <c r="BW17" i="9"/>
  <c r="BW2" i="9"/>
  <c r="BW13" i="9"/>
  <c r="BW6" i="9"/>
  <c r="BW17" i="12"/>
  <c r="BW13" i="12"/>
  <c r="BV23" i="12"/>
  <c r="BW6" i="12"/>
  <c r="BY12" i="12"/>
  <c r="BW2" i="12"/>
  <c r="BW12" i="12" s="1"/>
  <c r="BV12" i="12"/>
  <c r="CB2" i="12"/>
  <c r="BV45" i="14"/>
  <c r="CA23" i="12"/>
  <c r="BV45" i="13"/>
  <c r="BV45" i="12"/>
  <c r="BY23" i="12"/>
  <c r="CA12" i="12"/>
  <c r="BY23" i="9"/>
  <c r="BY12" i="9"/>
  <c r="BZ12" i="9" s="1"/>
  <c r="CL54" i="4"/>
  <c r="CH54" i="4"/>
  <c r="CD54" i="4"/>
  <c r="BZ54" i="4"/>
  <c r="BV54" i="4"/>
  <c r="BR54" i="4"/>
  <c r="BN54" i="4"/>
  <c r="BJ54" i="4"/>
  <c r="BF54" i="4"/>
  <c r="BB54" i="4"/>
  <c r="AX54" i="4"/>
  <c r="AT54" i="4"/>
  <c r="AP54" i="4"/>
  <c r="AL54" i="4"/>
  <c r="AH54" i="4"/>
  <c r="CL52" i="4"/>
  <c r="CH52" i="4"/>
  <c r="CD52" i="4"/>
  <c r="BZ52" i="4"/>
  <c r="BV52" i="4"/>
  <c r="BR52" i="4"/>
  <c r="BN52" i="4"/>
  <c r="BJ52" i="4"/>
  <c r="BF52" i="4"/>
  <c r="BB52" i="4"/>
  <c r="AX52" i="4"/>
  <c r="AT52" i="4"/>
  <c r="AP52" i="4"/>
  <c r="AL52" i="4"/>
  <c r="AH52" i="4"/>
  <c r="CK54" i="4"/>
  <c r="CG54" i="4"/>
  <c r="CC54" i="4"/>
  <c r="BY54" i="4"/>
  <c r="BU54" i="4"/>
  <c r="BQ54" i="4"/>
  <c r="BM54" i="4"/>
  <c r="BI54" i="4"/>
  <c r="BE54" i="4"/>
  <c r="BA54" i="4"/>
  <c r="AW54" i="4"/>
  <c r="AS54" i="4"/>
  <c r="AO54" i="4"/>
  <c r="AK54" i="4"/>
  <c r="AG54" i="4"/>
  <c r="CK52" i="4"/>
  <c r="CG52" i="4"/>
  <c r="CC52" i="4"/>
  <c r="BY52" i="4"/>
  <c r="BU52" i="4"/>
  <c r="BQ52" i="4"/>
  <c r="BM52" i="4"/>
  <c r="BI52" i="4"/>
  <c r="BE52" i="4"/>
  <c r="BA52" i="4"/>
  <c r="AW52" i="4"/>
  <c r="AS52" i="4"/>
  <c r="AO52" i="4"/>
  <c r="AK52" i="4"/>
  <c r="AG52" i="4"/>
  <c r="CJ54" i="4"/>
  <c r="CF54" i="4"/>
  <c r="CB54" i="4"/>
  <c r="BX54" i="4"/>
  <c r="BT54" i="4"/>
  <c r="BP54" i="4"/>
  <c r="BL54" i="4"/>
  <c r="BH54" i="4"/>
  <c r="BD54" i="4"/>
  <c r="AZ54" i="4"/>
  <c r="AV54" i="4"/>
  <c r="AR54" i="4"/>
  <c r="AN54" i="4"/>
  <c r="AJ54" i="4"/>
  <c r="AF54" i="4"/>
  <c r="CJ52" i="4"/>
  <c r="CF52" i="4"/>
  <c r="CB52" i="4"/>
  <c r="BX52" i="4"/>
  <c r="BT52" i="4"/>
  <c r="BP52" i="4"/>
  <c r="BL52" i="4"/>
  <c r="BH52" i="4"/>
  <c r="BD52" i="4"/>
  <c r="AZ52" i="4"/>
  <c r="AV52" i="4"/>
  <c r="AR52" i="4"/>
  <c r="AN52" i="4"/>
  <c r="AJ52" i="4"/>
  <c r="AF52" i="4"/>
  <c r="CM54" i="4"/>
  <c r="CI54" i="4"/>
  <c r="CE54" i="4"/>
  <c r="CA54" i="4"/>
  <c r="BW54" i="4"/>
  <c r="BS54" i="4"/>
  <c r="BO54" i="4"/>
  <c r="BK54" i="4"/>
  <c r="BG54" i="4"/>
  <c r="BC54" i="4"/>
  <c r="AY54" i="4"/>
  <c r="AU54" i="4"/>
  <c r="AQ54" i="4"/>
  <c r="AM54" i="4"/>
  <c r="AI54" i="4"/>
  <c r="CM52" i="4"/>
  <c r="CI52" i="4"/>
  <c r="CE52" i="4"/>
  <c r="CA52" i="4"/>
  <c r="BW52" i="4"/>
  <c r="BS52" i="4"/>
  <c r="BO52" i="4"/>
  <c r="BK52" i="4"/>
  <c r="BG52" i="4"/>
  <c r="BC52" i="4"/>
  <c r="AY52" i="4"/>
  <c r="AU52" i="4"/>
  <c r="AQ52" i="4"/>
  <c r="AM52" i="4"/>
  <c r="AI52" i="4"/>
  <c r="CL54" i="6"/>
  <c r="CL54" i="5"/>
  <c r="CH54" i="6"/>
  <c r="CH54" i="5"/>
  <c r="CD54" i="6"/>
  <c r="CD54" i="5"/>
  <c r="BZ54" i="6"/>
  <c r="BZ54" i="5"/>
  <c r="BV54" i="6"/>
  <c r="BV54" i="5"/>
  <c r="BR54" i="6"/>
  <c r="BR54" i="5"/>
  <c r="BN54" i="6"/>
  <c r="BN54" i="5"/>
  <c r="BJ54" i="6"/>
  <c r="BJ54" i="5"/>
  <c r="BF54" i="6"/>
  <c r="BF54" i="5"/>
  <c r="BB54" i="6"/>
  <c r="BB54" i="5"/>
  <c r="AX54" i="6"/>
  <c r="AX54" i="5"/>
  <c r="AT54" i="6"/>
  <c r="AT54" i="5"/>
  <c r="AP54" i="6"/>
  <c r="AP54" i="5"/>
  <c r="AL54" i="6"/>
  <c r="AL54" i="5"/>
  <c r="AH54" i="6"/>
  <c r="AH54" i="5"/>
  <c r="CL52" i="6"/>
  <c r="CL52" i="5"/>
  <c r="CH52" i="6"/>
  <c r="CH52" i="5"/>
  <c r="CD52" i="6"/>
  <c r="CD52" i="5"/>
  <c r="BZ52" i="6"/>
  <c r="BZ52" i="5"/>
  <c r="BV52" i="6"/>
  <c r="BV52" i="5"/>
  <c r="BR52" i="6"/>
  <c r="BR52" i="5"/>
  <c r="BN52" i="6"/>
  <c r="BN52" i="5"/>
  <c r="BJ52" i="6"/>
  <c r="BJ52" i="5"/>
  <c r="BF52" i="6"/>
  <c r="BF52" i="5"/>
  <c r="BB52" i="6"/>
  <c r="BB52" i="5"/>
  <c r="AX52" i="6"/>
  <c r="AX52" i="5"/>
  <c r="AT52" i="6"/>
  <c r="AT52" i="5"/>
  <c r="AP52" i="6"/>
  <c r="AP52" i="5"/>
  <c r="AL52" i="6"/>
  <c r="AL52" i="5"/>
  <c r="AH52" i="6"/>
  <c r="AH52" i="5"/>
  <c r="CK54" i="6"/>
  <c r="CK54" i="5"/>
  <c r="CG54" i="6"/>
  <c r="CG54" i="5"/>
  <c r="CC54" i="6"/>
  <c r="CC54" i="5"/>
  <c r="BY54" i="6"/>
  <c r="BY54" i="5"/>
  <c r="BU54" i="6"/>
  <c r="BU54" i="5"/>
  <c r="BQ54" i="6"/>
  <c r="BQ54" i="5"/>
  <c r="BM54" i="6"/>
  <c r="BM54" i="5"/>
  <c r="BI54" i="6"/>
  <c r="BI54" i="5"/>
  <c r="BE54" i="6"/>
  <c r="BE54" i="5"/>
  <c r="BA54" i="6"/>
  <c r="BA54" i="5"/>
  <c r="AW54" i="6"/>
  <c r="AW54" i="5"/>
  <c r="AS54" i="6"/>
  <c r="AS54" i="5"/>
  <c r="AO54" i="6"/>
  <c r="AO54" i="5"/>
  <c r="AK54" i="6"/>
  <c r="AK54" i="5"/>
  <c r="AG54" i="6"/>
  <c r="AG54" i="5"/>
  <c r="CK52" i="5"/>
  <c r="CK52" i="6"/>
  <c r="CG52" i="5"/>
  <c r="CG52" i="6"/>
  <c r="CC52" i="5"/>
  <c r="CC52" i="6"/>
  <c r="BY52" i="5"/>
  <c r="BY52" i="6"/>
  <c r="BU52" i="5"/>
  <c r="BU52" i="6"/>
  <c r="BQ52" i="5"/>
  <c r="BQ52" i="6"/>
  <c r="BM52" i="5"/>
  <c r="BM52" i="6"/>
  <c r="BI52" i="5"/>
  <c r="BI52" i="6"/>
  <c r="BE52" i="5"/>
  <c r="BE52" i="6"/>
  <c r="BA52" i="5"/>
  <c r="BA52" i="6"/>
  <c r="AW52" i="5"/>
  <c r="AW52" i="6"/>
  <c r="AS52" i="5"/>
  <c r="AS52" i="6"/>
  <c r="AO52" i="5"/>
  <c r="AO52" i="6"/>
  <c r="AK52" i="5"/>
  <c r="AK52" i="6"/>
  <c r="AG52" i="5"/>
  <c r="AG52" i="6"/>
  <c r="CJ54" i="6"/>
  <c r="CJ54" i="5"/>
  <c r="CF54" i="6"/>
  <c r="CF54" i="5"/>
  <c r="CB54" i="6"/>
  <c r="CB54" i="5"/>
  <c r="BX54" i="6"/>
  <c r="BX54" i="5"/>
  <c r="BT54" i="6"/>
  <c r="BT54" i="5"/>
  <c r="BP54" i="6"/>
  <c r="BP54" i="5"/>
  <c r="BL54" i="6"/>
  <c r="BL54" i="5"/>
  <c r="BH54" i="6"/>
  <c r="BH54" i="5"/>
  <c r="BD54" i="6"/>
  <c r="BD54" i="5"/>
  <c r="AZ54" i="6"/>
  <c r="AZ54" i="5"/>
  <c r="AV54" i="6"/>
  <c r="AV54" i="5"/>
  <c r="AR54" i="6"/>
  <c r="AR54" i="5"/>
  <c r="AN54" i="6"/>
  <c r="AN54" i="5"/>
  <c r="AJ54" i="6"/>
  <c r="AJ54" i="5"/>
  <c r="AF54" i="6"/>
  <c r="AF54" i="5"/>
  <c r="CJ52" i="6"/>
  <c r="CJ52" i="5"/>
  <c r="CF52" i="6"/>
  <c r="CF52" i="5"/>
  <c r="CB52" i="6"/>
  <c r="CB52" i="5"/>
  <c r="BX52" i="6"/>
  <c r="BX52" i="5"/>
  <c r="BT52" i="6"/>
  <c r="BT52" i="5"/>
  <c r="BP52" i="6"/>
  <c r="BP52" i="5"/>
  <c r="BL52" i="6"/>
  <c r="BL52" i="5"/>
  <c r="BH52" i="6"/>
  <c r="BH52" i="5"/>
  <c r="BD52" i="6"/>
  <c r="BD52" i="5"/>
  <c r="AZ52" i="6"/>
  <c r="AZ52" i="5"/>
  <c r="AV52" i="6"/>
  <c r="AV52" i="5"/>
  <c r="AR52" i="6"/>
  <c r="AR52" i="5"/>
  <c r="AN52" i="6"/>
  <c r="AN52" i="5"/>
  <c r="AJ52" i="6"/>
  <c r="AJ52" i="5"/>
  <c r="AF52" i="6"/>
  <c r="AF52" i="5"/>
  <c r="CM54" i="6"/>
  <c r="CM54" i="5"/>
  <c r="CI54" i="6"/>
  <c r="CI54" i="5"/>
  <c r="CE54" i="6"/>
  <c r="CE54" i="5"/>
  <c r="CA54" i="6"/>
  <c r="CA54" i="5"/>
  <c r="BW54" i="6"/>
  <c r="BW54" i="5"/>
  <c r="BS54" i="6"/>
  <c r="BS54" i="5"/>
  <c r="BO54" i="6"/>
  <c r="BO54" i="5"/>
  <c r="BK54" i="6"/>
  <c r="BK54" i="5"/>
  <c r="BG54" i="6"/>
  <c r="BG54" i="5"/>
  <c r="BC54" i="6"/>
  <c r="BC54" i="5"/>
  <c r="AY54" i="6"/>
  <c r="AY54" i="5"/>
  <c r="AU54" i="6"/>
  <c r="AU54" i="5"/>
  <c r="AQ54" i="6"/>
  <c r="AQ54" i="5"/>
  <c r="AM54" i="6"/>
  <c r="AM54" i="5"/>
  <c r="AI54" i="6"/>
  <c r="AI54" i="5"/>
  <c r="CM52" i="5"/>
  <c r="CM52" i="6"/>
  <c r="CI52" i="5"/>
  <c r="CI52" i="6"/>
  <c r="CE52" i="5"/>
  <c r="CE52" i="6"/>
  <c r="CA52" i="5"/>
  <c r="CA52" i="6"/>
  <c r="BW52" i="5"/>
  <c r="BW52" i="6"/>
  <c r="BS52" i="5"/>
  <c r="BS52" i="6"/>
  <c r="BO52" i="5"/>
  <c r="BO52" i="6"/>
  <c r="BK52" i="5"/>
  <c r="BK52" i="6"/>
  <c r="BG52" i="5"/>
  <c r="BG52" i="6"/>
  <c r="BC52" i="5"/>
  <c r="BC52" i="6"/>
  <c r="AY52" i="5"/>
  <c r="AY52" i="6"/>
  <c r="AU52" i="5"/>
  <c r="AU52" i="6"/>
  <c r="AQ52" i="5"/>
  <c r="AQ52" i="6"/>
  <c r="AM52" i="5"/>
  <c r="AM52" i="6"/>
  <c r="AI52" i="5"/>
  <c r="AI52" i="6"/>
  <c r="BW23" i="12" l="1"/>
  <c r="BW22" i="12" s="1"/>
  <c r="BW11" i="12"/>
</calcChain>
</file>

<file path=xl/sharedStrings.xml><?xml version="1.0" encoding="utf-8"?>
<sst xmlns="http://schemas.openxmlformats.org/spreadsheetml/2006/main" count="1902" uniqueCount="398">
  <si>
    <t>ROW.per_capita_animal_product_demand_scenario</t>
  </si>
  <si>
    <t>…</t>
  </si>
  <si>
    <t>...</t>
  </si>
  <si>
    <t>ROW.per_capita_commodity_crop_demand_scenario</t>
  </si>
  <si>
    <t>ROW.Per_capita_VFN_demand_Scenario</t>
  </si>
  <si>
    <t>USA.per_capita_animal_product_demand_scenario</t>
  </si>
  <si>
    <t>USA.per_capita_commodity_crop_demand_scenario</t>
  </si>
  <si>
    <t>USA.Per_capita_VFN_demand_Scenario</t>
  </si>
  <si>
    <t>Run Configurations:</t>
  </si>
  <si>
    <t>Tab</t>
  </si>
  <si>
    <t>Input</t>
  </si>
  <si>
    <t>WAO Tables.xls</t>
  </si>
  <si>
    <t>Demand STELLA Base</t>
  </si>
  <si>
    <t>ROW.potential commodity crop yield</t>
  </si>
  <si>
    <t>ROW.Potential VFN yield</t>
  </si>
  <si>
    <t>ROW.potential fiber yield</t>
  </si>
  <si>
    <t>USA.potential commodity crop yield</t>
  </si>
  <si>
    <t>USA.potential fiber yield</t>
  </si>
  <si>
    <t>USA.Potential VFN yield</t>
  </si>
  <si>
    <t>WAO Scenario.csv</t>
  </si>
  <si>
    <t>WAO Scenario</t>
  </si>
  <si>
    <t>US.Crop Land Alloc to Cellulosic Energy Crop</t>
  </si>
  <si>
    <t>ROW.Crop Land Alloc to Cellulosic Energy Crop</t>
  </si>
  <si>
    <t>Run #</t>
  </si>
  <si>
    <t>Demand STELLA High</t>
  </si>
  <si>
    <t>25% by 2050.csv</t>
  </si>
  <si>
    <t>25% by 2050</t>
  </si>
  <si>
    <t>Yield STELLA</t>
  </si>
  <si>
    <t>Input Sheet</t>
  </si>
  <si>
    <t>Other Configurations</t>
  </si>
  <si>
    <t>From</t>
  </si>
  <si>
    <t xml:space="preserve">To </t>
  </si>
  <si>
    <t>Land Initializations</t>
  </si>
  <si>
    <t>USA.Crop Land Alloc to Cellulosic Energy Crop</t>
  </si>
  <si>
    <t>Region</t>
  </si>
  <si>
    <t>Crop</t>
  </si>
  <si>
    <t>Pasture</t>
  </si>
  <si>
    <t>CAN</t>
  </si>
  <si>
    <t>USA</t>
  </si>
  <si>
    <t>EU27</t>
  </si>
  <si>
    <t>BRAZIL</t>
  </si>
  <si>
    <t>JAPAN</t>
  </si>
  <si>
    <t>CHIHKG</t>
  </si>
  <si>
    <t>INDIA</t>
  </si>
  <si>
    <t>C_C_Amer</t>
  </si>
  <si>
    <t>S_o_Amer</t>
  </si>
  <si>
    <t>E_Asia</t>
  </si>
  <si>
    <t>Mala_Indo</t>
  </si>
  <si>
    <t>R_SE_Asia</t>
  </si>
  <si>
    <t>R_S_Asia</t>
  </si>
  <si>
    <t>Russia</t>
  </si>
  <si>
    <t>Oth_CEE_CIS</t>
  </si>
  <si>
    <t>R_Europe</t>
  </si>
  <si>
    <t>MEAS_NAfr</t>
  </si>
  <si>
    <t>S_S_AFR</t>
  </si>
  <si>
    <t>Oceania</t>
  </si>
  <si>
    <t>TOTAL ROW</t>
  </si>
  <si>
    <t>Available</t>
  </si>
  <si>
    <t>Abandoned</t>
  </si>
  <si>
    <t>(1992 values, consistent with 19 region initialization, input data from Jordan)</t>
  </si>
  <si>
    <t>Other notes:</t>
  </si>
  <si>
    <t>Meat crosswalk:  Used a blended cosswalk, that reflects a weighted average of Danny's 6 different crosswalks</t>
  </si>
  <si>
    <t>VFN yield factor:  Introduced a calibration factor for VFN to increase VFN yield relative to input data values.  Effect is to enable calibration of VFN land against input data</t>
  </si>
  <si>
    <t>Forage, pasture yield:  Instead of time series input (very noisy, very low values after "real" data ends), simply used initial potential crop land forage yield for base value</t>
  </si>
  <si>
    <t>potential pasture land yield factor:  set at 0.01 for both US and ROW.  Captures idea that pasture lands are less than forage yields</t>
  </si>
  <si>
    <t>forage demand kludgita:  set to value of 17 in US, 3 in ROW.  This may actually reflect problem with estimation of forage yield.</t>
  </si>
  <si>
    <t>commodity product kludgita:  set to value of 0.1 for cereal grain NEC, both in US and ROW.  Number applies to meat crosswalk values, used to enable calibration of cereal grain nec against harvested data</t>
  </si>
  <si>
    <t>calibration period:  1991-2005</t>
  </si>
  <si>
    <t>Cropland</t>
  </si>
  <si>
    <t>Forest and Grassland</t>
  </si>
  <si>
    <t>million ha</t>
  </si>
  <si>
    <t>ROW</t>
  </si>
  <si>
    <t>World</t>
  </si>
  <si>
    <t>Units</t>
  </si>
  <si>
    <t>ROW Oth</t>
  </si>
  <si>
    <t>ROW maize</t>
  </si>
  <si>
    <t>ROW wheat</t>
  </si>
  <si>
    <t>ROW Sugar</t>
  </si>
  <si>
    <t>ROW Cassava</t>
  </si>
  <si>
    <t>US maize</t>
  </si>
  <si>
    <t>US Cellulosic</t>
  </si>
  <si>
    <t>ROW Oth cer</t>
  </si>
  <si>
    <t>ROW sugar</t>
  </si>
  <si>
    <t>ROW cassava</t>
  </si>
  <si>
    <t>US Oil</t>
  </si>
  <si>
    <t>ROW oil</t>
  </si>
  <si>
    <t>Adjusted</t>
  </si>
  <si>
    <t>ROW Cellulosic</t>
  </si>
  <si>
    <t>US Cereal</t>
  </si>
  <si>
    <t>ROW Oth Cereal</t>
  </si>
  <si>
    <t>ROW Oil</t>
  </si>
  <si>
    <t>US.Crop Land Alloc to Cellulosic Energy crop</t>
  </si>
  <si>
    <t>Gg/capita/year</t>
  </si>
  <si>
    <t>Location</t>
  </si>
  <si>
    <t>Commodity Type</t>
  </si>
  <si>
    <t>pig like meat</t>
  </si>
  <si>
    <t>cow/sheep/goat like meat</t>
  </si>
  <si>
    <t>diary</t>
  </si>
  <si>
    <t>poultry like meat</t>
  </si>
  <si>
    <t>maize</t>
  </si>
  <si>
    <t>wheat</t>
  </si>
  <si>
    <t>rice</t>
  </si>
  <si>
    <t>oils (from crops)</t>
  </si>
  <si>
    <t>sugar</t>
  </si>
  <si>
    <t>vegetable, fruit, and nuts</t>
  </si>
  <si>
    <t>ethanol</t>
  </si>
  <si>
    <t>biodiesel/renewable diesel</t>
  </si>
  <si>
    <t>Gg/ha/year</t>
  </si>
  <si>
    <t>ha/year</t>
  </si>
  <si>
    <t>MJ/year</t>
  </si>
  <si>
    <t>million ha/year</t>
  </si>
  <si>
    <t>other cereals</t>
  </si>
  <si>
    <t>kg/capita/yr</t>
  </si>
  <si>
    <t>Mg/ha/year</t>
  </si>
  <si>
    <t>gal/yr</t>
  </si>
  <si>
    <t>MJ/L</t>
  </si>
  <si>
    <t>gasoline</t>
  </si>
  <si>
    <t>diesel</t>
  </si>
  <si>
    <t>L/gal</t>
  </si>
  <si>
    <t>MJ/gal</t>
  </si>
  <si>
    <t>EJ/yr</t>
  </si>
  <si>
    <t>ha</t>
  </si>
  <si>
    <t>Scenario</t>
  </si>
  <si>
    <t>High Yield</t>
  </si>
  <si>
    <t>Low Yield</t>
  </si>
  <si>
    <t>Base</t>
  </si>
  <si>
    <t>Yearly Yield Increase</t>
  </si>
  <si>
    <t>million people/year</t>
  </si>
  <si>
    <t>1.5% (High)</t>
  </si>
  <si>
    <t>1% (Base)</t>
  </si>
  <si>
    <t>0.5% (Low)</t>
  </si>
  <si>
    <t>biodiesel</t>
  </si>
  <si>
    <t>m liters/yr</t>
  </si>
  <si>
    <t>2050 Change</t>
  </si>
  <si>
    <t>2005 Estimate</t>
  </si>
  <si>
    <t>2005-2050 Change</t>
  </si>
  <si>
    <t>2050 BAU to Hich Change</t>
  </si>
  <si>
    <t>2050 Estimate</t>
  </si>
  <si>
    <t>200-360</t>
  </si>
  <si>
    <t>340-330</t>
  </si>
  <si>
    <t>USA.population_scenario</t>
  </si>
  <si>
    <t>EU27.population_scenario</t>
  </si>
  <si>
    <t>BRAZIL.population_scenario</t>
  </si>
  <si>
    <t>CAN.population_scenario</t>
  </si>
  <si>
    <t>JAPAN.population_scenario</t>
  </si>
  <si>
    <t>CHIHKG.population_scenario</t>
  </si>
  <si>
    <t>INDIA.population_scenario</t>
  </si>
  <si>
    <t>C_C_Amer.population_scenario</t>
  </si>
  <si>
    <t>S_o_Amer.population_scenario</t>
  </si>
  <si>
    <t>E_Asia.population_scenario</t>
  </si>
  <si>
    <t>Mala_Indo.population_scenario</t>
  </si>
  <si>
    <t>R_SE_Asia.population_scenario</t>
  </si>
  <si>
    <t>R_S_Asia.population_scenario</t>
  </si>
  <si>
    <t>Russia.population_scenario</t>
  </si>
  <si>
    <t>Oth_CEE_CIS.population_scenario</t>
  </si>
  <si>
    <t>R_Europe.population_scenario</t>
  </si>
  <si>
    <t>MEAS_NAfr.population_scenario</t>
  </si>
  <si>
    <t>S_S_Afr.population_scenario</t>
  </si>
  <si>
    <t>Oceania.population_scenario</t>
  </si>
  <si>
    <t>EU27.potential commodity crop yield</t>
  </si>
  <si>
    <t>EU27.potential fiber yield</t>
  </si>
  <si>
    <t>BRAZIL.potential commodity crop yield</t>
  </si>
  <si>
    <t>BRAZIL.potential fiber yield</t>
  </si>
  <si>
    <t>CAN.potential commodity crop yield</t>
  </si>
  <si>
    <t>CAN.potential fiber yield</t>
  </si>
  <si>
    <t>JAPAN.potential commodity crop yield</t>
  </si>
  <si>
    <t>JAPAN.potential fiber yield</t>
  </si>
  <si>
    <t>CHIHKG.potential commodity crop yield</t>
  </si>
  <si>
    <t>CHIHKG.potential fiber yield</t>
  </si>
  <si>
    <t>INDIA.potential commodity crop yield</t>
  </si>
  <si>
    <t>INDIA.potential fiber yield</t>
  </si>
  <si>
    <t>C_C_Amer.potential commodity crop yield</t>
  </si>
  <si>
    <t>C_C_Amer.potential fiber yield</t>
  </si>
  <si>
    <t>S_o_Amer.potential commodity crop yield</t>
  </si>
  <si>
    <t>S_o_Amer.potential fiber yield</t>
  </si>
  <si>
    <t>E_Asia.potential commodity crop yield</t>
  </si>
  <si>
    <t>E_Asia.potential fiber yield</t>
  </si>
  <si>
    <t>Mala_Indo.potential commodity crop yield</t>
  </si>
  <si>
    <t>Mala_Indo.potential fiber yield</t>
  </si>
  <si>
    <t>R_SE_Asia.potential commodity crop yield</t>
  </si>
  <si>
    <t>R_SE_Asia.potential fiber yield</t>
  </si>
  <si>
    <t>R_S_Asia.potential commodity crop yield</t>
  </si>
  <si>
    <t>R_S_Asia.potential fiber yield</t>
  </si>
  <si>
    <t>Russia.potential commodity crop yield</t>
  </si>
  <si>
    <t>Russia.potential fiber yield</t>
  </si>
  <si>
    <t>Oth_CEE_CIS.potential commodity crop yield</t>
  </si>
  <si>
    <t>Oth_CEE_CIS.potential fiber yield</t>
  </si>
  <si>
    <t>R_Europe.potential commodity crop yield</t>
  </si>
  <si>
    <t>R_Europe.potential fiber yield</t>
  </si>
  <si>
    <t>MEAS_NAfr.potential commodity crop yield</t>
  </si>
  <si>
    <t>MEAS_NAfr.potential fiber yield</t>
  </si>
  <si>
    <t>S_S_Afr.potential commodity crop yield</t>
  </si>
  <si>
    <t>S_S_Afr.potential fiber yield</t>
  </si>
  <si>
    <t>Oceania.potential commodity crop yield</t>
  </si>
  <si>
    <t>Oceania.potential fiber yield</t>
  </si>
  <si>
    <t>EU27.per_capita_animal_product_demand_scenario</t>
  </si>
  <si>
    <t>EU27.per_capita_commodity_crop_demand_scenario</t>
  </si>
  <si>
    <t>EU27.Per_capita_VFN_demand_Scenario</t>
  </si>
  <si>
    <t>BRAZIL.per_capita_animal_product_demand_scenario</t>
  </si>
  <si>
    <t>BRAZIL.per_capita_commodity_crop_demand_scenario</t>
  </si>
  <si>
    <t>BRAZIL.Per_capita_VFN_demand_Scenario</t>
  </si>
  <si>
    <t>CAN.per_capita_animal_product_demand_scenario</t>
  </si>
  <si>
    <t>CAN.per_capita_commodity_crop_demand_scenario</t>
  </si>
  <si>
    <t>CAN.Per_capita_VFN_demand_Scenario</t>
  </si>
  <si>
    <t>JAPAN.per_capita_animal_product_demand_scenario</t>
  </si>
  <si>
    <t>JAPAN.per_capita_commodity_crop_demand_scenario</t>
  </si>
  <si>
    <t>JAPAN.Per_capita_VFN_demand_Scenario</t>
  </si>
  <si>
    <t>CHIHKG.per_capita_animal_product_demand_scenario</t>
  </si>
  <si>
    <t>CHIHKG.per_capita_commodity_crop_demand_scenario</t>
  </si>
  <si>
    <t>CHIHKG.Per_capita_VFN_demand_Scenario</t>
  </si>
  <si>
    <t>INDIA.per_capita_animal_product_demand_scenario</t>
  </si>
  <si>
    <t>INDIA.per_capita_commodity_crop_demand_scenario</t>
  </si>
  <si>
    <t>INDIA.Per_capita_VFN_demand_Scenario</t>
  </si>
  <si>
    <t>C_C_Amer.per_capita_animal_product_demand_scenario</t>
  </si>
  <si>
    <t>C_C_Amer.per_capita_commodity_crop_demand_scenario</t>
  </si>
  <si>
    <t>C_C_Amer.Per_capita_VFN_demand_Scenario</t>
  </si>
  <si>
    <t>S_o_Amer.per_capita_animal_product_demand_scenario</t>
  </si>
  <si>
    <t>S_o_Amer.per_capita_commodity_crop_demand_scenario</t>
  </si>
  <si>
    <t>S_o_Amer.Per_capita_VFN_demand_Scenario</t>
  </si>
  <si>
    <t>E_Asia.per_capita_animal_product_demand_scenario</t>
  </si>
  <si>
    <t>E_Asia.per_capita_commodity_crop_demand_scenario</t>
  </si>
  <si>
    <t>E_Asia.Per_capita_VFN_demand_Scenario</t>
  </si>
  <si>
    <t>Mala_Indo.per_capita_animal_product_demand_scenario</t>
  </si>
  <si>
    <t>Mala_Indo.per_capita_commodity_crop_demand_scenario</t>
  </si>
  <si>
    <t>Mala_Indo.Per_capita_VFN_demand_Scenario</t>
  </si>
  <si>
    <t>R_SE_Asia.per_capita_animal_product_demand_scenario</t>
  </si>
  <si>
    <t>R_SE_Asia.per_capita_commodity_crop_demand_scenario</t>
  </si>
  <si>
    <t>R_SE_Asia.Per_capita_VFN_demand_Scenario</t>
  </si>
  <si>
    <t>R_S_Asia.per_capita_animal_product_demand_scenario</t>
  </si>
  <si>
    <t>R_S_Asia.per_capita_commodity_crop_demand_scenario</t>
  </si>
  <si>
    <t>R_S_Asia.Per_capita_VFN_demand_Scenario</t>
  </si>
  <si>
    <t>Russia.per_capita_animal_product_demand_scenario</t>
  </si>
  <si>
    <t>Russia.per_capita_commodity_crop_demand_scenario</t>
  </si>
  <si>
    <t>Russia.Per_capita_VFN_demand_Scenario</t>
  </si>
  <si>
    <t>Oth_CEE_CIS.per_capita_animal_product_demand_scenario</t>
  </si>
  <si>
    <t>Oth_CEE_CIS.per_capita_commodity_crop_demand_scenario</t>
  </si>
  <si>
    <t>Oth_CEE_CIS.Per_capita_VFN_demand_Scenario</t>
  </si>
  <si>
    <t>R_Europe.per_capita_animal_product_demand_scenario</t>
  </si>
  <si>
    <t>R_Europe.per_capita_commodity_crop_demand_scenario</t>
  </si>
  <si>
    <t>R_Europe.Per_capita_VFN_demand_Scenario</t>
  </si>
  <si>
    <t>MEAS_NAfr.per_capita_animal_product_demand_scenario</t>
  </si>
  <si>
    <t>MEAS_NAfr.per_capita_commodity_crop_demand_scenario</t>
  </si>
  <si>
    <t>MEAS_NAfr.Per_capita_VFN_demand_Scenario</t>
  </si>
  <si>
    <t>S_S_Afr.per_capita_animal_product_demand_scenario</t>
  </si>
  <si>
    <t>S_S_Afr.per_capita_commodity_crop_demand_scenario</t>
  </si>
  <si>
    <t>S_S_Afr.Per_capita_VFN_demand_Scenario</t>
  </si>
  <si>
    <t>Oceania.per_capita_animal_product_demand_scenario</t>
  </si>
  <si>
    <t>Oceania.per_capita_commodity_crop_demand_scenario</t>
  </si>
  <si>
    <t>Oceania.Per_capita_VFN_demand_Scenario</t>
  </si>
  <si>
    <t>USA.commodity area crop harvested data</t>
  </si>
  <si>
    <t>USA.fiber area harvested data</t>
  </si>
  <si>
    <t>USA.other area harvested data</t>
  </si>
  <si>
    <t>USA.VFN area harvested data</t>
  </si>
  <si>
    <t>USA.forage area harvested data</t>
  </si>
  <si>
    <t>EU27.commodity area crop harvested data</t>
  </si>
  <si>
    <t>EU27.fiber area harvested data</t>
  </si>
  <si>
    <t>EU27.other area harvested data</t>
  </si>
  <si>
    <t>EU27.VFN area harvested data</t>
  </si>
  <si>
    <t>EU27.forage area harvested data</t>
  </si>
  <si>
    <t>BRAZIL.commodity area crop harvested data</t>
  </si>
  <si>
    <t>BRAZIL.fiber area harvested data</t>
  </si>
  <si>
    <t>BRAZIL.other area harvested data</t>
  </si>
  <si>
    <t>BRAZIL.VFN area harvested data</t>
  </si>
  <si>
    <t>BRAZIL.forage area harvested data</t>
  </si>
  <si>
    <t>CAN.commodity area crop harvested data</t>
  </si>
  <si>
    <t>CAN.fiber area harvested data</t>
  </si>
  <si>
    <t>CAN.other area harvested data</t>
  </si>
  <si>
    <t>CAN.VFN area harvested data</t>
  </si>
  <si>
    <t>CAN.forage area harvested data</t>
  </si>
  <si>
    <t>JAPAN.commodity area crop harvested data</t>
  </si>
  <si>
    <t>JAPAN.fiber area harvested data</t>
  </si>
  <si>
    <t>CHIHKG.other area harvested data</t>
  </si>
  <si>
    <t>JAPAN.VFN area harvested data</t>
  </si>
  <si>
    <t>JAPAN.forage area harvested data</t>
  </si>
  <si>
    <t>CHIHKG.commodity area crop harvested data</t>
  </si>
  <si>
    <t>CHIHKG.fiber area harvested data</t>
  </si>
  <si>
    <t>CHIHKG.VFN area harvested data</t>
  </si>
  <si>
    <t>CHIHKG.forage area harvested data</t>
  </si>
  <si>
    <t>INDIA.commodity area crop harvested data</t>
  </si>
  <si>
    <t>INDIA.fiber area harvested data</t>
  </si>
  <si>
    <t>INDIA.other area harvested data</t>
  </si>
  <si>
    <t>INDIA.VFN area harvested data</t>
  </si>
  <si>
    <t>INDIA.forage area harvested data</t>
  </si>
  <si>
    <t>C_C_Amer.commodity area crop harvested data</t>
  </si>
  <si>
    <t>C_C_Amer.fiber area harvested data</t>
  </si>
  <si>
    <t>C_C_Amer.other area harvested data</t>
  </si>
  <si>
    <t>C_C_Amer.VFN area harvested data</t>
  </si>
  <si>
    <t>C_C_forage area harvested data</t>
  </si>
  <si>
    <t>S_o_Amer.commodity area crop harvested data</t>
  </si>
  <si>
    <t>S_o_Amer.fiber area harvested data</t>
  </si>
  <si>
    <t>S_o_Amer.VFN area harvested data</t>
  </si>
  <si>
    <t>S_o_Amer.forage area harvested data</t>
  </si>
  <si>
    <t>E_Asia.commodity area crop harvested data</t>
  </si>
  <si>
    <t>E_Asia.fiber area harvested data</t>
  </si>
  <si>
    <t>E_Asia.other area harvested data</t>
  </si>
  <si>
    <t>E_Asia.VFN area harvested data</t>
  </si>
  <si>
    <t>E_Asia.forage area harvested data</t>
  </si>
  <si>
    <t>Mala_Indo.commodity area crop harvested data</t>
  </si>
  <si>
    <t>Mala_Indo.fiber area harvested data</t>
  </si>
  <si>
    <t>Mala_Indo.other area harvested data</t>
  </si>
  <si>
    <t>Mala_Indo.VFN area harvested data</t>
  </si>
  <si>
    <t>Mala_Indo.forage area harvested data</t>
  </si>
  <si>
    <t>R_SE_Asia.commodity area crop harvested data</t>
  </si>
  <si>
    <t>R_SE_Asia.fiber area harvested data</t>
  </si>
  <si>
    <t>R_SE_Asia.other area harvested data</t>
  </si>
  <si>
    <t>R_SE_Asia.VFN area harvested data</t>
  </si>
  <si>
    <t>R_SE_Asia.forage area harvested data</t>
  </si>
  <si>
    <t>R_S_Asia.commodity area crop harvested data</t>
  </si>
  <si>
    <t>R_S_Asia.fiber area harvested data</t>
  </si>
  <si>
    <t>R_S_Asia.other area harvested data</t>
  </si>
  <si>
    <t>R_S_Asia.VFN area harvested data</t>
  </si>
  <si>
    <t>R_S_Asia.forage area harvested data</t>
  </si>
  <si>
    <t>Russia.commodity area crop harvested data</t>
  </si>
  <si>
    <t>Russia.fiber area harvested data</t>
  </si>
  <si>
    <t>Russia.other area harvested data</t>
  </si>
  <si>
    <t>Russia.VFN area harvested data</t>
  </si>
  <si>
    <t>Russia.forage area harvested data</t>
  </si>
  <si>
    <t>Oth_CEE_CIS.commodity area crop harvested data</t>
  </si>
  <si>
    <t>Oth_CEE_CIS.fiber area harvested data</t>
  </si>
  <si>
    <t>Oth_CEE_CIS.other area harvested data</t>
  </si>
  <si>
    <t>Oth_CEE_CIS.VFN area harvested data</t>
  </si>
  <si>
    <t>Oth_CEE_CIS.forage area harvested data</t>
  </si>
  <si>
    <t>R_Europe.commodity area crop harvested data</t>
  </si>
  <si>
    <t>R_Europe.fiber area harvested data</t>
  </si>
  <si>
    <t>R_Europe.other area harvested data</t>
  </si>
  <si>
    <t>R_Europe.VFN area harvested data</t>
  </si>
  <si>
    <t>R_Europe.forage area harvested data</t>
  </si>
  <si>
    <t>MEAS_NAfr.commodity area crop harvested data</t>
  </si>
  <si>
    <t>MEAS_NAfr.fiber area harvested data</t>
  </si>
  <si>
    <t>MEAS_NAfr.other area harvested data</t>
  </si>
  <si>
    <t>MEAS_NAfr.VFN area harvested data</t>
  </si>
  <si>
    <t>MEAS_NAfr.forage area harvested data</t>
  </si>
  <si>
    <t>S_S_Afr.commodity area crop harvested data</t>
  </si>
  <si>
    <t>S_S_Afr.fiber area harvested data</t>
  </si>
  <si>
    <t>S_S_Afr.other area harvested data</t>
  </si>
  <si>
    <t>S_S_Afr.VFN area harvested data</t>
  </si>
  <si>
    <t>S_S_Afr.forage area harvested data</t>
  </si>
  <si>
    <t>Oceania.commodity area crop harvested data</t>
  </si>
  <si>
    <t>Oceania.fiber area harvested data</t>
  </si>
  <si>
    <t>Oceania.other area harvested data</t>
  </si>
  <si>
    <t>Oceania.other area harvested data harvested data</t>
  </si>
  <si>
    <t>Oceania.forage area harvested data</t>
  </si>
  <si>
    <t>EU27.potential VFN yield</t>
  </si>
  <si>
    <t>BRAZIL.potential VFN yield</t>
  </si>
  <si>
    <t>CAN.potential VFN yield</t>
  </si>
  <si>
    <t>JAPAN.potential VFN yield</t>
  </si>
  <si>
    <t>CHIHKG.potential VFN yield</t>
  </si>
  <si>
    <t>INDIA.potential VFN yield</t>
  </si>
  <si>
    <t>C_C_Amer.potential VFN yield</t>
  </si>
  <si>
    <t>S_o_Amer.potential VFN yield</t>
  </si>
  <si>
    <t>E_Asia.potential VFN yield</t>
  </si>
  <si>
    <t>Mala_Indo.potential VFN yield</t>
  </si>
  <si>
    <t>R_SE_Asia.potential VFN yield</t>
  </si>
  <si>
    <t>R_S_Asia.potential VFN yield</t>
  </si>
  <si>
    <t>Russia.potential VFN yield</t>
  </si>
  <si>
    <t>Oth_CEE_CIS.potential VFN yield</t>
  </si>
  <si>
    <t>R_Europe.potential VFN yield</t>
  </si>
  <si>
    <t>MEAS_NAfr.potential VFN yield</t>
  </si>
  <si>
    <t>S_S_Afr.potential VFN yield</t>
  </si>
  <si>
    <t>Oceania.potential VFN yield</t>
  </si>
  <si>
    <t>USA.potential forage crop yield</t>
  </si>
  <si>
    <t>EU27.potential forage crop yield</t>
  </si>
  <si>
    <t>BRAZIL.potential forage crop yield</t>
  </si>
  <si>
    <t>CAN.potential forage crop yield</t>
  </si>
  <si>
    <t>JAPAN.potential forage crop yield</t>
  </si>
  <si>
    <t>CHIHKG.potential forage crop yield</t>
  </si>
  <si>
    <t>INDIA.potential forage crop yield</t>
  </si>
  <si>
    <t>C_C_Amer.potential forage crop yield</t>
  </si>
  <si>
    <t>S_o_Amer.potential forage crop yield</t>
  </si>
  <si>
    <t>E_Asia.potential forage crop yield</t>
  </si>
  <si>
    <t>Mala_Indo.potential forage crop yield</t>
  </si>
  <si>
    <t>R_SE_Asia.potential forage crop yield</t>
  </si>
  <si>
    <t>R_S_Asia.potential forage crop yield</t>
  </si>
  <si>
    <t>Russia.potential forage crop yield</t>
  </si>
  <si>
    <t>Oth_CEE_CIS.potential forage crop yield</t>
  </si>
  <si>
    <t>R_Europe.potential forage crop yield</t>
  </si>
  <si>
    <t>MEAS_NAfr.potential forage crop yield</t>
  </si>
  <si>
    <t>S_S_Afr.potential forage crop yield</t>
  </si>
  <si>
    <t>Oceania.potential forage crop yield</t>
  </si>
  <si>
    <t>Oceania.potential other yield</t>
  </si>
  <si>
    <t>S_S_Afr.potential other yield</t>
  </si>
  <si>
    <t>MEAS_NAfr.potential other yield</t>
  </si>
  <si>
    <t>R_Europe.potential other yield</t>
  </si>
  <si>
    <t>Oth_CEE_CIS.potential other yield</t>
  </si>
  <si>
    <t>Russia.potential other yield</t>
  </si>
  <si>
    <t>R_S_Asia.potential other yield</t>
  </si>
  <si>
    <t>R_SE_Asia.potential other yield</t>
  </si>
  <si>
    <t>Mala_Indo.potential other yield</t>
  </si>
  <si>
    <t>E_Asia.potential other yield</t>
  </si>
  <si>
    <t>S_o_Amer.potential other yield</t>
  </si>
  <si>
    <t>C_C_Amer.potential other yield</t>
  </si>
  <si>
    <t>INDIA.potential other yield</t>
  </si>
  <si>
    <t>CHIHKG.potential other yield</t>
  </si>
  <si>
    <t>JAPAN.potential other yield</t>
  </si>
  <si>
    <t>CAN.potential other yield</t>
  </si>
  <si>
    <t>BRAZIL.potential other yield</t>
  </si>
  <si>
    <t>EU27.potential other yield</t>
  </si>
  <si>
    <t>USA.potential other yield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</si>
</sst>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rgb="FFFF000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8">
    <xf numFmtId="0" fontId="0" fillId="0" borderId="0" xfId="0"/>
    <xf numFmtId="0" fontId="0" fillId="35" borderId="0" xfId="0" applyFill="1"/>
    <xf numFmtId="0" fontId="0" fillId="37" borderId="0" xfId="0" applyFill="1" applyAlignment="1">
      <alignment horizontal="center"/>
    </xf>
    <xf numFmtId="0" fontId="0" fillId="33" borderId="0" xfId="0" applyFill="1"/>
    <xf numFmtId="0" fontId="0" fillId="36" borderId="0" xfId="0" applyFill="1"/>
    <xf numFmtId="0" fontId="0" fillId="0" borderId="0" xfId="0"/>
    <xf numFmtId="11" fontId="0" fillId="0" borderId="0" xfId="0" applyNumberFormat="1"/>
    <xf numFmtId="0" fontId="0" fillId="0" borderId="0" xfId="0"/>
    <xf numFmtId="0" fontId="0" fillId="0" borderId="0" xfId="0"/>
    <xf numFmtId="11" fontId="0" fillId="0" borderId="0" xfId="0" applyNumberFormat="1"/>
    <xf numFmtId="0" fontId="0" fillId="0" borderId="0" xfId="0"/>
    <xf numFmtId="11" fontId="0" fillId="0" borderId="0" xfId="0" applyNumberFormat="1"/>
    <xf numFmtId="0" fontId="0" fillId="34" borderId="0" xfId="0" applyFill="1"/>
    <xf numFmtId="0" fontId="18" fillId="0" borderId="0" xfId="0" applyFont="1"/>
    <xf numFmtId="0" fontId="18" fillId="34" borderId="0" xfId="0" applyFont="1" applyFill="1"/>
    <xf numFmtId="11" fontId="0" fillId="0" borderId="0" xfId="0" applyNumberFormat="1"/>
    <xf numFmtId="0" fontId="0" fillId="37" borderId="0" xfId="0" applyFill="1"/>
    <xf numFmtId="0" fontId="18" fillId="37" borderId="0" xfId="0" applyFont="1" applyFill="1"/>
    <xf numFmtId="0" fontId="0" fillId="34" borderId="0" xfId="0" applyFill="1" applyAlignment="1">
      <alignment horizontal="center"/>
    </xf>
    <xf numFmtId="0" fontId="0" fillId="0" borderId="0" xfId="0"/>
    <xf numFmtId="11" fontId="0" fillId="0" borderId="0" xfId="0" applyNumberFormat="1"/>
    <xf numFmtId="0" fontId="0" fillId="0" borderId="0" xfId="0"/>
    <xf numFmtId="0" fontId="0" fillId="34" borderId="0" xfId="0" applyFill="1"/>
    <xf numFmtId="11" fontId="0" fillId="0" borderId="0" xfId="0" applyNumberFormat="1"/>
    <xf numFmtId="11" fontId="0" fillId="0" borderId="0" xfId="0" quotePrefix="1" applyNumberFormat="1"/>
    <xf numFmtId="0" fontId="14" fillId="34" borderId="0" xfId="0" applyFont="1" applyFill="1"/>
    <xf numFmtId="0" fontId="14" fillId="35" borderId="0" xfId="0" applyFont="1" applyFill="1"/>
    <xf numFmtId="0" fontId="0" fillId="35" borderId="0" xfId="0" applyFill="1" applyAlignment="1">
      <alignment horizontal="center"/>
    </xf>
    <xf numFmtId="0" fontId="18" fillId="35" borderId="0" xfId="0" applyFont="1" applyFill="1"/>
    <xf numFmtId="1" fontId="0" fillId="0" borderId="0" xfId="0" applyNumberFormat="1"/>
    <xf numFmtId="0" fontId="18" fillId="38" borderId="0" xfId="0" applyFont="1" applyFill="1"/>
    <xf numFmtId="0" fontId="0" fillId="38" borderId="0" xfId="0" applyFill="1" applyAlignment="1">
      <alignment horizontal="center"/>
    </xf>
    <xf numFmtId="0" fontId="0" fillId="38" borderId="0" xfId="0" applyFill="1"/>
    <xf numFmtId="0" fontId="19" fillId="0" borderId="0" xfId="0" applyFont="1"/>
    <xf numFmtId="0" fontId="14" fillId="38" borderId="0" xfId="0" applyFont="1" applyFill="1"/>
    <xf numFmtId="0" fontId="16" fillId="0" borderId="0" xfId="0" applyFont="1"/>
    <xf numFmtId="0" fontId="0" fillId="0" borderId="0" xfId="0"/>
    <xf numFmtId="0" fontId="0" fillId="0" borderId="0" xfId="0"/>
    <xf numFmtId="0" fontId="0" fillId="0" borderId="0" xfId="0"/>
    <xf numFmtId="0" fontId="0" fillId="0" borderId="0" xfId="0"/>
    <xf numFmtId="11" fontId="0" fillId="0" borderId="0" xfId="0" applyNumberFormat="1"/>
    <xf numFmtId="11" fontId="0" fillId="0" borderId="0" xfId="0" applyNumberFormat="1"/>
    <xf numFmtId="11" fontId="0" fillId="0" borderId="0" xfId="0" applyNumberFormat="1"/>
    <xf numFmtId="11" fontId="0" fillId="0" borderId="0" xfId="0" applyNumberFormat="1"/>
    <xf numFmtId="0" fontId="0" fillId="0" borderId="0" xfId="0" applyFill="1"/>
    <xf numFmtId="1" fontId="18" fillId="0" borderId="0" xfId="0" applyNumberFormat="1" applyFont="1"/>
    <xf numFmtId="0" fontId="18" fillId="0" borderId="0" xfId="0" applyFont="1"/>
    <xf numFmtId="1" fontId="0" fillId="0" borderId="0" xfId="0" applyNumberFormat="1"/>
    <xf numFmtId="0" fontId="0" fillId="0" borderId="0" xfId="0"/>
    <xf numFmtId="11" fontId="0" fillId="0" borderId="0" xfId="0" applyNumberFormat="1"/>
    <xf numFmtId="0" fontId="0" fillId="0" borderId="0" xfId="0"/>
    <xf numFmtId="11" fontId="0" fillId="0" borderId="0" xfId="0" applyNumberFormat="1"/>
    <xf numFmtId="0" fontId="18" fillId="0" borderId="0" xfId="0" applyFont="1"/>
    <xf numFmtId="0" fontId="0" fillId="0" borderId="0" xfId="0" applyBorder="1"/>
    <xf numFmtId="0" fontId="0" fillId="0" borderId="10" xfId="0" applyBorder="1"/>
    <xf numFmtId="0" fontId="0" fillId="0" borderId="11" xfId="0" applyBorder="1"/>
    <xf numFmtId="0" fontId="16" fillId="0" borderId="10" xfId="0" applyFont="1" applyBorder="1" applyAlignment="1">
      <alignment horizontal="center"/>
    </xf>
    <xf numFmtId="0" fontId="16" fillId="0" borderId="10" xfId="0" applyFont="1" applyBorder="1" applyAlignment="1">
      <alignment horizontal="center" vertical="center"/>
    </xf>
    <xf numFmtId="1" fontId="0" fillId="0" borderId="11" xfId="0" applyNumberFormat="1" applyBorder="1" applyAlignment="1">
      <alignment horizontal="center"/>
    </xf>
    <xf numFmtId="1" fontId="0" fillId="0" borderId="10" xfId="0" applyNumberFormat="1" applyBorder="1" applyAlignment="1">
      <alignment horizontal="center"/>
    </xf>
    <xf numFmtId="1" fontId="0" fillId="0" borderId="11" xfId="0" applyNumberFormat="1" applyBorder="1" applyAlignment="1">
      <alignment horizontal="center" vertical="center"/>
    </xf>
    <xf numFmtId="1" fontId="0" fillId="0" borderId="0" xfId="0" applyNumberFormat="1" applyBorder="1" applyAlignment="1">
      <alignment horizontal="center" vertical="center"/>
    </xf>
    <xf numFmtId="1" fontId="0" fillId="0" borderId="10" xfId="0" applyNumberFormat="1" applyBorder="1" applyAlignment="1">
      <alignment horizontal="center" vertical="center"/>
    </xf>
    <xf numFmtId="3" fontId="0" fillId="0" borderId="0" xfId="0" applyNumberFormat="1" applyBorder="1" applyAlignment="1">
      <alignment horizontal="center" vertical="center"/>
    </xf>
    <xf numFmtId="1" fontId="0" fillId="0" borderId="0" xfId="0" applyNumberFormat="1" applyAlignment="1">
      <alignment horizontal="center" vertical="center"/>
    </xf>
    <xf numFmtId="0" fontId="0" fillId="0" borderId="0" xfId="0" applyFill="1"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0" xfId="0" applyNumberFormat="1" applyBorder="1" applyAlignment="1">
      <alignment horizontal="center"/>
    </xf>
    <xf numFmtId="2" fontId="0" fillId="0" borderId="0" xfId="0" applyNumberFormat="1" applyBorder="1" applyAlignment="1">
      <alignment horizontal="center"/>
    </xf>
    <xf numFmtId="164" fontId="0" fillId="0" borderId="0" xfId="0" applyNumberFormat="1" applyBorder="1" applyAlignment="1">
      <alignment horizontal="center"/>
    </xf>
    <xf numFmtId="2" fontId="0" fillId="0" borderId="10" xfId="0" applyNumberFormat="1" applyBorder="1" applyAlignment="1">
      <alignment horizontal="center"/>
    </xf>
    <xf numFmtId="164" fontId="0" fillId="0" borderId="10" xfId="0" applyNumberFormat="1" applyBorder="1" applyAlignment="1">
      <alignment horizontal="center"/>
    </xf>
    <xf numFmtId="164" fontId="0" fillId="0" borderId="0" xfId="0" applyNumberFormat="1" applyBorder="1" applyAlignment="1">
      <alignment horizontal="center" vertical="center"/>
    </xf>
    <xf numFmtId="164" fontId="0" fillId="0" borderId="10" xfId="0" applyNumberFormat="1" applyBorder="1" applyAlignment="1">
      <alignment horizontal="center" vertical="center"/>
    </xf>
    <xf numFmtId="164" fontId="0" fillId="0" borderId="11" xfId="0" applyNumberFormat="1" applyBorder="1" applyAlignment="1">
      <alignment horizontal="center" vertical="center"/>
    </xf>
    <xf numFmtId="2" fontId="0" fillId="0" borderId="11" xfId="0" applyNumberFormat="1" applyBorder="1" applyAlignment="1">
      <alignment horizontal="center" vertical="center"/>
    </xf>
    <xf numFmtId="2" fontId="0" fillId="0" borderId="10" xfId="0" applyNumberFormat="1" applyBorder="1" applyAlignment="1">
      <alignment horizontal="center" vertical="center"/>
    </xf>
    <xf numFmtId="2" fontId="0" fillId="0" borderId="0" xfId="0" applyNumberFormat="1" applyBorder="1" applyAlignment="1">
      <alignment horizontal="center" vertical="center"/>
    </xf>
    <xf numFmtId="165" fontId="0" fillId="0" borderId="0" xfId="0" applyNumberFormat="1" applyBorder="1" applyAlignment="1">
      <alignment horizontal="center" vertical="center"/>
    </xf>
    <xf numFmtId="165" fontId="0" fillId="0" borderId="10" xfId="0" applyNumberFormat="1" applyBorder="1" applyAlignment="1">
      <alignment horizontal="center" vertical="center"/>
    </xf>
    <xf numFmtId="165" fontId="0" fillId="0" borderId="11" xfId="0" applyNumberFormat="1" applyBorder="1" applyAlignment="1">
      <alignment horizontal="center" vertical="center"/>
    </xf>
    <xf numFmtId="164" fontId="0" fillId="0" borderId="0" xfId="0" applyNumberFormat="1" applyAlignment="1">
      <alignment horizontal="center" vertical="center"/>
    </xf>
    <xf numFmtId="0" fontId="16" fillId="0" borderId="0" xfId="0" applyFont="1" applyBorder="1" applyAlignment="1">
      <alignment horizontal="center" vertical="center"/>
    </xf>
    <xf numFmtId="0" fontId="0" fillId="0" borderId="11" xfId="0" applyBorder="1" applyAlignment="1">
      <alignment horizontal="center"/>
    </xf>
    <xf numFmtId="9" fontId="0" fillId="0" borderId="11" xfId="0" applyNumberFormat="1" applyBorder="1" applyAlignment="1">
      <alignment horizontal="center"/>
    </xf>
    <xf numFmtId="0" fontId="0" fillId="0" borderId="10" xfId="0" applyBorder="1" applyAlignment="1">
      <alignment horizontal="center"/>
    </xf>
    <xf numFmtId="9" fontId="0" fillId="0" borderId="10" xfId="0" applyNumberFormat="1" applyBorder="1" applyAlignment="1">
      <alignment horizontal="center"/>
    </xf>
    <xf numFmtId="0" fontId="0" fillId="0" borderId="0" xfId="0" applyBorder="1" applyAlignment="1">
      <alignment horizontal="center"/>
    </xf>
    <xf numFmtId="166" fontId="0" fillId="0" borderId="0" xfId="0" applyNumberFormat="1" applyBorder="1" applyAlignment="1">
      <alignment horizontal="center"/>
    </xf>
    <xf numFmtId="166" fontId="0" fillId="0" borderId="10" xfId="0" applyNumberFormat="1" applyBorder="1" applyAlignment="1">
      <alignment horizontal="center"/>
    </xf>
    <xf numFmtId="9" fontId="0" fillId="0" borderId="10" xfId="0" applyNumberFormat="1" applyBorder="1" applyAlignment="1">
      <alignment horizontal="center" vertical="center"/>
    </xf>
    <xf numFmtId="10" fontId="0" fillId="0" borderId="0" xfId="0" applyNumberFormat="1" applyBorder="1" applyAlignment="1">
      <alignment horizontal="center" vertical="center"/>
    </xf>
    <xf numFmtId="0" fontId="16" fillId="0" borderId="12" xfId="0" applyFont="1" applyBorder="1" applyAlignment="1">
      <alignment horizontal="center" vertical="center"/>
    </xf>
    <xf numFmtId="166" fontId="0" fillId="0" borderId="11" xfId="0" applyNumberFormat="1" applyBorder="1" applyAlignment="1">
      <alignment horizontal="center"/>
    </xf>
    <xf numFmtId="164" fontId="0" fillId="0" borderId="0" xfId="0" applyNumberFormat="1"/>
    <xf numFmtId="166" fontId="0" fillId="0" borderId="0" xfId="0" applyNumberFormat="1"/>
    <xf numFmtId="10" fontId="0" fillId="0" borderId="0" xfId="0" applyNumberFormat="1"/>
    <xf numFmtId="2" fontId="0" fillId="0" borderId="0" xfId="0" applyNumberFormat="1"/>
    <xf numFmtId="0" fontId="18" fillId="0" borderId="0" xfId="0" applyFont="1" applyFill="1"/>
    <xf numFmtId="0" fontId="18" fillId="39" borderId="0" xfId="0" applyFont="1" applyFill="1"/>
    <xf numFmtId="0" fontId="18" fillId="0" borderId="11" xfId="0" applyFont="1"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18" fillId="0" borderId="0" xfId="0" applyFont="1" applyBorder="1" applyAlignment="1">
      <alignment horizontal="center" vertical="center"/>
    </xf>
    <xf numFmtId="0" fontId="18" fillId="0" borderId="10"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9"/>
    </mc:Choice>
    <mc:Fallback>
      <c:style val="9"/>
    </mc:Fallback>
  </mc:AlternateContent>
  <c:chart>
    <c:autoTitleDeleted val="1"/>
    <c:plotArea>
      <c:layout/>
      <c:barChart>
        <c:barDir val="col"/>
        <c:grouping val="clustered"/>
        <c:varyColors val="0"/>
        <c:ser>
          <c:idx val="0"/>
          <c:order val="0"/>
          <c:tx>
            <c:strRef>
              <c:f>'Land Init'!$A$2</c:f>
              <c:strCache>
                <c:ptCount val="1"/>
                <c:pt idx="0">
                  <c:v>USA</c:v>
                </c:pt>
              </c:strCache>
            </c:strRef>
          </c:tx>
          <c:invertIfNegative val="0"/>
          <c:cat>
            <c:strRef>
              <c:f>'Land Init'!$C$1:$F$1</c:f>
              <c:strCache>
                <c:ptCount val="4"/>
                <c:pt idx="0">
                  <c:v>Cropland</c:v>
                </c:pt>
                <c:pt idx="1">
                  <c:v>Pasture</c:v>
                </c:pt>
                <c:pt idx="2">
                  <c:v>Forest and Grassland</c:v>
                </c:pt>
                <c:pt idx="3">
                  <c:v>Abandoned</c:v>
                </c:pt>
              </c:strCache>
            </c:strRef>
          </c:cat>
          <c:val>
            <c:numRef>
              <c:f>'Land Init'!$C$2:$F$2</c:f>
              <c:numCache>
                <c:formatCode>0</c:formatCode>
                <c:ptCount val="4"/>
                <c:pt idx="0">
                  <c:v>160.40880000000001</c:v>
                </c:pt>
                <c:pt idx="1">
                  <c:v>265.02019999999999</c:v>
                </c:pt>
                <c:pt idx="2">
                  <c:v>297.10700000000003</c:v>
                </c:pt>
                <c:pt idx="3">
                  <c:v>19.190000000000001</c:v>
                </c:pt>
              </c:numCache>
            </c:numRef>
          </c:val>
        </c:ser>
        <c:ser>
          <c:idx val="1"/>
          <c:order val="1"/>
          <c:tx>
            <c:strRef>
              <c:f>'Land Init'!$A$3</c:f>
              <c:strCache>
                <c:ptCount val="1"/>
                <c:pt idx="0">
                  <c:v>ROW</c:v>
                </c:pt>
              </c:strCache>
            </c:strRef>
          </c:tx>
          <c:invertIfNegative val="0"/>
          <c:cat>
            <c:strRef>
              <c:f>'Land Init'!$C$1:$F$1</c:f>
              <c:strCache>
                <c:ptCount val="4"/>
                <c:pt idx="0">
                  <c:v>Cropland</c:v>
                </c:pt>
                <c:pt idx="1">
                  <c:v>Pasture</c:v>
                </c:pt>
                <c:pt idx="2">
                  <c:v>Forest and Grassland</c:v>
                </c:pt>
                <c:pt idx="3">
                  <c:v>Abandoned</c:v>
                </c:pt>
              </c:strCache>
            </c:strRef>
          </c:cat>
          <c:val>
            <c:numRef>
              <c:f>'Land Init'!$C$3:$F$3</c:f>
              <c:numCache>
                <c:formatCode>0</c:formatCode>
                <c:ptCount val="4"/>
                <c:pt idx="0">
                  <c:v>1320.710315</c:v>
                </c:pt>
                <c:pt idx="1">
                  <c:v>3044.0605409999998</c:v>
                </c:pt>
                <c:pt idx="2">
                  <c:v>3868.0574299999998</c:v>
                </c:pt>
                <c:pt idx="3">
                  <c:v>414.8</c:v>
                </c:pt>
              </c:numCache>
            </c:numRef>
          </c:val>
        </c:ser>
        <c:ser>
          <c:idx val="2"/>
          <c:order val="2"/>
          <c:tx>
            <c:strRef>
              <c:f>'Land Init'!$A$4</c:f>
              <c:strCache>
                <c:ptCount val="1"/>
                <c:pt idx="0">
                  <c:v>World</c:v>
                </c:pt>
              </c:strCache>
            </c:strRef>
          </c:tx>
          <c:invertIfNegative val="0"/>
          <c:cat>
            <c:strRef>
              <c:f>'Land Init'!$C$1:$F$1</c:f>
              <c:strCache>
                <c:ptCount val="4"/>
                <c:pt idx="0">
                  <c:v>Cropland</c:v>
                </c:pt>
                <c:pt idx="1">
                  <c:v>Pasture</c:v>
                </c:pt>
                <c:pt idx="2">
                  <c:v>Forest and Grassland</c:v>
                </c:pt>
                <c:pt idx="3">
                  <c:v>Abandoned</c:v>
                </c:pt>
              </c:strCache>
            </c:strRef>
          </c:cat>
          <c:val>
            <c:numRef>
              <c:f>'Land Init'!$C$4:$F$4</c:f>
              <c:numCache>
                <c:formatCode>0</c:formatCode>
                <c:ptCount val="4"/>
                <c:pt idx="0">
                  <c:v>1481.119115</c:v>
                </c:pt>
                <c:pt idx="1">
                  <c:v>3309.0807409999998</c:v>
                </c:pt>
                <c:pt idx="2">
                  <c:v>4165.1644299999998</c:v>
                </c:pt>
                <c:pt idx="3">
                  <c:v>433.99</c:v>
                </c:pt>
              </c:numCache>
            </c:numRef>
          </c:val>
        </c:ser>
        <c:dLbls>
          <c:showLegendKey val="0"/>
          <c:showVal val="0"/>
          <c:showCatName val="0"/>
          <c:showSerName val="0"/>
          <c:showPercent val="0"/>
          <c:showBubbleSize val="0"/>
        </c:dLbls>
        <c:gapWidth val="150"/>
        <c:axId val="78452224"/>
        <c:axId val="78453760"/>
      </c:barChart>
      <c:catAx>
        <c:axId val="78452224"/>
        <c:scaling>
          <c:orientation val="minMax"/>
        </c:scaling>
        <c:delete val="0"/>
        <c:axPos val="b"/>
        <c:majorTickMark val="none"/>
        <c:minorTickMark val="none"/>
        <c:tickLblPos val="nextTo"/>
        <c:txPr>
          <a:bodyPr/>
          <a:lstStyle/>
          <a:p>
            <a:pPr>
              <a:defRPr sz="1400"/>
            </a:pPr>
            <a:endParaRPr lang="en-US"/>
          </a:p>
        </c:txPr>
        <c:crossAx val="78453760"/>
        <c:crosses val="autoZero"/>
        <c:auto val="1"/>
        <c:lblAlgn val="ctr"/>
        <c:lblOffset val="100"/>
        <c:noMultiLvlLbl val="0"/>
      </c:catAx>
      <c:valAx>
        <c:axId val="78453760"/>
        <c:scaling>
          <c:orientation val="minMax"/>
        </c:scaling>
        <c:delete val="0"/>
        <c:axPos val="l"/>
        <c:majorGridlines/>
        <c:title>
          <c:tx>
            <c:rich>
              <a:bodyPr rot="-5400000" vert="horz"/>
              <a:lstStyle/>
              <a:p>
                <a:pPr>
                  <a:defRPr sz="1400"/>
                </a:pPr>
                <a:r>
                  <a:rPr lang="en-US" sz="1400"/>
                  <a:t>Million Hectares</a:t>
                </a:r>
              </a:p>
            </c:rich>
          </c:tx>
          <c:overlay val="0"/>
        </c:title>
        <c:numFmt formatCode="0" sourceLinked="1"/>
        <c:majorTickMark val="none"/>
        <c:minorTickMark val="out"/>
        <c:tickLblPos val="nextTo"/>
        <c:txPr>
          <a:bodyPr/>
          <a:lstStyle/>
          <a:p>
            <a:pPr>
              <a:defRPr sz="1200"/>
            </a:pPr>
            <a:endParaRPr lang="en-US"/>
          </a:p>
        </c:txPr>
        <c:crossAx val="78452224"/>
        <c:crosses val="autoZero"/>
        <c:crossBetween val="between"/>
      </c:valAx>
    </c:plotArea>
    <c:legend>
      <c:legendPos val="r"/>
      <c:overlay val="0"/>
      <c:txPr>
        <a:bodyPr/>
        <a:lstStyle/>
        <a:p>
          <a:pPr>
            <a:defRPr sz="1400"/>
          </a:pPr>
          <a:endParaRPr lang="en-US"/>
        </a:p>
      </c:txPr>
    </c:legend>
    <c:plotVisOnly val="1"/>
    <c:dispBlanksAs val="gap"/>
    <c:showDLblsOverMax val="0"/>
  </c:chart>
  <c:printSettings>
    <c:headerFooter/>
    <c:pageMargins b="0.75000000000000144" l="0.70000000000000062" r="0.70000000000000062" t="0.750000000000001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752474</xdr:colOff>
      <xdr:row>3</xdr:row>
      <xdr:rowOff>190499</xdr:rowOff>
    </xdr:from>
    <xdr:to>
      <xdr:col>15</xdr:col>
      <xdr:colOff>9524</xdr:colOff>
      <xdr:row>21</xdr:row>
      <xdr:rowOff>161924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op%20series.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_series"/>
      <sheetName val="Processing"/>
      <sheetName val="Final"/>
    </sheetNames>
    <sheetDataSet>
      <sheetData sheetId="0" refreshError="1"/>
      <sheetData sheetId="1" refreshError="1"/>
      <sheetData sheetId="2">
        <row r="1">
          <cell r="B1">
            <v>1991</v>
          </cell>
          <cell r="C1">
            <v>1992</v>
          </cell>
          <cell r="D1">
            <v>1993</v>
          </cell>
          <cell r="E1">
            <v>1994</v>
          </cell>
          <cell r="F1">
            <v>1995</v>
          </cell>
          <cell r="G1">
            <v>1996</v>
          </cell>
          <cell r="H1">
            <v>1997</v>
          </cell>
          <cell r="I1">
            <v>1998</v>
          </cell>
          <cell r="J1">
            <v>1999</v>
          </cell>
          <cell r="K1">
            <v>2000</v>
          </cell>
          <cell r="L1">
            <v>2001</v>
          </cell>
          <cell r="M1">
            <v>2002</v>
          </cell>
          <cell r="N1">
            <v>2003</v>
          </cell>
          <cell r="O1">
            <v>2004</v>
          </cell>
          <cell r="P1">
            <v>2005</v>
          </cell>
          <cell r="Q1">
            <v>2006</v>
          </cell>
          <cell r="R1">
            <v>2007</v>
          </cell>
          <cell r="S1">
            <v>2008</v>
          </cell>
          <cell r="T1">
            <v>2009</v>
          </cell>
          <cell r="U1">
            <v>2010</v>
          </cell>
          <cell r="V1">
            <v>2011</v>
          </cell>
          <cell r="W1">
            <v>2012</v>
          </cell>
          <cell r="X1">
            <v>2013</v>
          </cell>
          <cell r="Y1">
            <v>2014</v>
          </cell>
          <cell r="Z1">
            <v>2015</v>
          </cell>
          <cell r="AA1">
            <v>2016</v>
          </cell>
          <cell r="AB1">
            <v>2017</v>
          </cell>
          <cell r="AC1">
            <v>2018</v>
          </cell>
          <cell r="AD1">
            <v>2019</v>
          </cell>
          <cell r="AE1">
            <v>2020</v>
          </cell>
          <cell r="AF1">
            <v>2021</v>
          </cell>
          <cell r="AG1">
            <v>2022</v>
          </cell>
          <cell r="AH1">
            <v>2023</v>
          </cell>
          <cell r="AI1">
            <v>2024</v>
          </cell>
          <cell r="AJ1">
            <v>2025</v>
          </cell>
          <cell r="AK1">
            <v>2026</v>
          </cell>
          <cell r="AL1">
            <v>2027</v>
          </cell>
          <cell r="AM1">
            <v>2028</v>
          </cell>
          <cell r="AN1">
            <v>2029</v>
          </cell>
          <cell r="AO1">
            <v>2030</v>
          </cell>
          <cell r="AP1">
            <v>2031</v>
          </cell>
          <cell r="AQ1">
            <v>2032</v>
          </cell>
          <cell r="AR1">
            <v>2033</v>
          </cell>
          <cell r="AS1">
            <v>2034</v>
          </cell>
          <cell r="AT1">
            <v>2035</v>
          </cell>
          <cell r="AU1">
            <v>2036</v>
          </cell>
          <cell r="AV1">
            <v>2037</v>
          </cell>
          <cell r="AW1">
            <v>2038</v>
          </cell>
          <cell r="AX1">
            <v>2039</v>
          </cell>
          <cell r="AY1">
            <v>2040</v>
          </cell>
          <cell r="AZ1">
            <v>2041</v>
          </cell>
          <cell r="BA1">
            <v>2042</v>
          </cell>
          <cell r="BB1">
            <v>2043</v>
          </cell>
          <cell r="BC1">
            <v>2044</v>
          </cell>
          <cell r="BD1">
            <v>2045</v>
          </cell>
          <cell r="BE1">
            <v>2046</v>
          </cell>
          <cell r="BF1">
            <v>2047</v>
          </cell>
          <cell r="BG1">
            <v>2048</v>
          </cell>
          <cell r="BH1">
            <v>2049</v>
          </cell>
          <cell r="BI1">
            <v>2050</v>
          </cell>
        </row>
        <row r="2">
          <cell r="A2" t="str">
            <v>ROW.population_scenario</v>
          </cell>
          <cell r="B2">
            <v>5119470000</v>
          </cell>
          <cell r="C2">
            <v>5201950000</v>
          </cell>
          <cell r="D2">
            <v>5283110000</v>
          </cell>
          <cell r="E2">
            <v>5363200000</v>
          </cell>
          <cell r="F2">
            <v>5442420000</v>
          </cell>
          <cell r="G2">
            <v>5520750000</v>
          </cell>
          <cell r="H2">
            <v>5598130000</v>
          </cell>
          <cell r="I2">
            <v>5674830000</v>
          </cell>
          <cell r="J2">
            <v>5751210000</v>
          </cell>
          <cell r="K2">
            <v>5827530000</v>
          </cell>
          <cell r="L2">
            <v>5903900000</v>
          </cell>
          <cell r="M2">
            <v>5980300000</v>
          </cell>
          <cell r="N2">
            <v>6056730000</v>
          </cell>
          <cell r="O2">
            <v>6133160000</v>
          </cell>
          <cell r="P2">
            <v>6209540000</v>
          </cell>
          <cell r="Q2">
            <v>6285850000</v>
          </cell>
          <cell r="R2">
            <v>6362120000</v>
          </cell>
          <cell r="S2">
            <v>6438390000</v>
          </cell>
          <cell r="T2">
            <v>6514700000</v>
          </cell>
          <cell r="U2">
            <v>6591040000</v>
          </cell>
          <cell r="V2">
            <v>6667410000</v>
          </cell>
          <cell r="W2">
            <v>6743680000</v>
          </cell>
          <cell r="X2">
            <v>6819670000</v>
          </cell>
          <cell r="Y2">
            <v>6895130000</v>
          </cell>
          <cell r="Z2">
            <v>6969850000</v>
          </cell>
          <cell r="AA2">
            <v>7043750000</v>
          </cell>
          <cell r="AB2">
            <v>7116740000</v>
          </cell>
          <cell r="AC2">
            <v>7188670000</v>
          </cell>
          <cell r="AD2">
            <v>7259370000</v>
          </cell>
          <cell r="AE2">
            <v>7328670000</v>
          </cell>
          <cell r="AF2">
            <v>7396530000</v>
          </cell>
          <cell r="AG2">
            <v>7462890000</v>
          </cell>
          <cell r="AH2">
            <v>7527710000</v>
          </cell>
          <cell r="AI2">
            <v>7591020000</v>
          </cell>
          <cell r="AJ2">
            <v>7652800000</v>
          </cell>
          <cell r="AK2">
            <v>7713030000</v>
          </cell>
          <cell r="AL2">
            <v>7771710000</v>
          </cell>
          <cell r="AM2">
            <v>7828880000</v>
          </cell>
          <cell r="AN2">
            <v>7884600000</v>
          </cell>
          <cell r="AO2">
            <v>7938920000</v>
          </cell>
          <cell r="AP2">
            <v>7991840000</v>
          </cell>
          <cell r="AQ2">
            <v>8043400000</v>
          </cell>
          <cell r="AR2">
            <v>8093640000.000001</v>
          </cell>
          <cell r="AS2">
            <v>8142680000</v>
          </cell>
          <cell r="AT2">
            <v>8190569999.999999</v>
          </cell>
          <cell r="AU2">
            <v>8237349999.999999</v>
          </cell>
          <cell r="AV2">
            <v>8282959999.999999</v>
          </cell>
          <cell r="AW2">
            <v>8327370000</v>
          </cell>
          <cell r="AX2">
            <v>8370500000</v>
          </cell>
          <cell r="AY2">
            <v>8412290000.000001</v>
          </cell>
          <cell r="AZ2">
            <v>8452660000</v>
          </cell>
          <cell r="BA2">
            <v>8491619999.999999</v>
          </cell>
          <cell r="BB2">
            <v>8529100000</v>
          </cell>
          <cell r="BC2">
            <v>8565099999.999999</v>
          </cell>
          <cell r="BD2">
            <v>8599580000</v>
          </cell>
          <cell r="BE2">
            <v>8632460000</v>
          </cell>
          <cell r="BF2">
            <v>8663660000</v>
          </cell>
          <cell r="BG2">
            <v>8693080000</v>
          </cell>
          <cell r="BH2">
            <v>8720600000</v>
          </cell>
          <cell r="BI2">
            <v>8746050000</v>
          </cell>
        </row>
        <row r="24">
          <cell r="A24" t="str">
            <v>Total - GTAP As Reported</v>
          </cell>
          <cell r="B24">
            <v>5426002054.7945185</v>
          </cell>
          <cell r="C24">
            <v>5499978538.8127813</v>
          </cell>
          <cell r="D24">
            <v>5573955022.8310461</v>
          </cell>
          <cell r="E24">
            <v>5647931506.8493061</v>
          </cell>
          <cell r="F24">
            <v>5721907990.8675785</v>
          </cell>
          <cell r="G24">
            <v>5795884474.8858414</v>
          </cell>
          <cell r="H24">
            <v>5869860958.9041052</v>
          </cell>
          <cell r="I24">
            <v>5943837442.9223652</v>
          </cell>
          <cell r="J24">
            <v>6017813926.9406395</v>
          </cell>
          <cell r="K24">
            <v>6091790410.9588985</v>
          </cell>
          <cell r="L24">
            <v>6165766894.9771643</v>
          </cell>
          <cell r="M24">
            <v>6239743378.9954338</v>
          </cell>
          <cell r="N24">
            <v>6313719863.0136967</v>
          </cell>
          <cell r="O24">
            <v>6387696347.0319576</v>
          </cell>
          <cell r="P24">
            <v>6461672831.0502224</v>
          </cell>
          <cell r="Q24">
            <v>6535649315.0684891</v>
          </cell>
          <cell r="R24">
            <v>6609625799.0867558</v>
          </cell>
          <cell r="S24">
            <v>6683602283.1050177</v>
          </cell>
          <cell r="T24">
            <v>6757578767.1232805</v>
          </cell>
          <cell r="U24">
            <v>6831555251.1415501</v>
          </cell>
          <cell r="V24">
            <v>6905531735.1598158</v>
          </cell>
          <cell r="W24">
            <v>6979508219.1780739</v>
          </cell>
          <cell r="X24">
            <v>7053484703.1963463</v>
          </cell>
          <cell r="Y24">
            <v>7127461187.2146111</v>
          </cell>
          <cell r="Z24">
            <v>7201437671.2328739</v>
          </cell>
          <cell r="AA24">
            <v>7275414155.2511349</v>
          </cell>
          <cell r="AB24">
            <v>7349390639.2694082</v>
          </cell>
          <cell r="AC24">
            <v>7423367123.2876673</v>
          </cell>
          <cell r="AD24">
            <v>7497343607.3059311</v>
          </cell>
          <cell r="AE24">
            <v>7571320091.324192</v>
          </cell>
          <cell r="AF24">
            <v>7645296575.3424664</v>
          </cell>
          <cell r="AG24">
            <v>7719273059.3607254</v>
          </cell>
          <cell r="AH24">
            <v>7793249543.378993</v>
          </cell>
          <cell r="AI24">
            <v>7867226027.3972597</v>
          </cell>
          <cell r="AJ24">
            <v>7941202511.4155235</v>
          </cell>
          <cell r="AK24">
            <v>8015178995.4337845</v>
          </cell>
          <cell r="AL24">
            <v>8089155479.4520493</v>
          </cell>
          <cell r="AM24">
            <v>8163131963.4703178</v>
          </cell>
          <cell r="AN24">
            <v>8237108447.4885836</v>
          </cell>
          <cell r="AO24">
            <v>8311084931.5068445</v>
          </cell>
          <cell r="AP24">
            <v>8385061415.5251083</v>
          </cell>
          <cell r="AQ24">
            <v>8459037899.5433769</v>
          </cell>
          <cell r="AR24">
            <v>8533014383.5616417</v>
          </cell>
          <cell r="AS24">
            <v>8606990867.5799026</v>
          </cell>
          <cell r="AT24">
            <v>8680967351.5981674</v>
          </cell>
          <cell r="AU24">
            <v>8754943835.6164341</v>
          </cell>
          <cell r="AV24">
            <v>8828920319.6347008</v>
          </cell>
          <cell r="AW24">
            <v>8902896803.6529636</v>
          </cell>
          <cell r="AX24">
            <v>8976873287.6712341</v>
          </cell>
          <cell r="AY24">
            <v>9050849771.689497</v>
          </cell>
          <cell r="AZ24">
            <v>9124826255.7077599</v>
          </cell>
          <cell r="BA24">
            <v>9198802739.7260189</v>
          </cell>
          <cell r="BB24">
            <v>9272779223.7442913</v>
          </cell>
          <cell r="BC24">
            <v>9346755707.7625542</v>
          </cell>
          <cell r="BD24">
            <v>9420732191.7808189</v>
          </cell>
          <cell r="BE24">
            <v>9494708675.7990799</v>
          </cell>
          <cell r="BF24">
            <v>9568685159.8173523</v>
          </cell>
          <cell r="BG24">
            <v>9642661643.8356133</v>
          </cell>
          <cell r="BH24">
            <v>9716638127.8538742</v>
          </cell>
          <cell r="BI24">
            <v>9790614611.8721466</v>
          </cell>
        </row>
        <row r="64">
          <cell r="A64" t="str">
            <v>Total - GTAP Modified</v>
          </cell>
          <cell r="B64">
            <v>5119470000.000001</v>
          </cell>
          <cell r="C64">
            <v>5201950000.000001</v>
          </cell>
          <cell r="D64">
            <v>5283109999.999999</v>
          </cell>
          <cell r="E64">
            <v>5363200000.0000029</v>
          </cell>
          <cell r="F64">
            <v>5442419999.999999</v>
          </cell>
          <cell r="G64">
            <v>5520749999.999999</v>
          </cell>
          <cell r="H64">
            <v>5598129999.9999981</v>
          </cell>
          <cell r="I64">
            <v>5674830000.000001</v>
          </cell>
          <cell r="J64">
            <v>5751210000.000001</v>
          </cell>
          <cell r="K64">
            <v>5827530000</v>
          </cell>
          <cell r="L64">
            <v>5903900000</v>
          </cell>
          <cell r="M64">
            <v>5980299999.9999981</v>
          </cell>
          <cell r="N64">
            <v>6056730000</v>
          </cell>
          <cell r="O64">
            <v>6133160000.000001</v>
          </cell>
          <cell r="P64">
            <v>6209539999.999999</v>
          </cell>
          <cell r="Q64">
            <v>6285850000.000001</v>
          </cell>
          <cell r="R64">
            <v>6362120000.000001</v>
          </cell>
          <cell r="S64">
            <v>6438390000.000001</v>
          </cell>
          <cell r="T64">
            <v>6514700000.000001</v>
          </cell>
          <cell r="U64">
            <v>6591039999.999999</v>
          </cell>
          <cell r="V64">
            <v>6667410000</v>
          </cell>
          <cell r="W64">
            <v>6743680000.0000019</v>
          </cell>
          <cell r="X64">
            <v>6819670000</v>
          </cell>
          <cell r="Y64">
            <v>6895129999.9999981</v>
          </cell>
          <cell r="Z64">
            <v>6969850000.000001</v>
          </cell>
          <cell r="AA64">
            <v>7043750000.000001</v>
          </cell>
          <cell r="AB64">
            <v>7116739999.9999981</v>
          </cell>
          <cell r="AC64">
            <v>7188670000.000001</v>
          </cell>
          <cell r="AD64">
            <v>7259370000.000001</v>
          </cell>
          <cell r="AE64">
            <v>7328670000.000001</v>
          </cell>
          <cell r="AF64">
            <v>7396530000</v>
          </cell>
          <cell r="AG64">
            <v>7462890000.0000019</v>
          </cell>
          <cell r="AH64">
            <v>7527709999.9999981</v>
          </cell>
          <cell r="AI64">
            <v>7591020000.0000019</v>
          </cell>
          <cell r="AJ64">
            <v>7652799999.9999981</v>
          </cell>
          <cell r="AK64">
            <v>7713030000</v>
          </cell>
          <cell r="AL64">
            <v>7771710000.000001</v>
          </cell>
          <cell r="AM64">
            <v>7828879999.9999981</v>
          </cell>
          <cell r="AN64">
            <v>7884600000.000001</v>
          </cell>
          <cell r="AO64">
            <v>7938920000.000001</v>
          </cell>
          <cell r="AP64">
            <v>7991839999.999999</v>
          </cell>
          <cell r="AQ64">
            <v>8043400000.0000019</v>
          </cell>
          <cell r="AR64">
            <v>8093640000</v>
          </cell>
          <cell r="AS64">
            <v>8142680000</v>
          </cell>
          <cell r="AT64">
            <v>8190569999.9999981</v>
          </cell>
          <cell r="AU64">
            <v>8237350000.000001</v>
          </cell>
          <cell r="AV64">
            <v>8282960000</v>
          </cell>
          <cell r="AW64">
            <v>8327370000</v>
          </cell>
          <cell r="AX64">
            <v>8370500000.000001</v>
          </cell>
          <cell r="AY64">
            <v>8412289999.9999981</v>
          </cell>
          <cell r="AZ64">
            <v>8452660000.0000019</v>
          </cell>
          <cell r="BA64">
            <v>8491620000</v>
          </cell>
          <cell r="BB64">
            <v>8529100000.0000019</v>
          </cell>
          <cell r="BC64">
            <v>8565100000</v>
          </cell>
          <cell r="BD64">
            <v>8599580000.0000019</v>
          </cell>
          <cell r="BE64">
            <v>8632459999.9999981</v>
          </cell>
          <cell r="BF64">
            <v>8663660000</v>
          </cell>
          <cell r="BG64">
            <v>8693079999.9999981</v>
          </cell>
          <cell r="BH64">
            <v>8720600000</v>
          </cell>
          <cell r="BI64">
            <v>8746050000.0000019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879"/>
  <sheetViews>
    <sheetView tabSelected="1" workbookViewId="0">
      <pane xSplit="1" ySplit="1" topLeftCell="AB264" activePane="bottomRight" state="frozenSplit"/>
      <selection pane="topRight" activeCell="AF1" sqref="AF1"/>
      <selection pane="bottomLeft" activeCell="S21" sqref="S21"/>
      <selection pane="bottomRight" activeCell="AK274" sqref="AK274"/>
    </sheetView>
  </sheetViews>
  <sheetFormatPr defaultRowHeight="15" x14ac:dyDescent="0.25"/>
  <cols>
    <col min="1" max="1" width="47.5703125" customWidth="1"/>
    <col min="2" max="31" width="9.140625" style="4"/>
  </cols>
  <sheetData>
    <row r="1" spans="1:91" x14ac:dyDescent="0.25">
      <c r="A1" s="5"/>
      <c r="B1" s="4">
        <v>1961</v>
      </c>
      <c r="C1" s="4">
        <v>1962</v>
      </c>
      <c r="D1" s="4">
        <v>1963</v>
      </c>
      <c r="E1" s="4">
        <v>1964</v>
      </c>
      <c r="F1" s="4">
        <v>1965</v>
      </c>
      <c r="G1" s="4">
        <v>1966</v>
      </c>
      <c r="H1" s="4">
        <v>1967</v>
      </c>
      <c r="I1" s="4">
        <v>1968</v>
      </c>
      <c r="J1" s="4">
        <v>1969</v>
      </c>
      <c r="K1" s="4">
        <v>1970</v>
      </c>
      <c r="L1" s="4">
        <v>1971</v>
      </c>
      <c r="M1" s="4">
        <v>1972</v>
      </c>
      <c r="N1" s="4">
        <v>1973</v>
      </c>
      <c r="O1" s="4">
        <v>1974</v>
      </c>
      <c r="P1" s="4">
        <v>1975</v>
      </c>
      <c r="Q1" s="4">
        <v>1976</v>
      </c>
      <c r="R1" s="4">
        <v>1977</v>
      </c>
      <c r="S1" s="4">
        <v>1978</v>
      </c>
      <c r="T1" s="4">
        <v>1979</v>
      </c>
      <c r="U1" s="4">
        <v>1980</v>
      </c>
      <c r="V1" s="4">
        <v>1981</v>
      </c>
      <c r="W1" s="4">
        <v>1982</v>
      </c>
      <c r="X1" s="4">
        <v>1983</v>
      </c>
      <c r="Y1" s="4">
        <v>1984</v>
      </c>
      <c r="Z1" s="4">
        <v>1985</v>
      </c>
      <c r="AA1" s="4">
        <v>1986</v>
      </c>
      <c r="AB1" s="4">
        <v>1987</v>
      </c>
      <c r="AC1" s="4">
        <v>1988</v>
      </c>
      <c r="AD1" s="4">
        <v>1989</v>
      </c>
      <c r="AE1" s="4">
        <v>1990</v>
      </c>
      <c r="AF1" s="5">
        <v>1991</v>
      </c>
      <c r="AG1" s="5">
        <v>1992</v>
      </c>
      <c r="AH1" s="5">
        <v>1993</v>
      </c>
      <c r="AI1" s="5">
        <v>1994</v>
      </c>
      <c r="AJ1" s="5">
        <v>1995</v>
      </c>
      <c r="AK1" s="5">
        <v>1996</v>
      </c>
      <c r="AL1" s="5">
        <v>1997</v>
      </c>
      <c r="AM1" s="5">
        <v>1998</v>
      </c>
      <c r="AN1" s="5">
        <v>1999</v>
      </c>
      <c r="AO1" s="5">
        <v>2000</v>
      </c>
      <c r="AP1" s="5">
        <v>2001</v>
      </c>
      <c r="AQ1" s="5">
        <v>2002</v>
      </c>
      <c r="AR1" s="5">
        <v>2003</v>
      </c>
      <c r="AS1" s="5">
        <v>2004</v>
      </c>
      <c r="AT1" s="5">
        <v>2005</v>
      </c>
      <c r="AU1" s="5">
        <v>2006</v>
      </c>
      <c r="AV1" s="5">
        <v>2007</v>
      </c>
      <c r="AW1" s="5">
        <v>2008</v>
      </c>
      <c r="AX1" s="5">
        <v>2009</v>
      </c>
      <c r="AY1" s="5">
        <v>2010</v>
      </c>
      <c r="AZ1" s="5">
        <v>2011</v>
      </c>
      <c r="BA1" s="5">
        <v>2012</v>
      </c>
      <c r="BB1" s="5">
        <v>2013</v>
      </c>
      <c r="BC1" s="5">
        <v>2014</v>
      </c>
      <c r="BD1" s="5">
        <v>2015</v>
      </c>
      <c r="BE1" s="5">
        <v>2016</v>
      </c>
      <c r="BF1" s="5">
        <v>2017</v>
      </c>
      <c r="BG1" s="5">
        <v>2018</v>
      </c>
      <c r="BH1" s="5">
        <v>2019</v>
      </c>
      <c r="BI1" s="5">
        <v>2020</v>
      </c>
      <c r="BJ1" s="5">
        <v>2021</v>
      </c>
      <c r="BK1" s="5">
        <v>2022</v>
      </c>
      <c r="BL1" s="5">
        <v>2023</v>
      </c>
      <c r="BM1" s="5">
        <v>2024</v>
      </c>
      <c r="BN1" s="5">
        <v>2025</v>
      </c>
      <c r="BO1" s="5">
        <v>2026</v>
      </c>
      <c r="BP1" s="5">
        <v>2027</v>
      </c>
      <c r="BQ1" s="5">
        <v>2028</v>
      </c>
      <c r="BR1" s="5">
        <v>2029</v>
      </c>
      <c r="BS1" s="5">
        <v>2030</v>
      </c>
      <c r="BT1" s="5">
        <v>2031</v>
      </c>
      <c r="BU1" s="5">
        <v>2032</v>
      </c>
      <c r="BV1" s="5">
        <v>2033</v>
      </c>
      <c r="BW1" s="5">
        <v>2034</v>
      </c>
      <c r="BX1" s="5">
        <v>2035</v>
      </c>
      <c r="BY1" s="5">
        <v>2036</v>
      </c>
      <c r="BZ1" s="5">
        <v>2037</v>
      </c>
      <c r="CA1" s="5">
        <v>2038</v>
      </c>
      <c r="CB1" s="5">
        <v>2039</v>
      </c>
      <c r="CC1" s="5">
        <v>2040</v>
      </c>
      <c r="CD1" s="5">
        <v>2041</v>
      </c>
      <c r="CE1" s="5">
        <v>2042</v>
      </c>
      <c r="CF1" s="5">
        <v>2043</v>
      </c>
      <c r="CG1" s="5">
        <v>2044</v>
      </c>
      <c r="CH1" s="5">
        <v>2045</v>
      </c>
      <c r="CI1" s="5">
        <v>2046</v>
      </c>
      <c r="CJ1" s="5">
        <v>2047</v>
      </c>
      <c r="CK1" s="5">
        <v>2048</v>
      </c>
      <c r="CL1" s="5">
        <v>2049</v>
      </c>
      <c r="CM1" s="5">
        <v>2050</v>
      </c>
    </row>
    <row r="2" spans="1:91" s="50" customFormat="1" x14ac:dyDescent="0.25">
      <c r="A2" s="50" t="s">
        <v>5</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50">
        <v>2.6047124150016419E-5</v>
      </c>
      <c r="AG2" s="50">
        <v>2.5931820509822103E-5</v>
      </c>
      <c r="AH2" s="50">
        <v>2.5817027287951345E-5</v>
      </c>
      <c r="AI2" s="50">
        <v>2.5702742224918969E-5</v>
      </c>
      <c r="AJ2" s="50">
        <v>2.5588963071241946E-5</v>
      </c>
      <c r="AK2" s="50">
        <v>2.5475687587395098E-5</v>
      </c>
      <c r="AL2" s="50">
        <v>2.5362913543767027E-5</v>
      </c>
      <c r="AM2" s="50">
        <v>2.5250638720616227E-5</v>
      </c>
      <c r="AN2" s="50">
        <v>2.5138860908027395E-5</v>
      </c>
      <c r="AO2" s="50">
        <v>2.5027577905867931E-5</v>
      </c>
      <c r="AP2" s="50">
        <v>2.4916787523744632E-5</v>
      </c>
      <c r="AQ2" s="50">
        <v>2.4806487580960574E-5</v>
      </c>
      <c r="AR2" s="50">
        <v>2.4696675906472202E-5</v>
      </c>
      <c r="AS2" s="50">
        <v>2.4587350338846587E-5</v>
      </c>
      <c r="AT2" s="50">
        <v>2.4478508726218878E-5</v>
      </c>
      <c r="AU2" s="50">
        <v>2.4370148926249962E-5</v>
      </c>
      <c r="AV2" s="50">
        <v>2.4378852289661097E-5</v>
      </c>
      <c r="AW2" s="50">
        <v>2.438755876132302E-5</v>
      </c>
      <c r="AX2" s="50">
        <v>2.4396268342345792E-5</v>
      </c>
      <c r="AY2" s="50">
        <v>2.4404981033839863E-5</v>
      </c>
      <c r="AZ2" s="50">
        <v>2.4413696836916083E-5</v>
      </c>
      <c r="BA2" s="50">
        <v>2.4422415752685697E-5</v>
      </c>
      <c r="BB2" s="50">
        <v>2.443113778226035E-5</v>
      </c>
      <c r="BC2" s="50">
        <v>2.4439862926752079E-5</v>
      </c>
      <c r="BD2" s="50">
        <v>2.4448591187273323E-5</v>
      </c>
      <c r="BE2" s="50">
        <v>2.4457322564936916E-5</v>
      </c>
      <c r="BF2" s="50">
        <v>2.4466057060856087E-5</v>
      </c>
      <c r="BG2" s="50">
        <v>2.4474794676144469E-5</v>
      </c>
      <c r="BH2" s="50">
        <v>2.4483535411916089E-5</v>
      </c>
      <c r="BI2" s="50">
        <v>2.4492279269285369E-5</v>
      </c>
      <c r="BJ2" s="50">
        <v>2.4501026249367136E-5</v>
      </c>
      <c r="BK2" s="50">
        <v>2.4509776353276607E-5</v>
      </c>
      <c r="BL2" s="50">
        <v>2.4518529582129402E-5</v>
      </c>
      <c r="BM2" s="50">
        <v>2.4527285937041538E-5</v>
      </c>
      <c r="BN2" s="50">
        <v>2.4536045419129436E-5</v>
      </c>
      <c r="BO2" s="50">
        <v>2.4544808029509907E-5</v>
      </c>
      <c r="BP2" s="50">
        <v>2.4553573769300165E-5</v>
      </c>
      <c r="BQ2" s="50">
        <v>2.4562342639617823E-5</v>
      </c>
      <c r="BR2" s="50">
        <v>2.4571114641580892E-5</v>
      </c>
      <c r="BS2" s="50">
        <v>2.4579889776307785E-5</v>
      </c>
      <c r="BT2" s="50">
        <v>2.4588668044917313E-5</v>
      </c>
      <c r="BU2" s="50">
        <v>2.4597449448528686E-5</v>
      </c>
      <c r="BV2" s="50">
        <v>2.460623398826151E-5</v>
      </c>
      <c r="BW2" s="50">
        <v>2.4615021665235799E-5</v>
      </c>
      <c r="BX2" s="50">
        <v>2.4623812480571962E-5</v>
      </c>
      <c r="BY2" s="50">
        <v>2.463260643539081E-5</v>
      </c>
      <c r="BZ2" s="50">
        <v>2.4641403530813551E-5</v>
      </c>
      <c r="CA2" s="50">
        <v>2.4650203767961796E-5</v>
      </c>
      <c r="CB2" s="50">
        <v>2.4659007147957558E-5</v>
      </c>
      <c r="CC2" s="50">
        <v>2.4667813671923248E-5</v>
      </c>
      <c r="CD2" s="50">
        <v>2.4676623340981674E-5</v>
      </c>
      <c r="CE2" s="50">
        <v>2.4685436156256055E-5</v>
      </c>
      <c r="CF2" s="50">
        <v>2.4694252118870006E-5</v>
      </c>
      <c r="CG2" s="50">
        <v>2.4703071229947542E-5</v>
      </c>
      <c r="CH2" s="50">
        <v>2.4711893490613081E-5</v>
      </c>
      <c r="CI2" s="50">
        <v>2.4720718901991441E-5</v>
      </c>
      <c r="CJ2" s="50">
        <v>2.4729547465207841E-5</v>
      </c>
      <c r="CK2" s="50">
        <v>2.4738379181387907E-5</v>
      </c>
      <c r="CL2" s="50">
        <v>2.4747214051657664E-5</v>
      </c>
      <c r="CM2" s="50">
        <v>2.4756052077143536E-5</v>
      </c>
    </row>
    <row r="3" spans="1:91" s="50" customFormat="1" x14ac:dyDescent="0.25">
      <c r="A3" s="50" t="s">
        <v>1</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51">
        <v>2.0100000000000001E-4</v>
      </c>
      <c r="AG3" s="51">
        <v>2.0106666666666668E-4</v>
      </c>
      <c r="AH3" s="51">
        <v>2.0113333333333333E-4</v>
      </c>
      <c r="AI3" s="51">
        <v>2.0120000000000001E-4</v>
      </c>
      <c r="AJ3" s="51">
        <v>2.0126666666666666E-4</v>
      </c>
      <c r="AK3" s="51">
        <v>2.0133333333333334E-4</v>
      </c>
      <c r="AL3" s="51">
        <v>2.0140000000000002E-4</v>
      </c>
      <c r="AM3" s="51">
        <v>2.0146666666666667E-4</v>
      </c>
      <c r="AN3" s="51">
        <v>2.0153333333333334E-4</v>
      </c>
      <c r="AO3" s="51">
        <v>2.0159999999999999E-4</v>
      </c>
      <c r="AP3" s="51">
        <v>2.0166666666666667E-4</v>
      </c>
      <c r="AQ3" s="51">
        <v>2.0173333333333335E-4</v>
      </c>
      <c r="AR3" s="51">
        <v>2.018E-4</v>
      </c>
      <c r="AS3" s="51">
        <v>2.0186666666666668E-4</v>
      </c>
      <c r="AT3" s="51">
        <v>2.0193333333333333E-4</v>
      </c>
      <c r="AU3" s="51">
        <v>2.02E-4</v>
      </c>
      <c r="AV3" s="51">
        <v>2.0254166666666668E-4</v>
      </c>
      <c r="AW3" s="51">
        <v>2.0308333333333333E-4</v>
      </c>
      <c r="AX3" s="51">
        <v>2.03625E-4</v>
      </c>
      <c r="AY3" s="51">
        <v>2.0416666666666668E-4</v>
      </c>
      <c r="AZ3" s="51">
        <v>2.0470833333333333E-4</v>
      </c>
      <c r="BA3" s="51">
        <v>2.0525E-4</v>
      </c>
      <c r="BB3" s="51">
        <v>2.0579166666666668E-4</v>
      </c>
      <c r="BC3" s="51">
        <v>2.0633333333333333E-4</v>
      </c>
      <c r="BD3" s="51">
        <v>2.06875E-4</v>
      </c>
      <c r="BE3" s="51">
        <v>2.0741666666666668E-4</v>
      </c>
      <c r="BF3" s="51">
        <v>2.0795833333333332E-4</v>
      </c>
      <c r="BG3" s="51">
        <v>2.085E-4</v>
      </c>
      <c r="BH3" s="51">
        <v>2.0904166666666667E-4</v>
      </c>
      <c r="BI3" s="51">
        <v>2.0958333333333332E-4</v>
      </c>
      <c r="BJ3" s="51">
        <v>2.10125E-4</v>
      </c>
      <c r="BK3" s="51">
        <v>2.1066666666666667E-4</v>
      </c>
      <c r="BL3" s="51">
        <v>2.1120833333333332E-4</v>
      </c>
      <c r="BM3" s="51">
        <v>2.1175E-4</v>
      </c>
      <c r="BN3" s="51">
        <v>2.1229166666666667E-4</v>
      </c>
      <c r="BO3" s="51">
        <v>2.1283333333333332E-4</v>
      </c>
      <c r="BP3" s="51">
        <v>2.13375E-4</v>
      </c>
      <c r="BQ3" s="51">
        <v>2.1391666666666667E-4</v>
      </c>
      <c r="BR3" s="51">
        <v>2.1445833333333332E-4</v>
      </c>
      <c r="BS3" s="51">
        <v>2.1499999999999999E-4</v>
      </c>
      <c r="BT3" s="51">
        <v>2.1535E-4</v>
      </c>
      <c r="BU3" s="51">
        <v>2.1569999999999998E-4</v>
      </c>
      <c r="BV3" s="51">
        <v>2.1604999999999999E-4</v>
      </c>
      <c r="BW3" s="51">
        <v>2.164E-4</v>
      </c>
      <c r="BX3" s="51">
        <v>2.1674999999999998E-4</v>
      </c>
      <c r="BY3" s="51">
        <v>2.1709999999999999E-4</v>
      </c>
      <c r="BZ3" s="51">
        <v>2.1745E-4</v>
      </c>
      <c r="CA3" s="51">
        <v>2.1780000000000001E-4</v>
      </c>
      <c r="CB3" s="51">
        <v>2.1814999999999999E-4</v>
      </c>
      <c r="CC3" s="51">
        <v>2.185E-4</v>
      </c>
      <c r="CD3" s="51">
        <v>2.1885000000000001E-4</v>
      </c>
      <c r="CE3" s="51">
        <v>2.1919999999999999E-4</v>
      </c>
      <c r="CF3" s="51">
        <v>2.1955E-4</v>
      </c>
      <c r="CG3" s="51">
        <v>2.1990000000000001E-4</v>
      </c>
      <c r="CH3" s="51">
        <v>2.2025000000000001E-4</v>
      </c>
      <c r="CI3" s="51">
        <v>2.206E-4</v>
      </c>
      <c r="CJ3" s="51">
        <v>2.2095E-4</v>
      </c>
      <c r="CK3" s="51">
        <v>2.2130000000000001E-4</v>
      </c>
      <c r="CL3" s="51">
        <v>2.2164999999999999E-4</v>
      </c>
      <c r="CM3" s="51">
        <v>2.22E-4</v>
      </c>
    </row>
    <row r="4" spans="1:91" s="50" customFormat="1" x14ac:dyDescent="0.25">
      <c r="A4" s="50" t="s">
        <v>2</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50">
        <v>3.1090007506599416E-5</v>
      </c>
      <c r="AG4" s="50">
        <v>3.1214866974497405E-5</v>
      </c>
      <c r="AH4" s="50">
        <v>3.1340227886041568E-5</v>
      </c>
      <c r="AI4" s="50">
        <v>3.1466092255061819E-5</v>
      </c>
      <c r="AJ4" s="50">
        <v>3.1592462103475722E-5</v>
      </c>
      <c r="AK4" s="50">
        <v>3.1719339461321004E-5</v>
      </c>
      <c r="AL4" s="50">
        <v>3.1846726366788155E-5</v>
      </c>
      <c r="AM4" s="50">
        <v>3.1974624866253171E-5</v>
      </c>
      <c r="AN4" s="50">
        <v>3.2103037014310414E-5</v>
      </c>
      <c r="AO4" s="50">
        <v>3.2231964873805633E-5</v>
      </c>
      <c r="AP4" s="50">
        <v>3.2361410515869112E-5</v>
      </c>
      <c r="AQ4" s="50">
        <v>3.2491376019948906E-5</v>
      </c>
      <c r="AR4" s="50">
        <v>3.2621863473844284E-5</v>
      </c>
      <c r="AS4" s="50">
        <v>3.2752874973739242E-5</v>
      </c>
      <c r="AT4" s="50">
        <v>3.288441262423619E-5</v>
      </c>
      <c r="AU4" s="50">
        <v>3.3016478538389752E-5</v>
      </c>
      <c r="AV4" s="50">
        <v>3.3049495016928139E-5</v>
      </c>
      <c r="AW4" s="50">
        <v>3.3082544511945068E-5</v>
      </c>
      <c r="AX4" s="50">
        <v>3.3115627056457015E-5</v>
      </c>
      <c r="AY4" s="50">
        <v>3.3148742683513472E-5</v>
      </c>
      <c r="AZ4" s="50">
        <v>3.3181891426196984E-5</v>
      </c>
      <c r="BA4" s="50">
        <v>3.3215073317623179E-5</v>
      </c>
      <c r="BB4" s="50">
        <v>3.3248288390940805E-5</v>
      </c>
      <c r="BC4" s="50">
        <v>3.3281536679331748E-5</v>
      </c>
      <c r="BD4" s="50">
        <v>3.3314818216011078E-5</v>
      </c>
      <c r="BE4" s="50">
        <v>3.3348133034227087E-5</v>
      </c>
      <c r="BF4" s="50">
        <v>3.3381481167261313E-5</v>
      </c>
      <c r="BG4" s="50">
        <v>3.3414862648428577E-5</v>
      </c>
      <c r="BH4" s="50">
        <v>3.3448277511077007E-5</v>
      </c>
      <c r="BI4" s="50">
        <v>3.3481725788588084E-5</v>
      </c>
      <c r="BJ4" s="50">
        <v>3.3515207514376674E-5</v>
      </c>
      <c r="BK4" s="50">
        <v>3.3548722721891052E-5</v>
      </c>
      <c r="BL4" s="50">
        <v>3.3582271444612947E-5</v>
      </c>
      <c r="BM4" s="50">
        <v>3.361585371605756E-5</v>
      </c>
      <c r="BN4" s="50">
        <v>3.3649469569773618E-5</v>
      </c>
      <c r="BO4" s="50">
        <v>3.3683119039343394E-5</v>
      </c>
      <c r="BP4" s="50">
        <v>3.3716802158382734E-5</v>
      </c>
      <c r="BQ4" s="50">
        <v>3.3750518960541119E-5</v>
      </c>
      <c r="BR4" s="50">
        <v>3.3784269479501661E-5</v>
      </c>
      <c r="BS4" s="50">
        <v>3.3818053748981164E-5</v>
      </c>
      <c r="BT4" s="50">
        <v>3.3851871802730143E-5</v>
      </c>
      <c r="BU4" s="50">
        <v>3.3885723674532874E-5</v>
      </c>
      <c r="BV4" s="50">
        <v>3.3919609398207405E-5</v>
      </c>
      <c r="BW4" s="50">
        <v>3.3953529007605609E-5</v>
      </c>
      <c r="BX4" s="50">
        <v>3.3987482536613218E-5</v>
      </c>
      <c r="BY4" s="50">
        <v>3.4021470019149833E-5</v>
      </c>
      <c r="BZ4" s="50">
        <v>3.4055491489168982E-5</v>
      </c>
      <c r="CA4" s="50">
        <v>3.4089546980658153E-5</v>
      </c>
      <c r="CB4" s="50">
        <v>3.412363652763881E-5</v>
      </c>
      <c r="CC4" s="50">
        <v>3.4157760164166448E-5</v>
      </c>
      <c r="CD4" s="50">
        <v>3.4191917924330613E-5</v>
      </c>
      <c r="CE4" s="50">
        <v>3.4226109842254942E-5</v>
      </c>
      <c r="CF4" s="50">
        <v>3.4260335952097197E-5</v>
      </c>
      <c r="CG4" s="50">
        <v>3.4294596288049293E-5</v>
      </c>
      <c r="CH4" s="50">
        <v>3.4328890884337344E-5</v>
      </c>
      <c r="CI4" s="50">
        <v>3.4363219775221679E-5</v>
      </c>
      <c r="CJ4" s="50">
        <v>3.4397582994996899E-5</v>
      </c>
      <c r="CK4" s="50">
        <v>3.4431980577991895E-5</v>
      </c>
      <c r="CL4" s="50">
        <v>3.4466412558569886E-5</v>
      </c>
      <c r="CM4" s="50">
        <v>3.4500878971128458E-5</v>
      </c>
    </row>
    <row r="5" spans="1:91" s="50" customFormat="1" x14ac:dyDescent="0.25">
      <c r="A5" s="50" t="s">
        <v>2</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50">
        <v>1.9058062501626263E-5</v>
      </c>
      <c r="AG5" s="50">
        <v>1.9367949696774658E-5</v>
      </c>
      <c r="AH5" s="50">
        <v>1.9682875708104327E-5</v>
      </c>
      <c r="AI5" s="50">
        <v>2.0002922467585699E-5</v>
      </c>
      <c r="AJ5" s="50">
        <v>2.0328173239416362E-5</v>
      </c>
      <c r="AK5" s="50">
        <v>2.0658712641683296E-5</v>
      </c>
      <c r="AL5" s="50">
        <v>2.0994626668377332E-5</v>
      </c>
      <c r="AM5" s="50">
        <v>2.1336002711765583E-5</v>
      </c>
      <c r="AN5" s="50">
        <v>2.1682929585127624E-5</v>
      </c>
      <c r="AO5" s="50">
        <v>2.2035497545861405E-5</v>
      </c>
      <c r="AP5" s="50">
        <v>2.2393798318964842E-5</v>
      </c>
      <c r="AQ5" s="50">
        <v>2.2757925120899231E-5</v>
      </c>
      <c r="AR5" s="50">
        <v>2.3127972683840682E-5</v>
      </c>
      <c r="AS5" s="50">
        <v>2.3504037280325898E-5</v>
      </c>
      <c r="AT5" s="50">
        <v>2.3886216748298676E-5</v>
      </c>
      <c r="AU5" s="50">
        <v>2.4274610516563694E-5</v>
      </c>
      <c r="AV5" s="50">
        <v>2.4444532790179639E-5</v>
      </c>
      <c r="AW5" s="50">
        <v>2.4615644519710897E-5</v>
      </c>
      <c r="AX5" s="50">
        <v>2.4787954031348874E-5</v>
      </c>
      <c r="AY5" s="50">
        <v>2.4961469709568316E-5</v>
      </c>
      <c r="AZ5" s="50">
        <v>2.5136199997535295E-5</v>
      </c>
      <c r="BA5" s="50">
        <v>2.5312153397518044E-5</v>
      </c>
      <c r="BB5" s="50">
        <v>2.5489338471300669E-5</v>
      </c>
      <c r="BC5" s="50">
        <v>2.5667763840599773E-5</v>
      </c>
      <c r="BD5" s="50">
        <v>2.5847438187483973E-5</v>
      </c>
      <c r="BE5" s="50">
        <v>2.6028370254796361E-5</v>
      </c>
      <c r="BF5" s="50">
        <v>2.6210568846579936E-5</v>
      </c>
      <c r="BG5" s="50">
        <v>2.6394042828505995E-5</v>
      </c>
      <c r="BH5" s="50">
        <v>2.6578801128305539E-5</v>
      </c>
      <c r="BI5" s="50">
        <v>2.6764852736203677E-5</v>
      </c>
      <c r="BJ5" s="50">
        <v>2.6952206705357104E-5</v>
      </c>
      <c r="BK5" s="50">
        <v>2.7140872152294603E-5</v>
      </c>
      <c r="BL5" s="50">
        <v>2.7330858257360666E-5</v>
      </c>
      <c r="BM5" s="50">
        <v>2.7522174265162191E-5</v>
      </c>
      <c r="BN5" s="50">
        <v>2.7714829485018327E-5</v>
      </c>
      <c r="BO5" s="50">
        <v>2.7908833291413456E-5</v>
      </c>
      <c r="BP5" s="50">
        <v>2.8104195124453349E-5</v>
      </c>
      <c r="BQ5" s="50">
        <v>2.8300924490324521E-5</v>
      </c>
      <c r="BR5" s="50">
        <v>2.8499030961756792E-5</v>
      </c>
      <c r="BS5" s="50">
        <v>2.8698524178489089E-5</v>
      </c>
      <c r="BT5" s="50">
        <v>2.8899413847738511E-5</v>
      </c>
      <c r="BU5" s="50">
        <v>2.9101709744672679E-5</v>
      </c>
      <c r="BV5" s="50">
        <v>2.9305421712885388E-5</v>
      </c>
      <c r="BW5" s="50">
        <v>2.9510559664875587E-5</v>
      </c>
      <c r="BX5" s="50">
        <v>2.9717133582529715E-5</v>
      </c>
      <c r="BY5" s="50">
        <v>2.9925153517607422E-5</v>
      </c>
      <c r="BZ5" s="50">
        <v>3.0134629592230675E-5</v>
      </c>
      <c r="CA5" s="50">
        <v>3.0345571999376289E-5</v>
      </c>
      <c r="CB5" s="50">
        <v>3.0557991003371919E-5</v>
      </c>
      <c r="CC5" s="50">
        <v>3.0771896940395526E-5</v>
      </c>
      <c r="CD5" s="50">
        <v>3.0987300218978292E-5</v>
      </c>
      <c r="CE5" s="50">
        <v>3.120421132051114E-5</v>
      </c>
      <c r="CF5" s="50">
        <v>3.1422640799754715E-5</v>
      </c>
      <c r="CG5" s="50">
        <v>3.1642599285352998E-5</v>
      </c>
      <c r="CH5" s="50">
        <v>3.1864097480350471E-5</v>
      </c>
      <c r="CI5" s="50">
        <v>3.2087146162712921E-5</v>
      </c>
      <c r="CJ5" s="50">
        <v>3.2311756185851908E-5</v>
      </c>
      <c r="CK5" s="50">
        <v>3.2537938479152873E-5</v>
      </c>
      <c r="CL5" s="50">
        <v>3.2765704048506942E-5</v>
      </c>
      <c r="CM5" s="50">
        <v>3.299506397684649E-5</v>
      </c>
    </row>
    <row r="6" spans="1:91" s="50" customFormat="1" x14ac:dyDescent="0.25">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91" s="50" customFormat="1" x14ac:dyDescent="0.25">
      <c r="A7" s="50" t="s">
        <v>6</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50">
        <v>3.7310549777117386E-5</v>
      </c>
      <c r="AG7" s="51">
        <v>3.7387320455671127E-5</v>
      </c>
      <c r="AH7" s="51">
        <v>3.7464091134224867E-5</v>
      </c>
      <c r="AI7" s="51">
        <v>3.7540861812778601E-5</v>
      </c>
      <c r="AJ7" s="51">
        <v>3.7617632491332342E-5</v>
      </c>
      <c r="AK7" s="51">
        <v>3.7694403169886082E-5</v>
      </c>
      <c r="AL7" s="51">
        <v>3.7771173848439823E-5</v>
      </c>
      <c r="AM7" s="51">
        <v>3.7847944526993563E-5</v>
      </c>
      <c r="AN7" s="51">
        <v>3.7924715205547297E-5</v>
      </c>
      <c r="AO7" s="51">
        <v>3.8001485884101038E-5</v>
      </c>
      <c r="AP7" s="51">
        <v>3.8078256562654778E-5</v>
      </c>
      <c r="AQ7" s="51">
        <v>3.8155027241208519E-5</v>
      </c>
      <c r="AR7" s="51">
        <v>3.823179791976226E-5</v>
      </c>
      <c r="AS7" s="51">
        <v>3.8308568598315993E-5</v>
      </c>
      <c r="AT7" s="51">
        <v>3.8385339276869734E-5</v>
      </c>
      <c r="AU7" s="50">
        <v>3.8462109955423475E-5</v>
      </c>
      <c r="AV7" s="51">
        <v>3.8690126860987058E-5</v>
      </c>
      <c r="AW7" s="51">
        <v>3.8918143766550648E-5</v>
      </c>
      <c r="AX7" s="51">
        <v>3.9146160672114232E-5</v>
      </c>
      <c r="AY7" s="51">
        <v>3.9374177577677815E-5</v>
      </c>
      <c r="AZ7" s="51">
        <v>3.9602194483241399E-5</v>
      </c>
      <c r="BA7" s="51">
        <v>3.9830211388804982E-5</v>
      </c>
      <c r="BB7" s="51">
        <v>4.0058228294368573E-5</v>
      </c>
      <c r="BC7" s="51">
        <v>4.0286245199932156E-5</v>
      </c>
      <c r="BD7" s="51">
        <v>4.051426210549574E-5</v>
      </c>
      <c r="BE7" s="51">
        <v>4.074227901105933E-5</v>
      </c>
      <c r="BF7" s="51">
        <v>4.0970295916622914E-5</v>
      </c>
      <c r="BG7" s="51">
        <v>4.1198312822186497E-5</v>
      </c>
      <c r="BH7" s="51">
        <v>4.1426329727750081E-5</v>
      </c>
      <c r="BI7" s="51">
        <v>4.1654346633313664E-5</v>
      </c>
      <c r="BJ7" s="51">
        <v>4.1882363538877255E-5</v>
      </c>
      <c r="BK7" s="51">
        <v>4.2110380444440838E-5</v>
      </c>
      <c r="BL7" s="51">
        <v>4.2338397350004422E-5</v>
      </c>
      <c r="BM7" s="51">
        <v>4.2566414255568012E-5</v>
      </c>
      <c r="BN7" s="51">
        <v>4.2794431161131595E-5</v>
      </c>
      <c r="BO7" s="51">
        <v>4.3022448066695179E-5</v>
      </c>
      <c r="BP7" s="51">
        <v>4.3250464972258763E-5</v>
      </c>
      <c r="BQ7" s="51">
        <v>4.3478481877822346E-5</v>
      </c>
      <c r="BR7" s="51">
        <v>4.3706498783385936E-5</v>
      </c>
      <c r="BS7" s="50">
        <v>4.393451568894952E-5</v>
      </c>
      <c r="BT7" s="51">
        <v>4.393451568894952E-5</v>
      </c>
      <c r="BU7" s="51">
        <v>4.393451568894952E-5</v>
      </c>
      <c r="BV7" s="51">
        <v>4.393451568894952E-5</v>
      </c>
      <c r="BW7" s="51">
        <v>4.393451568894952E-5</v>
      </c>
      <c r="BX7" s="51">
        <v>4.393451568894952E-5</v>
      </c>
      <c r="BY7" s="51">
        <v>4.393451568894952E-5</v>
      </c>
      <c r="BZ7" s="51">
        <v>4.393451568894952E-5</v>
      </c>
      <c r="CA7" s="51">
        <v>4.393451568894952E-5</v>
      </c>
      <c r="CB7" s="51">
        <v>4.393451568894952E-5</v>
      </c>
      <c r="CC7" s="51">
        <v>4.393451568894952E-5</v>
      </c>
      <c r="CD7" s="51">
        <v>4.393451568894952E-5</v>
      </c>
      <c r="CE7" s="51">
        <v>4.393451568894952E-5</v>
      </c>
      <c r="CF7" s="51">
        <v>4.393451568894952E-5</v>
      </c>
      <c r="CG7" s="51">
        <v>4.393451568894952E-5</v>
      </c>
      <c r="CH7" s="51">
        <v>4.393451568894952E-5</v>
      </c>
      <c r="CI7" s="51">
        <v>4.393451568894952E-5</v>
      </c>
      <c r="CJ7" s="51">
        <v>4.393451568894952E-5</v>
      </c>
      <c r="CK7" s="51">
        <v>4.393451568894952E-5</v>
      </c>
      <c r="CL7" s="51">
        <v>4.393451568894952E-5</v>
      </c>
      <c r="CM7" s="50">
        <v>4.393451568894952E-5</v>
      </c>
    </row>
    <row r="8" spans="1:91" s="50" customFormat="1" x14ac:dyDescent="0.25">
      <c r="A8" s="50" t="s">
        <v>1</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50">
        <v>5.3438335809806834E-5</v>
      </c>
      <c r="AG8" s="51">
        <v>5.3548291233283803E-5</v>
      </c>
      <c r="AH8" s="51">
        <v>5.3658246656760772E-5</v>
      </c>
      <c r="AI8" s="51">
        <v>5.3768202080237741E-5</v>
      </c>
      <c r="AJ8" s="51">
        <v>5.3878157503714709E-5</v>
      </c>
      <c r="AK8" s="51">
        <v>5.3988112927191678E-5</v>
      </c>
      <c r="AL8" s="51">
        <v>5.4098068350668647E-5</v>
      </c>
      <c r="AM8" s="51">
        <v>5.4208023774145616E-5</v>
      </c>
      <c r="AN8" s="51">
        <v>5.4317979197622585E-5</v>
      </c>
      <c r="AO8" s="51">
        <v>5.4427934621099554E-5</v>
      </c>
      <c r="AP8" s="51">
        <v>5.4537890044576523E-5</v>
      </c>
      <c r="AQ8" s="51">
        <v>5.4647845468053492E-5</v>
      </c>
      <c r="AR8" s="51">
        <v>5.4757800891530461E-5</v>
      </c>
      <c r="AS8" s="51">
        <v>5.4867756315007429E-5</v>
      </c>
      <c r="AT8" s="51">
        <v>5.4977711738484398E-5</v>
      </c>
      <c r="AU8" s="50">
        <v>5.5087667161961367E-5</v>
      </c>
      <c r="AV8" s="51">
        <v>5.4915471844219341E-5</v>
      </c>
      <c r="AW8" s="51">
        <v>5.4743276526477322E-5</v>
      </c>
      <c r="AX8" s="51">
        <v>5.4571081208735296E-5</v>
      </c>
      <c r="AY8" s="51">
        <v>5.439888589099327E-5</v>
      </c>
      <c r="AZ8" s="51">
        <v>5.4226690573251244E-5</v>
      </c>
      <c r="BA8" s="51">
        <v>5.4054495255509225E-5</v>
      </c>
      <c r="BB8" s="51">
        <v>5.3882299937767199E-5</v>
      </c>
      <c r="BC8" s="51">
        <v>5.3710104620025173E-5</v>
      </c>
      <c r="BD8" s="51">
        <v>5.3537909302283154E-5</v>
      </c>
      <c r="BE8" s="51">
        <v>5.3365713984541128E-5</v>
      </c>
      <c r="BF8" s="51">
        <v>5.3193518666799102E-5</v>
      </c>
      <c r="BG8" s="51">
        <v>5.3021323349057076E-5</v>
      </c>
      <c r="BH8" s="51">
        <v>5.2849128031315057E-5</v>
      </c>
      <c r="BI8" s="51">
        <v>5.2676932713573031E-5</v>
      </c>
      <c r="BJ8" s="51">
        <v>5.2504737395831005E-5</v>
      </c>
      <c r="BK8" s="51">
        <v>5.2332542078088986E-5</v>
      </c>
      <c r="BL8" s="51">
        <v>5.216034676034696E-5</v>
      </c>
      <c r="BM8" s="51">
        <v>5.1988151442604934E-5</v>
      </c>
      <c r="BN8" s="51">
        <v>5.1815956124862915E-5</v>
      </c>
      <c r="BO8" s="51">
        <v>5.1643760807120889E-5</v>
      </c>
      <c r="BP8" s="51">
        <v>5.1471565489378863E-5</v>
      </c>
      <c r="BQ8" s="51">
        <v>5.1299370171636837E-5</v>
      </c>
      <c r="BR8" s="51">
        <v>5.1127174853894818E-5</v>
      </c>
      <c r="BS8" s="50">
        <v>5.0954979536152792E-5</v>
      </c>
      <c r="BT8" s="51">
        <v>5.0954979536152792E-5</v>
      </c>
      <c r="BU8" s="51">
        <v>5.0954979536152792E-5</v>
      </c>
      <c r="BV8" s="51">
        <v>5.0954979536152792E-5</v>
      </c>
      <c r="BW8" s="51">
        <v>5.0954979536152792E-5</v>
      </c>
      <c r="BX8" s="51">
        <v>5.0954979536152792E-5</v>
      </c>
      <c r="BY8" s="51">
        <v>5.0954979536152792E-5</v>
      </c>
      <c r="BZ8" s="51">
        <v>5.0954979536152792E-5</v>
      </c>
      <c r="CA8" s="51">
        <v>5.0954979536152792E-5</v>
      </c>
      <c r="CB8" s="51">
        <v>5.0954979536152792E-5</v>
      </c>
      <c r="CC8" s="51">
        <v>5.0954979536152792E-5</v>
      </c>
      <c r="CD8" s="51">
        <v>5.0954979536152792E-5</v>
      </c>
      <c r="CE8" s="51">
        <v>5.0954979536152792E-5</v>
      </c>
      <c r="CF8" s="51">
        <v>5.0954979536152792E-5</v>
      </c>
      <c r="CG8" s="51">
        <v>5.0954979536152792E-5</v>
      </c>
      <c r="CH8" s="51">
        <v>5.0954979536152792E-5</v>
      </c>
      <c r="CI8" s="51">
        <v>5.0954979536152792E-5</v>
      </c>
      <c r="CJ8" s="51">
        <v>5.0954979536152792E-5</v>
      </c>
      <c r="CK8" s="51">
        <v>5.0954979536152792E-5</v>
      </c>
      <c r="CL8" s="51">
        <v>5.0954979536152792E-5</v>
      </c>
      <c r="CM8" s="50">
        <v>5.0954979536152792E-5</v>
      </c>
    </row>
    <row r="9" spans="1:91" s="50" customFormat="1" x14ac:dyDescent="0.25">
      <c r="A9" s="50" t="s">
        <v>1</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50">
        <v>3.8032689450222883E-5</v>
      </c>
      <c r="AG9" s="51">
        <v>3.8110946012877659E-5</v>
      </c>
      <c r="AH9" s="51">
        <v>3.8189202575532442E-5</v>
      </c>
      <c r="AI9" s="51">
        <v>3.8267459138187219E-5</v>
      </c>
      <c r="AJ9" s="51">
        <v>3.8345715700842002E-5</v>
      </c>
      <c r="AK9" s="51">
        <v>3.8423972263496778E-5</v>
      </c>
      <c r="AL9" s="51">
        <v>3.8502228826151561E-5</v>
      </c>
      <c r="AM9" s="51">
        <v>3.8580485388806337E-5</v>
      </c>
      <c r="AN9" s="51">
        <v>3.865874195146112E-5</v>
      </c>
      <c r="AO9" s="51">
        <v>3.8736998514115897E-5</v>
      </c>
      <c r="AP9" s="51">
        <v>3.881525507677068E-5</v>
      </c>
      <c r="AQ9" s="51">
        <v>3.8893511639425456E-5</v>
      </c>
      <c r="AR9" s="51">
        <v>3.8971768202080239E-5</v>
      </c>
      <c r="AS9" s="51">
        <v>3.9050024764735016E-5</v>
      </c>
      <c r="AT9" s="51">
        <v>3.9128281327389799E-5</v>
      </c>
      <c r="AU9" s="50">
        <v>3.9206537890044575E-5</v>
      </c>
      <c r="AV9" s="51">
        <v>3.9035528779460066E-5</v>
      </c>
      <c r="AW9" s="51">
        <v>3.8864519668875558E-5</v>
      </c>
      <c r="AX9" s="51">
        <v>3.8693510558291049E-5</v>
      </c>
      <c r="AY9" s="51">
        <v>3.8522501447706541E-5</v>
      </c>
      <c r="AZ9" s="51">
        <v>3.8351492337122032E-5</v>
      </c>
      <c r="BA9" s="51">
        <v>3.8180483226537523E-5</v>
      </c>
      <c r="BB9" s="51">
        <v>3.8009474115953015E-5</v>
      </c>
      <c r="BC9" s="51">
        <v>3.7838465005368506E-5</v>
      </c>
      <c r="BD9" s="51">
        <v>3.7667455894783998E-5</v>
      </c>
      <c r="BE9" s="51">
        <v>3.7496446784199489E-5</v>
      </c>
      <c r="BF9" s="51">
        <v>3.7325437673614981E-5</v>
      </c>
      <c r="BG9" s="51">
        <v>3.7154428563030472E-5</v>
      </c>
      <c r="BH9" s="51">
        <v>3.6983419452445963E-5</v>
      </c>
      <c r="BI9" s="51">
        <v>3.6812410341861455E-5</v>
      </c>
      <c r="BJ9" s="51">
        <v>3.6641401231276946E-5</v>
      </c>
      <c r="BK9" s="51">
        <v>3.6470392120692438E-5</v>
      </c>
      <c r="BL9" s="51">
        <v>3.6299383010107929E-5</v>
      </c>
      <c r="BM9" s="51">
        <v>3.612837389952342E-5</v>
      </c>
      <c r="BN9" s="51">
        <v>3.5957364788938912E-5</v>
      </c>
      <c r="BO9" s="51">
        <v>3.5786355678354403E-5</v>
      </c>
      <c r="BP9" s="51">
        <v>3.5615346567769895E-5</v>
      </c>
      <c r="BQ9" s="51">
        <v>3.5444337457185386E-5</v>
      </c>
      <c r="BR9" s="51">
        <v>3.5273328346600878E-5</v>
      </c>
      <c r="BS9" s="50">
        <v>3.5102319236016369E-5</v>
      </c>
      <c r="BT9" s="51">
        <v>3.5102319236016369E-5</v>
      </c>
      <c r="BU9" s="51">
        <v>3.5102319236016369E-5</v>
      </c>
      <c r="BV9" s="51">
        <v>3.5102319236016369E-5</v>
      </c>
      <c r="BW9" s="51">
        <v>3.5102319236016369E-5</v>
      </c>
      <c r="BX9" s="51">
        <v>3.5102319236016369E-5</v>
      </c>
      <c r="BY9" s="51">
        <v>3.5102319236016369E-5</v>
      </c>
      <c r="BZ9" s="51">
        <v>3.5102319236016369E-5</v>
      </c>
      <c r="CA9" s="51">
        <v>3.5102319236016369E-5</v>
      </c>
      <c r="CB9" s="51">
        <v>3.5102319236016369E-5</v>
      </c>
      <c r="CC9" s="51">
        <v>3.5102319236016369E-5</v>
      </c>
      <c r="CD9" s="51">
        <v>3.5102319236016369E-5</v>
      </c>
      <c r="CE9" s="51">
        <v>3.5102319236016369E-5</v>
      </c>
      <c r="CF9" s="51">
        <v>3.5102319236016369E-5</v>
      </c>
      <c r="CG9" s="51">
        <v>3.5102319236016369E-5</v>
      </c>
      <c r="CH9" s="51">
        <v>3.5102319236016369E-5</v>
      </c>
      <c r="CI9" s="51">
        <v>3.5102319236016369E-5</v>
      </c>
      <c r="CJ9" s="51">
        <v>3.5102319236016369E-5</v>
      </c>
      <c r="CK9" s="51">
        <v>3.5102319236016369E-5</v>
      </c>
      <c r="CL9" s="51">
        <v>3.5102319236016369E-5</v>
      </c>
      <c r="CM9" s="50">
        <v>3.5102319236016369E-5</v>
      </c>
    </row>
    <row r="10" spans="1:91" s="50" customFormat="1" x14ac:dyDescent="0.25">
      <c r="A10" s="50" t="s">
        <v>1</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50">
        <v>3.3218424962852898E-5</v>
      </c>
      <c r="AG10" s="51">
        <v>3.3286775631500744E-5</v>
      </c>
      <c r="AH10" s="51">
        <v>3.3355126300148591E-5</v>
      </c>
      <c r="AI10" s="51">
        <v>3.3423476968796431E-5</v>
      </c>
      <c r="AJ10" s="51">
        <v>3.3491827637444278E-5</v>
      </c>
      <c r="AK10" s="51">
        <v>3.3560178306092124E-5</v>
      </c>
      <c r="AL10" s="51">
        <v>3.3628528974739971E-5</v>
      </c>
      <c r="AM10" s="51">
        <v>3.3696879643387817E-5</v>
      </c>
      <c r="AN10" s="51">
        <v>3.3765230312035657E-5</v>
      </c>
      <c r="AO10" s="51">
        <v>3.3833580980683504E-5</v>
      </c>
      <c r="AP10" s="51">
        <v>3.3901931649331351E-5</v>
      </c>
      <c r="AQ10" s="51">
        <v>3.3970282317979197E-5</v>
      </c>
      <c r="AR10" s="51">
        <v>3.4038632986627044E-5</v>
      </c>
      <c r="AS10" s="51">
        <v>3.4106983655274884E-5</v>
      </c>
      <c r="AT10" s="51">
        <v>3.417533432392273E-5</v>
      </c>
      <c r="AU10" s="50">
        <v>3.4243684992570577E-5</v>
      </c>
      <c r="AV10" s="51">
        <v>3.4317205848666858E-5</v>
      </c>
      <c r="AW10" s="51">
        <v>3.4390726704763139E-5</v>
      </c>
      <c r="AX10" s="51">
        <v>3.446424756085942E-5</v>
      </c>
      <c r="AY10" s="51">
        <v>3.4537768416955701E-5</v>
      </c>
      <c r="AZ10" s="51">
        <v>3.4611289273051982E-5</v>
      </c>
      <c r="BA10" s="51">
        <v>3.4684810129148263E-5</v>
      </c>
      <c r="BB10" s="51">
        <v>3.4758330985244537E-5</v>
      </c>
      <c r="BC10" s="51">
        <v>3.4831851841340818E-5</v>
      </c>
      <c r="BD10" s="51">
        <v>3.4905372697437099E-5</v>
      </c>
      <c r="BE10" s="51">
        <v>3.497889355353338E-5</v>
      </c>
      <c r="BF10" s="51">
        <v>3.5052414409629662E-5</v>
      </c>
      <c r="BG10" s="51">
        <v>3.5125935265725943E-5</v>
      </c>
      <c r="BH10" s="51">
        <v>3.5199456121822224E-5</v>
      </c>
      <c r="BI10" s="51">
        <v>3.5272976977918505E-5</v>
      </c>
      <c r="BJ10" s="51">
        <v>3.5346497834014786E-5</v>
      </c>
      <c r="BK10" s="51">
        <v>3.5420018690111067E-5</v>
      </c>
      <c r="BL10" s="51">
        <v>3.5493539546207348E-5</v>
      </c>
      <c r="BM10" s="51">
        <v>3.5567060402303622E-5</v>
      </c>
      <c r="BN10" s="51">
        <v>3.5640581258399903E-5</v>
      </c>
      <c r="BO10" s="51">
        <v>3.5714102114496184E-5</v>
      </c>
      <c r="BP10" s="51">
        <v>3.5787622970592465E-5</v>
      </c>
      <c r="BQ10" s="51">
        <v>3.5861143826688746E-5</v>
      </c>
      <c r="BR10" s="51">
        <v>3.5934664682785027E-5</v>
      </c>
      <c r="BS10" s="50">
        <v>3.6008185538881308E-5</v>
      </c>
      <c r="BT10" s="51">
        <v>3.6008185538881308E-5</v>
      </c>
      <c r="BU10" s="51">
        <v>3.6008185538881308E-5</v>
      </c>
      <c r="BV10" s="51">
        <v>3.6008185538881308E-5</v>
      </c>
      <c r="BW10" s="51">
        <v>3.6008185538881308E-5</v>
      </c>
      <c r="BX10" s="51">
        <v>3.6008185538881308E-5</v>
      </c>
      <c r="BY10" s="51">
        <v>3.6008185538881308E-5</v>
      </c>
      <c r="BZ10" s="51">
        <v>3.6008185538881308E-5</v>
      </c>
      <c r="CA10" s="51">
        <v>3.6008185538881308E-5</v>
      </c>
      <c r="CB10" s="51">
        <v>3.6008185538881308E-5</v>
      </c>
      <c r="CC10" s="51">
        <v>3.6008185538881308E-5</v>
      </c>
      <c r="CD10" s="51">
        <v>3.6008185538881308E-5</v>
      </c>
      <c r="CE10" s="51">
        <v>3.6008185538881308E-5</v>
      </c>
      <c r="CF10" s="51">
        <v>3.6008185538881308E-5</v>
      </c>
      <c r="CG10" s="51">
        <v>3.6008185538881308E-5</v>
      </c>
      <c r="CH10" s="51">
        <v>3.6008185538881308E-5</v>
      </c>
      <c r="CI10" s="51">
        <v>3.6008185538881308E-5</v>
      </c>
      <c r="CJ10" s="51">
        <v>3.6008185538881308E-5</v>
      </c>
      <c r="CK10" s="51">
        <v>3.6008185538881308E-5</v>
      </c>
      <c r="CL10" s="51">
        <v>3.6008185538881308E-5</v>
      </c>
      <c r="CM10" s="50">
        <v>3.6008185538881308E-5</v>
      </c>
    </row>
    <row r="11" spans="1:91" s="50" customFormat="1" x14ac:dyDescent="0.25">
      <c r="A11" s="50" t="s">
        <v>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50">
        <v>1.5999999999999999E-5</v>
      </c>
      <c r="AG11" s="51">
        <v>1.6200000000000001E-5</v>
      </c>
      <c r="AH11" s="51">
        <v>1.6399999999999999E-5</v>
      </c>
      <c r="AI11" s="51">
        <v>1.66E-5</v>
      </c>
      <c r="AJ11" s="51">
        <v>1.6799999999999998E-5</v>
      </c>
      <c r="AK11" s="51">
        <v>1.7E-5</v>
      </c>
      <c r="AL11" s="51">
        <v>1.7200000000000001E-5</v>
      </c>
      <c r="AM11" s="51">
        <v>1.7399999999999999E-5</v>
      </c>
      <c r="AN11" s="51">
        <v>1.7600000000000001E-5</v>
      </c>
      <c r="AO11" s="51">
        <v>1.7799999999999999E-5</v>
      </c>
      <c r="AP11" s="51">
        <v>1.8E-5</v>
      </c>
      <c r="AQ11" s="51">
        <v>1.8200000000000002E-5</v>
      </c>
      <c r="AR11" s="51">
        <v>1.84E-5</v>
      </c>
      <c r="AS11" s="51">
        <v>1.8600000000000001E-5</v>
      </c>
      <c r="AT11" s="51">
        <v>1.88E-5</v>
      </c>
      <c r="AU11" s="50">
        <v>1.9000000000000001E-5</v>
      </c>
      <c r="AV11" s="51">
        <v>1.9041666666666668E-5</v>
      </c>
      <c r="AW11" s="51">
        <v>1.9083333333333334E-5</v>
      </c>
      <c r="AX11" s="51">
        <v>1.9125000000000001E-5</v>
      </c>
      <c r="AY11" s="51">
        <v>1.9166666666666667E-5</v>
      </c>
      <c r="AZ11" s="51">
        <v>1.9208333333333334E-5</v>
      </c>
      <c r="BA11" s="51">
        <v>1.925E-5</v>
      </c>
      <c r="BB11" s="51">
        <v>1.9291666666666667E-5</v>
      </c>
      <c r="BC11" s="51">
        <v>1.9333333333333333E-5</v>
      </c>
      <c r="BD11" s="51">
        <v>1.9375E-5</v>
      </c>
      <c r="BE11" s="51">
        <v>1.9416666666666667E-5</v>
      </c>
      <c r="BF11" s="51">
        <v>1.9458333333333333E-5</v>
      </c>
      <c r="BG11" s="51">
        <v>1.95E-5</v>
      </c>
      <c r="BH11" s="51">
        <v>1.954166666666667E-5</v>
      </c>
      <c r="BI11" s="51">
        <v>1.9583333333333336E-5</v>
      </c>
      <c r="BJ11" s="51">
        <v>1.9625000000000003E-5</v>
      </c>
      <c r="BK11" s="51">
        <v>1.9666666666666669E-5</v>
      </c>
      <c r="BL11" s="51">
        <v>1.9708333333333336E-5</v>
      </c>
      <c r="BM11" s="51">
        <v>1.9750000000000002E-5</v>
      </c>
      <c r="BN11" s="51">
        <v>1.9791666666666669E-5</v>
      </c>
      <c r="BO11" s="51">
        <v>1.9833333333333335E-5</v>
      </c>
      <c r="BP11" s="51">
        <v>1.9875000000000002E-5</v>
      </c>
      <c r="BQ11" s="51">
        <v>1.9916666666666669E-5</v>
      </c>
      <c r="BR11" s="51">
        <v>1.9958333333333335E-5</v>
      </c>
      <c r="BS11" s="50">
        <v>2.0000000000000002E-5</v>
      </c>
      <c r="BT11" s="51">
        <v>2.0050000000000003E-5</v>
      </c>
      <c r="BU11" s="51">
        <v>2.0100000000000001E-5</v>
      </c>
      <c r="BV11" s="51">
        <v>2.0150000000000002E-5</v>
      </c>
      <c r="BW11" s="51">
        <v>2.02E-5</v>
      </c>
      <c r="BX11" s="51">
        <v>2.0250000000000001E-5</v>
      </c>
      <c r="BY11" s="51">
        <v>2.0300000000000002E-5</v>
      </c>
      <c r="BZ11" s="51">
        <v>2.035E-5</v>
      </c>
      <c r="CA11" s="51">
        <v>2.0400000000000001E-5</v>
      </c>
      <c r="CB11" s="51">
        <v>2.0449999999999999E-5</v>
      </c>
      <c r="CC11" s="51">
        <v>2.05E-5</v>
      </c>
      <c r="CD11" s="51">
        <v>2.0550000000000001E-5</v>
      </c>
      <c r="CE11" s="51">
        <v>2.0599999999999999E-5</v>
      </c>
      <c r="CF11" s="51">
        <v>2.065E-5</v>
      </c>
      <c r="CG11" s="51">
        <v>2.0699999999999998E-5</v>
      </c>
      <c r="CH11" s="51">
        <v>2.075E-5</v>
      </c>
      <c r="CI11" s="51">
        <v>2.0800000000000001E-5</v>
      </c>
      <c r="CJ11" s="51">
        <v>2.0849999999999999E-5</v>
      </c>
      <c r="CK11" s="51">
        <v>2.09E-5</v>
      </c>
      <c r="CL11" s="51">
        <v>2.0949999999999998E-5</v>
      </c>
      <c r="CM11" s="50">
        <v>2.0999999999999999E-5</v>
      </c>
    </row>
    <row r="12" spans="1:91" s="50" customFormat="1" x14ac:dyDescent="0.25">
      <c r="A12" s="50" t="s">
        <v>1</v>
      </c>
      <c r="B12" s="4">
        <v>0</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50">
        <v>3.6000000000000001E-5</v>
      </c>
      <c r="AG12" s="51">
        <v>3.5866666666666667E-5</v>
      </c>
      <c r="AH12" s="51">
        <v>3.5733333333333332E-5</v>
      </c>
      <c r="AI12" s="51">
        <v>3.5599999999999998E-5</v>
      </c>
      <c r="AJ12" s="51">
        <v>3.546666666666667E-5</v>
      </c>
      <c r="AK12" s="51">
        <v>3.5333333333333336E-5</v>
      </c>
      <c r="AL12" s="51">
        <v>3.5200000000000002E-5</v>
      </c>
      <c r="AM12" s="51">
        <v>3.5066666666666667E-5</v>
      </c>
      <c r="AN12" s="51">
        <v>3.4933333333333333E-5</v>
      </c>
      <c r="AO12" s="51">
        <v>3.4799999999999999E-5</v>
      </c>
      <c r="AP12" s="51">
        <v>3.4666666666666665E-5</v>
      </c>
      <c r="AQ12" s="51">
        <v>3.453333333333333E-5</v>
      </c>
      <c r="AR12" s="51">
        <v>3.4400000000000003E-5</v>
      </c>
      <c r="AS12" s="51">
        <v>3.4266666666666668E-5</v>
      </c>
      <c r="AT12" s="51">
        <v>3.4133333333333334E-5</v>
      </c>
      <c r="AU12" s="50">
        <v>3.4E-5</v>
      </c>
      <c r="AV12" s="51">
        <v>3.3958333333333337E-5</v>
      </c>
      <c r="AW12" s="51">
        <v>3.3916666666666667E-5</v>
      </c>
      <c r="AX12" s="51">
        <v>3.3874999999999997E-5</v>
      </c>
      <c r="AY12" s="51">
        <v>3.3833333333333334E-5</v>
      </c>
      <c r="AZ12" s="51">
        <v>3.379166666666667E-5</v>
      </c>
      <c r="BA12" s="51">
        <v>3.375E-5</v>
      </c>
      <c r="BB12" s="51">
        <v>3.370833333333333E-5</v>
      </c>
      <c r="BC12" s="51">
        <v>3.3666666666666667E-5</v>
      </c>
      <c r="BD12" s="51">
        <v>3.3625000000000004E-5</v>
      </c>
      <c r="BE12" s="51">
        <v>3.3583333333333334E-5</v>
      </c>
      <c r="BF12" s="51">
        <v>3.3541666666666664E-5</v>
      </c>
      <c r="BG12" s="51">
        <v>3.3500000000000001E-5</v>
      </c>
      <c r="BH12" s="51">
        <v>3.3458333333333338E-5</v>
      </c>
      <c r="BI12" s="51">
        <v>3.3416666666666668E-5</v>
      </c>
      <c r="BJ12" s="51">
        <v>3.3374999999999998E-5</v>
      </c>
      <c r="BK12" s="51">
        <v>3.3333333333333335E-5</v>
      </c>
      <c r="BL12" s="51">
        <v>3.3291666666666672E-5</v>
      </c>
      <c r="BM12" s="51">
        <v>3.3250000000000002E-5</v>
      </c>
      <c r="BN12" s="51">
        <v>3.3208333333333332E-5</v>
      </c>
      <c r="BO12" s="51">
        <v>3.3166666666666669E-5</v>
      </c>
      <c r="BP12" s="51">
        <v>3.3125000000000006E-5</v>
      </c>
      <c r="BQ12" s="51">
        <v>3.3083333333333336E-5</v>
      </c>
      <c r="BR12" s="51">
        <v>3.3041666666666666E-5</v>
      </c>
      <c r="BS12" s="50">
        <v>3.3000000000000003E-5</v>
      </c>
      <c r="BT12" s="51">
        <v>3.3000000000000003E-5</v>
      </c>
      <c r="BU12" s="51">
        <v>3.3000000000000003E-5</v>
      </c>
      <c r="BV12" s="51">
        <v>3.3000000000000003E-5</v>
      </c>
      <c r="BW12" s="51">
        <v>3.3000000000000003E-5</v>
      </c>
      <c r="BX12" s="51">
        <v>3.3000000000000003E-5</v>
      </c>
      <c r="BY12" s="51">
        <v>3.3000000000000003E-5</v>
      </c>
      <c r="BZ12" s="51">
        <v>3.3000000000000003E-5</v>
      </c>
      <c r="CA12" s="51">
        <v>3.3000000000000003E-5</v>
      </c>
      <c r="CB12" s="51">
        <v>3.3000000000000003E-5</v>
      </c>
      <c r="CC12" s="51">
        <v>3.3000000000000003E-5</v>
      </c>
      <c r="CD12" s="51">
        <v>3.3000000000000003E-5</v>
      </c>
      <c r="CE12" s="51">
        <v>3.3000000000000003E-5</v>
      </c>
      <c r="CF12" s="51">
        <v>3.3000000000000003E-5</v>
      </c>
      <c r="CG12" s="51">
        <v>3.3000000000000003E-5</v>
      </c>
      <c r="CH12" s="51">
        <v>3.3000000000000003E-5</v>
      </c>
      <c r="CI12" s="51">
        <v>3.3000000000000003E-5</v>
      </c>
      <c r="CJ12" s="51">
        <v>3.3000000000000003E-5</v>
      </c>
      <c r="CK12" s="51">
        <v>3.3000000000000003E-5</v>
      </c>
      <c r="CL12" s="51">
        <v>3.3000000000000003E-5</v>
      </c>
      <c r="CM12" s="50">
        <v>3.3000000000000003E-5</v>
      </c>
    </row>
    <row r="13" spans="1:91" s="50" customFormat="1" x14ac:dyDescent="0.25">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spans="1:91" s="50" customFormat="1" x14ac:dyDescent="0.25">
      <c r="A14" s="50" t="s">
        <v>7</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50">
        <v>8.0900000000000001E-5</v>
      </c>
      <c r="AG14" s="51">
        <v>8.0833333333333338E-5</v>
      </c>
      <c r="AH14" s="51">
        <v>8.0766666666666674E-5</v>
      </c>
      <c r="AI14" s="51">
        <v>8.0699999999999996E-5</v>
      </c>
      <c r="AJ14" s="51">
        <v>8.0633333333333333E-5</v>
      </c>
      <c r="AK14" s="51">
        <v>8.0566666666666669E-5</v>
      </c>
      <c r="AL14" s="51">
        <v>8.0500000000000005E-5</v>
      </c>
      <c r="AM14" s="51">
        <v>8.0433333333333341E-5</v>
      </c>
      <c r="AN14" s="51">
        <v>8.0366666666666664E-5</v>
      </c>
      <c r="AO14" s="51">
        <v>8.03E-5</v>
      </c>
      <c r="AP14" s="51">
        <v>8.0233333333333337E-5</v>
      </c>
      <c r="AQ14" s="51">
        <v>8.0166666666666673E-5</v>
      </c>
      <c r="AR14" s="51">
        <v>8.0100000000000009E-5</v>
      </c>
      <c r="AS14" s="51">
        <v>8.0033333333333332E-5</v>
      </c>
      <c r="AT14" s="51">
        <v>7.9966666666666668E-5</v>
      </c>
      <c r="AU14" s="50">
        <v>7.9900000000000004E-5</v>
      </c>
      <c r="AV14" s="51">
        <v>7.9790909090909099E-5</v>
      </c>
      <c r="AW14" s="51">
        <v>7.9681818181818179E-5</v>
      </c>
      <c r="AX14" s="51">
        <v>7.9572727272727274E-5</v>
      </c>
      <c r="AY14" s="51">
        <v>7.9463636363636368E-5</v>
      </c>
      <c r="AZ14" s="51">
        <v>7.9354545454545463E-5</v>
      </c>
      <c r="BA14" s="51">
        <v>7.9245454545454544E-5</v>
      </c>
      <c r="BB14" s="51">
        <v>7.9136363636363638E-5</v>
      </c>
      <c r="BC14" s="51">
        <v>7.9027272727272732E-5</v>
      </c>
      <c r="BD14" s="51">
        <v>7.8918181818181827E-5</v>
      </c>
      <c r="BE14" s="51">
        <v>7.8809090909090908E-5</v>
      </c>
      <c r="BF14" s="51">
        <v>7.8700000000000002E-5</v>
      </c>
      <c r="BG14" s="51">
        <v>7.8590909090909096E-5</v>
      </c>
      <c r="BH14" s="51">
        <v>7.8481818181818177E-5</v>
      </c>
      <c r="BI14" s="51">
        <v>7.8372727272727272E-5</v>
      </c>
      <c r="BJ14" s="51">
        <v>7.8263636363636366E-5</v>
      </c>
      <c r="BK14" s="51">
        <v>7.8154545454545461E-5</v>
      </c>
      <c r="BL14" s="51">
        <v>7.8045454545454541E-5</v>
      </c>
      <c r="BM14" s="51">
        <v>7.7936363636363636E-5</v>
      </c>
      <c r="BN14" s="51">
        <v>7.782727272727273E-5</v>
      </c>
      <c r="BO14" s="51">
        <v>7.7718181818181825E-5</v>
      </c>
      <c r="BP14" s="51">
        <v>7.7609090909090906E-5</v>
      </c>
      <c r="BQ14" s="51">
        <v>7.75E-5</v>
      </c>
      <c r="BR14" s="51">
        <v>7.7390909090909094E-5</v>
      </c>
      <c r="BS14" s="50">
        <v>7.6000000000000004E-5</v>
      </c>
      <c r="BT14" s="51">
        <v>7.5955E-5</v>
      </c>
      <c r="BU14" s="51">
        <v>7.5909999999999997E-5</v>
      </c>
      <c r="BV14" s="51">
        <v>7.5865000000000006E-5</v>
      </c>
      <c r="BW14" s="51">
        <v>7.5820000000000003E-5</v>
      </c>
      <c r="BX14" s="51">
        <v>7.5774999999999999E-5</v>
      </c>
      <c r="BY14" s="51">
        <v>7.5730000000000008E-5</v>
      </c>
      <c r="BZ14" s="51">
        <v>7.5685000000000005E-5</v>
      </c>
      <c r="CA14" s="51">
        <v>7.5640000000000001E-5</v>
      </c>
      <c r="CB14" s="51">
        <v>7.5594999999999997E-5</v>
      </c>
      <c r="CC14" s="51">
        <v>7.5549999999999993E-5</v>
      </c>
      <c r="CD14" s="51">
        <v>7.5505000000000003E-5</v>
      </c>
      <c r="CE14" s="51">
        <v>7.5459999999999999E-5</v>
      </c>
      <c r="CF14" s="51">
        <v>7.5414999999999995E-5</v>
      </c>
      <c r="CG14" s="51">
        <v>7.5370000000000005E-5</v>
      </c>
      <c r="CH14" s="51">
        <v>7.5325000000000001E-5</v>
      </c>
      <c r="CI14" s="51">
        <v>7.5279999999999998E-5</v>
      </c>
      <c r="CJ14" s="51">
        <v>7.5234999999999994E-5</v>
      </c>
      <c r="CK14" s="51">
        <v>7.518999999999999E-5</v>
      </c>
      <c r="CL14" s="51">
        <v>7.5145E-5</v>
      </c>
      <c r="CM14" s="50">
        <v>7.5099999999999996E-5</v>
      </c>
    </row>
    <row r="15" spans="1:91" s="50" customFormat="1" x14ac:dyDescent="0.25">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spans="1:91" s="50" customFormat="1" x14ac:dyDescent="0.25">
      <c r="A16" s="50" t="s">
        <v>195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51">
        <v>2.6047124150016419E-5</v>
      </c>
      <c r="AG16" s="51">
        <v>2.5931820509822103E-5</v>
      </c>
      <c r="AH16" s="51">
        <v>2.5817027287951345E-5</v>
      </c>
      <c r="AI16" s="51">
        <v>2.5702742224918969E-5</v>
      </c>
      <c r="AJ16" s="51">
        <v>2.5588963071241946E-5</v>
      </c>
      <c r="AK16" s="51">
        <v>2.5475687587395098E-5</v>
      </c>
      <c r="AL16" s="51">
        <v>2.5362913543767027E-5</v>
      </c>
      <c r="AM16" s="51">
        <v>2.5250638720616227E-5</v>
      </c>
      <c r="AN16" s="51">
        <v>2.5138860908027395E-5</v>
      </c>
      <c r="AO16" s="51">
        <v>2.5027577905867931E-5</v>
      </c>
      <c r="AP16" s="51">
        <v>2.4916787523744632E-5</v>
      </c>
      <c r="AQ16" s="51">
        <v>2.4806487580960574E-5</v>
      </c>
      <c r="AR16" s="51">
        <v>2.4696675906472202E-5</v>
      </c>
      <c r="AS16" s="51">
        <v>2.4587350338846587E-5</v>
      </c>
      <c r="AT16" s="51">
        <v>2.4478508726218878E-5</v>
      </c>
      <c r="AU16" s="51">
        <v>2.4370148926249962E-5</v>
      </c>
      <c r="AV16" s="51">
        <v>2.4378852289661097E-5</v>
      </c>
      <c r="AW16" s="51">
        <v>2.438755876132302E-5</v>
      </c>
      <c r="AX16" s="51">
        <v>2.4396268342345792E-5</v>
      </c>
      <c r="AY16" s="51">
        <v>2.4404981033839863E-5</v>
      </c>
      <c r="AZ16" s="51">
        <v>2.4413696836916083E-5</v>
      </c>
      <c r="BA16" s="51">
        <v>2.4422415752685697E-5</v>
      </c>
      <c r="BB16" s="51">
        <v>2.443113778226035E-5</v>
      </c>
      <c r="BC16" s="51">
        <v>2.4439862926752079E-5</v>
      </c>
      <c r="BD16" s="51">
        <v>2.4448591187273323E-5</v>
      </c>
      <c r="BE16" s="51">
        <v>2.4457322564936916E-5</v>
      </c>
      <c r="BF16" s="51">
        <v>2.4466057060856087E-5</v>
      </c>
      <c r="BG16" s="51">
        <v>2.4474794676144469E-5</v>
      </c>
      <c r="BH16" s="51">
        <v>2.4483535411916089E-5</v>
      </c>
      <c r="BI16" s="51">
        <v>2.4492279269285369E-5</v>
      </c>
      <c r="BJ16" s="51">
        <v>2.4501026249367136E-5</v>
      </c>
      <c r="BK16" s="51">
        <v>2.4509776353276607E-5</v>
      </c>
      <c r="BL16" s="51">
        <v>2.4518529582129402E-5</v>
      </c>
      <c r="BM16" s="51">
        <v>2.4527285937041538E-5</v>
      </c>
      <c r="BN16" s="51">
        <v>2.4536045419129436E-5</v>
      </c>
      <c r="BO16" s="51">
        <v>2.4544808029509907E-5</v>
      </c>
      <c r="BP16" s="51">
        <v>2.4553573769300165E-5</v>
      </c>
      <c r="BQ16" s="51">
        <v>2.4562342639617823E-5</v>
      </c>
      <c r="BR16" s="51">
        <v>2.4571114641580892E-5</v>
      </c>
      <c r="BS16" s="51">
        <v>2.4579889776307785E-5</v>
      </c>
      <c r="BT16" s="51">
        <v>2.4588668044917313E-5</v>
      </c>
      <c r="BU16" s="51">
        <v>2.4597449448528686E-5</v>
      </c>
      <c r="BV16" s="51">
        <v>2.460623398826151E-5</v>
      </c>
      <c r="BW16" s="51">
        <v>2.4615021665235799E-5</v>
      </c>
      <c r="BX16" s="51">
        <v>2.4623812480571962E-5</v>
      </c>
      <c r="BY16" s="51">
        <v>2.463260643539081E-5</v>
      </c>
      <c r="BZ16" s="51">
        <v>2.4641403530813551E-5</v>
      </c>
      <c r="CA16" s="51">
        <v>2.4650203767961796E-5</v>
      </c>
      <c r="CB16" s="51">
        <v>2.4659007147957558E-5</v>
      </c>
      <c r="CC16" s="51">
        <v>2.4667813671923248E-5</v>
      </c>
      <c r="CD16" s="51">
        <v>2.4676623340981674E-5</v>
      </c>
      <c r="CE16" s="51">
        <v>2.4685436156256055E-5</v>
      </c>
      <c r="CF16" s="51">
        <v>2.4694252118870006E-5</v>
      </c>
      <c r="CG16" s="51">
        <v>2.4703071229947542E-5</v>
      </c>
      <c r="CH16" s="51">
        <v>2.4711893490613081E-5</v>
      </c>
      <c r="CI16" s="51">
        <v>2.4720718901991441E-5</v>
      </c>
      <c r="CJ16" s="51">
        <v>2.4729547465207841E-5</v>
      </c>
      <c r="CK16" s="51">
        <v>2.4738379181387907E-5</v>
      </c>
      <c r="CL16" s="51">
        <v>2.4747214051657664E-5</v>
      </c>
      <c r="CM16" s="51">
        <v>2.4756052077143536E-5</v>
      </c>
    </row>
    <row r="17" spans="1:91" s="50" customFormat="1" x14ac:dyDescent="0.25">
      <c r="A17" s="50" t="s">
        <v>1</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51">
        <v>2.0100000000000001E-4</v>
      </c>
      <c r="AG17" s="51">
        <v>2.0106666666666668E-4</v>
      </c>
      <c r="AH17" s="51">
        <v>2.0113333333333333E-4</v>
      </c>
      <c r="AI17" s="51">
        <v>2.0120000000000001E-4</v>
      </c>
      <c r="AJ17" s="51">
        <v>2.0126666666666666E-4</v>
      </c>
      <c r="AK17" s="51">
        <v>2.0133333333333334E-4</v>
      </c>
      <c r="AL17" s="51">
        <v>2.0140000000000002E-4</v>
      </c>
      <c r="AM17" s="51">
        <v>2.0146666666666667E-4</v>
      </c>
      <c r="AN17" s="51">
        <v>2.0153333333333334E-4</v>
      </c>
      <c r="AO17" s="51">
        <v>2.0159999999999999E-4</v>
      </c>
      <c r="AP17" s="51">
        <v>2.0166666666666667E-4</v>
      </c>
      <c r="AQ17" s="51">
        <v>2.0173333333333335E-4</v>
      </c>
      <c r="AR17" s="51">
        <v>2.018E-4</v>
      </c>
      <c r="AS17" s="51">
        <v>2.0186666666666668E-4</v>
      </c>
      <c r="AT17" s="51">
        <v>2.0193333333333333E-4</v>
      </c>
      <c r="AU17" s="51">
        <v>2.02E-4</v>
      </c>
      <c r="AV17" s="51">
        <v>2.0254166666666668E-4</v>
      </c>
      <c r="AW17" s="51">
        <v>2.0308333333333333E-4</v>
      </c>
      <c r="AX17" s="51">
        <v>2.03625E-4</v>
      </c>
      <c r="AY17" s="51">
        <v>2.0416666666666668E-4</v>
      </c>
      <c r="AZ17" s="51">
        <v>2.0470833333333333E-4</v>
      </c>
      <c r="BA17" s="51">
        <v>2.0525E-4</v>
      </c>
      <c r="BB17" s="51">
        <v>2.0579166666666668E-4</v>
      </c>
      <c r="BC17" s="51">
        <v>2.0633333333333333E-4</v>
      </c>
      <c r="BD17" s="51">
        <v>2.06875E-4</v>
      </c>
      <c r="BE17" s="51">
        <v>2.0741666666666668E-4</v>
      </c>
      <c r="BF17" s="51">
        <v>2.0795833333333332E-4</v>
      </c>
      <c r="BG17" s="51">
        <v>2.085E-4</v>
      </c>
      <c r="BH17" s="51">
        <v>2.0904166666666667E-4</v>
      </c>
      <c r="BI17" s="51">
        <v>2.0958333333333332E-4</v>
      </c>
      <c r="BJ17" s="51">
        <v>2.10125E-4</v>
      </c>
      <c r="BK17" s="51">
        <v>2.1066666666666667E-4</v>
      </c>
      <c r="BL17" s="51">
        <v>2.1120833333333332E-4</v>
      </c>
      <c r="BM17" s="51">
        <v>2.1175E-4</v>
      </c>
      <c r="BN17" s="51">
        <v>2.1229166666666667E-4</v>
      </c>
      <c r="BO17" s="51">
        <v>2.1283333333333332E-4</v>
      </c>
      <c r="BP17" s="51">
        <v>2.13375E-4</v>
      </c>
      <c r="BQ17" s="51">
        <v>2.1391666666666667E-4</v>
      </c>
      <c r="BR17" s="51">
        <v>2.1445833333333332E-4</v>
      </c>
      <c r="BS17" s="51">
        <v>2.1499999999999999E-4</v>
      </c>
      <c r="BT17" s="51">
        <v>2.1535E-4</v>
      </c>
      <c r="BU17" s="51">
        <v>2.1569999999999998E-4</v>
      </c>
      <c r="BV17" s="51">
        <v>2.1604999999999999E-4</v>
      </c>
      <c r="BW17" s="51">
        <v>2.164E-4</v>
      </c>
      <c r="BX17" s="51">
        <v>2.1674999999999998E-4</v>
      </c>
      <c r="BY17" s="51">
        <v>2.1709999999999999E-4</v>
      </c>
      <c r="BZ17" s="51">
        <v>2.1745E-4</v>
      </c>
      <c r="CA17" s="51">
        <v>2.1780000000000001E-4</v>
      </c>
      <c r="CB17" s="51">
        <v>2.1814999999999999E-4</v>
      </c>
      <c r="CC17" s="51">
        <v>2.185E-4</v>
      </c>
      <c r="CD17" s="51">
        <v>2.1885000000000001E-4</v>
      </c>
      <c r="CE17" s="51">
        <v>2.1919999999999999E-4</v>
      </c>
      <c r="CF17" s="51">
        <v>2.1955E-4</v>
      </c>
      <c r="CG17" s="51">
        <v>2.1990000000000001E-4</v>
      </c>
      <c r="CH17" s="51">
        <v>2.2025000000000001E-4</v>
      </c>
      <c r="CI17" s="51">
        <v>2.206E-4</v>
      </c>
      <c r="CJ17" s="51">
        <v>2.2095E-4</v>
      </c>
      <c r="CK17" s="51">
        <v>2.2130000000000001E-4</v>
      </c>
      <c r="CL17" s="51">
        <v>2.2164999999999999E-4</v>
      </c>
      <c r="CM17" s="51">
        <v>2.22E-4</v>
      </c>
    </row>
    <row r="18" spans="1:91" s="50" customFormat="1" x14ac:dyDescent="0.25">
      <c r="A18" s="50" t="s">
        <v>2</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51">
        <v>3.1090007506599416E-5</v>
      </c>
      <c r="AG18" s="51">
        <v>3.1214866974497405E-5</v>
      </c>
      <c r="AH18" s="51">
        <v>3.1340227886041568E-5</v>
      </c>
      <c r="AI18" s="51">
        <v>3.1466092255061819E-5</v>
      </c>
      <c r="AJ18" s="51">
        <v>3.1592462103475722E-5</v>
      </c>
      <c r="AK18" s="51">
        <v>3.1719339461321004E-5</v>
      </c>
      <c r="AL18" s="51">
        <v>3.1846726366788155E-5</v>
      </c>
      <c r="AM18" s="51">
        <v>3.1974624866253171E-5</v>
      </c>
      <c r="AN18" s="51">
        <v>3.2103037014310414E-5</v>
      </c>
      <c r="AO18" s="51">
        <v>3.2231964873805633E-5</v>
      </c>
      <c r="AP18" s="51">
        <v>3.2361410515869112E-5</v>
      </c>
      <c r="AQ18" s="51">
        <v>3.2491376019948906E-5</v>
      </c>
      <c r="AR18" s="51">
        <v>3.2621863473844284E-5</v>
      </c>
      <c r="AS18" s="51">
        <v>3.2752874973739242E-5</v>
      </c>
      <c r="AT18" s="51">
        <v>3.288441262423619E-5</v>
      </c>
      <c r="AU18" s="51">
        <v>3.3016478538389752E-5</v>
      </c>
      <c r="AV18" s="51">
        <v>3.3049495016928139E-5</v>
      </c>
      <c r="AW18" s="51">
        <v>3.3082544511945068E-5</v>
      </c>
      <c r="AX18" s="51">
        <v>3.3115627056457015E-5</v>
      </c>
      <c r="AY18" s="51">
        <v>3.3148742683513472E-5</v>
      </c>
      <c r="AZ18" s="51">
        <v>3.3181891426196984E-5</v>
      </c>
      <c r="BA18" s="51">
        <v>3.3215073317623179E-5</v>
      </c>
      <c r="BB18" s="51">
        <v>3.3248288390940805E-5</v>
      </c>
      <c r="BC18" s="51">
        <v>3.3281536679331748E-5</v>
      </c>
      <c r="BD18" s="51">
        <v>3.3314818216011078E-5</v>
      </c>
      <c r="BE18" s="51">
        <v>3.3348133034227087E-5</v>
      </c>
      <c r="BF18" s="51">
        <v>3.3381481167261313E-5</v>
      </c>
      <c r="BG18" s="51">
        <v>3.3414862648428577E-5</v>
      </c>
      <c r="BH18" s="51">
        <v>3.3448277511077007E-5</v>
      </c>
      <c r="BI18" s="51">
        <v>3.3481725788588084E-5</v>
      </c>
      <c r="BJ18" s="51">
        <v>3.3515207514376674E-5</v>
      </c>
      <c r="BK18" s="51">
        <v>3.3548722721891052E-5</v>
      </c>
      <c r="BL18" s="51">
        <v>3.3582271444612947E-5</v>
      </c>
      <c r="BM18" s="51">
        <v>3.361585371605756E-5</v>
      </c>
      <c r="BN18" s="51">
        <v>3.3649469569773618E-5</v>
      </c>
      <c r="BO18" s="51">
        <v>3.3683119039343394E-5</v>
      </c>
      <c r="BP18" s="51">
        <v>3.3716802158382734E-5</v>
      </c>
      <c r="BQ18" s="51">
        <v>3.3750518960541119E-5</v>
      </c>
      <c r="BR18" s="51">
        <v>3.3784269479501661E-5</v>
      </c>
      <c r="BS18" s="51">
        <v>3.3818053748981164E-5</v>
      </c>
      <c r="BT18" s="51">
        <v>3.3851871802730143E-5</v>
      </c>
      <c r="BU18" s="51">
        <v>3.3885723674532874E-5</v>
      </c>
      <c r="BV18" s="51">
        <v>3.3919609398207405E-5</v>
      </c>
      <c r="BW18" s="51">
        <v>3.3953529007605609E-5</v>
      </c>
      <c r="BX18" s="51">
        <v>3.3987482536613218E-5</v>
      </c>
      <c r="BY18" s="51">
        <v>3.4021470019149833E-5</v>
      </c>
      <c r="BZ18" s="51">
        <v>3.4055491489168982E-5</v>
      </c>
      <c r="CA18" s="51">
        <v>3.4089546980658153E-5</v>
      </c>
      <c r="CB18" s="51">
        <v>3.412363652763881E-5</v>
      </c>
      <c r="CC18" s="51">
        <v>3.4157760164166448E-5</v>
      </c>
      <c r="CD18" s="51">
        <v>3.4191917924330613E-5</v>
      </c>
      <c r="CE18" s="51">
        <v>3.4226109842254942E-5</v>
      </c>
      <c r="CF18" s="51">
        <v>3.4260335952097197E-5</v>
      </c>
      <c r="CG18" s="51">
        <v>3.4294596288049293E-5</v>
      </c>
      <c r="CH18" s="51">
        <v>3.4328890884337344E-5</v>
      </c>
      <c r="CI18" s="51">
        <v>3.4363219775221679E-5</v>
      </c>
      <c r="CJ18" s="51">
        <v>3.4397582994996899E-5</v>
      </c>
      <c r="CK18" s="51">
        <v>3.4431980577991895E-5</v>
      </c>
      <c r="CL18" s="51">
        <v>3.4466412558569886E-5</v>
      </c>
      <c r="CM18" s="51">
        <v>3.4500878971128458E-5</v>
      </c>
    </row>
    <row r="19" spans="1:91" s="50" customFormat="1" x14ac:dyDescent="0.25">
      <c r="A19" s="50" t="s">
        <v>2</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51">
        <v>1.9058062501626263E-5</v>
      </c>
      <c r="AG19" s="51">
        <v>1.9367949696774658E-5</v>
      </c>
      <c r="AH19" s="51">
        <v>1.9682875708104327E-5</v>
      </c>
      <c r="AI19" s="51">
        <v>2.0002922467585699E-5</v>
      </c>
      <c r="AJ19" s="51">
        <v>2.0328173239416362E-5</v>
      </c>
      <c r="AK19" s="51">
        <v>2.0658712641683296E-5</v>
      </c>
      <c r="AL19" s="51">
        <v>2.0994626668377332E-5</v>
      </c>
      <c r="AM19" s="51">
        <v>2.1336002711765583E-5</v>
      </c>
      <c r="AN19" s="51">
        <v>2.1682929585127624E-5</v>
      </c>
      <c r="AO19" s="51">
        <v>2.2035497545861405E-5</v>
      </c>
      <c r="AP19" s="51">
        <v>2.2393798318964842E-5</v>
      </c>
      <c r="AQ19" s="51">
        <v>2.2757925120899231E-5</v>
      </c>
      <c r="AR19" s="51">
        <v>2.3127972683840682E-5</v>
      </c>
      <c r="AS19" s="51">
        <v>2.3504037280325898E-5</v>
      </c>
      <c r="AT19" s="51">
        <v>2.3886216748298676E-5</v>
      </c>
      <c r="AU19" s="51">
        <v>2.4274610516563694E-5</v>
      </c>
      <c r="AV19" s="51">
        <v>2.4444532790179639E-5</v>
      </c>
      <c r="AW19" s="51">
        <v>2.4615644519710897E-5</v>
      </c>
      <c r="AX19" s="51">
        <v>2.4787954031348874E-5</v>
      </c>
      <c r="AY19" s="51">
        <v>2.4961469709568316E-5</v>
      </c>
      <c r="AZ19" s="51">
        <v>2.5136199997535295E-5</v>
      </c>
      <c r="BA19" s="51">
        <v>2.5312153397518044E-5</v>
      </c>
      <c r="BB19" s="51">
        <v>2.5489338471300669E-5</v>
      </c>
      <c r="BC19" s="51">
        <v>2.5667763840599773E-5</v>
      </c>
      <c r="BD19" s="51">
        <v>2.5847438187483973E-5</v>
      </c>
      <c r="BE19" s="51">
        <v>2.6028370254796361E-5</v>
      </c>
      <c r="BF19" s="51">
        <v>2.6210568846579936E-5</v>
      </c>
      <c r="BG19" s="51">
        <v>2.6394042828505995E-5</v>
      </c>
      <c r="BH19" s="51">
        <v>2.6578801128305539E-5</v>
      </c>
      <c r="BI19" s="51">
        <v>2.6764852736203677E-5</v>
      </c>
      <c r="BJ19" s="51">
        <v>2.6952206705357104E-5</v>
      </c>
      <c r="BK19" s="51">
        <v>2.7140872152294603E-5</v>
      </c>
      <c r="BL19" s="51">
        <v>2.7330858257360666E-5</v>
      </c>
      <c r="BM19" s="51">
        <v>2.7522174265162191E-5</v>
      </c>
      <c r="BN19" s="51">
        <v>2.7714829485018327E-5</v>
      </c>
      <c r="BO19" s="51">
        <v>2.7908833291413456E-5</v>
      </c>
      <c r="BP19" s="51">
        <v>2.8104195124453349E-5</v>
      </c>
      <c r="BQ19" s="51">
        <v>2.8300924490324521E-5</v>
      </c>
      <c r="BR19" s="51">
        <v>2.8499030961756792E-5</v>
      </c>
      <c r="BS19" s="51">
        <v>2.8698524178489089E-5</v>
      </c>
      <c r="BT19" s="51">
        <v>2.8899413847738511E-5</v>
      </c>
      <c r="BU19" s="51">
        <v>2.9101709744672679E-5</v>
      </c>
      <c r="BV19" s="51">
        <v>2.9305421712885388E-5</v>
      </c>
      <c r="BW19" s="51">
        <v>2.9510559664875587E-5</v>
      </c>
      <c r="BX19" s="51">
        <v>2.9717133582529715E-5</v>
      </c>
      <c r="BY19" s="51">
        <v>2.9925153517607422E-5</v>
      </c>
      <c r="BZ19" s="51">
        <v>3.0134629592230675E-5</v>
      </c>
      <c r="CA19" s="51">
        <v>3.0345571999376289E-5</v>
      </c>
      <c r="CB19" s="51">
        <v>3.0557991003371919E-5</v>
      </c>
      <c r="CC19" s="51">
        <v>3.0771896940395526E-5</v>
      </c>
      <c r="CD19" s="51">
        <v>3.0987300218978292E-5</v>
      </c>
      <c r="CE19" s="51">
        <v>3.120421132051114E-5</v>
      </c>
      <c r="CF19" s="51">
        <v>3.1422640799754715E-5</v>
      </c>
      <c r="CG19" s="51">
        <v>3.1642599285352998E-5</v>
      </c>
      <c r="CH19" s="51">
        <v>3.1864097480350471E-5</v>
      </c>
      <c r="CI19" s="51">
        <v>3.2087146162712921E-5</v>
      </c>
      <c r="CJ19" s="51">
        <v>3.2311756185851908E-5</v>
      </c>
      <c r="CK19" s="51">
        <v>3.2537938479152873E-5</v>
      </c>
      <c r="CL19" s="51">
        <v>3.2765704048506942E-5</v>
      </c>
      <c r="CM19" s="51">
        <v>3.299506397684649E-5</v>
      </c>
    </row>
    <row r="20" spans="1:91" s="50" customFormat="1" x14ac:dyDescent="0.25">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1:91" s="50" customFormat="1" x14ac:dyDescent="0.25">
      <c r="A21" s="50" t="s">
        <v>196</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51">
        <v>3.7310549777117386E-5</v>
      </c>
      <c r="AG21" s="51">
        <v>3.7387320455671127E-5</v>
      </c>
      <c r="AH21" s="51">
        <v>3.7464091134224867E-5</v>
      </c>
      <c r="AI21" s="51">
        <v>3.7540861812778601E-5</v>
      </c>
      <c r="AJ21" s="51">
        <v>3.7617632491332342E-5</v>
      </c>
      <c r="AK21" s="51">
        <v>3.7694403169886082E-5</v>
      </c>
      <c r="AL21" s="51">
        <v>3.7771173848439823E-5</v>
      </c>
      <c r="AM21" s="51">
        <v>3.7847944526993563E-5</v>
      </c>
      <c r="AN21" s="51">
        <v>3.7924715205547297E-5</v>
      </c>
      <c r="AO21" s="51">
        <v>3.8001485884101038E-5</v>
      </c>
      <c r="AP21" s="51">
        <v>3.8078256562654778E-5</v>
      </c>
      <c r="AQ21" s="51">
        <v>3.8155027241208519E-5</v>
      </c>
      <c r="AR21" s="51">
        <v>3.823179791976226E-5</v>
      </c>
      <c r="AS21" s="51">
        <v>3.8308568598315993E-5</v>
      </c>
      <c r="AT21" s="51">
        <v>3.8385339276869734E-5</v>
      </c>
      <c r="AU21" s="51">
        <v>3.8462109955423475E-5</v>
      </c>
      <c r="AV21" s="51">
        <v>3.8690126860987058E-5</v>
      </c>
      <c r="AW21" s="51">
        <v>3.8918143766550648E-5</v>
      </c>
      <c r="AX21" s="51">
        <v>3.9146160672114232E-5</v>
      </c>
      <c r="AY21" s="51">
        <v>3.9374177577677815E-5</v>
      </c>
      <c r="AZ21" s="51">
        <v>3.9602194483241399E-5</v>
      </c>
      <c r="BA21" s="51">
        <v>3.9830211388804982E-5</v>
      </c>
      <c r="BB21" s="51">
        <v>4.0058228294368573E-5</v>
      </c>
      <c r="BC21" s="51">
        <v>4.0286245199932156E-5</v>
      </c>
      <c r="BD21" s="51">
        <v>4.051426210549574E-5</v>
      </c>
      <c r="BE21" s="51">
        <v>4.074227901105933E-5</v>
      </c>
      <c r="BF21" s="51">
        <v>4.0970295916622914E-5</v>
      </c>
      <c r="BG21" s="51">
        <v>4.1198312822186497E-5</v>
      </c>
      <c r="BH21" s="51">
        <v>4.1426329727750081E-5</v>
      </c>
      <c r="BI21" s="51">
        <v>4.1654346633313664E-5</v>
      </c>
      <c r="BJ21" s="51">
        <v>4.1882363538877255E-5</v>
      </c>
      <c r="BK21" s="51">
        <v>4.2110380444440838E-5</v>
      </c>
      <c r="BL21" s="51">
        <v>4.2338397350004422E-5</v>
      </c>
      <c r="BM21" s="51">
        <v>4.2566414255568012E-5</v>
      </c>
      <c r="BN21" s="51">
        <v>4.2794431161131595E-5</v>
      </c>
      <c r="BO21" s="51">
        <v>4.3022448066695179E-5</v>
      </c>
      <c r="BP21" s="51">
        <v>4.3250464972258763E-5</v>
      </c>
      <c r="BQ21" s="51">
        <v>4.3478481877822346E-5</v>
      </c>
      <c r="BR21" s="51">
        <v>4.3706498783385936E-5</v>
      </c>
      <c r="BS21" s="51">
        <v>4.393451568894952E-5</v>
      </c>
      <c r="BT21" s="51">
        <v>4.393451568894952E-5</v>
      </c>
      <c r="BU21" s="51">
        <v>4.393451568894952E-5</v>
      </c>
      <c r="BV21" s="51">
        <v>4.393451568894952E-5</v>
      </c>
      <c r="BW21" s="51">
        <v>4.393451568894952E-5</v>
      </c>
      <c r="BX21" s="51">
        <v>4.393451568894952E-5</v>
      </c>
      <c r="BY21" s="51">
        <v>4.393451568894952E-5</v>
      </c>
      <c r="BZ21" s="51">
        <v>4.393451568894952E-5</v>
      </c>
      <c r="CA21" s="51">
        <v>4.393451568894952E-5</v>
      </c>
      <c r="CB21" s="51">
        <v>4.393451568894952E-5</v>
      </c>
      <c r="CC21" s="51">
        <v>4.393451568894952E-5</v>
      </c>
      <c r="CD21" s="51">
        <v>4.393451568894952E-5</v>
      </c>
      <c r="CE21" s="51">
        <v>4.393451568894952E-5</v>
      </c>
      <c r="CF21" s="51">
        <v>4.393451568894952E-5</v>
      </c>
      <c r="CG21" s="51">
        <v>4.393451568894952E-5</v>
      </c>
      <c r="CH21" s="51">
        <v>4.393451568894952E-5</v>
      </c>
      <c r="CI21" s="51">
        <v>4.393451568894952E-5</v>
      </c>
      <c r="CJ21" s="51">
        <v>4.393451568894952E-5</v>
      </c>
      <c r="CK21" s="51">
        <v>4.393451568894952E-5</v>
      </c>
      <c r="CL21" s="51">
        <v>4.393451568894952E-5</v>
      </c>
      <c r="CM21" s="51">
        <v>4.393451568894952E-5</v>
      </c>
    </row>
    <row r="22" spans="1:91" s="50" customFormat="1" x14ac:dyDescent="0.25">
      <c r="A22" s="50" t="s">
        <v>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51">
        <v>5.3438335809806834E-5</v>
      </c>
      <c r="AG22" s="51">
        <v>5.3548291233283803E-5</v>
      </c>
      <c r="AH22" s="51">
        <v>5.3658246656760772E-5</v>
      </c>
      <c r="AI22" s="51">
        <v>5.3768202080237741E-5</v>
      </c>
      <c r="AJ22" s="51">
        <v>5.3878157503714709E-5</v>
      </c>
      <c r="AK22" s="51">
        <v>5.3988112927191678E-5</v>
      </c>
      <c r="AL22" s="51">
        <v>5.4098068350668647E-5</v>
      </c>
      <c r="AM22" s="51">
        <v>5.4208023774145616E-5</v>
      </c>
      <c r="AN22" s="51">
        <v>5.4317979197622585E-5</v>
      </c>
      <c r="AO22" s="51">
        <v>5.4427934621099554E-5</v>
      </c>
      <c r="AP22" s="51">
        <v>5.4537890044576523E-5</v>
      </c>
      <c r="AQ22" s="51">
        <v>5.4647845468053492E-5</v>
      </c>
      <c r="AR22" s="51">
        <v>5.4757800891530461E-5</v>
      </c>
      <c r="AS22" s="51">
        <v>5.4867756315007429E-5</v>
      </c>
      <c r="AT22" s="51">
        <v>5.4977711738484398E-5</v>
      </c>
      <c r="AU22" s="51">
        <v>5.5087667161961367E-5</v>
      </c>
      <c r="AV22" s="51">
        <v>5.4915471844219341E-5</v>
      </c>
      <c r="AW22" s="51">
        <v>5.4743276526477322E-5</v>
      </c>
      <c r="AX22" s="51">
        <v>5.4571081208735296E-5</v>
      </c>
      <c r="AY22" s="51">
        <v>5.439888589099327E-5</v>
      </c>
      <c r="AZ22" s="51">
        <v>5.4226690573251244E-5</v>
      </c>
      <c r="BA22" s="51">
        <v>5.4054495255509225E-5</v>
      </c>
      <c r="BB22" s="51">
        <v>5.3882299937767199E-5</v>
      </c>
      <c r="BC22" s="51">
        <v>5.3710104620025173E-5</v>
      </c>
      <c r="BD22" s="51">
        <v>5.3537909302283154E-5</v>
      </c>
      <c r="BE22" s="51">
        <v>5.3365713984541128E-5</v>
      </c>
      <c r="BF22" s="51">
        <v>5.3193518666799102E-5</v>
      </c>
      <c r="BG22" s="51">
        <v>5.3021323349057076E-5</v>
      </c>
      <c r="BH22" s="51">
        <v>5.2849128031315057E-5</v>
      </c>
      <c r="BI22" s="51">
        <v>5.2676932713573031E-5</v>
      </c>
      <c r="BJ22" s="51">
        <v>5.2504737395831005E-5</v>
      </c>
      <c r="BK22" s="51">
        <v>5.2332542078088986E-5</v>
      </c>
      <c r="BL22" s="51">
        <v>5.216034676034696E-5</v>
      </c>
      <c r="BM22" s="51">
        <v>5.1988151442604934E-5</v>
      </c>
      <c r="BN22" s="51">
        <v>5.1815956124862915E-5</v>
      </c>
      <c r="BO22" s="51">
        <v>5.1643760807120889E-5</v>
      </c>
      <c r="BP22" s="51">
        <v>5.1471565489378863E-5</v>
      </c>
      <c r="BQ22" s="51">
        <v>5.1299370171636837E-5</v>
      </c>
      <c r="BR22" s="51">
        <v>5.1127174853894818E-5</v>
      </c>
      <c r="BS22" s="51">
        <v>5.0954979536152792E-5</v>
      </c>
      <c r="BT22" s="51">
        <v>5.0954979536152792E-5</v>
      </c>
      <c r="BU22" s="51">
        <v>5.0954979536152792E-5</v>
      </c>
      <c r="BV22" s="51">
        <v>5.0954979536152792E-5</v>
      </c>
      <c r="BW22" s="51">
        <v>5.0954979536152792E-5</v>
      </c>
      <c r="BX22" s="51">
        <v>5.0954979536152792E-5</v>
      </c>
      <c r="BY22" s="51">
        <v>5.0954979536152792E-5</v>
      </c>
      <c r="BZ22" s="51">
        <v>5.0954979536152792E-5</v>
      </c>
      <c r="CA22" s="51">
        <v>5.0954979536152792E-5</v>
      </c>
      <c r="CB22" s="51">
        <v>5.0954979536152792E-5</v>
      </c>
      <c r="CC22" s="51">
        <v>5.0954979536152792E-5</v>
      </c>
      <c r="CD22" s="51">
        <v>5.0954979536152792E-5</v>
      </c>
      <c r="CE22" s="51">
        <v>5.0954979536152792E-5</v>
      </c>
      <c r="CF22" s="51">
        <v>5.0954979536152792E-5</v>
      </c>
      <c r="CG22" s="51">
        <v>5.0954979536152792E-5</v>
      </c>
      <c r="CH22" s="51">
        <v>5.0954979536152792E-5</v>
      </c>
      <c r="CI22" s="51">
        <v>5.0954979536152792E-5</v>
      </c>
      <c r="CJ22" s="51">
        <v>5.0954979536152792E-5</v>
      </c>
      <c r="CK22" s="51">
        <v>5.0954979536152792E-5</v>
      </c>
      <c r="CL22" s="51">
        <v>5.0954979536152792E-5</v>
      </c>
      <c r="CM22" s="51">
        <v>5.0954979536152792E-5</v>
      </c>
    </row>
    <row r="23" spans="1:91" s="50" customFormat="1" x14ac:dyDescent="0.25">
      <c r="A23" s="50" t="s">
        <v>1</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51">
        <v>3.8032689450222883E-5</v>
      </c>
      <c r="AG23" s="51">
        <v>3.8110946012877659E-5</v>
      </c>
      <c r="AH23" s="51">
        <v>3.8189202575532442E-5</v>
      </c>
      <c r="AI23" s="51">
        <v>3.8267459138187219E-5</v>
      </c>
      <c r="AJ23" s="51">
        <v>3.8345715700842002E-5</v>
      </c>
      <c r="AK23" s="51">
        <v>3.8423972263496778E-5</v>
      </c>
      <c r="AL23" s="51">
        <v>3.8502228826151561E-5</v>
      </c>
      <c r="AM23" s="51">
        <v>3.8580485388806337E-5</v>
      </c>
      <c r="AN23" s="51">
        <v>3.865874195146112E-5</v>
      </c>
      <c r="AO23" s="51">
        <v>3.8736998514115897E-5</v>
      </c>
      <c r="AP23" s="51">
        <v>3.881525507677068E-5</v>
      </c>
      <c r="AQ23" s="51">
        <v>3.8893511639425456E-5</v>
      </c>
      <c r="AR23" s="51">
        <v>3.8971768202080239E-5</v>
      </c>
      <c r="AS23" s="51">
        <v>3.9050024764735016E-5</v>
      </c>
      <c r="AT23" s="51">
        <v>3.9128281327389799E-5</v>
      </c>
      <c r="AU23" s="51">
        <v>3.9206537890044575E-5</v>
      </c>
      <c r="AV23" s="51">
        <v>3.9035528779460066E-5</v>
      </c>
      <c r="AW23" s="51">
        <v>3.8864519668875558E-5</v>
      </c>
      <c r="AX23" s="51">
        <v>3.8693510558291049E-5</v>
      </c>
      <c r="AY23" s="51">
        <v>3.8522501447706541E-5</v>
      </c>
      <c r="AZ23" s="51">
        <v>3.8351492337122032E-5</v>
      </c>
      <c r="BA23" s="51">
        <v>3.8180483226537523E-5</v>
      </c>
      <c r="BB23" s="51">
        <v>3.8009474115953015E-5</v>
      </c>
      <c r="BC23" s="51">
        <v>3.7838465005368506E-5</v>
      </c>
      <c r="BD23" s="51">
        <v>3.7667455894783998E-5</v>
      </c>
      <c r="BE23" s="51">
        <v>3.7496446784199489E-5</v>
      </c>
      <c r="BF23" s="51">
        <v>3.7325437673614981E-5</v>
      </c>
      <c r="BG23" s="51">
        <v>3.7154428563030472E-5</v>
      </c>
      <c r="BH23" s="51">
        <v>3.6983419452445963E-5</v>
      </c>
      <c r="BI23" s="51">
        <v>3.6812410341861455E-5</v>
      </c>
      <c r="BJ23" s="51">
        <v>3.6641401231276946E-5</v>
      </c>
      <c r="BK23" s="51">
        <v>3.6470392120692438E-5</v>
      </c>
      <c r="BL23" s="51">
        <v>3.6299383010107929E-5</v>
      </c>
      <c r="BM23" s="51">
        <v>3.612837389952342E-5</v>
      </c>
      <c r="BN23" s="51">
        <v>3.5957364788938912E-5</v>
      </c>
      <c r="BO23" s="51">
        <v>3.5786355678354403E-5</v>
      </c>
      <c r="BP23" s="51">
        <v>3.5615346567769895E-5</v>
      </c>
      <c r="BQ23" s="51">
        <v>3.5444337457185386E-5</v>
      </c>
      <c r="BR23" s="51">
        <v>3.5273328346600878E-5</v>
      </c>
      <c r="BS23" s="51">
        <v>3.5102319236016369E-5</v>
      </c>
      <c r="BT23" s="51">
        <v>3.5102319236016369E-5</v>
      </c>
      <c r="BU23" s="51">
        <v>3.5102319236016369E-5</v>
      </c>
      <c r="BV23" s="51">
        <v>3.5102319236016369E-5</v>
      </c>
      <c r="BW23" s="51">
        <v>3.5102319236016369E-5</v>
      </c>
      <c r="BX23" s="51">
        <v>3.5102319236016369E-5</v>
      </c>
      <c r="BY23" s="51">
        <v>3.5102319236016369E-5</v>
      </c>
      <c r="BZ23" s="51">
        <v>3.5102319236016369E-5</v>
      </c>
      <c r="CA23" s="51">
        <v>3.5102319236016369E-5</v>
      </c>
      <c r="CB23" s="51">
        <v>3.5102319236016369E-5</v>
      </c>
      <c r="CC23" s="51">
        <v>3.5102319236016369E-5</v>
      </c>
      <c r="CD23" s="51">
        <v>3.5102319236016369E-5</v>
      </c>
      <c r="CE23" s="51">
        <v>3.5102319236016369E-5</v>
      </c>
      <c r="CF23" s="51">
        <v>3.5102319236016369E-5</v>
      </c>
      <c r="CG23" s="51">
        <v>3.5102319236016369E-5</v>
      </c>
      <c r="CH23" s="51">
        <v>3.5102319236016369E-5</v>
      </c>
      <c r="CI23" s="51">
        <v>3.5102319236016369E-5</v>
      </c>
      <c r="CJ23" s="51">
        <v>3.5102319236016369E-5</v>
      </c>
      <c r="CK23" s="51">
        <v>3.5102319236016369E-5</v>
      </c>
      <c r="CL23" s="51">
        <v>3.5102319236016369E-5</v>
      </c>
      <c r="CM23" s="51">
        <v>3.5102319236016369E-5</v>
      </c>
    </row>
    <row r="24" spans="1:91" s="50" customFormat="1" x14ac:dyDescent="0.25">
      <c r="A24" s="50" t="s">
        <v>1</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51">
        <v>3.3218424962852898E-5</v>
      </c>
      <c r="AG24" s="51">
        <v>3.3286775631500744E-5</v>
      </c>
      <c r="AH24" s="51">
        <v>3.3355126300148591E-5</v>
      </c>
      <c r="AI24" s="51">
        <v>3.3423476968796431E-5</v>
      </c>
      <c r="AJ24" s="51">
        <v>3.3491827637444278E-5</v>
      </c>
      <c r="AK24" s="51">
        <v>3.3560178306092124E-5</v>
      </c>
      <c r="AL24" s="51">
        <v>3.3628528974739971E-5</v>
      </c>
      <c r="AM24" s="51">
        <v>3.3696879643387817E-5</v>
      </c>
      <c r="AN24" s="51">
        <v>3.3765230312035657E-5</v>
      </c>
      <c r="AO24" s="51">
        <v>3.3833580980683504E-5</v>
      </c>
      <c r="AP24" s="51">
        <v>3.3901931649331351E-5</v>
      </c>
      <c r="AQ24" s="51">
        <v>3.3970282317979197E-5</v>
      </c>
      <c r="AR24" s="51">
        <v>3.4038632986627044E-5</v>
      </c>
      <c r="AS24" s="51">
        <v>3.4106983655274884E-5</v>
      </c>
      <c r="AT24" s="51">
        <v>3.417533432392273E-5</v>
      </c>
      <c r="AU24" s="51">
        <v>3.4243684992570577E-5</v>
      </c>
      <c r="AV24" s="51">
        <v>3.4317205848666858E-5</v>
      </c>
      <c r="AW24" s="51">
        <v>3.4390726704763139E-5</v>
      </c>
      <c r="AX24" s="51">
        <v>3.446424756085942E-5</v>
      </c>
      <c r="AY24" s="51">
        <v>3.4537768416955701E-5</v>
      </c>
      <c r="AZ24" s="51">
        <v>3.4611289273051982E-5</v>
      </c>
      <c r="BA24" s="51">
        <v>3.4684810129148263E-5</v>
      </c>
      <c r="BB24" s="51">
        <v>3.4758330985244537E-5</v>
      </c>
      <c r="BC24" s="51">
        <v>3.4831851841340818E-5</v>
      </c>
      <c r="BD24" s="51">
        <v>3.4905372697437099E-5</v>
      </c>
      <c r="BE24" s="51">
        <v>3.497889355353338E-5</v>
      </c>
      <c r="BF24" s="51">
        <v>3.5052414409629662E-5</v>
      </c>
      <c r="BG24" s="51">
        <v>3.5125935265725943E-5</v>
      </c>
      <c r="BH24" s="51">
        <v>3.5199456121822224E-5</v>
      </c>
      <c r="BI24" s="51">
        <v>3.5272976977918505E-5</v>
      </c>
      <c r="BJ24" s="51">
        <v>3.5346497834014786E-5</v>
      </c>
      <c r="BK24" s="51">
        <v>3.5420018690111067E-5</v>
      </c>
      <c r="BL24" s="51">
        <v>3.5493539546207348E-5</v>
      </c>
      <c r="BM24" s="51">
        <v>3.5567060402303622E-5</v>
      </c>
      <c r="BN24" s="51">
        <v>3.5640581258399903E-5</v>
      </c>
      <c r="BO24" s="51">
        <v>3.5714102114496184E-5</v>
      </c>
      <c r="BP24" s="51">
        <v>3.5787622970592465E-5</v>
      </c>
      <c r="BQ24" s="51">
        <v>3.5861143826688746E-5</v>
      </c>
      <c r="BR24" s="51">
        <v>3.5934664682785027E-5</v>
      </c>
      <c r="BS24" s="51">
        <v>3.6008185538881308E-5</v>
      </c>
      <c r="BT24" s="51">
        <v>3.6008185538881308E-5</v>
      </c>
      <c r="BU24" s="51">
        <v>3.6008185538881308E-5</v>
      </c>
      <c r="BV24" s="51">
        <v>3.6008185538881308E-5</v>
      </c>
      <c r="BW24" s="51">
        <v>3.6008185538881308E-5</v>
      </c>
      <c r="BX24" s="51">
        <v>3.6008185538881308E-5</v>
      </c>
      <c r="BY24" s="51">
        <v>3.6008185538881308E-5</v>
      </c>
      <c r="BZ24" s="51">
        <v>3.6008185538881308E-5</v>
      </c>
      <c r="CA24" s="51">
        <v>3.6008185538881308E-5</v>
      </c>
      <c r="CB24" s="51">
        <v>3.6008185538881308E-5</v>
      </c>
      <c r="CC24" s="51">
        <v>3.6008185538881308E-5</v>
      </c>
      <c r="CD24" s="51">
        <v>3.6008185538881308E-5</v>
      </c>
      <c r="CE24" s="51">
        <v>3.6008185538881308E-5</v>
      </c>
      <c r="CF24" s="51">
        <v>3.6008185538881308E-5</v>
      </c>
      <c r="CG24" s="51">
        <v>3.6008185538881308E-5</v>
      </c>
      <c r="CH24" s="51">
        <v>3.6008185538881308E-5</v>
      </c>
      <c r="CI24" s="51">
        <v>3.6008185538881308E-5</v>
      </c>
      <c r="CJ24" s="51">
        <v>3.6008185538881308E-5</v>
      </c>
      <c r="CK24" s="51">
        <v>3.6008185538881308E-5</v>
      </c>
      <c r="CL24" s="51">
        <v>3.6008185538881308E-5</v>
      </c>
      <c r="CM24" s="51">
        <v>3.6008185538881308E-5</v>
      </c>
    </row>
    <row r="25" spans="1:91" s="50" customFormat="1" x14ac:dyDescent="0.25">
      <c r="A25" s="50" t="s">
        <v>1</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51">
        <v>1.5999999999999999E-5</v>
      </c>
      <c r="AG25" s="51">
        <v>1.6200000000000001E-5</v>
      </c>
      <c r="AH25" s="51">
        <v>1.6399999999999999E-5</v>
      </c>
      <c r="AI25" s="51">
        <v>1.66E-5</v>
      </c>
      <c r="AJ25" s="51">
        <v>1.6799999999999998E-5</v>
      </c>
      <c r="AK25" s="51">
        <v>1.7E-5</v>
      </c>
      <c r="AL25" s="51">
        <v>1.7200000000000001E-5</v>
      </c>
      <c r="AM25" s="51">
        <v>1.7399999999999999E-5</v>
      </c>
      <c r="AN25" s="51">
        <v>1.7600000000000001E-5</v>
      </c>
      <c r="AO25" s="51">
        <v>1.7799999999999999E-5</v>
      </c>
      <c r="AP25" s="51">
        <v>1.8E-5</v>
      </c>
      <c r="AQ25" s="51">
        <v>1.8200000000000002E-5</v>
      </c>
      <c r="AR25" s="51">
        <v>1.84E-5</v>
      </c>
      <c r="AS25" s="51">
        <v>1.8600000000000001E-5</v>
      </c>
      <c r="AT25" s="51">
        <v>1.88E-5</v>
      </c>
      <c r="AU25" s="51">
        <v>1.9000000000000001E-5</v>
      </c>
      <c r="AV25" s="51">
        <v>1.9041666666666668E-5</v>
      </c>
      <c r="AW25" s="51">
        <v>1.9083333333333334E-5</v>
      </c>
      <c r="AX25" s="51">
        <v>1.9125000000000001E-5</v>
      </c>
      <c r="AY25" s="51">
        <v>1.9166666666666667E-5</v>
      </c>
      <c r="AZ25" s="51">
        <v>1.9208333333333334E-5</v>
      </c>
      <c r="BA25" s="51">
        <v>1.925E-5</v>
      </c>
      <c r="BB25" s="51">
        <v>1.9291666666666667E-5</v>
      </c>
      <c r="BC25" s="51">
        <v>1.9333333333333333E-5</v>
      </c>
      <c r="BD25" s="51">
        <v>1.9375E-5</v>
      </c>
      <c r="BE25" s="51">
        <v>1.9416666666666667E-5</v>
      </c>
      <c r="BF25" s="51">
        <v>1.9458333333333333E-5</v>
      </c>
      <c r="BG25" s="51">
        <v>1.95E-5</v>
      </c>
      <c r="BH25" s="51">
        <v>1.954166666666667E-5</v>
      </c>
      <c r="BI25" s="51">
        <v>1.9583333333333336E-5</v>
      </c>
      <c r="BJ25" s="51">
        <v>1.9625000000000003E-5</v>
      </c>
      <c r="BK25" s="51">
        <v>1.9666666666666669E-5</v>
      </c>
      <c r="BL25" s="51">
        <v>1.9708333333333336E-5</v>
      </c>
      <c r="BM25" s="51">
        <v>1.9750000000000002E-5</v>
      </c>
      <c r="BN25" s="51">
        <v>1.9791666666666669E-5</v>
      </c>
      <c r="BO25" s="51">
        <v>1.9833333333333335E-5</v>
      </c>
      <c r="BP25" s="51">
        <v>1.9875000000000002E-5</v>
      </c>
      <c r="BQ25" s="51">
        <v>1.9916666666666669E-5</v>
      </c>
      <c r="BR25" s="51">
        <v>1.9958333333333335E-5</v>
      </c>
      <c r="BS25" s="51">
        <v>2.0000000000000002E-5</v>
      </c>
      <c r="BT25" s="51">
        <v>2.0050000000000003E-5</v>
      </c>
      <c r="BU25" s="51">
        <v>2.0100000000000001E-5</v>
      </c>
      <c r="BV25" s="51">
        <v>2.0150000000000002E-5</v>
      </c>
      <c r="BW25" s="51">
        <v>2.02E-5</v>
      </c>
      <c r="BX25" s="51">
        <v>2.0250000000000001E-5</v>
      </c>
      <c r="BY25" s="51">
        <v>2.0300000000000002E-5</v>
      </c>
      <c r="BZ25" s="51">
        <v>2.035E-5</v>
      </c>
      <c r="CA25" s="51">
        <v>2.0400000000000001E-5</v>
      </c>
      <c r="CB25" s="51">
        <v>2.0449999999999999E-5</v>
      </c>
      <c r="CC25" s="51">
        <v>2.05E-5</v>
      </c>
      <c r="CD25" s="51">
        <v>2.0550000000000001E-5</v>
      </c>
      <c r="CE25" s="51">
        <v>2.0599999999999999E-5</v>
      </c>
      <c r="CF25" s="51">
        <v>2.065E-5</v>
      </c>
      <c r="CG25" s="51">
        <v>2.0699999999999998E-5</v>
      </c>
      <c r="CH25" s="51">
        <v>2.075E-5</v>
      </c>
      <c r="CI25" s="51">
        <v>2.0800000000000001E-5</v>
      </c>
      <c r="CJ25" s="51">
        <v>2.0849999999999999E-5</v>
      </c>
      <c r="CK25" s="51">
        <v>2.09E-5</v>
      </c>
      <c r="CL25" s="51">
        <v>2.0949999999999998E-5</v>
      </c>
      <c r="CM25" s="51">
        <v>2.0999999999999999E-5</v>
      </c>
    </row>
    <row r="26" spans="1:91" s="50" customFormat="1" x14ac:dyDescent="0.25">
      <c r="A26" s="50" t="s">
        <v>1</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51">
        <v>3.6000000000000001E-5</v>
      </c>
      <c r="AG26" s="51">
        <v>3.5866666666666667E-5</v>
      </c>
      <c r="AH26" s="51">
        <v>3.5733333333333332E-5</v>
      </c>
      <c r="AI26" s="51">
        <v>3.5599999999999998E-5</v>
      </c>
      <c r="AJ26" s="51">
        <v>3.546666666666667E-5</v>
      </c>
      <c r="AK26" s="51">
        <v>3.5333333333333336E-5</v>
      </c>
      <c r="AL26" s="51">
        <v>3.5200000000000002E-5</v>
      </c>
      <c r="AM26" s="51">
        <v>3.5066666666666667E-5</v>
      </c>
      <c r="AN26" s="51">
        <v>3.4933333333333333E-5</v>
      </c>
      <c r="AO26" s="51">
        <v>3.4799999999999999E-5</v>
      </c>
      <c r="AP26" s="51">
        <v>3.4666666666666665E-5</v>
      </c>
      <c r="AQ26" s="51">
        <v>3.453333333333333E-5</v>
      </c>
      <c r="AR26" s="51">
        <v>3.4400000000000003E-5</v>
      </c>
      <c r="AS26" s="51">
        <v>3.4266666666666668E-5</v>
      </c>
      <c r="AT26" s="51">
        <v>3.4133333333333334E-5</v>
      </c>
      <c r="AU26" s="51">
        <v>3.4E-5</v>
      </c>
      <c r="AV26" s="51">
        <v>3.3958333333333337E-5</v>
      </c>
      <c r="AW26" s="51">
        <v>3.3916666666666667E-5</v>
      </c>
      <c r="AX26" s="51">
        <v>3.3874999999999997E-5</v>
      </c>
      <c r="AY26" s="51">
        <v>3.3833333333333334E-5</v>
      </c>
      <c r="AZ26" s="51">
        <v>3.379166666666667E-5</v>
      </c>
      <c r="BA26" s="51">
        <v>3.375E-5</v>
      </c>
      <c r="BB26" s="51">
        <v>3.370833333333333E-5</v>
      </c>
      <c r="BC26" s="51">
        <v>3.3666666666666667E-5</v>
      </c>
      <c r="BD26" s="51">
        <v>3.3625000000000004E-5</v>
      </c>
      <c r="BE26" s="51">
        <v>3.3583333333333334E-5</v>
      </c>
      <c r="BF26" s="51">
        <v>3.3541666666666664E-5</v>
      </c>
      <c r="BG26" s="51">
        <v>3.3500000000000001E-5</v>
      </c>
      <c r="BH26" s="51">
        <v>3.3458333333333338E-5</v>
      </c>
      <c r="BI26" s="51">
        <v>3.3416666666666668E-5</v>
      </c>
      <c r="BJ26" s="51">
        <v>3.3374999999999998E-5</v>
      </c>
      <c r="BK26" s="51">
        <v>3.3333333333333335E-5</v>
      </c>
      <c r="BL26" s="51">
        <v>3.3291666666666672E-5</v>
      </c>
      <c r="BM26" s="51">
        <v>3.3250000000000002E-5</v>
      </c>
      <c r="BN26" s="51">
        <v>3.3208333333333332E-5</v>
      </c>
      <c r="BO26" s="51">
        <v>3.3166666666666669E-5</v>
      </c>
      <c r="BP26" s="51">
        <v>3.3125000000000006E-5</v>
      </c>
      <c r="BQ26" s="51">
        <v>3.3083333333333336E-5</v>
      </c>
      <c r="BR26" s="51">
        <v>3.3041666666666666E-5</v>
      </c>
      <c r="BS26" s="51">
        <v>3.3000000000000003E-5</v>
      </c>
      <c r="BT26" s="51">
        <v>3.3000000000000003E-5</v>
      </c>
      <c r="BU26" s="51">
        <v>3.3000000000000003E-5</v>
      </c>
      <c r="BV26" s="51">
        <v>3.3000000000000003E-5</v>
      </c>
      <c r="BW26" s="51">
        <v>3.3000000000000003E-5</v>
      </c>
      <c r="BX26" s="51">
        <v>3.3000000000000003E-5</v>
      </c>
      <c r="BY26" s="51">
        <v>3.3000000000000003E-5</v>
      </c>
      <c r="BZ26" s="51">
        <v>3.3000000000000003E-5</v>
      </c>
      <c r="CA26" s="51">
        <v>3.3000000000000003E-5</v>
      </c>
      <c r="CB26" s="51">
        <v>3.3000000000000003E-5</v>
      </c>
      <c r="CC26" s="51">
        <v>3.3000000000000003E-5</v>
      </c>
      <c r="CD26" s="51">
        <v>3.3000000000000003E-5</v>
      </c>
      <c r="CE26" s="51">
        <v>3.3000000000000003E-5</v>
      </c>
      <c r="CF26" s="51">
        <v>3.3000000000000003E-5</v>
      </c>
      <c r="CG26" s="51">
        <v>3.3000000000000003E-5</v>
      </c>
      <c r="CH26" s="51">
        <v>3.3000000000000003E-5</v>
      </c>
      <c r="CI26" s="51">
        <v>3.3000000000000003E-5</v>
      </c>
      <c r="CJ26" s="51">
        <v>3.3000000000000003E-5</v>
      </c>
      <c r="CK26" s="51">
        <v>3.3000000000000003E-5</v>
      </c>
      <c r="CL26" s="51">
        <v>3.3000000000000003E-5</v>
      </c>
      <c r="CM26" s="51">
        <v>3.3000000000000003E-5</v>
      </c>
    </row>
    <row r="27" spans="1:91" s="50" customFormat="1" x14ac:dyDescent="0.25">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spans="1:91" s="50" customFormat="1" x14ac:dyDescent="0.25">
      <c r="A28" s="50" t="s">
        <v>197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51">
        <v>8.0900000000000001E-5</v>
      </c>
      <c r="AG28" s="51">
        <v>8.0833333333333338E-5</v>
      </c>
      <c r="AH28" s="51">
        <v>8.0766666666666674E-5</v>
      </c>
      <c r="AI28" s="51">
        <v>8.0699999999999996E-5</v>
      </c>
      <c r="AJ28" s="51">
        <v>8.0633333333333333E-5</v>
      </c>
      <c r="AK28" s="51">
        <v>8.0566666666666669E-5</v>
      </c>
      <c r="AL28" s="51">
        <v>8.0500000000000005E-5</v>
      </c>
      <c r="AM28" s="51">
        <v>8.0433333333333341E-5</v>
      </c>
      <c r="AN28" s="51">
        <v>8.0366666666666664E-5</v>
      </c>
      <c r="AO28" s="51">
        <v>8.03E-5</v>
      </c>
      <c r="AP28" s="51">
        <v>8.0233333333333337E-5</v>
      </c>
      <c r="AQ28" s="51">
        <v>8.0166666666666673E-5</v>
      </c>
      <c r="AR28" s="51">
        <v>8.0100000000000009E-5</v>
      </c>
      <c r="AS28" s="51">
        <v>8.0033333333333332E-5</v>
      </c>
      <c r="AT28" s="51">
        <v>7.9966666666666668E-5</v>
      </c>
      <c r="AU28" s="51">
        <v>7.9900000000000004E-5</v>
      </c>
      <c r="AV28" s="51">
        <v>7.9790909090909099E-5</v>
      </c>
      <c r="AW28" s="51">
        <v>7.9681818181818179E-5</v>
      </c>
      <c r="AX28" s="51">
        <v>7.9572727272727274E-5</v>
      </c>
      <c r="AY28" s="51">
        <v>7.9463636363636368E-5</v>
      </c>
      <c r="AZ28" s="51">
        <v>7.9354545454545463E-5</v>
      </c>
      <c r="BA28" s="51">
        <v>7.9245454545454544E-5</v>
      </c>
      <c r="BB28" s="51">
        <v>7.9136363636363638E-5</v>
      </c>
      <c r="BC28" s="51">
        <v>7.9027272727272732E-5</v>
      </c>
      <c r="BD28" s="51">
        <v>7.8918181818181827E-5</v>
      </c>
      <c r="BE28" s="51">
        <v>7.8809090909090908E-5</v>
      </c>
      <c r="BF28" s="51">
        <v>7.8700000000000002E-5</v>
      </c>
      <c r="BG28" s="51">
        <v>7.8590909090909096E-5</v>
      </c>
      <c r="BH28" s="51">
        <v>7.8481818181818177E-5</v>
      </c>
      <c r="BI28" s="51">
        <v>7.8372727272727272E-5</v>
      </c>
      <c r="BJ28" s="51">
        <v>7.8263636363636366E-5</v>
      </c>
      <c r="BK28" s="51">
        <v>7.8154545454545461E-5</v>
      </c>
      <c r="BL28" s="51">
        <v>7.8045454545454541E-5</v>
      </c>
      <c r="BM28" s="51">
        <v>7.7936363636363636E-5</v>
      </c>
      <c r="BN28" s="51">
        <v>7.782727272727273E-5</v>
      </c>
      <c r="BO28" s="51">
        <v>7.7718181818181825E-5</v>
      </c>
      <c r="BP28" s="51">
        <v>7.7609090909090906E-5</v>
      </c>
      <c r="BQ28" s="51">
        <v>7.75E-5</v>
      </c>
      <c r="BR28" s="51">
        <v>7.7390909090909094E-5</v>
      </c>
      <c r="BS28" s="51">
        <v>7.6000000000000004E-5</v>
      </c>
      <c r="BT28" s="51">
        <v>7.5955E-5</v>
      </c>
      <c r="BU28" s="51">
        <v>7.5909999999999997E-5</v>
      </c>
      <c r="BV28" s="51">
        <v>7.5865000000000006E-5</v>
      </c>
      <c r="BW28" s="51">
        <v>7.5820000000000003E-5</v>
      </c>
      <c r="BX28" s="51">
        <v>7.5774999999999999E-5</v>
      </c>
      <c r="BY28" s="51">
        <v>7.5730000000000008E-5</v>
      </c>
      <c r="BZ28" s="51">
        <v>7.5685000000000005E-5</v>
      </c>
      <c r="CA28" s="51">
        <v>7.5640000000000001E-5</v>
      </c>
      <c r="CB28" s="51">
        <v>7.5594999999999997E-5</v>
      </c>
      <c r="CC28" s="51">
        <v>7.5549999999999993E-5</v>
      </c>
      <c r="CD28" s="51">
        <v>7.5505000000000003E-5</v>
      </c>
      <c r="CE28" s="51">
        <v>7.5459999999999999E-5</v>
      </c>
      <c r="CF28" s="51">
        <v>7.5414999999999995E-5</v>
      </c>
      <c r="CG28" s="51">
        <v>7.5370000000000005E-5</v>
      </c>
      <c r="CH28" s="51">
        <v>7.5325000000000001E-5</v>
      </c>
      <c r="CI28" s="51">
        <v>7.5279999999999998E-5</v>
      </c>
      <c r="CJ28" s="51">
        <v>7.5234999999999994E-5</v>
      </c>
      <c r="CK28" s="51">
        <v>7.518999999999999E-5</v>
      </c>
      <c r="CL28" s="51">
        <v>7.5145E-5</v>
      </c>
      <c r="CM28" s="51">
        <v>7.5099999999999996E-5</v>
      </c>
    </row>
    <row r="29" spans="1:91" s="50" customFormat="1" x14ac:dyDescent="0.25">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1:91" s="50" customFormat="1" x14ac:dyDescent="0.25">
      <c r="A30" s="50" t="s">
        <v>198</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51">
        <v>2.6047124150016419E-5</v>
      </c>
      <c r="AG30" s="51">
        <v>2.5931820509822103E-5</v>
      </c>
      <c r="AH30" s="51">
        <v>2.5817027287951345E-5</v>
      </c>
      <c r="AI30" s="51">
        <v>2.5702742224918969E-5</v>
      </c>
      <c r="AJ30" s="51">
        <v>2.5588963071241946E-5</v>
      </c>
      <c r="AK30" s="51">
        <v>2.5475687587395098E-5</v>
      </c>
      <c r="AL30" s="51">
        <v>2.5362913543767027E-5</v>
      </c>
      <c r="AM30" s="51">
        <v>2.5250638720616227E-5</v>
      </c>
      <c r="AN30" s="51">
        <v>2.5138860908027395E-5</v>
      </c>
      <c r="AO30" s="51">
        <v>2.5027577905867931E-5</v>
      </c>
      <c r="AP30" s="51">
        <v>2.4916787523744632E-5</v>
      </c>
      <c r="AQ30" s="51">
        <v>2.4806487580960574E-5</v>
      </c>
      <c r="AR30" s="51">
        <v>2.4696675906472202E-5</v>
      </c>
      <c r="AS30" s="51">
        <v>2.4587350338846587E-5</v>
      </c>
      <c r="AT30" s="51">
        <v>2.4478508726218878E-5</v>
      </c>
      <c r="AU30" s="51">
        <v>2.4370148926249962E-5</v>
      </c>
      <c r="AV30" s="51">
        <v>2.4378852289661097E-5</v>
      </c>
      <c r="AW30" s="51">
        <v>2.438755876132302E-5</v>
      </c>
      <c r="AX30" s="51">
        <v>2.4396268342345792E-5</v>
      </c>
      <c r="AY30" s="51">
        <v>2.4404981033839863E-5</v>
      </c>
      <c r="AZ30" s="51">
        <v>2.4413696836916083E-5</v>
      </c>
      <c r="BA30" s="51">
        <v>2.4422415752685697E-5</v>
      </c>
      <c r="BB30" s="51">
        <v>2.443113778226035E-5</v>
      </c>
      <c r="BC30" s="51">
        <v>2.4439862926752079E-5</v>
      </c>
      <c r="BD30" s="51">
        <v>2.4448591187273323E-5</v>
      </c>
      <c r="BE30" s="51">
        <v>2.4457322564936916E-5</v>
      </c>
      <c r="BF30" s="51">
        <v>2.4466057060856087E-5</v>
      </c>
      <c r="BG30" s="51">
        <v>2.4474794676144469E-5</v>
      </c>
      <c r="BH30" s="51">
        <v>2.4483535411916089E-5</v>
      </c>
      <c r="BI30" s="51">
        <v>2.4492279269285369E-5</v>
      </c>
      <c r="BJ30" s="51">
        <v>2.4501026249367136E-5</v>
      </c>
      <c r="BK30" s="51">
        <v>2.4509776353276607E-5</v>
      </c>
      <c r="BL30" s="51">
        <v>2.4518529582129402E-5</v>
      </c>
      <c r="BM30" s="51">
        <v>2.4527285937041538E-5</v>
      </c>
      <c r="BN30" s="51">
        <v>2.4536045419129436E-5</v>
      </c>
      <c r="BO30" s="51">
        <v>2.4544808029509907E-5</v>
      </c>
      <c r="BP30" s="51">
        <v>2.4553573769300165E-5</v>
      </c>
      <c r="BQ30" s="51">
        <v>2.4562342639617823E-5</v>
      </c>
      <c r="BR30" s="51">
        <v>2.4571114641580892E-5</v>
      </c>
      <c r="BS30" s="51">
        <v>2.4579889776307785E-5</v>
      </c>
      <c r="BT30" s="51">
        <v>2.4588668044917313E-5</v>
      </c>
      <c r="BU30" s="51">
        <v>2.4597449448528686E-5</v>
      </c>
      <c r="BV30" s="51">
        <v>2.460623398826151E-5</v>
      </c>
      <c r="BW30" s="51">
        <v>2.4615021665235799E-5</v>
      </c>
      <c r="BX30" s="51">
        <v>2.4623812480571962E-5</v>
      </c>
      <c r="BY30" s="51">
        <v>2.463260643539081E-5</v>
      </c>
      <c r="BZ30" s="51">
        <v>2.4641403530813551E-5</v>
      </c>
      <c r="CA30" s="51">
        <v>2.4650203767961796E-5</v>
      </c>
      <c r="CB30" s="51">
        <v>2.4659007147957558E-5</v>
      </c>
      <c r="CC30" s="51">
        <v>2.4667813671923248E-5</v>
      </c>
      <c r="CD30" s="51">
        <v>2.4676623340981674E-5</v>
      </c>
      <c r="CE30" s="51">
        <v>2.4685436156256055E-5</v>
      </c>
      <c r="CF30" s="51">
        <v>2.4694252118870006E-5</v>
      </c>
      <c r="CG30" s="51">
        <v>2.4703071229947542E-5</v>
      </c>
      <c r="CH30" s="51">
        <v>2.4711893490613081E-5</v>
      </c>
      <c r="CI30" s="51">
        <v>2.4720718901991441E-5</v>
      </c>
      <c r="CJ30" s="51">
        <v>2.4729547465207841E-5</v>
      </c>
      <c r="CK30" s="51">
        <v>2.4738379181387907E-5</v>
      </c>
      <c r="CL30" s="51">
        <v>2.4747214051657664E-5</v>
      </c>
      <c r="CM30" s="51">
        <v>2.4756052077143536E-5</v>
      </c>
    </row>
    <row r="31" spans="1:91" s="50" customFormat="1" x14ac:dyDescent="0.25">
      <c r="A31" s="50" t="s">
        <v>1</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51">
        <v>2.0100000000000001E-4</v>
      </c>
      <c r="AG31" s="51">
        <v>2.0106666666666668E-4</v>
      </c>
      <c r="AH31" s="51">
        <v>2.0113333333333333E-4</v>
      </c>
      <c r="AI31" s="51">
        <v>2.0120000000000001E-4</v>
      </c>
      <c r="AJ31" s="51">
        <v>2.0126666666666666E-4</v>
      </c>
      <c r="AK31" s="51">
        <v>2.0133333333333334E-4</v>
      </c>
      <c r="AL31" s="51">
        <v>2.0140000000000002E-4</v>
      </c>
      <c r="AM31" s="51">
        <v>2.0146666666666667E-4</v>
      </c>
      <c r="AN31" s="51">
        <v>2.0153333333333334E-4</v>
      </c>
      <c r="AO31" s="51">
        <v>2.0159999999999999E-4</v>
      </c>
      <c r="AP31" s="51">
        <v>2.0166666666666667E-4</v>
      </c>
      <c r="AQ31" s="51">
        <v>2.0173333333333335E-4</v>
      </c>
      <c r="AR31" s="51">
        <v>2.018E-4</v>
      </c>
      <c r="AS31" s="51">
        <v>2.0186666666666668E-4</v>
      </c>
      <c r="AT31" s="51">
        <v>2.0193333333333333E-4</v>
      </c>
      <c r="AU31" s="51">
        <v>2.02E-4</v>
      </c>
      <c r="AV31" s="51">
        <v>2.0254166666666668E-4</v>
      </c>
      <c r="AW31" s="51">
        <v>2.0308333333333333E-4</v>
      </c>
      <c r="AX31" s="51">
        <v>2.03625E-4</v>
      </c>
      <c r="AY31" s="51">
        <v>2.0416666666666668E-4</v>
      </c>
      <c r="AZ31" s="51">
        <v>2.0470833333333333E-4</v>
      </c>
      <c r="BA31" s="51">
        <v>2.0525E-4</v>
      </c>
      <c r="BB31" s="51">
        <v>2.0579166666666668E-4</v>
      </c>
      <c r="BC31" s="51">
        <v>2.0633333333333333E-4</v>
      </c>
      <c r="BD31" s="51">
        <v>2.06875E-4</v>
      </c>
      <c r="BE31" s="51">
        <v>2.0741666666666668E-4</v>
      </c>
      <c r="BF31" s="51">
        <v>2.0795833333333332E-4</v>
      </c>
      <c r="BG31" s="51">
        <v>2.085E-4</v>
      </c>
      <c r="BH31" s="51">
        <v>2.0904166666666667E-4</v>
      </c>
      <c r="BI31" s="51">
        <v>2.0958333333333332E-4</v>
      </c>
      <c r="BJ31" s="51">
        <v>2.10125E-4</v>
      </c>
      <c r="BK31" s="51">
        <v>2.1066666666666667E-4</v>
      </c>
      <c r="BL31" s="51">
        <v>2.1120833333333332E-4</v>
      </c>
      <c r="BM31" s="51">
        <v>2.1175E-4</v>
      </c>
      <c r="BN31" s="51">
        <v>2.1229166666666667E-4</v>
      </c>
      <c r="BO31" s="51">
        <v>2.1283333333333332E-4</v>
      </c>
      <c r="BP31" s="51">
        <v>2.13375E-4</v>
      </c>
      <c r="BQ31" s="51">
        <v>2.1391666666666667E-4</v>
      </c>
      <c r="BR31" s="51">
        <v>2.1445833333333332E-4</v>
      </c>
      <c r="BS31" s="51">
        <v>2.1499999999999999E-4</v>
      </c>
      <c r="BT31" s="51">
        <v>2.1535E-4</v>
      </c>
      <c r="BU31" s="51">
        <v>2.1569999999999998E-4</v>
      </c>
      <c r="BV31" s="51">
        <v>2.1604999999999999E-4</v>
      </c>
      <c r="BW31" s="51">
        <v>2.164E-4</v>
      </c>
      <c r="BX31" s="51">
        <v>2.1674999999999998E-4</v>
      </c>
      <c r="BY31" s="51">
        <v>2.1709999999999999E-4</v>
      </c>
      <c r="BZ31" s="51">
        <v>2.1745E-4</v>
      </c>
      <c r="CA31" s="51">
        <v>2.1780000000000001E-4</v>
      </c>
      <c r="CB31" s="51">
        <v>2.1814999999999999E-4</v>
      </c>
      <c r="CC31" s="51">
        <v>2.185E-4</v>
      </c>
      <c r="CD31" s="51">
        <v>2.1885000000000001E-4</v>
      </c>
      <c r="CE31" s="51">
        <v>2.1919999999999999E-4</v>
      </c>
      <c r="CF31" s="51">
        <v>2.1955E-4</v>
      </c>
      <c r="CG31" s="51">
        <v>2.1990000000000001E-4</v>
      </c>
      <c r="CH31" s="51">
        <v>2.2025000000000001E-4</v>
      </c>
      <c r="CI31" s="51">
        <v>2.206E-4</v>
      </c>
      <c r="CJ31" s="51">
        <v>2.2095E-4</v>
      </c>
      <c r="CK31" s="51">
        <v>2.2130000000000001E-4</v>
      </c>
      <c r="CL31" s="51">
        <v>2.2164999999999999E-4</v>
      </c>
      <c r="CM31" s="51">
        <v>2.22E-4</v>
      </c>
    </row>
    <row r="32" spans="1:91" s="50" customFormat="1" x14ac:dyDescent="0.25">
      <c r="A32" s="50" t="s">
        <v>2</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51">
        <v>3.1090007506599416E-5</v>
      </c>
      <c r="AG32" s="51">
        <v>3.1214866974497405E-5</v>
      </c>
      <c r="AH32" s="51">
        <v>3.1340227886041568E-5</v>
      </c>
      <c r="AI32" s="51">
        <v>3.1466092255061819E-5</v>
      </c>
      <c r="AJ32" s="51">
        <v>3.1592462103475722E-5</v>
      </c>
      <c r="AK32" s="51">
        <v>3.1719339461321004E-5</v>
      </c>
      <c r="AL32" s="51">
        <v>3.1846726366788155E-5</v>
      </c>
      <c r="AM32" s="51">
        <v>3.1974624866253171E-5</v>
      </c>
      <c r="AN32" s="51">
        <v>3.2103037014310414E-5</v>
      </c>
      <c r="AO32" s="51">
        <v>3.2231964873805633E-5</v>
      </c>
      <c r="AP32" s="51">
        <v>3.2361410515869112E-5</v>
      </c>
      <c r="AQ32" s="51">
        <v>3.2491376019948906E-5</v>
      </c>
      <c r="AR32" s="51">
        <v>3.2621863473844284E-5</v>
      </c>
      <c r="AS32" s="51">
        <v>3.2752874973739242E-5</v>
      </c>
      <c r="AT32" s="51">
        <v>3.288441262423619E-5</v>
      </c>
      <c r="AU32" s="51">
        <v>3.3016478538389752E-5</v>
      </c>
      <c r="AV32" s="51">
        <v>3.3049495016928139E-5</v>
      </c>
      <c r="AW32" s="51">
        <v>3.3082544511945068E-5</v>
      </c>
      <c r="AX32" s="51">
        <v>3.3115627056457015E-5</v>
      </c>
      <c r="AY32" s="51">
        <v>3.3148742683513472E-5</v>
      </c>
      <c r="AZ32" s="51">
        <v>3.3181891426196984E-5</v>
      </c>
      <c r="BA32" s="51">
        <v>3.3215073317623179E-5</v>
      </c>
      <c r="BB32" s="51">
        <v>3.3248288390940805E-5</v>
      </c>
      <c r="BC32" s="51">
        <v>3.3281536679331748E-5</v>
      </c>
      <c r="BD32" s="51">
        <v>3.3314818216011078E-5</v>
      </c>
      <c r="BE32" s="51">
        <v>3.3348133034227087E-5</v>
      </c>
      <c r="BF32" s="51">
        <v>3.3381481167261313E-5</v>
      </c>
      <c r="BG32" s="51">
        <v>3.3414862648428577E-5</v>
      </c>
      <c r="BH32" s="51">
        <v>3.3448277511077007E-5</v>
      </c>
      <c r="BI32" s="51">
        <v>3.3481725788588084E-5</v>
      </c>
      <c r="BJ32" s="51">
        <v>3.3515207514376674E-5</v>
      </c>
      <c r="BK32" s="51">
        <v>3.3548722721891052E-5</v>
      </c>
      <c r="BL32" s="51">
        <v>3.3582271444612947E-5</v>
      </c>
      <c r="BM32" s="51">
        <v>3.361585371605756E-5</v>
      </c>
      <c r="BN32" s="51">
        <v>3.3649469569773618E-5</v>
      </c>
      <c r="BO32" s="51">
        <v>3.3683119039343394E-5</v>
      </c>
      <c r="BP32" s="51">
        <v>3.3716802158382734E-5</v>
      </c>
      <c r="BQ32" s="51">
        <v>3.3750518960541119E-5</v>
      </c>
      <c r="BR32" s="51">
        <v>3.3784269479501661E-5</v>
      </c>
      <c r="BS32" s="51">
        <v>3.3818053748981164E-5</v>
      </c>
      <c r="BT32" s="51">
        <v>3.3851871802730143E-5</v>
      </c>
      <c r="BU32" s="51">
        <v>3.3885723674532874E-5</v>
      </c>
      <c r="BV32" s="51">
        <v>3.3919609398207405E-5</v>
      </c>
      <c r="BW32" s="51">
        <v>3.3953529007605609E-5</v>
      </c>
      <c r="BX32" s="51">
        <v>3.3987482536613218E-5</v>
      </c>
      <c r="BY32" s="51">
        <v>3.4021470019149833E-5</v>
      </c>
      <c r="BZ32" s="51">
        <v>3.4055491489168982E-5</v>
      </c>
      <c r="CA32" s="51">
        <v>3.4089546980658153E-5</v>
      </c>
      <c r="CB32" s="51">
        <v>3.412363652763881E-5</v>
      </c>
      <c r="CC32" s="51">
        <v>3.4157760164166448E-5</v>
      </c>
      <c r="CD32" s="51">
        <v>3.4191917924330613E-5</v>
      </c>
      <c r="CE32" s="51">
        <v>3.4226109842254942E-5</v>
      </c>
      <c r="CF32" s="51">
        <v>3.4260335952097197E-5</v>
      </c>
      <c r="CG32" s="51">
        <v>3.4294596288049293E-5</v>
      </c>
      <c r="CH32" s="51">
        <v>3.4328890884337344E-5</v>
      </c>
      <c r="CI32" s="51">
        <v>3.4363219775221679E-5</v>
      </c>
      <c r="CJ32" s="51">
        <v>3.4397582994996899E-5</v>
      </c>
      <c r="CK32" s="51">
        <v>3.4431980577991895E-5</v>
      </c>
      <c r="CL32" s="51">
        <v>3.4466412558569886E-5</v>
      </c>
      <c r="CM32" s="51">
        <v>3.4500878971128458E-5</v>
      </c>
    </row>
    <row r="33" spans="1:91" s="50" customFormat="1" x14ac:dyDescent="0.25">
      <c r="A33" s="50" t="s">
        <v>2</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51">
        <v>1.9058062501626263E-5</v>
      </c>
      <c r="AG33" s="51">
        <v>1.9367949696774658E-5</v>
      </c>
      <c r="AH33" s="51">
        <v>1.9682875708104327E-5</v>
      </c>
      <c r="AI33" s="51">
        <v>2.0002922467585699E-5</v>
      </c>
      <c r="AJ33" s="51">
        <v>2.0328173239416362E-5</v>
      </c>
      <c r="AK33" s="51">
        <v>2.0658712641683296E-5</v>
      </c>
      <c r="AL33" s="51">
        <v>2.0994626668377332E-5</v>
      </c>
      <c r="AM33" s="51">
        <v>2.1336002711765583E-5</v>
      </c>
      <c r="AN33" s="51">
        <v>2.1682929585127624E-5</v>
      </c>
      <c r="AO33" s="51">
        <v>2.2035497545861405E-5</v>
      </c>
      <c r="AP33" s="51">
        <v>2.2393798318964842E-5</v>
      </c>
      <c r="AQ33" s="51">
        <v>2.2757925120899231E-5</v>
      </c>
      <c r="AR33" s="51">
        <v>2.3127972683840682E-5</v>
      </c>
      <c r="AS33" s="51">
        <v>2.3504037280325898E-5</v>
      </c>
      <c r="AT33" s="51">
        <v>2.3886216748298676E-5</v>
      </c>
      <c r="AU33" s="51">
        <v>2.4274610516563694E-5</v>
      </c>
      <c r="AV33" s="51">
        <v>2.4444532790179639E-5</v>
      </c>
      <c r="AW33" s="51">
        <v>2.4615644519710897E-5</v>
      </c>
      <c r="AX33" s="51">
        <v>2.4787954031348874E-5</v>
      </c>
      <c r="AY33" s="51">
        <v>2.4961469709568316E-5</v>
      </c>
      <c r="AZ33" s="51">
        <v>2.5136199997535295E-5</v>
      </c>
      <c r="BA33" s="51">
        <v>2.5312153397518044E-5</v>
      </c>
      <c r="BB33" s="51">
        <v>2.5489338471300669E-5</v>
      </c>
      <c r="BC33" s="51">
        <v>2.5667763840599773E-5</v>
      </c>
      <c r="BD33" s="51">
        <v>2.5847438187483973E-5</v>
      </c>
      <c r="BE33" s="51">
        <v>2.6028370254796361E-5</v>
      </c>
      <c r="BF33" s="51">
        <v>2.6210568846579936E-5</v>
      </c>
      <c r="BG33" s="51">
        <v>2.6394042828505995E-5</v>
      </c>
      <c r="BH33" s="51">
        <v>2.6578801128305539E-5</v>
      </c>
      <c r="BI33" s="51">
        <v>2.6764852736203677E-5</v>
      </c>
      <c r="BJ33" s="51">
        <v>2.6952206705357104E-5</v>
      </c>
      <c r="BK33" s="51">
        <v>2.7140872152294603E-5</v>
      </c>
      <c r="BL33" s="51">
        <v>2.7330858257360666E-5</v>
      </c>
      <c r="BM33" s="51">
        <v>2.7522174265162191E-5</v>
      </c>
      <c r="BN33" s="51">
        <v>2.7714829485018327E-5</v>
      </c>
      <c r="BO33" s="51">
        <v>2.7908833291413456E-5</v>
      </c>
      <c r="BP33" s="51">
        <v>2.8104195124453349E-5</v>
      </c>
      <c r="BQ33" s="51">
        <v>2.8300924490324521E-5</v>
      </c>
      <c r="BR33" s="51">
        <v>2.8499030961756792E-5</v>
      </c>
      <c r="BS33" s="51">
        <v>2.8698524178489089E-5</v>
      </c>
      <c r="BT33" s="51">
        <v>2.8899413847738511E-5</v>
      </c>
      <c r="BU33" s="51">
        <v>2.9101709744672679E-5</v>
      </c>
      <c r="BV33" s="51">
        <v>2.9305421712885388E-5</v>
      </c>
      <c r="BW33" s="51">
        <v>2.9510559664875587E-5</v>
      </c>
      <c r="BX33" s="51">
        <v>2.9717133582529715E-5</v>
      </c>
      <c r="BY33" s="51">
        <v>2.9925153517607422E-5</v>
      </c>
      <c r="BZ33" s="51">
        <v>3.0134629592230675E-5</v>
      </c>
      <c r="CA33" s="51">
        <v>3.0345571999376289E-5</v>
      </c>
      <c r="CB33" s="51">
        <v>3.0557991003371919E-5</v>
      </c>
      <c r="CC33" s="51">
        <v>3.0771896940395526E-5</v>
      </c>
      <c r="CD33" s="51">
        <v>3.0987300218978292E-5</v>
      </c>
      <c r="CE33" s="51">
        <v>3.120421132051114E-5</v>
      </c>
      <c r="CF33" s="51">
        <v>3.1422640799754715E-5</v>
      </c>
      <c r="CG33" s="51">
        <v>3.1642599285352998E-5</v>
      </c>
      <c r="CH33" s="51">
        <v>3.1864097480350471E-5</v>
      </c>
      <c r="CI33" s="51">
        <v>3.2087146162712921E-5</v>
      </c>
      <c r="CJ33" s="51">
        <v>3.2311756185851908E-5</v>
      </c>
      <c r="CK33" s="51">
        <v>3.2537938479152873E-5</v>
      </c>
      <c r="CL33" s="51">
        <v>3.2765704048506942E-5</v>
      </c>
      <c r="CM33" s="51">
        <v>3.299506397684649E-5</v>
      </c>
    </row>
    <row r="34" spans="1:91" s="50" customFormat="1" x14ac:dyDescent="0.25">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spans="1:91" s="50" customFormat="1" x14ac:dyDescent="0.25">
      <c r="A35" s="50" t="s">
        <v>199</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51">
        <v>3.7310549777117386E-5</v>
      </c>
      <c r="AG35" s="51">
        <v>3.7387320455671127E-5</v>
      </c>
      <c r="AH35" s="51">
        <v>3.7464091134224867E-5</v>
      </c>
      <c r="AI35" s="51">
        <v>3.7540861812778601E-5</v>
      </c>
      <c r="AJ35" s="51">
        <v>3.7617632491332342E-5</v>
      </c>
      <c r="AK35" s="51">
        <v>3.7694403169886082E-5</v>
      </c>
      <c r="AL35" s="51">
        <v>3.7771173848439823E-5</v>
      </c>
      <c r="AM35" s="51">
        <v>3.7847944526993563E-5</v>
      </c>
      <c r="AN35" s="51">
        <v>3.7924715205547297E-5</v>
      </c>
      <c r="AO35" s="51">
        <v>3.8001485884101038E-5</v>
      </c>
      <c r="AP35" s="51">
        <v>3.8078256562654778E-5</v>
      </c>
      <c r="AQ35" s="51">
        <v>3.8155027241208519E-5</v>
      </c>
      <c r="AR35" s="51">
        <v>3.823179791976226E-5</v>
      </c>
      <c r="AS35" s="51">
        <v>3.8308568598315993E-5</v>
      </c>
      <c r="AT35" s="51">
        <v>3.8385339276869734E-5</v>
      </c>
      <c r="AU35" s="51">
        <v>3.8462109955423475E-5</v>
      </c>
      <c r="AV35" s="51">
        <v>3.8690126860987058E-5</v>
      </c>
      <c r="AW35" s="51">
        <v>3.8918143766550648E-5</v>
      </c>
      <c r="AX35" s="51">
        <v>3.9146160672114232E-5</v>
      </c>
      <c r="AY35" s="51">
        <v>3.9374177577677815E-5</v>
      </c>
      <c r="AZ35" s="51">
        <v>3.9602194483241399E-5</v>
      </c>
      <c r="BA35" s="51">
        <v>3.9830211388804982E-5</v>
      </c>
      <c r="BB35" s="51">
        <v>4.0058228294368573E-5</v>
      </c>
      <c r="BC35" s="51">
        <v>4.0286245199932156E-5</v>
      </c>
      <c r="BD35" s="51">
        <v>4.051426210549574E-5</v>
      </c>
      <c r="BE35" s="51">
        <v>4.074227901105933E-5</v>
      </c>
      <c r="BF35" s="51">
        <v>4.0970295916622914E-5</v>
      </c>
      <c r="BG35" s="51">
        <v>4.1198312822186497E-5</v>
      </c>
      <c r="BH35" s="51">
        <v>4.1426329727750081E-5</v>
      </c>
      <c r="BI35" s="51">
        <v>4.1654346633313664E-5</v>
      </c>
      <c r="BJ35" s="51">
        <v>4.1882363538877255E-5</v>
      </c>
      <c r="BK35" s="51">
        <v>4.2110380444440838E-5</v>
      </c>
      <c r="BL35" s="51">
        <v>4.2338397350004422E-5</v>
      </c>
      <c r="BM35" s="51">
        <v>4.2566414255568012E-5</v>
      </c>
      <c r="BN35" s="51">
        <v>4.2794431161131595E-5</v>
      </c>
      <c r="BO35" s="51">
        <v>4.3022448066695179E-5</v>
      </c>
      <c r="BP35" s="51">
        <v>4.3250464972258763E-5</v>
      </c>
      <c r="BQ35" s="51">
        <v>4.3478481877822346E-5</v>
      </c>
      <c r="BR35" s="51">
        <v>4.3706498783385936E-5</v>
      </c>
      <c r="BS35" s="51">
        <v>4.393451568894952E-5</v>
      </c>
      <c r="BT35" s="51">
        <v>4.393451568894952E-5</v>
      </c>
      <c r="BU35" s="51">
        <v>4.393451568894952E-5</v>
      </c>
      <c r="BV35" s="51">
        <v>4.393451568894952E-5</v>
      </c>
      <c r="BW35" s="51">
        <v>4.393451568894952E-5</v>
      </c>
      <c r="BX35" s="51">
        <v>4.393451568894952E-5</v>
      </c>
      <c r="BY35" s="51">
        <v>4.393451568894952E-5</v>
      </c>
      <c r="BZ35" s="51">
        <v>4.393451568894952E-5</v>
      </c>
      <c r="CA35" s="51">
        <v>4.393451568894952E-5</v>
      </c>
      <c r="CB35" s="51">
        <v>4.393451568894952E-5</v>
      </c>
      <c r="CC35" s="51">
        <v>4.393451568894952E-5</v>
      </c>
      <c r="CD35" s="51">
        <v>4.393451568894952E-5</v>
      </c>
      <c r="CE35" s="51">
        <v>4.393451568894952E-5</v>
      </c>
      <c r="CF35" s="51">
        <v>4.393451568894952E-5</v>
      </c>
      <c r="CG35" s="51">
        <v>4.393451568894952E-5</v>
      </c>
      <c r="CH35" s="51">
        <v>4.393451568894952E-5</v>
      </c>
      <c r="CI35" s="51">
        <v>4.393451568894952E-5</v>
      </c>
      <c r="CJ35" s="51">
        <v>4.393451568894952E-5</v>
      </c>
      <c r="CK35" s="51">
        <v>4.393451568894952E-5</v>
      </c>
      <c r="CL35" s="51">
        <v>4.393451568894952E-5</v>
      </c>
      <c r="CM35" s="51">
        <v>4.393451568894952E-5</v>
      </c>
    </row>
    <row r="36" spans="1:91" s="50" customFormat="1" x14ac:dyDescent="0.25">
      <c r="A36" s="50" t="s">
        <v>1</v>
      </c>
      <c r="B36" s="4">
        <v>0</v>
      </c>
      <c r="C36" s="4">
        <v>0</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51">
        <v>5.3438335809806834E-5</v>
      </c>
      <c r="AG36" s="51">
        <v>5.3548291233283803E-5</v>
      </c>
      <c r="AH36" s="51">
        <v>5.3658246656760772E-5</v>
      </c>
      <c r="AI36" s="51">
        <v>5.3768202080237741E-5</v>
      </c>
      <c r="AJ36" s="51">
        <v>5.3878157503714709E-5</v>
      </c>
      <c r="AK36" s="51">
        <v>5.3988112927191678E-5</v>
      </c>
      <c r="AL36" s="51">
        <v>5.4098068350668647E-5</v>
      </c>
      <c r="AM36" s="51">
        <v>5.4208023774145616E-5</v>
      </c>
      <c r="AN36" s="51">
        <v>5.4317979197622585E-5</v>
      </c>
      <c r="AO36" s="51">
        <v>5.4427934621099554E-5</v>
      </c>
      <c r="AP36" s="51">
        <v>5.4537890044576523E-5</v>
      </c>
      <c r="AQ36" s="51">
        <v>5.4647845468053492E-5</v>
      </c>
      <c r="AR36" s="51">
        <v>5.4757800891530461E-5</v>
      </c>
      <c r="AS36" s="51">
        <v>5.4867756315007429E-5</v>
      </c>
      <c r="AT36" s="51">
        <v>5.4977711738484398E-5</v>
      </c>
      <c r="AU36" s="51">
        <v>5.5087667161961367E-5</v>
      </c>
      <c r="AV36" s="51">
        <v>5.4915471844219341E-5</v>
      </c>
      <c r="AW36" s="51">
        <v>5.4743276526477322E-5</v>
      </c>
      <c r="AX36" s="51">
        <v>5.4571081208735296E-5</v>
      </c>
      <c r="AY36" s="51">
        <v>5.439888589099327E-5</v>
      </c>
      <c r="AZ36" s="51">
        <v>5.4226690573251244E-5</v>
      </c>
      <c r="BA36" s="51">
        <v>5.4054495255509225E-5</v>
      </c>
      <c r="BB36" s="51">
        <v>5.3882299937767199E-5</v>
      </c>
      <c r="BC36" s="51">
        <v>5.3710104620025173E-5</v>
      </c>
      <c r="BD36" s="51">
        <v>5.3537909302283154E-5</v>
      </c>
      <c r="BE36" s="51">
        <v>5.3365713984541128E-5</v>
      </c>
      <c r="BF36" s="51">
        <v>5.3193518666799102E-5</v>
      </c>
      <c r="BG36" s="51">
        <v>5.3021323349057076E-5</v>
      </c>
      <c r="BH36" s="51">
        <v>5.2849128031315057E-5</v>
      </c>
      <c r="BI36" s="51">
        <v>5.2676932713573031E-5</v>
      </c>
      <c r="BJ36" s="51">
        <v>5.2504737395831005E-5</v>
      </c>
      <c r="BK36" s="51">
        <v>5.2332542078088986E-5</v>
      </c>
      <c r="BL36" s="51">
        <v>5.216034676034696E-5</v>
      </c>
      <c r="BM36" s="51">
        <v>5.1988151442604934E-5</v>
      </c>
      <c r="BN36" s="51">
        <v>5.1815956124862915E-5</v>
      </c>
      <c r="BO36" s="51">
        <v>5.1643760807120889E-5</v>
      </c>
      <c r="BP36" s="51">
        <v>5.1471565489378863E-5</v>
      </c>
      <c r="BQ36" s="51">
        <v>5.1299370171636837E-5</v>
      </c>
      <c r="BR36" s="51">
        <v>5.1127174853894818E-5</v>
      </c>
      <c r="BS36" s="51">
        <v>5.0954979536152792E-5</v>
      </c>
      <c r="BT36" s="51">
        <v>5.0954979536152792E-5</v>
      </c>
      <c r="BU36" s="51">
        <v>5.0954979536152792E-5</v>
      </c>
      <c r="BV36" s="51">
        <v>5.0954979536152792E-5</v>
      </c>
      <c r="BW36" s="51">
        <v>5.0954979536152792E-5</v>
      </c>
      <c r="BX36" s="51">
        <v>5.0954979536152792E-5</v>
      </c>
      <c r="BY36" s="51">
        <v>5.0954979536152792E-5</v>
      </c>
      <c r="BZ36" s="51">
        <v>5.0954979536152792E-5</v>
      </c>
      <c r="CA36" s="51">
        <v>5.0954979536152792E-5</v>
      </c>
      <c r="CB36" s="51">
        <v>5.0954979536152792E-5</v>
      </c>
      <c r="CC36" s="51">
        <v>5.0954979536152792E-5</v>
      </c>
      <c r="CD36" s="51">
        <v>5.0954979536152792E-5</v>
      </c>
      <c r="CE36" s="51">
        <v>5.0954979536152792E-5</v>
      </c>
      <c r="CF36" s="51">
        <v>5.0954979536152792E-5</v>
      </c>
      <c r="CG36" s="51">
        <v>5.0954979536152792E-5</v>
      </c>
      <c r="CH36" s="51">
        <v>5.0954979536152792E-5</v>
      </c>
      <c r="CI36" s="51">
        <v>5.0954979536152792E-5</v>
      </c>
      <c r="CJ36" s="51">
        <v>5.0954979536152792E-5</v>
      </c>
      <c r="CK36" s="51">
        <v>5.0954979536152792E-5</v>
      </c>
      <c r="CL36" s="51">
        <v>5.0954979536152792E-5</v>
      </c>
      <c r="CM36" s="51">
        <v>5.0954979536152792E-5</v>
      </c>
    </row>
    <row r="37" spans="1:91" s="50" customFormat="1" x14ac:dyDescent="0.25">
      <c r="A37" s="50" t="s">
        <v>1</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51">
        <v>3.8032689450222883E-5</v>
      </c>
      <c r="AG37" s="51">
        <v>3.8110946012877659E-5</v>
      </c>
      <c r="AH37" s="51">
        <v>3.8189202575532442E-5</v>
      </c>
      <c r="AI37" s="51">
        <v>3.8267459138187219E-5</v>
      </c>
      <c r="AJ37" s="51">
        <v>3.8345715700842002E-5</v>
      </c>
      <c r="AK37" s="51">
        <v>3.8423972263496778E-5</v>
      </c>
      <c r="AL37" s="51">
        <v>3.8502228826151561E-5</v>
      </c>
      <c r="AM37" s="51">
        <v>3.8580485388806337E-5</v>
      </c>
      <c r="AN37" s="51">
        <v>3.865874195146112E-5</v>
      </c>
      <c r="AO37" s="51">
        <v>3.8736998514115897E-5</v>
      </c>
      <c r="AP37" s="51">
        <v>3.881525507677068E-5</v>
      </c>
      <c r="AQ37" s="51">
        <v>3.8893511639425456E-5</v>
      </c>
      <c r="AR37" s="51">
        <v>3.8971768202080239E-5</v>
      </c>
      <c r="AS37" s="51">
        <v>3.9050024764735016E-5</v>
      </c>
      <c r="AT37" s="51">
        <v>3.9128281327389799E-5</v>
      </c>
      <c r="AU37" s="51">
        <v>3.9206537890044575E-5</v>
      </c>
      <c r="AV37" s="51">
        <v>3.9035528779460066E-5</v>
      </c>
      <c r="AW37" s="51">
        <v>3.8864519668875558E-5</v>
      </c>
      <c r="AX37" s="51">
        <v>3.8693510558291049E-5</v>
      </c>
      <c r="AY37" s="51">
        <v>3.8522501447706541E-5</v>
      </c>
      <c r="AZ37" s="51">
        <v>3.8351492337122032E-5</v>
      </c>
      <c r="BA37" s="51">
        <v>3.8180483226537523E-5</v>
      </c>
      <c r="BB37" s="51">
        <v>3.8009474115953015E-5</v>
      </c>
      <c r="BC37" s="51">
        <v>3.7838465005368506E-5</v>
      </c>
      <c r="BD37" s="51">
        <v>3.7667455894783998E-5</v>
      </c>
      <c r="BE37" s="51">
        <v>3.7496446784199489E-5</v>
      </c>
      <c r="BF37" s="51">
        <v>3.7325437673614981E-5</v>
      </c>
      <c r="BG37" s="51">
        <v>3.7154428563030472E-5</v>
      </c>
      <c r="BH37" s="51">
        <v>3.6983419452445963E-5</v>
      </c>
      <c r="BI37" s="51">
        <v>3.6812410341861455E-5</v>
      </c>
      <c r="BJ37" s="51">
        <v>3.6641401231276946E-5</v>
      </c>
      <c r="BK37" s="51">
        <v>3.6470392120692438E-5</v>
      </c>
      <c r="BL37" s="51">
        <v>3.6299383010107929E-5</v>
      </c>
      <c r="BM37" s="51">
        <v>3.612837389952342E-5</v>
      </c>
      <c r="BN37" s="51">
        <v>3.5957364788938912E-5</v>
      </c>
      <c r="BO37" s="51">
        <v>3.5786355678354403E-5</v>
      </c>
      <c r="BP37" s="51">
        <v>3.5615346567769895E-5</v>
      </c>
      <c r="BQ37" s="51">
        <v>3.5444337457185386E-5</v>
      </c>
      <c r="BR37" s="51">
        <v>3.5273328346600878E-5</v>
      </c>
      <c r="BS37" s="51">
        <v>3.5102319236016369E-5</v>
      </c>
      <c r="BT37" s="51">
        <v>3.5102319236016369E-5</v>
      </c>
      <c r="BU37" s="51">
        <v>3.5102319236016369E-5</v>
      </c>
      <c r="BV37" s="51">
        <v>3.5102319236016369E-5</v>
      </c>
      <c r="BW37" s="51">
        <v>3.5102319236016369E-5</v>
      </c>
      <c r="BX37" s="51">
        <v>3.5102319236016369E-5</v>
      </c>
      <c r="BY37" s="51">
        <v>3.5102319236016369E-5</v>
      </c>
      <c r="BZ37" s="51">
        <v>3.5102319236016369E-5</v>
      </c>
      <c r="CA37" s="51">
        <v>3.5102319236016369E-5</v>
      </c>
      <c r="CB37" s="51">
        <v>3.5102319236016369E-5</v>
      </c>
      <c r="CC37" s="51">
        <v>3.5102319236016369E-5</v>
      </c>
      <c r="CD37" s="51">
        <v>3.5102319236016369E-5</v>
      </c>
      <c r="CE37" s="51">
        <v>3.5102319236016369E-5</v>
      </c>
      <c r="CF37" s="51">
        <v>3.5102319236016369E-5</v>
      </c>
      <c r="CG37" s="51">
        <v>3.5102319236016369E-5</v>
      </c>
      <c r="CH37" s="51">
        <v>3.5102319236016369E-5</v>
      </c>
      <c r="CI37" s="51">
        <v>3.5102319236016369E-5</v>
      </c>
      <c r="CJ37" s="51">
        <v>3.5102319236016369E-5</v>
      </c>
      <c r="CK37" s="51">
        <v>3.5102319236016369E-5</v>
      </c>
      <c r="CL37" s="51">
        <v>3.5102319236016369E-5</v>
      </c>
      <c r="CM37" s="51">
        <v>3.5102319236016369E-5</v>
      </c>
    </row>
    <row r="38" spans="1:91" s="50" customFormat="1" x14ac:dyDescent="0.25">
      <c r="A38" s="50" t="s">
        <v>1</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51">
        <v>3.3218424962852898E-5</v>
      </c>
      <c r="AG38" s="51">
        <v>3.3286775631500744E-5</v>
      </c>
      <c r="AH38" s="51">
        <v>3.3355126300148591E-5</v>
      </c>
      <c r="AI38" s="51">
        <v>3.3423476968796431E-5</v>
      </c>
      <c r="AJ38" s="51">
        <v>3.3491827637444278E-5</v>
      </c>
      <c r="AK38" s="51">
        <v>3.3560178306092124E-5</v>
      </c>
      <c r="AL38" s="51">
        <v>3.3628528974739971E-5</v>
      </c>
      <c r="AM38" s="51">
        <v>3.3696879643387817E-5</v>
      </c>
      <c r="AN38" s="51">
        <v>3.3765230312035657E-5</v>
      </c>
      <c r="AO38" s="51">
        <v>3.3833580980683504E-5</v>
      </c>
      <c r="AP38" s="51">
        <v>3.3901931649331351E-5</v>
      </c>
      <c r="AQ38" s="51">
        <v>3.3970282317979197E-5</v>
      </c>
      <c r="AR38" s="51">
        <v>3.4038632986627044E-5</v>
      </c>
      <c r="AS38" s="51">
        <v>3.4106983655274884E-5</v>
      </c>
      <c r="AT38" s="51">
        <v>3.417533432392273E-5</v>
      </c>
      <c r="AU38" s="51">
        <v>3.4243684992570577E-5</v>
      </c>
      <c r="AV38" s="51">
        <v>3.4317205848666858E-5</v>
      </c>
      <c r="AW38" s="51">
        <v>3.4390726704763139E-5</v>
      </c>
      <c r="AX38" s="51">
        <v>3.446424756085942E-5</v>
      </c>
      <c r="AY38" s="51">
        <v>3.4537768416955701E-5</v>
      </c>
      <c r="AZ38" s="51">
        <v>3.4611289273051982E-5</v>
      </c>
      <c r="BA38" s="51">
        <v>3.4684810129148263E-5</v>
      </c>
      <c r="BB38" s="51">
        <v>3.4758330985244537E-5</v>
      </c>
      <c r="BC38" s="51">
        <v>3.4831851841340818E-5</v>
      </c>
      <c r="BD38" s="51">
        <v>3.4905372697437099E-5</v>
      </c>
      <c r="BE38" s="51">
        <v>3.497889355353338E-5</v>
      </c>
      <c r="BF38" s="51">
        <v>3.5052414409629662E-5</v>
      </c>
      <c r="BG38" s="51">
        <v>3.5125935265725943E-5</v>
      </c>
      <c r="BH38" s="51">
        <v>3.5199456121822224E-5</v>
      </c>
      <c r="BI38" s="51">
        <v>3.5272976977918505E-5</v>
      </c>
      <c r="BJ38" s="51">
        <v>3.5346497834014786E-5</v>
      </c>
      <c r="BK38" s="51">
        <v>3.5420018690111067E-5</v>
      </c>
      <c r="BL38" s="51">
        <v>3.5493539546207348E-5</v>
      </c>
      <c r="BM38" s="51">
        <v>3.5567060402303622E-5</v>
      </c>
      <c r="BN38" s="51">
        <v>3.5640581258399903E-5</v>
      </c>
      <c r="BO38" s="51">
        <v>3.5714102114496184E-5</v>
      </c>
      <c r="BP38" s="51">
        <v>3.5787622970592465E-5</v>
      </c>
      <c r="BQ38" s="51">
        <v>3.5861143826688746E-5</v>
      </c>
      <c r="BR38" s="51">
        <v>3.5934664682785027E-5</v>
      </c>
      <c r="BS38" s="51">
        <v>3.6008185538881308E-5</v>
      </c>
      <c r="BT38" s="51">
        <v>3.6008185538881308E-5</v>
      </c>
      <c r="BU38" s="51">
        <v>3.6008185538881308E-5</v>
      </c>
      <c r="BV38" s="51">
        <v>3.6008185538881308E-5</v>
      </c>
      <c r="BW38" s="51">
        <v>3.6008185538881308E-5</v>
      </c>
      <c r="BX38" s="51">
        <v>3.6008185538881308E-5</v>
      </c>
      <c r="BY38" s="51">
        <v>3.6008185538881308E-5</v>
      </c>
      <c r="BZ38" s="51">
        <v>3.6008185538881308E-5</v>
      </c>
      <c r="CA38" s="51">
        <v>3.6008185538881308E-5</v>
      </c>
      <c r="CB38" s="51">
        <v>3.6008185538881308E-5</v>
      </c>
      <c r="CC38" s="51">
        <v>3.6008185538881308E-5</v>
      </c>
      <c r="CD38" s="51">
        <v>3.6008185538881308E-5</v>
      </c>
      <c r="CE38" s="51">
        <v>3.6008185538881308E-5</v>
      </c>
      <c r="CF38" s="51">
        <v>3.6008185538881308E-5</v>
      </c>
      <c r="CG38" s="51">
        <v>3.6008185538881308E-5</v>
      </c>
      <c r="CH38" s="51">
        <v>3.6008185538881308E-5</v>
      </c>
      <c r="CI38" s="51">
        <v>3.6008185538881308E-5</v>
      </c>
      <c r="CJ38" s="51">
        <v>3.6008185538881308E-5</v>
      </c>
      <c r="CK38" s="51">
        <v>3.6008185538881308E-5</v>
      </c>
      <c r="CL38" s="51">
        <v>3.6008185538881308E-5</v>
      </c>
      <c r="CM38" s="51">
        <v>3.6008185538881308E-5</v>
      </c>
    </row>
    <row r="39" spans="1:91" s="50" customFormat="1" x14ac:dyDescent="0.25">
      <c r="A39" s="50" t="s">
        <v>1</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51">
        <v>1.5999999999999999E-5</v>
      </c>
      <c r="AG39" s="51">
        <v>1.6200000000000001E-5</v>
      </c>
      <c r="AH39" s="51">
        <v>1.6399999999999999E-5</v>
      </c>
      <c r="AI39" s="51">
        <v>1.66E-5</v>
      </c>
      <c r="AJ39" s="51">
        <v>1.6799999999999998E-5</v>
      </c>
      <c r="AK39" s="51">
        <v>1.7E-5</v>
      </c>
      <c r="AL39" s="51">
        <v>1.7200000000000001E-5</v>
      </c>
      <c r="AM39" s="51">
        <v>1.7399999999999999E-5</v>
      </c>
      <c r="AN39" s="51">
        <v>1.7600000000000001E-5</v>
      </c>
      <c r="AO39" s="51">
        <v>1.7799999999999999E-5</v>
      </c>
      <c r="AP39" s="51">
        <v>1.8E-5</v>
      </c>
      <c r="AQ39" s="51">
        <v>1.8200000000000002E-5</v>
      </c>
      <c r="AR39" s="51">
        <v>1.84E-5</v>
      </c>
      <c r="AS39" s="51">
        <v>1.8600000000000001E-5</v>
      </c>
      <c r="AT39" s="51">
        <v>1.88E-5</v>
      </c>
      <c r="AU39" s="51">
        <v>1.9000000000000001E-5</v>
      </c>
      <c r="AV39" s="51">
        <v>1.9041666666666668E-5</v>
      </c>
      <c r="AW39" s="51">
        <v>1.9083333333333334E-5</v>
      </c>
      <c r="AX39" s="51">
        <v>1.9125000000000001E-5</v>
      </c>
      <c r="AY39" s="51">
        <v>1.9166666666666667E-5</v>
      </c>
      <c r="AZ39" s="51">
        <v>1.9208333333333334E-5</v>
      </c>
      <c r="BA39" s="51">
        <v>1.925E-5</v>
      </c>
      <c r="BB39" s="51">
        <v>1.9291666666666667E-5</v>
      </c>
      <c r="BC39" s="51">
        <v>1.9333333333333333E-5</v>
      </c>
      <c r="BD39" s="51">
        <v>1.9375E-5</v>
      </c>
      <c r="BE39" s="51">
        <v>1.9416666666666667E-5</v>
      </c>
      <c r="BF39" s="51">
        <v>1.9458333333333333E-5</v>
      </c>
      <c r="BG39" s="51">
        <v>1.95E-5</v>
      </c>
      <c r="BH39" s="51">
        <v>1.954166666666667E-5</v>
      </c>
      <c r="BI39" s="51">
        <v>1.9583333333333336E-5</v>
      </c>
      <c r="BJ39" s="51">
        <v>1.9625000000000003E-5</v>
      </c>
      <c r="BK39" s="51">
        <v>1.9666666666666669E-5</v>
      </c>
      <c r="BL39" s="51">
        <v>1.9708333333333336E-5</v>
      </c>
      <c r="BM39" s="51">
        <v>1.9750000000000002E-5</v>
      </c>
      <c r="BN39" s="51">
        <v>1.9791666666666669E-5</v>
      </c>
      <c r="BO39" s="51">
        <v>1.9833333333333335E-5</v>
      </c>
      <c r="BP39" s="51">
        <v>1.9875000000000002E-5</v>
      </c>
      <c r="BQ39" s="51">
        <v>1.9916666666666669E-5</v>
      </c>
      <c r="BR39" s="51">
        <v>1.9958333333333335E-5</v>
      </c>
      <c r="BS39" s="51">
        <v>2.0000000000000002E-5</v>
      </c>
      <c r="BT39" s="51">
        <v>2.0050000000000003E-5</v>
      </c>
      <c r="BU39" s="51">
        <v>2.0100000000000001E-5</v>
      </c>
      <c r="BV39" s="51">
        <v>2.0150000000000002E-5</v>
      </c>
      <c r="BW39" s="51">
        <v>2.02E-5</v>
      </c>
      <c r="BX39" s="51">
        <v>2.0250000000000001E-5</v>
      </c>
      <c r="BY39" s="51">
        <v>2.0300000000000002E-5</v>
      </c>
      <c r="BZ39" s="51">
        <v>2.035E-5</v>
      </c>
      <c r="CA39" s="51">
        <v>2.0400000000000001E-5</v>
      </c>
      <c r="CB39" s="51">
        <v>2.0449999999999999E-5</v>
      </c>
      <c r="CC39" s="51">
        <v>2.05E-5</v>
      </c>
      <c r="CD39" s="51">
        <v>2.0550000000000001E-5</v>
      </c>
      <c r="CE39" s="51">
        <v>2.0599999999999999E-5</v>
      </c>
      <c r="CF39" s="51">
        <v>2.065E-5</v>
      </c>
      <c r="CG39" s="51">
        <v>2.0699999999999998E-5</v>
      </c>
      <c r="CH39" s="51">
        <v>2.075E-5</v>
      </c>
      <c r="CI39" s="51">
        <v>2.0800000000000001E-5</v>
      </c>
      <c r="CJ39" s="51">
        <v>2.0849999999999999E-5</v>
      </c>
      <c r="CK39" s="51">
        <v>2.09E-5</v>
      </c>
      <c r="CL39" s="51">
        <v>2.0949999999999998E-5</v>
      </c>
      <c r="CM39" s="51">
        <v>2.0999999999999999E-5</v>
      </c>
    </row>
    <row r="40" spans="1:91" s="50" customFormat="1" x14ac:dyDescent="0.25">
      <c r="A40" s="50" t="s">
        <v>1</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51">
        <v>3.6000000000000001E-5</v>
      </c>
      <c r="AG40" s="51">
        <v>3.5866666666666667E-5</v>
      </c>
      <c r="AH40" s="51">
        <v>3.5733333333333332E-5</v>
      </c>
      <c r="AI40" s="51">
        <v>3.5599999999999998E-5</v>
      </c>
      <c r="AJ40" s="51">
        <v>3.546666666666667E-5</v>
      </c>
      <c r="AK40" s="51">
        <v>3.5333333333333336E-5</v>
      </c>
      <c r="AL40" s="51">
        <v>3.5200000000000002E-5</v>
      </c>
      <c r="AM40" s="51">
        <v>3.5066666666666667E-5</v>
      </c>
      <c r="AN40" s="51">
        <v>3.4933333333333333E-5</v>
      </c>
      <c r="AO40" s="51">
        <v>3.4799999999999999E-5</v>
      </c>
      <c r="AP40" s="51">
        <v>3.4666666666666665E-5</v>
      </c>
      <c r="AQ40" s="51">
        <v>3.453333333333333E-5</v>
      </c>
      <c r="AR40" s="51">
        <v>3.4400000000000003E-5</v>
      </c>
      <c r="AS40" s="51">
        <v>3.4266666666666668E-5</v>
      </c>
      <c r="AT40" s="51">
        <v>3.4133333333333334E-5</v>
      </c>
      <c r="AU40" s="51">
        <v>3.4E-5</v>
      </c>
      <c r="AV40" s="51">
        <v>3.3958333333333337E-5</v>
      </c>
      <c r="AW40" s="51">
        <v>3.3916666666666667E-5</v>
      </c>
      <c r="AX40" s="51">
        <v>3.3874999999999997E-5</v>
      </c>
      <c r="AY40" s="51">
        <v>3.3833333333333334E-5</v>
      </c>
      <c r="AZ40" s="51">
        <v>3.379166666666667E-5</v>
      </c>
      <c r="BA40" s="51">
        <v>3.375E-5</v>
      </c>
      <c r="BB40" s="51">
        <v>3.370833333333333E-5</v>
      </c>
      <c r="BC40" s="51">
        <v>3.3666666666666667E-5</v>
      </c>
      <c r="BD40" s="51">
        <v>3.3625000000000004E-5</v>
      </c>
      <c r="BE40" s="51">
        <v>3.3583333333333334E-5</v>
      </c>
      <c r="BF40" s="51">
        <v>3.3541666666666664E-5</v>
      </c>
      <c r="BG40" s="51">
        <v>3.3500000000000001E-5</v>
      </c>
      <c r="BH40" s="51">
        <v>3.3458333333333338E-5</v>
      </c>
      <c r="BI40" s="51">
        <v>3.3416666666666668E-5</v>
      </c>
      <c r="BJ40" s="51">
        <v>3.3374999999999998E-5</v>
      </c>
      <c r="BK40" s="51">
        <v>3.3333333333333335E-5</v>
      </c>
      <c r="BL40" s="51">
        <v>3.3291666666666672E-5</v>
      </c>
      <c r="BM40" s="51">
        <v>3.3250000000000002E-5</v>
      </c>
      <c r="BN40" s="51">
        <v>3.3208333333333332E-5</v>
      </c>
      <c r="BO40" s="51">
        <v>3.3166666666666669E-5</v>
      </c>
      <c r="BP40" s="51">
        <v>3.3125000000000006E-5</v>
      </c>
      <c r="BQ40" s="51">
        <v>3.3083333333333336E-5</v>
      </c>
      <c r="BR40" s="51">
        <v>3.3041666666666666E-5</v>
      </c>
      <c r="BS40" s="51">
        <v>3.3000000000000003E-5</v>
      </c>
      <c r="BT40" s="51">
        <v>3.3000000000000003E-5</v>
      </c>
      <c r="BU40" s="51">
        <v>3.3000000000000003E-5</v>
      </c>
      <c r="BV40" s="51">
        <v>3.3000000000000003E-5</v>
      </c>
      <c r="BW40" s="51">
        <v>3.3000000000000003E-5</v>
      </c>
      <c r="BX40" s="51">
        <v>3.3000000000000003E-5</v>
      </c>
      <c r="BY40" s="51">
        <v>3.3000000000000003E-5</v>
      </c>
      <c r="BZ40" s="51">
        <v>3.3000000000000003E-5</v>
      </c>
      <c r="CA40" s="51">
        <v>3.3000000000000003E-5</v>
      </c>
      <c r="CB40" s="51">
        <v>3.3000000000000003E-5</v>
      </c>
      <c r="CC40" s="51">
        <v>3.3000000000000003E-5</v>
      </c>
      <c r="CD40" s="51">
        <v>3.3000000000000003E-5</v>
      </c>
      <c r="CE40" s="51">
        <v>3.3000000000000003E-5</v>
      </c>
      <c r="CF40" s="51">
        <v>3.3000000000000003E-5</v>
      </c>
      <c r="CG40" s="51">
        <v>3.3000000000000003E-5</v>
      </c>
      <c r="CH40" s="51">
        <v>3.3000000000000003E-5</v>
      </c>
      <c r="CI40" s="51">
        <v>3.3000000000000003E-5</v>
      </c>
      <c r="CJ40" s="51">
        <v>3.3000000000000003E-5</v>
      </c>
      <c r="CK40" s="51">
        <v>3.3000000000000003E-5</v>
      </c>
      <c r="CL40" s="51">
        <v>3.3000000000000003E-5</v>
      </c>
      <c r="CM40" s="51">
        <v>3.3000000000000003E-5</v>
      </c>
    </row>
    <row r="41" spans="1:91" s="50" customFormat="1" x14ac:dyDescent="0.25">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spans="1:91" s="50" customFormat="1" x14ac:dyDescent="0.25">
      <c r="A42" s="50" t="s">
        <v>200</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51">
        <v>8.0900000000000001E-5</v>
      </c>
      <c r="AG42" s="51">
        <v>8.0833333333333338E-5</v>
      </c>
      <c r="AH42" s="51">
        <v>8.0766666666666674E-5</v>
      </c>
      <c r="AI42" s="51">
        <v>8.0699999999999996E-5</v>
      </c>
      <c r="AJ42" s="51">
        <v>8.0633333333333333E-5</v>
      </c>
      <c r="AK42" s="51">
        <v>8.0566666666666669E-5</v>
      </c>
      <c r="AL42" s="51">
        <v>8.0500000000000005E-5</v>
      </c>
      <c r="AM42" s="51">
        <v>8.0433333333333341E-5</v>
      </c>
      <c r="AN42" s="51">
        <v>8.0366666666666664E-5</v>
      </c>
      <c r="AO42" s="51">
        <v>8.03E-5</v>
      </c>
      <c r="AP42" s="51">
        <v>8.0233333333333337E-5</v>
      </c>
      <c r="AQ42" s="51">
        <v>8.0166666666666673E-5</v>
      </c>
      <c r="AR42" s="51">
        <v>8.0100000000000009E-5</v>
      </c>
      <c r="AS42" s="51">
        <v>8.0033333333333332E-5</v>
      </c>
      <c r="AT42" s="51">
        <v>7.9966666666666668E-5</v>
      </c>
      <c r="AU42" s="51">
        <v>7.9900000000000004E-5</v>
      </c>
      <c r="AV42" s="51">
        <v>7.9790909090909099E-5</v>
      </c>
      <c r="AW42" s="51">
        <v>7.9681818181818179E-5</v>
      </c>
      <c r="AX42" s="51">
        <v>7.9572727272727274E-5</v>
      </c>
      <c r="AY42" s="51">
        <v>7.9463636363636368E-5</v>
      </c>
      <c r="AZ42" s="51">
        <v>7.9354545454545463E-5</v>
      </c>
      <c r="BA42" s="51">
        <v>7.9245454545454544E-5</v>
      </c>
      <c r="BB42" s="51">
        <v>7.9136363636363638E-5</v>
      </c>
      <c r="BC42" s="51">
        <v>7.9027272727272732E-5</v>
      </c>
      <c r="BD42" s="51">
        <v>7.8918181818181827E-5</v>
      </c>
      <c r="BE42" s="51">
        <v>7.8809090909090908E-5</v>
      </c>
      <c r="BF42" s="51">
        <v>7.8700000000000002E-5</v>
      </c>
      <c r="BG42" s="51">
        <v>7.8590909090909096E-5</v>
      </c>
      <c r="BH42" s="51">
        <v>7.8481818181818177E-5</v>
      </c>
      <c r="BI42" s="51">
        <v>7.8372727272727272E-5</v>
      </c>
      <c r="BJ42" s="51">
        <v>7.8263636363636366E-5</v>
      </c>
      <c r="BK42" s="51">
        <v>7.8154545454545461E-5</v>
      </c>
      <c r="BL42" s="51">
        <v>7.8045454545454541E-5</v>
      </c>
      <c r="BM42" s="51">
        <v>7.7936363636363636E-5</v>
      </c>
      <c r="BN42" s="51">
        <v>7.782727272727273E-5</v>
      </c>
      <c r="BO42" s="51">
        <v>7.7718181818181825E-5</v>
      </c>
      <c r="BP42" s="51">
        <v>7.7609090909090906E-5</v>
      </c>
      <c r="BQ42" s="51">
        <v>7.75E-5</v>
      </c>
      <c r="BR42" s="51">
        <v>7.7390909090909094E-5</v>
      </c>
      <c r="BS42" s="51">
        <v>7.6000000000000004E-5</v>
      </c>
      <c r="BT42" s="51">
        <v>7.5955E-5</v>
      </c>
      <c r="BU42" s="51">
        <v>7.5909999999999997E-5</v>
      </c>
      <c r="BV42" s="51">
        <v>7.5865000000000006E-5</v>
      </c>
      <c r="BW42" s="51">
        <v>7.5820000000000003E-5</v>
      </c>
      <c r="BX42" s="51">
        <v>7.5774999999999999E-5</v>
      </c>
      <c r="BY42" s="51">
        <v>7.5730000000000008E-5</v>
      </c>
      <c r="BZ42" s="51">
        <v>7.5685000000000005E-5</v>
      </c>
      <c r="CA42" s="51">
        <v>7.5640000000000001E-5</v>
      </c>
      <c r="CB42" s="51">
        <v>7.5594999999999997E-5</v>
      </c>
      <c r="CC42" s="51">
        <v>7.5549999999999993E-5</v>
      </c>
      <c r="CD42" s="51">
        <v>7.5505000000000003E-5</v>
      </c>
      <c r="CE42" s="51">
        <v>7.5459999999999999E-5</v>
      </c>
      <c r="CF42" s="51">
        <v>7.5414999999999995E-5</v>
      </c>
      <c r="CG42" s="51">
        <v>7.5370000000000005E-5</v>
      </c>
      <c r="CH42" s="51">
        <v>7.5325000000000001E-5</v>
      </c>
      <c r="CI42" s="51">
        <v>7.5279999999999998E-5</v>
      </c>
      <c r="CJ42" s="51">
        <v>7.5234999999999994E-5</v>
      </c>
      <c r="CK42" s="51">
        <v>7.518999999999999E-5</v>
      </c>
      <c r="CL42" s="51">
        <v>7.5145E-5</v>
      </c>
      <c r="CM42" s="51">
        <v>7.5099999999999996E-5</v>
      </c>
    </row>
    <row r="43" spans="1:91" s="50" customFormat="1" x14ac:dyDescent="0.25">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spans="1:91" s="50" customFormat="1" x14ac:dyDescent="0.25">
      <c r="A44" s="50" t="s">
        <v>201</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51">
        <v>2.6047124150016419E-5</v>
      </c>
      <c r="AG44" s="51">
        <v>2.5931820509822103E-5</v>
      </c>
      <c r="AH44" s="51">
        <v>2.5817027287951345E-5</v>
      </c>
      <c r="AI44" s="51">
        <v>2.5702742224918969E-5</v>
      </c>
      <c r="AJ44" s="51">
        <v>2.5588963071241946E-5</v>
      </c>
      <c r="AK44" s="51">
        <v>2.5475687587395098E-5</v>
      </c>
      <c r="AL44" s="51">
        <v>2.5362913543767027E-5</v>
      </c>
      <c r="AM44" s="51">
        <v>2.5250638720616227E-5</v>
      </c>
      <c r="AN44" s="51">
        <v>2.5138860908027395E-5</v>
      </c>
      <c r="AO44" s="51">
        <v>2.5027577905867931E-5</v>
      </c>
      <c r="AP44" s="51">
        <v>2.4916787523744632E-5</v>
      </c>
      <c r="AQ44" s="51">
        <v>2.4806487580960574E-5</v>
      </c>
      <c r="AR44" s="51">
        <v>2.4696675906472202E-5</v>
      </c>
      <c r="AS44" s="51">
        <v>2.4587350338846587E-5</v>
      </c>
      <c r="AT44" s="51">
        <v>2.4478508726218878E-5</v>
      </c>
      <c r="AU44" s="51">
        <v>2.4370148926249962E-5</v>
      </c>
      <c r="AV44" s="51">
        <v>2.4378852289661097E-5</v>
      </c>
      <c r="AW44" s="51">
        <v>2.438755876132302E-5</v>
      </c>
      <c r="AX44" s="51">
        <v>2.4396268342345792E-5</v>
      </c>
      <c r="AY44" s="51">
        <v>2.4404981033839863E-5</v>
      </c>
      <c r="AZ44" s="51">
        <v>2.4413696836916083E-5</v>
      </c>
      <c r="BA44" s="51">
        <v>2.4422415752685697E-5</v>
      </c>
      <c r="BB44" s="51">
        <v>2.443113778226035E-5</v>
      </c>
      <c r="BC44" s="51">
        <v>2.4439862926752079E-5</v>
      </c>
      <c r="BD44" s="51">
        <v>2.4448591187273323E-5</v>
      </c>
      <c r="BE44" s="51">
        <v>2.4457322564936916E-5</v>
      </c>
      <c r="BF44" s="51">
        <v>2.4466057060856087E-5</v>
      </c>
      <c r="BG44" s="51">
        <v>2.4474794676144469E-5</v>
      </c>
      <c r="BH44" s="51">
        <v>2.4483535411916089E-5</v>
      </c>
      <c r="BI44" s="51">
        <v>2.4492279269285369E-5</v>
      </c>
      <c r="BJ44" s="51">
        <v>2.4501026249367136E-5</v>
      </c>
      <c r="BK44" s="51">
        <v>2.4509776353276607E-5</v>
      </c>
      <c r="BL44" s="51">
        <v>2.4518529582129402E-5</v>
      </c>
      <c r="BM44" s="51">
        <v>2.4527285937041538E-5</v>
      </c>
      <c r="BN44" s="51">
        <v>2.4536045419129436E-5</v>
      </c>
      <c r="BO44" s="51">
        <v>2.4544808029509907E-5</v>
      </c>
      <c r="BP44" s="51">
        <v>2.4553573769300165E-5</v>
      </c>
      <c r="BQ44" s="51">
        <v>2.4562342639617823E-5</v>
      </c>
      <c r="BR44" s="51">
        <v>2.4571114641580892E-5</v>
      </c>
      <c r="BS44" s="51">
        <v>2.4579889776307785E-5</v>
      </c>
      <c r="BT44" s="51">
        <v>2.4588668044917313E-5</v>
      </c>
      <c r="BU44" s="51">
        <v>2.4597449448528686E-5</v>
      </c>
      <c r="BV44" s="51">
        <v>2.460623398826151E-5</v>
      </c>
      <c r="BW44" s="51">
        <v>2.4615021665235799E-5</v>
      </c>
      <c r="BX44" s="51">
        <v>2.4623812480571962E-5</v>
      </c>
      <c r="BY44" s="51">
        <v>2.463260643539081E-5</v>
      </c>
      <c r="BZ44" s="51">
        <v>2.4641403530813551E-5</v>
      </c>
      <c r="CA44" s="51">
        <v>2.4650203767961796E-5</v>
      </c>
      <c r="CB44" s="51">
        <v>2.4659007147957558E-5</v>
      </c>
      <c r="CC44" s="51">
        <v>2.4667813671923248E-5</v>
      </c>
      <c r="CD44" s="51">
        <v>2.4676623340981674E-5</v>
      </c>
      <c r="CE44" s="51">
        <v>2.4685436156256055E-5</v>
      </c>
      <c r="CF44" s="51">
        <v>2.4694252118870006E-5</v>
      </c>
      <c r="CG44" s="51">
        <v>2.4703071229947542E-5</v>
      </c>
      <c r="CH44" s="51">
        <v>2.4711893490613081E-5</v>
      </c>
      <c r="CI44" s="51">
        <v>2.4720718901991441E-5</v>
      </c>
      <c r="CJ44" s="51">
        <v>2.4729547465207841E-5</v>
      </c>
      <c r="CK44" s="51">
        <v>2.4738379181387907E-5</v>
      </c>
      <c r="CL44" s="51">
        <v>2.4747214051657664E-5</v>
      </c>
      <c r="CM44" s="51">
        <v>2.4756052077143536E-5</v>
      </c>
    </row>
    <row r="45" spans="1:91" s="50" customFormat="1" x14ac:dyDescent="0.25">
      <c r="A45" s="50" t="s">
        <v>1</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51">
        <v>2.0100000000000001E-4</v>
      </c>
      <c r="AG45" s="51">
        <v>2.0106666666666668E-4</v>
      </c>
      <c r="AH45" s="51">
        <v>2.0113333333333333E-4</v>
      </c>
      <c r="AI45" s="51">
        <v>2.0120000000000001E-4</v>
      </c>
      <c r="AJ45" s="51">
        <v>2.0126666666666666E-4</v>
      </c>
      <c r="AK45" s="51">
        <v>2.0133333333333334E-4</v>
      </c>
      <c r="AL45" s="51">
        <v>2.0140000000000002E-4</v>
      </c>
      <c r="AM45" s="51">
        <v>2.0146666666666667E-4</v>
      </c>
      <c r="AN45" s="51">
        <v>2.0153333333333334E-4</v>
      </c>
      <c r="AO45" s="51">
        <v>2.0159999999999999E-4</v>
      </c>
      <c r="AP45" s="51">
        <v>2.0166666666666667E-4</v>
      </c>
      <c r="AQ45" s="51">
        <v>2.0173333333333335E-4</v>
      </c>
      <c r="AR45" s="51">
        <v>2.018E-4</v>
      </c>
      <c r="AS45" s="51">
        <v>2.0186666666666668E-4</v>
      </c>
      <c r="AT45" s="51">
        <v>2.0193333333333333E-4</v>
      </c>
      <c r="AU45" s="51">
        <v>2.02E-4</v>
      </c>
      <c r="AV45" s="51">
        <v>2.0254166666666668E-4</v>
      </c>
      <c r="AW45" s="51">
        <v>2.0308333333333333E-4</v>
      </c>
      <c r="AX45" s="51">
        <v>2.03625E-4</v>
      </c>
      <c r="AY45" s="51">
        <v>2.0416666666666668E-4</v>
      </c>
      <c r="AZ45" s="51">
        <v>2.0470833333333333E-4</v>
      </c>
      <c r="BA45" s="51">
        <v>2.0525E-4</v>
      </c>
      <c r="BB45" s="51">
        <v>2.0579166666666668E-4</v>
      </c>
      <c r="BC45" s="51">
        <v>2.0633333333333333E-4</v>
      </c>
      <c r="BD45" s="51">
        <v>2.06875E-4</v>
      </c>
      <c r="BE45" s="51">
        <v>2.0741666666666668E-4</v>
      </c>
      <c r="BF45" s="51">
        <v>2.0795833333333332E-4</v>
      </c>
      <c r="BG45" s="51">
        <v>2.085E-4</v>
      </c>
      <c r="BH45" s="51">
        <v>2.0904166666666667E-4</v>
      </c>
      <c r="BI45" s="51">
        <v>2.0958333333333332E-4</v>
      </c>
      <c r="BJ45" s="51">
        <v>2.10125E-4</v>
      </c>
      <c r="BK45" s="51">
        <v>2.1066666666666667E-4</v>
      </c>
      <c r="BL45" s="51">
        <v>2.1120833333333332E-4</v>
      </c>
      <c r="BM45" s="51">
        <v>2.1175E-4</v>
      </c>
      <c r="BN45" s="51">
        <v>2.1229166666666667E-4</v>
      </c>
      <c r="BO45" s="51">
        <v>2.1283333333333332E-4</v>
      </c>
      <c r="BP45" s="51">
        <v>2.13375E-4</v>
      </c>
      <c r="BQ45" s="51">
        <v>2.1391666666666667E-4</v>
      </c>
      <c r="BR45" s="51">
        <v>2.1445833333333332E-4</v>
      </c>
      <c r="BS45" s="51">
        <v>2.1499999999999999E-4</v>
      </c>
      <c r="BT45" s="51">
        <v>2.1535E-4</v>
      </c>
      <c r="BU45" s="51">
        <v>2.1569999999999998E-4</v>
      </c>
      <c r="BV45" s="51">
        <v>2.1604999999999999E-4</v>
      </c>
      <c r="BW45" s="51">
        <v>2.164E-4</v>
      </c>
      <c r="BX45" s="51">
        <v>2.1674999999999998E-4</v>
      </c>
      <c r="BY45" s="51">
        <v>2.1709999999999999E-4</v>
      </c>
      <c r="BZ45" s="51">
        <v>2.1745E-4</v>
      </c>
      <c r="CA45" s="51">
        <v>2.1780000000000001E-4</v>
      </c>
      <c r="CB45" s="51">
        <v>2.1814999999999999E-4</v>
      </c>
      <c r="CC45" s="51">
        <v>2.185E-4</v>
      </c>
      <c r="CD45" s="51">
        <v>2.1885000000000001E-4</v>
      </c>
      <c r="CE45" s="51">
        <v>2.1919999999999999E-4</v>
      </c>
      <c r="CF45" s="51">
        <v>2.1955E-4</v>
      </c>
      <c r="CG45" s="51">
        <v>2.1990000000000001E-4</v>
      </c>
      <c r="CH45" s="51">
        <v>2.2025000000000001E-4</v>
      </c>
      <c r="CI45" s="51">
        <v>2.206E-4</v>
      </c>
      <c r="CJ45" s="51">
        <v>2.2095E-4</v>
      </c>
      <c r="CK45" s="51">
        <v>2.2130000000000001E-4</v>
      </c>
      <c r="CL45" s="51">
        <v>2.2164999999999999E-4</v>
      </c>
      <c r="CM45" s="51">
        <v>2.22E-4</v>
      </c>
    </row>
    <row r="46" spans="1:91" s="50" customFormat="1" x14ac:dyDescent="0.25">
      <c r="A46" s="50" t="s">
        <v>2</v>
      </c>
      <c r="B46" s="4">
        <v>0</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0</v>
      </c>
      <c r="Y46" s="4">
        <v>0</v>
      </c>
      <c r="Z46" s="4">
        <v>0</v>
      </c>
      <c r="AA46" s="4">
        <v>0</v>
      </c>
      <c r="AB46" s="4">
        <v>0</v>
      </c>
      <c r="AC46" s="4">
        <v>0</v>
      </c>
      <c r="AD46" s="4">
        <v>0</v>
      </c>
      <c r="AE46" s="4">
        <v>0</v>
      </c>
      <c r="AF46" s="51">
        <v>3.1090007506599416E-5</v>
      </c>
      <c r="AG46" s="51">
        <v>3.1214866974497405E-5</v>
      </c>
      <c r="AH46" s="51">
        <v>3.1340227886041568E-5</v>
      </c>
      <c r="AI46" s="51">
        <v>3.1466092255061819E-5</v>
      </c>
      <c r="AJ46" s="51">
        <v>3.1592462103475722E-5</v>
      </c>
      <c r="AK46" s="51">
        <v>3.1719339461321004E-5</v>
      </c>
      <c r="AL46" s="51">
        <v>3.1846726366788155E-5</v>
      </c>
      <c r="AM46" s="51">
        <v>3.1974624866253171E-5</v>
      </c>
      <c r="AN46" s="51">
        <v>3.2103037014310414E-5</v>
      </c>
      <c r="AO46" s="51">
        <v>3.2231964873805633E-5</v>
      </c>
      <c r="AP46" s="51">
        <v>3.2361410515869112E-5</v>
      </c>
      <c r="AQ46" s="51">
        <v>3.2491376019948906E-5</v>
      </c>
      <c r="AR46" s="51">
        <v>3.2621863473844284E-5</v>
      </c>
      <c r="AS46" s="51">
        <v>3.2752874973739242E-5</v>
      </c>
      <c r="AT46" s="51">
        <v>3.288441262423619E-5</v>
      </c>
      <c r="AU46" s="51">
        <v>3.3016478538389752E-5</v>
      </c>
      <c r="AV46" s="51">
        <v>3.3049495016928139E-5</v>
      </c>
      <c r="AW46" s="51">
        <v>3.3082544511945068E-5</v>
      </c>
      <c r="AX46" s="51">
        <v>3.3115627056457015E-5</v>
      </c>
      <c r="AY46" s="51">
        <v>3.3148742683513472E-5</v>
      </c>
      <c r="AZ46" s="51">
        <v>3.3181891426196984E-5</v>
      </c>
      <c r="BA46" s="51">
        <v>3.3215073317623179E-5</v>
      </c>
      <c r="BB46" s="51">
        <v>3.3248288390940805E-5</v>
      </c>
      <c r="BC46" s="51">
        <v>3.3281536679331748E-5</v>
      </c>
      <c r="BD46" s="51">
        <v>3.3314818216011078E-5</v>
      </c>
      <c r="BE46" s="51">
        <v>3.3348133034227087E-5</v>
      </c>
      <c r="BF46" s="51">
        <v>3.3381481167261313E-5</v>
      </c>
      <c r="BG46" s="51">
        <v>3.3414862648428577E-5</v>
      </c>
      <c r="BH46" s="51">
        <v>3.3448277511077007E-5</v>
      </c>
      <c r="BI46" s="51">
        <v>3.3481725788588084E-5</v>
      </c>
      <c r="BJ46" s="51">
        <v>3.3515207514376674E-5</v>
      </c>
      <c r="BK46" s="51">
        <v>3.3548722721891052E-5</v>
      </c>
      <c r="BL46" s="51">
        <v>3.3582271444612947E-5</v>
      </c>
      <c r="BM46" s="51">
        <v>3.361585371605756E-5</v>
      </c>
      <c r="BN46" s="51">
        <v>3.3649469569773618E-5</v>
      </c>
      <c r="BO46" s="51">
        <v>3.3683119039343394E-5</v>
      </c>
      <c r="BP46" s="51">
        <v>3.3716802158382734E-5</v>
      </c>
      <c r="BQ46" s="51">
        <v>3.3750518960541119E-5</v>
      </c>
      <c r="BR46" s="51">
        <v>3.3784269479501661E-5</v>
      </c>
      <c r="BS46" s="51">
        <v>3.3818053748981164E-5</v>
      </c>
      <c r="BT46" s="51">
        <v>3.3851871802730143E-5</v>
      </c>
      <c r="BU46" s="51">
        <v>3.3885723674532874E-5</v>
      </c>
      <c r="BV46" s="51">
        <v>3.3919609398207405E-5</v>
      </c>
      <c r="BW46" s="51">
        <v>3.3953529007605609E-5</v>
      </c>
      <c r="BX46" s="51">
        <v>3.3987482536613218E-5</v>
      </c>
      <c r="BY46" s="51">
        <v>3.4021470019149833E-5</v>
      </c>
      <c r="BZ46" s="51">
        <v>3.4055491489168982E-5</v>
      </c>
      <c r="CA46" s="51">
        <v>3.4089546980658153E-5</v>
      </c>
      <c r="CB46" s="51">
        <v>3.412363652763881E-5</v>
      </c>
      <c r="CC46" s="51">
        <v>3.4157760164166448E-5</v>
      </c>
      <c r="CD46" s="51">
        <v>3.4191917924330613E-5</v>
      </c>
      <c r="CE46" s="51">
        <v>3.4226109842254942E-5</v>
      </c>
      <c r="CF46" s="51">
        <v>3.4260335952097197E-5</v>
      </c>
      <c r="CG46" s="51">
        <v>3.4294596288049293E-5</v>
      </c>
      <c r="CH46" s="51">
        <v>3.4328890884337344E-5</v>
      </c>
      <c r="CI46" s="51">
        <v>3.4363219775221679E-5</v>
      </c>
      <c r="CJ46" s="51">
        <v>3.4397582994996899E-5</v>
      </c>
      <c r="CK46" s="51">
        <v>3.4431980577991895E-5</v>
      </c>
      <c r="CL46" s="51">
        <v>3.4466412558569886E-5</v>
      </c>
      <c r="CM46" s="51">
        <v>3.4500878971128458E-5</v>
      </c>
    </row>
    <row r="47" spans="1:91" s="50" customFormat="1" x14ac:dyDescent="0.25">
      <c r="A47" s="50" t="s">
        <v>2</v>
      </c>
      <c r="B47" s="4">
        <v>0</v>
      </c>
      <c r="C47" s="4">
        <v>0</v>
      </c>
      <c r="D47" s="4">
        <v>0</v>
      </c>
      <c r="E47" s="4">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c r="X47" s="4">
        <v>0</v>
      </c>
      <c r="Y47" s="4">
        <v>0</v>
      </c>
      <c r="Z47" s="4">
        <v>0</v>
      </c>
      <c r="AA47" s="4">
        <v>0</v>
      </c>
      <c r="AB47" s="4">
        <v>0</v>
      </c>
      <c r="AC47" s="4">
        <v>0</v>
      </c>
      <c r="AD47" s="4">
        <v>0</v>
      </c>
      <c r="AE47" s="4">
        <v>0</v>
      </c>
      <c r="AF47" s="51">
        <v>1.9058062501626263E-5</v>
      </c>
      <c r="AG47" s="51">
        <v>1.9367949696774658E-5</v>
      </c>
      <c r="AH47" s="51">
        <v>1.9682875708104327E-5</v>
      </c>
      <c r="AI47" s="51">
        <v>2.0002922467585699E-5</v>
      </c>
      <c r="AJ47" s="51">
        <v>2.0328173239416362E-5</v>
      </c>
      <c r="AK47" s="51">
        <v>2.0658712641683296E-5</v>
      </c>
      <c r="AL47" s="51">
        <v>2.0994626668377332E-5</v>
      </c>
      <c r="AM47" s="51">
        <v>2.1336002711765583E-5</v>
      </c>
      <c r="AN47" s="51">
        <v>2.1682929585127624E-5</v>
      </c>
      <c r="AO47" s="51">
        <v>2.2035497545861405E-5</v>
      </c>
      <c r="AP47" s="51">
        <v>2.2393798318964842E-5</v>
      </c>
      <c r="AQ47" s="51">
        <v>2.2757925120899231E-5</v>
      </c>
      <c r="AR47" s="51">
        <v>2.3127972683840682E-5</v>
      </c>
      <c r="AS47" s="51">
        <v>2.3504037280325898E-5</v>
      </c>
      <c r="AT47" s="51">
        <v>2.3886216748298676E-5</v>
      </c>
      <c r="AU47" s="51">
        <v>2.4274610516563694E-5</v>
      </c>
      <c r="AV47" s="51">
        <v>2.4444532790179639E-5</v>
      </c>
      <c r="AW47" s="51">
        <v>2.4615644519710897E-5</v>
      </c>
      <c r="AX47" s="51">
        <v>2.4787954031348874E-5</v>
      </c>
      <c r="AY47" s="51">
        <v>2.4961469709568316E-5</v>
      </c>
      <c r="AZ47" s="51">
        <v>2.5136199997535295E-5</v>
      </c>
      <c r="BA47" s="51">
        <v>2.5312153397518044E-5</v>
      </c>
      <c r="BB47" s="51">
        <v>2.5489338471300669E-5</v>
      </c>
      <c r="BC47" s="51">
        <v>2.5667763840599773E-5</v>
      </c>
      <c r="BD47" s="51">
        <v>2.5847438187483973E-5</v>
      </c>
      <c r="BE47" s="51">
        <v>2.6028370254796361E-5</v>
      </c>
      <c r="BF47" s="51">
        <v>2.6210568846579936E-5</v>
      </c>
      <c r="BG47" s="51">
        <v>2.6394042828505995E-5</v>
      </c>
      <c r="BH47" s="51">
        <v>2.6578801128305539E-5</v>
      </c>
      <c r="BI47" s="51">
        <v>2.6764852736203677E-5</v>
      </c>
      <c r="BJ47" s="51">
        <v>2.6952206705357104E-5</v>
      </c>
      <c r="BK47" s="51">
        <v>2.7140872152294603E-5</v>
      </c>
      <c r="BL47" s="51">
        <v>2.7330858257360666E-5</v>
      </c>
      <c r="BM47" s="51">
        <v>2.7522174265162191E-5</v>
      </c>
      <c r="BN47" s="51">
        <v>2.7714829485018327E-5</v>
      </c>
      <c r="BO47" s="51">
        <v>2.7908833291413456E-5</v>
      </c>
      <c r="BP47" s="51">
        <v>2.8104195124453349E-5</v>
      </c>
      <c r="BQ47" s="51">
        <v>2.8300924490324521E-5</v>
      </c>
      <c r="BR47" s="51">
        <v>2.8499030961756792E-5</v>
      </c>
      <c r="BS47" s="51">
        <v>2.8698524178489089E-5</v>
      </c>
      <c r="BT47" s="51">
        <v>2.8899413847738511E-5</v>
      </c>
      <c r="BU47" s="51">
        <v>2.9101709744672679E-5</v>
      </c>
      <c r="BV47" s="51">
        <v>2.9305421712885388E-5</v>
      </c>
      <c r="BW47" s="51">
        <v>2.9510559664875587E-5</v>
      </c>
      <c r="BX47" s="51">
        <v>2.9717133582529715E-5</v>
      </c>
      <c r="BY47" s="51">
        <v>2.9925153517607422E-5</v>
      </c>
      <c r="BZ47" s="51">
        <v>3.0134629592230675E-5</v>
      </c>
      <c r="CA47" s="51">
        <v>3.0345571999376289E-5</v>
      </c>
      <c r="CB47" s="51">
        <v>3.0557991003371919E-5</v>
      </c>
      <c r="CC47" s="51">
        <v>3.0771896940395526E-5</v>
      </c>
      <c r="CD47" s="51">
        <v>3.0987300218978292E-5</v>
      </c>
      <c r="CE47" s="51">
        <v>3.120421132051114E-5</v>
      </c>
      <c r="CF47" s="51">
        <v>3.1422640799754715E-5</v>
      </c>
      <c r="CG47" s="51">
        <v>3.1642599285352998E-5</v>
      </c>
      <c r="CH47" s="51">
        <v>3.1864097480350471E-5</v>
      </c>
      <c r="CI47" s="51">
        <v>3.2087146162712921E-5</v>
      </c>
      <c r="CJ47" s="51">
        <v>3.2311756185851908E-5</v>
      </c>
      <c r="CK47" s="51">
        <v>3.2537938479152873E-5</v>
      </c>
      <c r="CL47" s="51">
        <v>3.2765704048506942E-5</v>
      </c>
      <c r="CM47" s="51">
        <v>3.299506397684649E-5</v>
      </c>
    </row>
    <row r="48" spans="1:91" s="50" customFormat="1" x14ac:dyDescent="0.25">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spans="1:91" s="50" customFormat="1" x14ac:dyDescent="0.25">
      <c r="A49" s="50" t="s">
        <v>202</v>
      </c>
      <c r="B49" s="4">
        <v>0</v>
      </c>
      <c r="C49" s="4">
        <v>0</v>
      </c>
      <c r="D49" s="4">
        <v>0</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c r="X49" s="4">
        <v>0</v>
      </c>
      <c r="Y49" s="4">
        <v>0</v>
      </c>
      <c r="Z49" s="4">
        <v>0</v>
      </c>
      <c r="AA49" s="4">
        <v>0</v>
      </c>
      <c r="AB49" s="4">
        <v>0</v>
      </c>
      <c r="AC49" s="4">
        <v>0</v>
      </c>
      <c r="AD49" s="4">
        <v>0</v>
      </c>
      <c r="AE49" s="4">
        <v>0</v>
      </c>
      <c r="AF49" s="51">
        <v>3.7310549777117386E-5</v>
      </c>
      <c r="AG49" s="51">
        <v>3.7387320455671127E-5</v>
      </c>
      <c r="AH49" s="51">
        <v>3.7464091134224867E-5</v>
      </c>
      <c r="AI49" s="51">
        <v>3.7540861812778601E-5</v>
      </c>
      <c r="AJ49" s="51">
        <v>3.7617632491332342E-5</v>
      </c>
      <c r="AK49" s="51">
        <v>3.7694403169886082E-5</v>
      </c>
      <c r="AL49" s="51">
        <v>3.7771173848439823E-5</v>
      </c>
      <c r="AM49" s="51">
        <v>3.7847944526993563E-5</v>
      </c>
      <c r="AN49" s="51">
        <v>3.7924715205547297E-5</v>
      </c>
      <c r="AO49" s="51">
        <v>3.8001485884101038E-5</v>
      </c>
      <c r="AP49" s="51">
        <v>3.8078256562654778E-5</v>
      </c>
      <c r="AQ49" s="51">
        <v>3.8155027241208519E-5</v>
      </c>
      <c r="AR49" s="51">
        <v>3.823179791976226E-5</v>
      </c>
      <c r="AS49" s="51">
        <v>3.8308568598315993E-5</v>
      </c>
      <c r="AT49" s="51">
        <v>3.8385339276869734E-5</v>
      </c>
      <c r="AU49" s="51">
        <v>3.8462109955423475E-5</v>
      </c>
      <c r="AV49" s="51">
        <v>3.8690126860987058E-5</v>
      </c>
      <c r="AW49" s="51">
        <v>3.8918143766550648E-5</v>
      </c>
      <c r="AX49" s="51">
        <v>3.9146160672114232E-5</v>
      </c>
      <c r="AY49" s="51">
        <v>3.9374177577677815E-5</v>
      </c>
      <c r="AZ49" s="51">
        <v>3.9602194483241399E-5</v>
      </c>
      <c r="BA49" s="51">
        <v>3.9830211388804982E-5</v>
      </c>
      <c r="BB49" s="51">
        <v>4.0058228294368573E-5</v>
      </c>
      <c r="BC49" s="51">
        <v>4.0286245199932156E-5</v>
      </c>
      <c r="BD49" s="51">
        <v>4.051426210549574E-5</v>
      </c>
      <c r="BE49" s="51">
        <v>4.074227901105933E-5</v>
      </c>
      <c r="BF49" s="51">
        <v>4.0970295916622914E-5</v>
      </c>
      <c r="BG49" s="51">
        <v>4.1198312822186497E-5</v>
      </c>
      <c r="BH49" s="51">
        <v>4.1426329727750081E-5</v>
      </c>
      <c r="BI49" s="51">
        <v>4.1654346633313664E-5</v>
      </c>
      <c r="BJ49" s="51">
        <v>4.1882363538877255E-5</v>
      </c>
      <c r="BK49" s="51">
        <v>4.2110380444440838E-5</v>
      </c>
      <c r="BL49" s="51">
        <v>4.2338397350004422E-5</v>
      </c>
      <c r="BM49" s="51">
        <v>4.2566414255568012E-5</v>
      </c>
      <c r="BN49" s="51">
        <v>4.2794431161131595E-5</v>
      </c>
      <c r="BO49" s="51">
        <v>4.3022448066695179E-5</v>
      </c>
      <c r="BP49" s="51">
        <v>4.3250464972258763E-5</v>
      </c>
      <c r="BQ49" s="51">
        <v>4.3478481877822346E-5</v>
      </c>
      <c r="BR49" s="51">
        <v>4.3706498783385936E-5</v>
      </c>
      <c r="BS49" s="51">
        <v>4.393451568894952E-5</v>
      </c>
      <c r="BT49" s="51">
        <v>4.393451568894952E-5</v>
      </c>
      <c r="BU49" s="51">
        <v>4.393451568894952E-5</v>
      </c>
      <c r="BV49" s="51">
        <v>4.393451568894952E-5</v>
      </c>
      <c r="BW49" s="51">
        <v>4.393451568894952E-5</v>
      </c>
      <c r="BX49" s="51">
        <v>4.393451568894952E-5</v>
      </c>
      <c r="BY49" s="51">
        <v>4.393451568894952E-5</v>
      </c>
      <c r="BZ49" s="51">
        <v>4.393451568894952E-5</v>
      </c>
      <c r="CA49" s="51">
        <v>4.393451568894952E-5</v>
      </c>
      <c r="CB49" s="51">
        <v>4.393451568894952E-5</v>
      </c>
      <c r="CC49" s="51">
        <v>4.393451568894952E-5</v>
      </c>
      <c r="CD49" s="51">
        <v>4.393451568894952E-5</v>
      </c>
      <c r="CE49" s="51">
        <v>4.393451568894952E-5</v>
      </c>
      <c r="CF49" s="51">
        <v>4.393451568894952E-5</v>
      </c>
      <c r="CG49" s="51">
        <v>4.393451568894952E-5</v>
      </c>
      <c r="CH49" s="51">
        <v>4.393451568894952E-5</v>
      </c>
      <c r="CI49" s="51">
        <v>4.393451568894952E-5</v>
      </c>
      <c r="CJ49" s="51">
        <v>4.393451568894952E-5</v>
      </c>
      <c r="CK49" s="51">
        <v>4.393451568894952E-5</v>
      </c>
      <c r="CL49" s="51">
        <v>4.393451568894952E-5</v>
      </c>
      <c r="CM49" s="51">
        <v>4.393451568894952E-5</v>
      </c>
    </row>
    <row r="50" spans="1:91" s="50" customFormat="1" x14ac:dyDescent="0.25">
      <c r="A50" s="50" t="s">
        <v>1</v>
      </c>
      <c r="B50" s="4">
        <v>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51">
        <v>5.3438335809806834E-5</v>
      </c>
      <c r="AG50" s="51">
        <v>5.3548291233283803E-5</v>
      </c>
      <c r="AH50" s="51">
        <v>5.3658246656760772E-5</v>
      </c>
      <c r="AI50" s="51">
        <v>5.3768202080237741E-5</v>
      </c>
      <c r="AJ50" s="51">
        <v>5.3878157503714709E-5</v>
      </c>
      <c r="AK50" s="51">
        <v>5.3988112927191678E-5</v>
      </c>
      <c r="AL50" s="51">
        <v>5.4098068350668647E-5</v>
      </c>
      <c r="AM50" s="51">
        <v>5.4208023774145616E-5</v>
      </c>
      <c r="AN50" s="51">
        <v>5.4317979197622585E-5</v>
      </c>
      <c r="AO50" s="51">
        <v>5.4427934621099554E-5</v>
      </c>
      <c r="AP50" s="51">
        <v>5.4537890044576523E-5</v>
      </c>
      <c r="AQ50" s="51">
        <v>5.4647845468053492E-5</v>
      </c>
      <c r="AR50" s="51">
        <v>5.4757800891530461E-5</v>
      </c>
      <c r="AS50" s="51">
        <v>5.4867756315007429E-5</v>
      </c>
      <c r="AT50" s="51">
        <v>5.4977711738484398E-5</v>
      </c>
      <c r="AU50" s="51">
        <v>5.5087667161961367E-5</v>
      </c>
      <c r="AV50" s="51">
        <v>5.4915471844219341E-5</v>
      </c>
      <c r="AW50" s="51">
        <v>5.4743276526477322E-5</v>
      </c>
      <c r="AX50" s="51">
        <v>5.4571081208735296E-5</v>
      </c>
      <c r="AY50" s="51">
        <v>5.439888589099327E-5</v>
      </c>
      <c r="AZ50" s="51">
        <v>5.4226690573251244E-5</v>
      </c>
      <c r="BA50" s="51">
        <v>5.4054495255509225E-5</v>
      </c>
      <c r="BB50" s="51">
        <v>5.3882299937767199E-5</v>
      </c>
      <c r="BC50" s="51">
        <v>5.3710104620025173E-5</v>
      </c>
      <c r="BD50" s="51">
        <v>5.3537909302283154E-5</v>
      </c>
      <c r="BE50" s="51">
        <v>5.3365713984541128E-5</v>
      </c>
      <c r="BF50" s="51">
        <v>5.3193518666799102E-5</v>
      </c>
      <c r="BG50" s="51">
        <v>5.3021323349057076E-5</v>
      </c>
      <c r="BH50" s="51">
        <v>5.2849128031315057E-5</v>
      </c>
      <c r="BI50" s="51">
        <v>5.2676932713573031E-5</v>
      </c>
      <c r="BJ50" s="51">
        <v>5.2504737395831005E-5</v>
      </c>
      <c r="BK50" s="51">
        <v>5.2332542078088986E-5</v>
      </c>
      <c r="BL50" s="51">
        <v>5.216034676034696E-5</v>
      </c>
      <c r="BM50" s="51">
        <v>5.1988151442604934E-5</v>
      </c>
      <c r="BN50" s="51">
        <v>5.1815956124862915E-5</v>
      </c>
      <c r="BO50" s="51">
        <v>5.1643760807120889E-5</v>
      </c>
      <c r="BP50" s="51">
        <v>5.1471565489378863E-5</v>
      </c>
      <c r="BQ50" s="51">
        <v>5.1299370171636837E-5</v>
      </c>
      <c r="BR50" s="51">
        <v>5.1127174853894818E-5</v>
      </c>
      <c r="BS50" s="51">
        <v>5.0954979536152792E-5</v>
      </c>
      <c r="BT50" s="51">
        <v>5.0954979536152792E-5</v>
      </c>
      <c r="BU50" s="51">
        <v>5.0954979536152792E-5</v>
      </c>
      <c r="BV50" s="51">
        <v>5.0954979536152792E-5</v>
      </c>
      <c r="BW50" s="51">
        <v>5.0954979536152792E-5</v>
      </c>
      <c r="BX50" s="51">
        <v>5.0954979536152792E-5</v>
      </c>
      <c r="BY50" s="51">
        <v>5.0954979536152792E-5</v>
      </c>
      <c r="BZ50" s="51">
        <v>5.0954979536152792E-5</v>
      </c>
      <c r="CA50" s="51">
        <v>5.0954979536152792E-5</v>
      </c>
      <c r="CB50" s="51">
        <v>5.0954979536152792E-5</v>
      </c>
      <c r="CC50" s="51">
        <v>5.0954979536152792E-5</v>
      </c>
      <c r="CD50" s="51">
        <v>5.0954979536152792E-5</v>
      </c>
      <c r="CE50" s="51">
        <v>5.0954979536152792E-5</v>
      </c>
      <c r="CF50" s="51">
        <v>5.0954979536152792E-5</v>
      </c>
      <c r="CG50" s="51">
        <v>5.0954979536152792E-5</v>
      </c>
      <c r="CH50" s="51">
        <v>5.0954979536152792E-5</v>
      </c>
      <c r="CI50" s="51">
        <v>5.0954979536152792E-5</v>
      </c>
      <c r="CJ50" s="51">
        <v>5.0954979536152792E-5</v>
      </c>
      <c r="CK50" s="51">
        <v>5.0954979536152792E-5</v>
      </c>
      <c r="CL50" s="51">
        <v>5.0954979536152792E-5</v>
      </c>
      <c r="CM50" s="51">
        <v>5.0954979536152792E-5</v>
      </c>
    </row>
    <row r="51" spans="1:91" s="50" customFormat="1" x14ac:dyDescent="0.25">
      <c r="A51" s="50" t="s">
        <v>1</v>
      </c>
      <c r="B51" s="4">
        <v>0</v>
      </c>
      <c r="C51" s="4">
        <v>0</v>
      </c>
      <c r="D51" s="4">
        <v>0</v>
      </c>
      <c r="E51" s="4">
        <v>0</v>
      </c>
      <c r="F51" s="4">
        <v>0</v>
      </c>
      <c r="G51" s="4">
        <v>0</v>
      </c>
      <c r="H51" s="4">
        <v>0</v>
      </c>
      <c r="I51" s="4">
        <v>0</v>
      </c>
      <c r="J51" s="4">
        <v>0</v>
      </c>
      <c r="K51" s="4">
        <v>0</v>
      </c>
      <c r="L51" s="4">
        <v>0</v>
      </c>
      <c r="M51" s="4">
        <v>0</v>
      </c>
      <c r="N51" s="4">
        <v>0</v>
      </c>
      <c r="O51" s="4">
        <v>0</v>
      </c>
      <c r="P51" s="4">
        <v>0</v>
      </c>
      <c r="Q51" s="4">
        <v>0</v>
      </c>
      <c r="R51" s="4">
        <v>0</v>
      </c>
      <c r="S51" s="4">
        <v>0</v>
      </c>
      <c r="T51" s="4">
        <v>0</v>
      </c>
      <c r="U51" s="4">
        <v>0</v>
      </c>
      <c r="V51" s="4">
        <v>0</v>
      </c>
      <c r="W51" s="4">
        <v>0</v>
      </c>
      <c r="X51" s="4">
        <v>0</v>
      </c>
      <c r="Y51" s="4">
        <v>0</v>
      </c>
      <c r="Z51" s="4">
        <v>0</v>
      </c>
      <c r="AA51" s="4">
        <v>0</v>
      </c>
      <c r="AB51" s="4">
        <v>0</v>
      </c>
      <c r="AC51" s="4">
        <v>0</v>
      </c>
      <c r="AD51" s="4">
        <v>0</v>
      </c>
      <c r="AE51" s="4">
        <v>0</v>
      </c>
      <c r="AF51" s="51">
        <v>3.8032689450222883E-5</v>
      </c>
      <c r="AG51" s="51">
        <v>3.8110946012877659E-5</v>
      </c>
      <c r="AH51" s="51">
        <v>3.8189202575532442E-5</v>
      </c>
      <c r="AI51" s="51">
        <v>3.8267459138187219E-5</v>
      </c>
      <c r="AJ51" s="51">
        <v>3.8345715700842002E-5</v>
      </c>
      <c r="AK51" s="51">
        <v>3.8423972263496778E-5</v>
      </c>
      <c r="AL51" s="51">
        <v>3.8502228826151561E-5</v>
      </c>
      <c r="AM51" s="51">
        <v>3.8580485388806337E-5</v>
      </c>
      <c r="AN51" s="51">
        <v>3.865874195146112E-5</v>
      </c>
      <c r="AO51" s="51">
        <v>3.8736998514115897E-5</v>
      </c>
      <c r="AP51" s="51">
        <v>3.881525507677068E-5</v>
      </c>
      <c r="AQ51" s="51">
        <v>3.8893511639425456E-5</v>
      </c>
      <c r="AR51" s="51">
        <v>3.8971768202080239E-5</v>
      </c>
      <c r="AS51" s="51">
        <v>3.9050024764735016E-5</v>
      </c>
      <c r="AT51" s="51">
        <v>3.9128281327389799E-5</v>
      </c>
      <c r="AU51" s="51">
        <v>3.9206537890044575E-5</v>
      </c>
      <c r="AV51" s="51">
        <v>3.9035528779460066E-5</v>
      </c>
      <c r="AW51" s="51">
        <v>3.8864519668875558E-5</v>
      </c>
      <c r="AX51" s="51">
        <v>3.8693510558291049E-5</v>
      </c>
      <c r="AY51" s="51">
        <v>3.8522501447706541E-5</v>
      </c>
      <c r="AZ51" s="51">
        <v>3.8351492337122032E-5</v>
      </c>
      <c r="BA51" s="51">
        <v>3.8180483226537523E-5</v>
      </c>
      <c r="BB51" s="51">
        <v>3.8009474115953015E-5</v>
      </c>
      <c r="BC51" s="51">
        <v>3.7838465005368506E-5</v>
      </c>
      <c r="BD51" s="51">
        <v>3.7667455894783998E-5</v>
      </c>
      <c r="BE51" s="51">
        <v>3.7496446784199489E-5</v>
      </c>
      <c r="BF51" s="51">
        <v>3.7325437673614981E-5</v>
      </c>
      <c r="BG51" s="51">
        <v>3.7154428563030472E-5</v>
      </c>
      <c r="BH51" s="51">
        <v>3.6983419452445963E-5</v>
      </c>
      <c r="BI51" s="51">
        <v>3.6812410341861455E-5</v>
      </c>
      <c r="BJ51" s="51">
        <v>3.6641401231276946E-5</v>
      </c>
      <c r="BK51" s="51">
        <v>3.6470392120692438E-5</v>
      </c>
      <c r="BL51" s="51">
        <v>3.6299383010107929E-5</v>
      </c>
      <c r="BM51" s="51">
        <v>3.612837389952342E-5</v>
      </c>
      <c r="BN51" s="51">
        <v>3.5957364788938912E-5</v>
      </c>
      <c r="BO51" s="51">
        <v>3.5786355678354403E-5</v>
      </c>
      <c r="BP51" s="51">
        <v>3.5615346567769895E-5</v>
      </c>
      <c r="BQ51" s="51">
        <v>3.5444337457185386E-5</v>
      </c>
      <c r="BR51" s="51">
        <v>3.5273328346600878E-5</v>
      </c>
      <c r="BS51" s="51">
        <v>3.5102319236016369E-5</v>
      </c>
      <c r="BT51" s="51">
        <v>3.5102319236016369E-5</v>
      </c>
      <c r="BU51" s="51">
        <v>3.5102319236016369E-5</v>
      </c>
      <c r="BV51" s="51">
        <v>3.5102319236016369E-5</v>
      </c>
      <c r="BW51" s="51">
        <v>3.5102319236016369E-5</v>
      </c>
      <c r="BX51" s="51">
        <v>3.5102319236016369E-5</v>
      </c>
      <c r="BY51" s="51">
        <v>3.5102319236016369E-5</v>
      </c>
      <c r="BZ51" s="51">
        <v>3.5102319236016369E-5</v>
      </c>
      <c r="CA51" s="51">
        <v>3.5102319236016369E-5</v>
      </c>
      <c r="CB51" s="51">
        <v>3.5102319236016369E-5</v>
      </c>
      <c r="CC51" s="51">
        <v>3.5102319236016369E-5</v>
      </c>
      <c r="CD51" s="51">
        <v>3.5102319236016369E-5</v>
      </c>
      <c r="CE51" s="51">
        <v>3.5102319236016369E-5</v>
      </c>
      <c r="CF51" s="51">
        <v>3.5102319236016369E-5</v>
      </c>
      <c r="CG51" s="51">
        <v>3.5102319236016369E-5</v>
      </c>
      <c r="CH51" s="51">
        <v>3.5102319236016369E-5</v>
      </c>
      <c r="CI51" s="51">
        <v>3.5102319236016369E-5</v>
      </c>
      <c r="CJ51" s="51">
        <v>3.5102319236016369E-5</v>
      </c>
      <c r="CK51" s="51">
        <v>3.5102319236016369E-5</v>
      </c>
      <c r="CL51" s="51">
        <v>3.5102319236016369E-5</v>
      </c>
      <c r="CM51" s="51">
        <v>3.5102319236016369E-5</v>
      </c>
    </row>
    <row r="52" spans="1:91" s="50" customFormat="1" x14ac:dyDescent="0.25">
      <c r="A52" s="50" t="s">
        <v>1</v>
      </c>
      <c r="B52" s="4">
        <v>0</v>
      </c>
      <c r="C52" s="4">
        <v>0</v>
      </c>
      <c r="D52" s="4">
        <v>0</v>
      </c>
      <c r="E52" s="4">
        <v>0</v>
      </c>
      <c r="F52" s="4">
        <v>0</v>
      </c>
      <c r="G52" s="4">
        <v>0</v>
      </c>
      <c r="H52" s="4">
        <v>0</v>
      </c>
      <c r="I52" s="4">
        <v>0</v>
      </c>
      <c r="J52" s="4">
        <v>0</v>
      </c>
      <c r="K52" s="4">
        <v>0</v>
      </c>
      <c r="L52" s="4">
        <v>0</v>
      </c>
      <c r="M52" s="4">
        <v>0</v>
      </c>
      <c r="N52" s="4">
        <v>0</v>
      </c>
      <c r="O52" s="4">
        <v>0</v>
      </c>
      <c r="P52" s="4">
        <v>0</v>
      </c>
      <c r="Q52" s="4">
        <v>0</v>
      </c>
      <c r="R52" s="4">
        <v>0</v>
      </c>
      <c r="S52" s="4">
        <v>0</v>
      </c>
      <c r="T52" s="4">
        <v>0</v>
      </c>
      <c r="U52" s="4">
        <v>0</v>
      </c>
      <c r="V52" s="4">
        <v>0</v>
      </c>
      <c r="W52" s="4">
        <v>0</v>
      </c>
      <c r="X52" s="4">
        <v>0</v>
      </c>
      <c r="Y52" s="4">
        <v>0</v>
      </c>
      <c r="Z52" s="4">
        <v>0</v>
      </c>
      <c r="AA52" s="4">
        <v>0</v>
      </c>
      <c r="AB52" s="4">
        <v>0</v>
      </c>
      <c r="AC52" s="4">
        <v>0</v>
      </c>
      <c r="AD52" s="4">
        <v>0</v>
      </c>
      <c r="AE52" s="4">
        <v>0</v>
      </c>
      <c r="AF52" s="51">
        <v>3.3218424962852898E-5</v>
      </c>
      <c r="AG52" s="51">
        <v>3.3286775631500744E-5</v>
      </c>
      <c r="AH52" s="51">
        <v>3.3355126300148591E-5</v>
      </c>
      <c r="AI52" s="51">
        <v>3.3423476968796431E-5</v>
      </c>
      <c r="AJ52" s="51">
        <v>3.3491827637444278E-5</v>
      </c>
      <c r="AK52" s="51">
        <v>3.3560178306092124E-5</v>
      </c>
      <c r="AL52" s="51">
        <v>3.3628528974739971E-5</v>
      </c>
      <c r="AM52" s="51">
        <v>3.3696879643387817E-5</v>
      </c>
      <c r="AN52" s="51">
        <v>3.3765230312035657E-5</v>
      </c>
      <c r="AO52" s="51">
        <v>3.3833580980683504E-5</v>
      </c>
      <c r="AP52" s="51">
        <v>3.3901931649331351E-5</v>
      </c>
      <c r="AQ52" s="51">
        <v>3.3970282317979197E-5</v>
      </c>
      <c r="AR52" s="51">
        <v>3.4038632986627044E-5</v>
      </c>
      <c r="AS52" s="51">
        <v>3.4106983655274884E-5</v>
      </c>
      <c r="AT52" s="51">
        <v>3.417533432392273E-5</v>
      </c>
      <c r="AU52" s="51">
        <v>3.4243684992570577E-5</v>
      </c>
      <c r="AV52" s="51">
        <v>3.4317205848666858E-5</v>
      </c>
      <c r="AW52" s="51">
        <v>3.4390726704763139E-5</v>
      </c>
      <c r="AX52" s="51">
        <v>3.446424756085942E-5</v>
      </c>
      <c r="AY52" s="51">
        <v>3.4537768416955701E-5</v>
      </c>
      <c r="AZ52" s="51">
        <v>3.4611289273051982E-5</v>
      </c>
      <c r="BA52" s="51">
        <v>3.4684810129148263E-5</v>
      </c>
      <c r="BB52" s="51">
        <v>3.4758330985244537E-5</v>
      </c>
      <c r="BC52" s="51">
        <v>3.4831851841340818E-5</v>
      </c>
      <c r="BD52" s="51">
        <v>3.4905372697437099E-5</v>
      </c>
      <c r="BE52" s="51">
        <v>3.497889355353338E-5</v>
      </c>
      <c r="BF52" s="51">
        <v>3.5052414409629662E-5</v>
      </c>
      <c r="BG52" s="51">
        <v>3.5125935265725943E-5</v>
      </c>
      <c r="BH52" s="51">
        <v>3.5199456121822224E-5</v>
      </c>
      <c r="BI52" s="51">
        <v>3.5272976977918505E-5</v>
      </c>
      <c r="BJ52" s="51">
        <v>3.5346497834014786E-5</v>
      </c>
      <c r="BK52" s="51">
        <v>3.5420018690111067E-5</v>
      </c>
      <c r="BL52" s="51">
        <v>3.5493539546207348E-5</v>
      </c>
      <c r="BM52" s="51">
        <v>3.5567060402303622E-5</v>
      </c>
      <c r="BN52" s="51">
        <v>3.5640581258399903E-5</v>
      </c>
      <c r="BO52" s="51">
        <v>3.5714102114496184E-5</v>
      </c>
      <c r="BP52" s="51">
        <v>3.5787622970592465E-5</v>
      </c>
      <c r="BQ52" s="51">
        <v>3.5861143826688746E-5</v>
      </c>
      <c r="BR52" s="51">
        <v>3.5934664682785027E-5</v>
      </c>
      <c r="BS52" s="51">
        <v>3.6008185538881308E-5</v>
      </c>
      <c r="BT52" s="51">
        <v>3.6008185538881308E-5</v>
      </c>
      <c r="BU52" s="51">
        <v>3.6008185538881308E-5</v>
      </c>
      <c r="BV52" s="51">
        <v>3.6008185538881308E-5</v>
      </c>
      <c r="BW52" s="51">
        <v>3.6008185538881308E-5</v>
      </c>
      <c r="BX52" s="51">
        <v>3.6008185538881308E-5</v>
      </c>
      <c r="BY52" s="51">
        <v>3.6008185538881308E-5</v>
      </c>
      <c r="BZ52" s="51">
        <v>3.6008185538881308E-5</v>
      </c>
      <c r="CA52" s="51">
        <v>3.6008185538881308E-5</v>
      </c>
      <c r="CB52" s="51">
        <v>3.6008185538881308E-5</v>
      </c>
      <c r="CC52" s="51">
        <v>3.6008185538881308E-5</v>
      </c>
      <c r="CD52" s="51">
        <v>3.6008185538881308E-5</v>
      </c>
      <c r="CE52" s="51">
        <v>3.6008185538881308E-5</v>
      </c>
      <c r="CF52" s="51">
        <v>3.6008185538881308E-5</v>
      </c>
      <c r="CG52" s="51">
        <v>3.6008185538881308E-5</v>
      </c>
      <c r="CH52" s="51">
        <v>3.6008185538881308E-5</v>
      </c>
      <c r="CI52" s="51">
        <v>3.6008185538881308E-5</v>
      </c>
      <c r="CJ52" s="51">
        <v>3.6008185538881308E-5</v>
      </c>
      <c r="CK52" s="51">
        <v>3.6008185538881308E-5</v>
      </c>
      <c r="CL52" s="51">
        <v>3.6008185538881308E-5</v>
      </c>
      <c r="CM52" s="51">
        <v>3.6008185538881308E-5</v>
      </c>
    </row>
    <row r="53" spans="1:91" s="50" customFormat="1" x14ac:dyDescent="0.25">
      <c r="A53" s="50" t="s">
        <v>1</v>
      </c>
      <c r="B53" s="4">
        <v>0</v>
      </c>
      <c r="C53" s="4">
        <v>0</v>
      </c>
      <c r="D53" s="4">
        <v>0</v>
      </c>
      <c r="E53" s="4">
        <v>0</v>
      </c>
      <c r="F53" s="4">
        <v>0</v>
      </c>
      <c r="G53" s="4">
        <v>0</v>
      </c>
      <c r="H53" s="4">
        <v>0</v>
      </c>
      <c r="I53" s="4">
        <v>0</v>
      </c>
      <c r="J53" s="4">
        <v>0</v>
      </c>
      <c r="K53" s="4">
        <v>0</v>
      </c>
      <c r="L53" s="4">
        <v>0</v>
      </c>
      <c r="M53" s="4">
        <v>0</v>
      </c>
      <c r="N53" s="4">
        <v>0</v>
      </c>
      <c r="O53" s="4">
        <v>0</v>
      </c>
      <c r="P53" s="4">
        <v>0</v>
      </c>
      <c r="Q53" s="4">
        <v>0</v>
      </c>
      <c r="R53" s="4">
        <v>0</v>
      </c>
      <c r="S53" s="4">
        <v>0</v>
      </c>
      <c r="T53" s="4">
        <v>0</v>
      </c>
      <c r="U53" s="4">
        <v>0</v>
      </c>
      <c r="V53" s="4">
        <v>0</v>
      </c>
      <c r="W53" s="4">
        <v>0</v>
      </c>
      <c r="X53" s="4">
        <v>0</v>
      </c>
      <c r="Y53" s="4">
        <v>0</v>
      </c>
      <c r="Z53" s="4">
        <v>0</v>
      </c>
      <c r="AA53" s="4">
        <v>0</v>
      </c>
      <c r="AB53" s="4">
        <v>0</v>
      </c>
      <c r="AC53" s="4">
        <v>0</v>
      </c>
      <c r="AD53" s="4">
        <v>0</v>
      </c>
      <c r="AE53" s="4">
        <v>0</v>
      </c>
      <c r="AF53" s="51">
        <v>1.5999999999999999E-5</v>
      </c>
      <c r="AG53" s="51">
        <v>1.6200000000000001E-5</v>
      </c>
      <c r="AH53" s="51">
        <v>1.6399999999999999E-5</v>
      </c>
      <c r="AI53" s="51">
        <v>1.66E-5</v>
      </c>
      <c r="AJ53" s="51">
        <v>1.6799999999999998E-5</v>
      </c>
      <c r="AK53" s="51">
        <v>1.7E-5</v>
      </c>
      <c r="AL53" s="51">
        <v>1.7200000000000001E-5</v>
      </c>
      <c r="AM53" s="51">
        <v>1.7399999999999999E-5</v>
      </c>
      <c r="AN53" s="51">
        <v>1.7600000000000001E-5</v>
      </c>
      <c r="AO53" s="51">
        <v>1.7799999999999999E-5</v>
      </c>
      <c r="AP53" s="51">
        <v>1.8E-5</v>
      </c>
      <c r="AQ53" s="51">
        <v>1.8200000000000002E-5</v>
      </c>
      <c r="AR53" s="51">
        <v>1.84E-5</v>
      </c>
      <c r="AS53" s="51">
        <v>1.8600000000000001E-5</v>
      </c>
      <c r="AT53" s="51">
        <v>1.88E-5</v>
      </c>
      <c r="AU53" s="51">
        <v>1.9000000000000001E-5</v>
      </c>
      <c r="AV53" s="51">
        <v>1.9041666666666668E-5</v>
      </c>
      <c r="AW53" s="51">
        <v>1.9083333333333334E-5</v>
      </c>
      <c r="AX53" s="51">
        <v>1.9125000000000001E-5</v>
      </c>
      <c r="AY53" s="51">
        <v>1.9166666666666667E-5</v>
      </c>
      <c r="AZ53" s="51">
        <v>1.9208333333333334E-5</v>
      </c>
      <c r="BA53" s="51">
        <v>1.925E-5</v>
      </c>
      <c r="BB53" s="51">
        <v>1.9291666666666667E-5</v>
      </c>
      <c r="BC53" s="51">
        <v>1.9333333333333333E-5</v>
      </c>
      <c r="BD53" s="51">
        <v>1.9375E-5</v>
      </c>
      <c r="BE53" s="51">
        <v>1.9416666666666667E-5</v>
      </c>
      <c r="BF53" s="51">
        <v>1.9458333333333333E-5</v>
      </c>
      <c r="BG53" s="51">
        <v>1.95E-5</v>
      </c>
      <c r="BH53" s="51">
        <v>1.954166666666667E-5</v>
      </c>
      <c r="BI53" s="51">
        <v>1.9583333333333336E-5</v>
      </c>
      <c r="BJ53" s="51">
        <v>1.9625000000000003E-5</v>
      </c>
      <c r="BK53" s="51">
        <v>1.9666666666666669E-5</v>
      </c>
      <c r="BL53" s="51">
        <v>1.9708333333333336E-5</v>
      </c>
      <c r="BM53" s="51">
        <v>1.9750000000000002E-5</v>
      </c>
      <c r="BN53" s="51">
        <v>1.9791666666666669E-5</v>
      </c>
      <c r="BO53" s="51">
        <v>1.9833333333333335E-5</v>
      </c>
      <c r="BP53" s="51">
        <v>1.9875000000000002E-5</v>
      </c>
      <c r="BQ53" s="51">
        <v>1.9916666666666669E-5</v>
      </c>
      <c r="BR53" s="51">
        <v>1.9958333333333335E-5</v>
      </c>
      <c r="BS53" s="51">
        <v>2.0000000000000002E-5</v>
      </c>
      <c r="BT53" s="51">
        <v>2.0050000000000003E-5</v>
      </c>
      <c r="BU53" s="51">
        <v>2.0100000000000001E-5</v>
      </c>
      <c r="BV53" s="51">
        <v>2.0150000000000002E-5</v>
      </c>
      <c r="BW53" s="51">
        <v>2.02E-5</v>
      </c>
      <c r="BX53" s="51">
        <v>2.0250000000000001E-5</v>
      </c>
      <c r="BY53" s="51">
        <v>2.0300000000000002E-5</v>
      </c>
      <c r="BZ53" s="51">
        <v>2.035E-5</v>
      </c>
      <c r="CA53" s="51">
        <v>2.0400000000000001E-5</v>
      </c>
      <c r="CB53" s="51">
        <v>2.0449999999999999E-5</v>
      </c>
      <c r="CC53" s="51">
        <v>2.05E-5</v>
      </c>
      <c r="CD53" s="51">
        <v>2.0550000000000001E-5</v>
      </c>
      <c r="CE53" s="51">
        <v>2.0599999999999999E-5</v>
      </c>
      <c r="CF53" s="51">
        <v>2.065E-5</v>
      </c>
      <c r="CG53" s="51">
        <v>2.0699999999999998E-5</v>
      </c>
      <c r="CH53" s="51">
        <v>2.075E-5</v>
      </c>
      <c r="CI53" s="51">
        <v>2.0800000000000001E-5</v>
      </c>
      <c r="CJ53" s="51">
        <v>2.0849999999999999E-5</v>
      </c>
      <c r="CK53" s="51">
        <v>2.09E-5</v>
      </c>
      <c r="CL53" s="51">
        <v>2.0949999999999998E-5</v>
      </c>
      <c r="CM53" s="51">
        <v>2.0999999999999999E-5</v>
      </c>
    </row>
    <row r="54" spans="1:91" s="50" customFormat="1" x14ac:dyDescent="0.25">
      <c r="A54" s="50" t="s">
        <v>1</v>
      </c>
      <c r="B54" s="4">
        <v>0</v>
      </c>
      <c r="C54" s="4">
        <v>0</v>
      </c>
      <c r="D54" s="4">
        <v>0</v>
      </c>
      <c r="E54" s="4">
        <v>0</v>
      </c>
      <c r="F54" s="4">
        <v>0</v>
      </c>
      <c r="G54" s="4">
        <v>0</v>
      </c>
      <c r="H54" s="4">
        <v>0</v>
      </c>
      <c r="I54" s="4">
        <v>0</v>
      </c>
      <c r="J54" s="4">
        <v>0</v>
      </c>
      <c r="K54" s="4">
        <v>0</v>
      </c>
      <c r="L54" s="4">
        <v>0</v>
      </c>
      <c r="M54" s="4">
        <v>0</v>
      </c>
      <c r="N54" s="4">
        <v>0</v>
      </c>
      <c r="O54" s="4">
        <v>0</v>
      </c>
      <c r="P54" s="4">
        <v>0</v>
      </c>
      <c r="Q54" s="4">
        <v>0</v>
      </c>
      <c r="R54" s="4">
        <v>0</v>
      </c>
      <c r="S54" s="4">
        <v>0</v>
      </c>
      <c r="T54" s="4">
        <v>0</v>
      </c>
      <c r="U54" s="4">
        <v>0</v>
      </c>
      <c r="V54" s="4">
        <v>0</v>
      </c>
      <c r="W54" s="4">
        <v>0</v>
      </c>
      <c r="X54" s="4">
        <v>0</v>
      </c>
      <c r="Y54" s="4">
        <v>0</v>
      </c>
      <c r="Z54" s="4">
        <v>0</v>
      </c>
      <c r="AA54" s="4">
        <v>0</v>
      </c>
      <c r="AB54" s="4">
        <v>0</v>
      </c>
      <c r="AC54" s="4">
        <v>0</v>
      </c>
      <c r="AD54" s="4">
        <v>0</v>
      </c>
      <c r="AE54" s="4">
        <v>0</v>
      </c>
      <c r="AF54" s="51">
        <v>3.6000000000000001E-5</v>
      </c>
      <c r="AG54" s="51">
        <v>3.5866666666666667E-5</v>
      </c>
      <c r="AH54" s="51">
        <v>3.5733333333333332E-5</v>
      </c>
      <c r="AI54" s="51">
        <v>3.5599999999999998E-5</v>
      </c>
      <c r="AJ54" s="51">
        <v>3.546666666666667E-5</v>
      </c>
      <c r="AK54" s="51">
        <v>3.5333333333333336E-5</v>
      </c>
      <c r="AL54" s="51">
        <v>3.5200000000000002E-5</v>
      </c>
      <c r="AM54" s="51">
        <v>3.5066666666666667E-5</v>
      </c>
      <c r="AN54" s="51">
        <v>3.4933333333333333E-5</v>
      </c>
      <c r="AO54" s="51">
        <v>3.4799999999999999E-5</v>
      </c>
      <c r="AP54" s="51">
        <v>3.4666666666666665E-5</v>
      </c>
      <c r="AQ54" s="51">
        <v>3.453333333333333E-5</v>
      </c>
      <c r="AR54" s="51">
        <v>3.4400000000000003E-5</v>
      </c>
      <c r="AS54" s="51">
        <v>3.4266666666666668E-5</v>
      </c>
      <c r="AT54" s="51">
        <v>3.4133333333333334E-5</v>
      </c>
      <c r="AU54" s="51">
        <v>3.4E-5</v>
      </c>
      <c r="AV54" s="51">
        <v>3.3958333333333337E-5</v>
      </c>
      <c r="AW54" s="51">
        <v>3.3916666666666667E-5</v>
      </c>
      <c r="AX54" s="51">
        <v>3.3874999999999997E-5</v>
      </c>
      <c r="AY54" s="51">
        <v>3.3833333333333334E-5</v>
      </c>
      <c r="AZ54" s="51">
        <v>3.379166666666667E-5</v>
      </c>
      <c r="BA54" s="51">
        <v>3.375E-5</v>
      </c>
      <c r="BB54" s="51">
        <v>3.370833333333333E-5</v>
      </c>
      <c r="BC54" s="51">
        <v>3.3666666666666667E-5</v>
      </c>
      <c r="BD54" s="51">
        <v>3.3625000000000004E-5</v>
      </c>
      <c r="BE54" s="51">
        <v>3.3583333333333334E-5</v>
      </c>
      <c r="BF54" s="51">
        <v>3.3541666666666664E-5</v>
      </c>
      <c r="BG54" s="51">
        <v>3.3500000000000001E-5</v>
      </c>
      <c r="BH54" s="51">
        <v>3.3458333333333338E-5</v>
      </c>
      <c r="BI54" s="51">
        <v>3.3416666666666668E-5</v>
      </c>
      <c r="BJ54" s="51">
        <v>3.3374999999999998E-5</v>
      </c>
      <c r="BK54" s="51">
        <v>3.3333333333333335E-5</v>
      </c>
      <c r="BL54" s="51">
        <v>3.3291666666666672E-5</v>
      </c>
      <c r="BM54" s="51">
        <v>3.3250000000000002E-5</v>
      </c>
      <c r="BN54" s="51">
        <v>3.3208333333333332E-5</v>
      </c>
      <c r="BO54" s="51">
        <v>3.3166666666666669E-5</v>
      </c>
      <c r="BP54" s="51">
        <v>3.3125000000000006E-5</v>
      </c>
      <c r="BQ54" s="51">
        <v>3.3083333333333336E-5</v>
      </c>
      <c r="BR54" s="51">
        <v>3.3041666666666666E-5</v>
      </c>
      <c r="BS54" s="51">
        <v>3.3000000000000003E-5</v>
      </c>
      <c r="BT54" s="51">
        <v>3.3000000000000003E-5</v>
      </c>
      <c r="BU54" s="51">
        <v>3.3000000000000003E-5</v>
      </c>
      <c r="BV54" s="51">
        <v>3.3000000000000003E-5</v>
      </c>
      <c r="BW54" s="51">
        <v>3.3000000000000003E-5</v>
      </c>
      <c r="BX54" s="51">
        <v>3.3000000000000003E-5</v>
      </c>
      <c r="BY54" s="51">
        <v>3.3000000000000003E-5</v>
      </c>
      <c r="BZ54" s="51">
        <v>3.3000000000000003E-5</v>
      </c>
      <c r="CA54" s="51">
        <v>3.3000000000000003E-5</v>
      </c>
      <c r="CB54" s="51">
        <v>3.3000000000000003E-5</v>
      </c>
      <c r="CC54" s="51">
        <v>3.3000000000000003E-5</v>
      </c>
      <c r="CD54" s="51">
        <v>3.3000000000000003E-5</v>
      </c>
      <c r="CE54" s="51">
        <v>3.3000000000000003E-5</v>
      </c>
      <c r="CF54" s="51">
        <v>3.3000000000000003E-5</v>
      </c>
      <c r="CG54" s="51">
        <v>3.3000000000000003E-5</v>
      </c>
      <c r="CH54" s="51">
        <v>3.3000000000000003E-5</v>
      </c>
      <c r="CI54" s="51">
        <v>3.3000000000000003E-5</v>
      </c>
      <c r="CJ54" s="51">
        <v>3.3000000000000003E-5</v>
      </c>
      <c r="CK54" s="51">
        <v>3.3000000000000003E-5</v>
      </c>
      <c r="CL54" s="51">
        <v>3.3000000000000003E-5</v>
      </c>
      <c r="CM54" s="51">
        <v>3.3000000000000003E-5</v>
      </c>
    </row>
    <row r="55" spans="1:91" s="50" customFormat="1" x14ac:dyDescent="0.2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spans="1:91" s="50" customFormat="1" x14ac:dyDescent="0.25">
      <c r="A56" s="50" t="s">
        <v>203</v>
      </c>
      <c r="B56" s="4">
        <v>0</v>
      </c>
      <c r="C56" s="4">
        <v>0</v>
      </c>
      <c r="D56" s="4">
        <v>0</v>
      </c>
      <c r="E56" s="4">
        <v>0</v>
      </c>
      <c r="F56" s="4">
        <v>0</v>
      </c>
      <c r="G56" s="4">
        <v>0</v>
      </c>
      <c r="H56" s="4">
        <v>0</v>
      </c>
      <c r="I56" s="4">
        <v>0</v>
      </c>
      <c r="J56" s="4">
        <v>0</v>
      </c>
      <c r="K56" s="4">
        <v>0</v>
      </c>
      <c r="L56" s="4">
        <v>0</v>
      </c>
      <c r="M56" s="4">
        <v>0</v>
      </c>
      <c r="N56" s="4">
        <v>0</v>
      </c>
      <c r="O56" s="4">
        <v>0</v>
      </c>
      <c r="P56" s="4">
        <v>0</v>
      </c>
      <c r="Q56" s="4">
        <v>0</v>
      </c>
      <c r="R56" s="4">
        <v>0</v>
      </c>
      <c r="S56" s="4">
        <v>0</v>
      </c>
      <c r="T56" s="4">
        <v>0</v>
      </c>
      <c r="U56" s="4">
        <v>0</v>
      </c>
      <c r="V56" s="4">
        <v>0</v>
      </c>
      <c r="W56" s="4">
        <v>0</v>
      </c>
      <c r="X56" s="4">
        <v>0</v>
      </c>
      <c r="Y56" s="4">
        <v>0</v>
      </c>
      <c r="Z56" s="4">
        <v>0</v>
      </c>
      <c r="AA56" s="4">
        <v>0</v>
      </c>
      <c r="AB56" s="4">
        <v>0</v>
      </c>
      <c r="AC56" s="4">
        <v>0</v>
      </c>
      <c r="AD56" s="4">
        <v>0</v>
      </c>
      <c r="AE56" s="4">
        <v>0</v>
      </c>
      <c r="AF56" s="51">
        <v>8.0900000000000001E-5</v>
      </c>
      <c r="AG56" s="51">
        <v>8.0833333333333338E-5</v>
      </c>
      <c r="AH56" s="51">
        <v>8.0766666666666674E-5</v>
      </c>
      <c r="AI56" s="51">
        <v>8.0699999999999996E-5</v>
      </c>
      <c r="AJ56" s="51">
        <v>8.0633333333333333E-5</v>
      </c>
      <c r="AK56" s="51">
        <v>8.0566666666666669E-5</v>
      </c>
      <c r="AL56" s="51">
        <v>8.0500000000000005E-5</v>
      </c>
      <c r="AM56" s="51">
        <v>8.0433333333333341E-5</v>
      </c>
      <c r="AN56" s="51">
        <v>8.0366666666666664E-5</v>
      </c>
      <c r="AO56" s="51">
        <v>8.03E-5</v>
      </c>
      <c r="AP56" s="51">
        <v>8.0233333333333337E-5</v>
      </c>
      <c r="AQ56" s="51">
        <v>8.0166666666666673E-5</v>
      </c>
      <c r="AR56" s="51">
        <v>8.0100000000000009E-5</v>
      </c>
      <c r="AS56" s="51">
        <v>8.0033333333333332E-5</v>
      </c>
      <c r="AT56" s="51">
        <v>7.9966666666666668E-5</v>
      </c>
      <c r="AU56" s="51">
        <v>7.9900000000000004E-5</v>
      </c>
      <c r="AV56" s="51">
        <v>7.9790909090909099E-5</v>
      </c>
      <c r="AW56" s="51">
        <v>7.9681818181818179E-5</v>
      </c>
      <c r="AX56" s="51">
        <v>7.9572727272727274E-5</v>
      </c>
      <c r="AY56" s="51">
        <v>7.9463636363636368E-5</v>
      </c>
      <c r="AZ56" s="51">
        <v>7.9354545454545463E-5</v>
      </c>
      <c r="BA56" s="51">
        <v>7.9245454545454544E-5</v>
      </c>
      <c r="BB56" s="51">
        <v>7.9136363636363638E-5</v>
      </c>
      <c r="BC56" s="51">
        <v>7.9027272727272732E-5</v>
      </c>
      <c r="BD56" s="51">
        <v>7.8918181818181827E-5</v>
      </c>
      <c r="BE56" s="51">
        <v>7.8809090909090908E-5</v>
      </c>
      <c r="BF56" s="51">
        <v>7.8700000000000002E-5</v>
      </c>
      <c r="BG56" s="51">
        <v>7.8590909090909096E-5</v>
      </c>
      <c r="BH56" s="51">
        <v>7.8481818181818177E-5</v>
      </c>
      <c r="BI56" s="51">
        <v>7.8372727272727272E-5</v>
      </c>
      <c r="BJ56" s="51">
        <v>7.8263636363636366E-5</v>
      </c>
      <c r="BK56" s="51">
        <v>7.8154545454545461E-5</v>
      </c>
      <c r="BL56" s="51">
        <v>7.8045454545454541E-5</v>
      </c>
      <c r="BM56" s="51">
        <v>7.7936363636363636E-5</v>
      </c>
      <c r="BN56" s="51">
        <v>7.782727272727273E-5</v>
      </c>
      <c r="BO56" s="51">
        <v>7.7718181818181825E-5</v>
      </c>
      <c r="BP56" s="51">
        <v>7.7609090909090906E-5</v>
      </c>
      <c r="BQ56" s="51">
        <v>7.75E-5</v>
      </c>
      <c r="BR56" s="51">
        <v>7.7390909090909094E-5</v>
      </c>
      <c r="BS56" s="51">
        <v>7.6000000000000004E-5</v>
      </c>
      <c r="BT56" s="51">
        <v>7.5955E-5</v>
      </c>
      <c r="BU56" s="51">
        <v>7.5909999999999997E-5</v>
      </c>
      <c r="BV56" s="51">
        <v>7.5865000000000006E-5</v>
      </c>
      <c r="BW56" s="51">
        <v>7.5820000000000003E-5</v>
      </c>
      <c r="BX56" s="51">
        <v>7.5774999999999999E-5</v>
      </c>
      <c r="BY56" s="51">
        <v>7.5730000000000008E-5</v>
      </c>
      <c r="BZ56" s="51">
        <v>7.5685000000000005E-5</v>
      </c>
      <c r="CA56" s="51">
        <v>7.5640000000000001E-5</v>
      </c>
      <c r="CB56" s="51">
        <v>7.5594999999999997E-5</v>
      </c>
      <c r="CC56" s="51">
        <v>7.5549999999999993E-5</v>
      </c>
      <c r="CD56" s="51">
        <v>7.5505000000000003E-5</v>
      </c>
      <c r="CE56" s="51">
        <v>7.5459999999999999E-5</v>
      </c>
      <c r="CF56" s="51">
        <v>7.5414999999999995E-5</v>
      </c>
      <c r="CG56" s="51">
        <v>7.5370000000000005E-5</v>
      </c>
      <c r="CH56" s="51">
        <v>7.5325000000000001E-5</v>
      </c>
      <c r="CI56" s="51">
        <v>7.5279999999999998E-5</v>
      </c>
      <c r="CJ56" s="51">
        <v>7.5234999999999994E-5</v>
      </c>
      <c r="CK56" s="51">
        <v>7.518999999999999E-5</v>
      </c>
      <c r="CL56" s="51">
        <v>7.5145E-5</v>
      </c>
      <c r="CM56" s="51">
        <v>7.5099999999999996E-5</v>
      </c>
    </row>
    <row r="57" spans="1:91" s="50" customFormat="1" x14ac:dyDescent="0.25">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spans="1:91" s="50" customFormat="1" x14ac:dyDescent="0.25">
      <c r="A58" s="50" t="s">
        <v>204</v>
      </c>
      <c r="B58" s="4">
        <v>0</v>
      </c>
      <c r="C58" s="4">
        <v>0</v>
      </c>
      <c r="D58" s="4">
        <v>0</v>
      </c>
      <c r="E58" s="4">
        <v>0</v>
      </c>
      <c r="F58" s="4">
        <v>0</v>
      </c>
      <c r="G58" s="4">
        <v>0</v>
      </c>
      <c r="H58" s="4">
        <v>0</v>
      </c>
      <c r="I58" s="4">
        <v>0</v>
      </c>
      <c r="J58" s="4">
        <v>0</v>
      </c>
      <c r="K58" s="4">
        <v>0</v>
      </c>
      <c r="L58" s="4">
        <v>0</v>
      </c>
      <c r="M58" s="4">
        <v>0</v>
      </c>
      <c r="N58" s="4">
        <v>0</v>
      </c>
      <c r="O58" s="4">
        <v>0</v>
      </c>
      <c r="P58" s="4">
        <v>0</v>
      </c>
      <c r="Q58" s="4">
        <v>0</v>
      </c>
      <c r="R58" s="4">
        <v>0</v>
      </c>
      <c r="S58" s="4">
        <v>0</v>
      </c>
      <c r="T58" s="4">
        <v>0</v>
      </c>
      <c r="U58" s="4">
        <v>0</v>
      </c>
      <c r="V58" s="4">
        <v>0</v>
      </c>
      <c r="W58" s="4">
        <v>0</v>
      </c>
      <c r="X58" s="4">
        <v>0</v>
      </c>
      <c r="Y58" s="4">
        <v>0</v>
      </c>
      <c r="Z58" s="4">
        <v>0</v>
      </c>
      <c r="AA58" s="4">
        <v>0</v>
      </c>
      <c r="AB58" s="4">
        <v>0</v>
      </c>
      <c r="AC58" s="4">
        <v>0</v>
      </c>
      <c r="AD58" s="4">
        <v>0</v>
      </c>
      <c r="AE58" s="4">
        <v>0</v>
      </c>
      <c r="AF58" s="51">
        <v>2.6047124150016419E-5</v>
      </c>
      <c r="AG58" s="51">
        <v>2.5931820509822103E-5</v>
      </c>
      <c r="AH58" s="51">
        <v>2.5817027287951345E-5</v>
      </c>
      <c r="AI58" s="51">
        <v>2.5702742224918969E-5</v>
      </c>
      <c r="AJ58" s="51">
        <v>2.5588963071241946E-5</v>
      </c>
      <c r="AK58" s="51">
        <v>2.5475687587395098E-5</v>
      </c>
      <c r="AL58" s="51">
        <v>2.5362913543767027E-5</v>
      </c>
      <c r="AM58" s="51">
        <v>2.5250638720616227E-5</v>
      </c>
      <c r="AN58" s="51">
        <v>2.5138860908027395E-5</v>
      </c>
      <c r="AO58" s="51">
        <v>2.5027577905867931E-5</v>
      </c>
      <c r="AP58" s="51">
        <v>2.4916787523744632E-5</v>
      </c>
      <c r="AQ58" s="51">
        <v>2.4806487580960574E-5</v>
      </c>
      <c r="AR58" s="51">
        <v>2.4696675906472202E-5</v>
      </c>
      <c r="AS58" s="51">
        <v>2.4587350338846587E-5</v>
      </c>
      <c r="AT58" s="51">
        <v>2.4478508726218878E-5</v>
      </c>
      <c r="AU58" s="51">
        <v>2.4370148926249962E-5</v>
      </c>
      <c r="AV58" s="51">
        <v>2.4378852289661097E-5</v>
      </c>
      <c r="AW58" s="51">
        <v>2.438755876132302E-5</v>
      </c>
      <c r="AX58" s="51">
        <v>2.4396268342345792E-5</v>
      </c>
      <c r="AY58" s="51">
        <v>2.4404981033839863E-5</v>
      </c>
      <c r="AZ58" s="51">
        <v>2.4413696836916083E-5</v>
      </c>
      <c r="BA58" s="51">
        <v>2.4422415752685697E-5</v>
      </c>
      <c r="BB58" s="51">
        <v>2.443113778226035E-5</v>
      </c>
      <c r="BC58" s="51">
        <v>2.4439862926752079E-5</v>
      </c>
      <c r="BD58" s="51">
        <v>2.4448591187273323E-5</v>
      </c>
      <c r="BE58" s="51">
        <v>2.4457322564936916E-5</v>
      </c>
      <c r="BF58" s="51">
        <v>2.4466057060856087E-5</v>
      </c>
      <c r="BG58" s="51">
        <v>2.4474794676144469E-5</v>
      </c>
      <c r="BH58" s="51">
        <v>2.4483535411916089E-5</v>
      </c>
      <c r="BI58" s="51">
        <v>2.4492279269285369E-5</v>
      </c>
      <c r="BJ58" s="51">
        <v>2.4501026249367136E-5</v>
      </c>
      <c r="BK58" s="51">
        <v>2.4509776353276607E-5</v>
      </c>
      <c r="BL58" s="51">
        <v>2.4518529582129402E-5</v>
      </c>
      <c r="BM58" s="51">
        <v>2.4527285937041538E-5</v>
      </c>
      <c r="BN58" s="51">
        <v>2.4536045419129436E-5</v>
      </c>
      <c r="BO58" s="51">
        <v>2.4544808029509907E-5</v>
      </c>
      <c r="BP58" s="51">
        <v>2.4553573769300165E-5</v>
      </c>
      <c r="BQ58" s="51">
        <v>2.4562342639617823E-5</v>
      </c>
      <c r="BR58" s="51">
        <v>2.4571114641580892E-5</v>
      </c>
      <c r="BS58" s="51">
        <v>2.4579889776307785E-5</v>
      </c>
      <c r="BT58" s="51">
        <v>2.4588668044917313E-5</v>
      </c>
      <c r="BU58" s="51">
        <v>2.4597449448528686E-5</v>
      </c>
      <c r="BV58" s="51">
        <v>2.460623398826151E-5</v>
      </c>
      <c r="BW58" s="51">
        <v>2.4615021665235799E-5</v>
      </c>
      <c r="BX58" s="51">
        <v>2.4623812480571962E-5</v>
      </c>
      <c r="BY58" s="51">
        <v>2.463260643539081E-5</v>
      </c>
      <c r="BZ58" s="51">
        <v>2.4641403530813551E-5</v>
      </c>
      <c r="CA58" s="51">
        <v>2.4650203767961796E-5</v>
      </c>
      <c r="CB58" s="51">
        <v>2.4659007147957558E-5</v>
      </c>
      <c r="CC58" s="51">
        <v>2.4667813671923248E-5</v>
      </c>
      <c r="CD58" s="51">
        <v>2.4676623340981674E-5</v>
      </c>
      <c r="CE58" s="51">
        <v>2.4685436156256055E-5</v>
      </c>
      <c r="CF58" s="51">
        <v>2.4694252118870006E-5</v>
      </c>
      <c r="CG58" s="51">
        <v>2.4703071229947542E-5</v>
      </c>
      <c r="CH58" s="51">
        <v>2.4711893490613081E-5</v>
      </c>
      <c r="CI58" s="51">
        <v>2.4720718901991441E-5</v>
      </c>
      <c r="CJ58" s="51">
        <v>2.4729547465207841E-5</v>
      </c>
      <c r="CK58" s="51">
        <v>2.4738379181387907E-5</v>
      </c>
      <c r="CL58" s="51">
        <v>2.4747214051657664E-5</v>
      </c>
      <c r="CM58" s="51">
        <v>2.4756052077143536E-5</v>
      </c>
    </row>
    <row r="59" spans="1:91" s="50" customFormat="1" x14ac:dyDescent="0.25">
      <c r="A59" s="50" t="s">
        <v>1</v>
      </c>
      <c r="B59" s="4">
        <v>0</v>
      </c>
      <c r="C59" s="4">
        <v>0</v>
      </c>
      <c r="D59" s="4">
        <v>0</v>
      </c>
      <c r="E59" s="4">
        <v>0</v>
      </c>
      <c r="F59" s="4">
        <v>0</v>
      </c>
      <c r="G59" s="4">
        <v>0</v>
      </c>
      <c r="H59" s="4">
        <v>0</v>
      </c>
      <c r="I59" s="4">
        <v>0</v>
      </c>
      <c r="J59" s="4">
        <v>0</v>
      </c>
      <c r="K59" s="4">
        <v>0</v>
      </c>
      <c r="L59" s="4">
        <v>0</v>
      </c>
      <c r="M59" s="4">
        <v>0</v>
      </c>
      <c r="N59" s="4">
        <v>0</v>
      </c>
      <c r="O59" s="4">
        <v>0</v>
      </c>
      <c r="P59" s="4">
        <v>0</v>
      </c>
      <c r="Q59" s="4">
        <v>0</v>
      </c>
      <c r="R59" s="4">
        <v>0</v>
      </c>
      <c r="S59" s="4">
        <v>0</v>
      </c>
      <c r="T59" s="4">
        <v>0</v>
      </c>
      <c r="U59" s="4">
        <v>0</v>
      </c>
      <c r="V59" s="4">
        <v>0</v>
      </c>
      <c r="W59" s="4">
        <v>0</v>
      </c>
      <c r="X59" s="4">
        <v>0</v>
      </c>
      <c r="Y59" s="4">
        <v>0</v>
      </c>
      <c r="Z59" s="4">
        <v>0</v>
      </c>
      <c r="AA59" s="4">
        <v>0</v>
      </c>
      <c r="AB59" s="4">
        <v>0</v>
      </c>
      <c r="AC59" s="4">
        <v>0</v>
      </c>
      <c r="AD59" s="4">
        <v>0</v>
      </c>
      <c r="AE59" s="4">
        <v>0</v>
      </c>
      <c r="AF59" s="51">
        <v>2.0100000000000001E-4</v>
      </c>
      <c r="AG59" s="51">
        <v>2.0106666666666668E-4</v>
      </c>
      <c r="AH59" s="51">
        <v>2.0113333333333333E-4</v>
      </c>
      <c r="AI59" s="51">
        <v>2.0120000000000001E-4</v>
      </c>
      <c r="AJ59" s="51">
        <v>2.0126666666666666E-4</v>
      </c>
      <c r="AK59" s="51">
        <v>2.0133333333333334E-4</v>
      </c>
      <c r="AL59" s="51">
        <v>2.0140000000000002E-4</v>
      </c>
      <c r="AM59" s="51">
        <v>2.0146666666666667E-4</v>
      </c>
      <c r="AN59" s="51">
        <v>2.0153333333333334E-4</v>
      </c>
      <c r="AO59" s="51">
        <v>2.0159999999999999E-4</v>
      </c>
      <c r="AP59" s="51">
        <v>2.0166666666666667E-4</v>
      </c>
      <c r="AQ59" s="51">
        <v>2.0173333333333335E-4</v>
      </c>
      <c r="AR59" s="51">
        <v>2.018E-4</v>
      </c>
      <c r="AS59" s="51">
        <v>2.0186666666666668E-4</v>
      </c>
      <c r="AT59" s="51">
        <v>2.0193333333333333E-4</v>
      </c>
      <c r="AU59" s="51">
        <v>2.02E-4</v>
      </c>
      <c r="AV59" s="51">
        <v>2.0254166666666668E-4</v>
      </c>
      <c r="AW59" s="51">
        <v>2.0308333333333333E-4</v>
      </c>
      <c r="AX59" s="51">
        <v>2.03625E-4</v>
      </c>
      <c r="AY59" s="51">
        <v>2.0416666666666668E-4</v>
      </c>
      <c r="AZ59" s="51">
        <v>2.0470833333333333E-4</v>
      </c>
      <c r="BA59" s="51">
        <v>2.0525E-4</v>
      </c>
      <c r="BB59" s="51">
        <v>2.0579166666666668E-4</v>
      </c>
      <c r="BC59" s="51">
        <v>2.0633333333333333E-4</v>
      </c>
      <c r="BD59" s="51">
        <v>2.06875E-4</v>
      </c>
      <c r="BE59" s="51">
        <v>2.0741666666666668E-4</v>
      </c>
      <c r="BF59" s="51">
        <v>2.0795833333333332E-4</v>
      </c>
      <c r="BG59" s="51">
        <v>2.085E-4</v>
      </c>
      <c r="BH59" s="51">
        <v>2.0904166666666667E-4</v>
      </c>
      <c r="BI59" s="51">
        <v>2.0958333333333332E-4</v>
      </c>
      <c r="BJ59" s="51">
        <v>2.10125E-4</v>
      </c>
      <c r="BK59" s="51">
        <v>2.1066666666666667E-4</v>
      </c>
      <c r="BL59" s="51">
        <v>2.1120833333333332E-4</v>
      </c>
      <c r="BM59" s="51">
        <v>2.1175E-4</v>
      </c>
      <c r="BN59" s="51">
        <v>2.1229166666666667E-4</v>
      </c>
      <c r="BO59" s="51">
        <v>2.1283333333333332E-4</v>
      </c>
      <c r="BP59" s="51">
        <v>2.13375E-4</v>
      </c>
      <c r="BQ59" s="51">
        <v>2.1391666666666667E-4</v>
      </c>
      <c r="BR59" s="51">
        <v>2.1445833333333332E-4</v>
      </c>
      <c r="BS59" s="51">
        <v>2.1499999999999999E-4</v>
      </c>
      <c r="BT59" s="51">
        <v>2.1535E-4</v>
      </c>
      <c r="BU59" s="51">
        <v>2.1569999999999998E-4</v>
      </c>
      <c r="BV59" s="51">
        <v>2.1604999999999999E-4</v>
      </c>
      <c r="BW59" s="51">
        <v>2.164E-4</v>
      </c>
      <c r="BX59" s="51">
        <v>2.1674999999999998E-4</v>
      </c>
      <c r="BY59" s="51">
        <v>2.1709999999999999E-4</v>
      </c>
      <c r="BZ59" s="51">
        <v>2.1745E-4</v>
      </c>
      <c r="CA59" s="51">
        <v>2.1780000000000001E-4</v>
      </c>
      <c r="CB59" s="51">
        <v>2.1814999999999999E-4</v>
      </c>
      <c r="CC59" s="51">
        <v>2.185E-4</v>
      </c>
      <c r="CD59" s="51">
        <v>2.1885000000000001E-4</v>
      </c>
      <c r="CE59" s="51">
        <v>2.1919999999999999E-4</v>
      </c>
      <c r="CF59" s="51">
        <v>2.1955E-4</v>
      </c>
      <c r="CG59" s="51">
        <v>2.1990000000000001E-4</v>
      </c>
      <c r="CH59" s="51">
        <v>2.2025000000000001E-4</v>
      </c>
      <c r="CI59" s="51">
        <v>2.206E-4</v>
      </c>
      <c r="CJ59" s="51">
        <v>2.2095E-4</v>
      </c>
      <c r="CK59" s="51">
        <v>2.2130000000000001E-4</v>
      </c>
      <c r="CL59" s="51">
        <v>2.2164999999999999E-4</v>
      </c>
      <c r="CM59" s="51">
        <v>2.22E-4</v>
      </c>
    </row>
    <row r="60" spans="1:91" s="50" customFormat="1" x14ac:dyDescent="0.25">
      <c r="A60" s="50" t="s">
        <v>2</v>
      </c>
      <c r="B60" s="4">
        <v>0</v>
      </c>
      <c r="C60" s="4">
        <v>0</v>
      </c>
      <c r="D60" s="4">
        <v>0</v>
      </c>
      <c r="E60" s="4">
        <v>0</v>
      </c>
      <c r="F60" s="4">
        <v>0</v>
      </c>
      <c r="G60" s="4">
        <v>0</v>
      </c>
      <c r="H60" s="4">
        <v>0</v>
      </c>
      <c r="I60" s="4">
        <v>0</v>
      </c>
      <c r="J60" s="4">
        <v>0</v>
      </c>
      <c r="K60" s="4">
        <v>0</v>
      </c>
      <c r="L60" s="4">
        <v>0</v>
      </c>
      <c r="M60" s="4">
        <v>0</v>
      </c>
      <c r="N60" s="4">
        <v>0</v>
      </c>
      <c r="O60" s="4">
        <v>0</v>
      </c>
      <c r="P60" s="4">
        <v>0</v>
      </c>
      <c r="Q60" s="4">
        <v>0</v>
      </c>
      <c r="R60" s="4">
        <v>0</v>
      </c>
      <c r="S60" s="4">
        <v>0</v>
      </c>
      <c r="T60" s="4">
        <v>0</v>
      </c>
      <c r="U60" s="4">
        <v>0</v>
      </c>
      <c r="V60" s="4">
        <v>0</v>
      </c>
      <c r="W60" s="4">
        <v>0</v>
      </c>
      <c r="X60" s="4">
        <v>0</v>
      </c>
      <c r="Y60" s="4">
        <v>0</v>
      </c>
      <c r="Z60" s="4">
        <v>0</v>
      </c>
      <c r="AA60" s="4">
        <v>0</v>
      </c>
      <c r="AB60" s="4">
        <v>0</v>
      </c>
      <c r="AC60" s="4">
        <v>0</v>
      </c>
      <c r="AD60" s="4">
        <v>0</v>
      </c>
      <c r="AE60" s="4">
        <v>0</v>
      </c>
      <c r="AF60" s="51">
        <v>3.1090007506599416E-5</v>
      </c>
      <c r="AG60" s="51">
        <v>3.1214866974497405E-5</v>
      </c>
      <c r="AH60" s="51">
        <v>3.1340227886041568E-5</v>
      </c>
      <c r="AI60" s="51">
        <v>3.1466092255061819E-5</v>
      </c>
      <c r="AJ60" s="51">
        <v>3.1592462103475722E-5</v>
      </c>
      <c r="AK60" s="51">
        <v>3.1719339461321004E-5</v>
      </c>
      <c r="AL60" s="51">
        <v>3.1846726366788155E-5</v>
      </c>
      <c r="AM60" s="51">
        <v>3.1974624866253171E-5</v>
      </c>
      <c r="AN60" s="51">
        <v>3.2103037014310414E-5</v>
      </c>
      <c r="AO60" s="51">
        <v>3.2231964873805633E-5</v>
      </c>
      <c r="AP60" s="51">
        <v>3.2361410515869112E-5</v>
      </c>
      <c r="AQ60" s="51">
        <v>3.2491376019948906E-5</v>
      </c>
      <c r="AR60" s="51">
        <v>3.2621863473844284E-5</v>
      </c>
      <c r="AS60" s="51">
        <v>3.2752874973739242E-5</v>
      </c>
      <c r="AT60" s="51">
        <v>3.288441262423619E-5</v>
      </c>
      <c r="AU60" s="51">
        <v>3.3016478538389752E-5</v>
      </c>
      <c r="AV60" s="51">
        <v>3.3049495016928139E-5</v>
      </c>
      <c r="AW60" s="51">
        <v>3.3082544511945068E-5</v>
      </c>
      <c r="AX60" s="51">
        <v>3.3115627056457015E-5</v>
      </c>
      <c r="AY60" s="51">
        <v>3.3148742683513472E-5</v>
      </c>
      <c r="AZ60" s="51">
        <v>3.3181891426196984E-5</v>
      </c>
      <c r="BA60" s="51">
        <v>3.3215073317623179E-5</v>
      </c>
      <c r="BB60" s="51">
        <v>3.3248288390940805E-5</v>
      </c>
      <c r="BC60" s="51">
        <v>3.3281536679331748E-5</v>
      </c>
      <c r="BD60" s="51">
        <v>3.3314818216011078E-5</v>
      </c>
      <c r="BE60" s="51">
        <v>3.3348133034227087E-5</v>
      </c>
      <c r="BF60" s="51">
        <v>3.3381481167261313E-5</v>
      </c>
      <c r="BG60" s="51">
        <v>3.3414862648428577E-5</v>
      </c>
      <c r="BH60" s="51">
        <v>3.3448277511077007E-5</v>
      </c>
      <c r="BI60" s="51">
        <v>3.3481725788588084E-5</v>
      </c>
      <c r="BJ60" s="51">
        <v>3.3515207514376674E-5</v>
      </c>
      <c r="BK60" s="51">
        <v>3.3548722721891052E-5</v>
      </c>
      <c r="BL60" s="51">
        <v>3.3582271444612947E-5</v>
      </c>
      <c r="BM60" s="51">
        <v>3.361585371605756E-5</v>
      </c>
      <c r="BN60" s="51">
        <v>3.3649469569773618E-5</v>
      </c>
      <c r="BO60" s="51">
        <v>3.3683119039343394E-5</v>
      </c>
      <c r="BP60" s="51">
        <v>3.3716802158382734E-5</v>
      </c>
      <c r="BQ60" s="51">
        <v>3.3750518960541119E-5</v>
      </c>
      <c r="BR60" s="51">
        <v>3.3784269479501661E-5</v>
      </c>
      <c r="BS60" s="51">
        <v>3.3818053748981164E-5</v>
      </c>
      <c r="BT60" s="51">
        <v>3.3851871802730143E-5</v>
      </c>
      <c r="BU60" s="51">
        <v>3.3885723674532874E-5</v>
      </c>
      <c r="BV60" s="51">
        <v>3.3919609398207405E-5</v>
      </c>
      <c r="BW60" s="51">
        <v>3.3953529007605609E-5</v>
      </c>
      <c r="BX60" s="51">
        <v>3.3987482536613218E-5</v>
      </c>
      <c r="BY60" s="51">
        <v>3.4021470019149833E-5</v>
      </c>
      <c r="BZ60" s="51">
        <v>3.4055491489168982E-5</v>
      </c>
      <c r="CA60" s="51">
        <v>3.4089546980658153E-5</v>
      </c>
      <c r="CB60" s="51">
        <v>3.412363652763881E-5</v>
      </c>
      <c r="CC60" s="51">
        <v>3.4157760164166448E-5</v>
      </c>
      <c r="CD60" s="51">
        <v>3.4191917924330613E-5</v>
      </c>
      <c r="CE60" s="51">
        <v>3.4226109842254942E-5</v>
      </c>
      <c r="CF60" s="51">
        <v>3.4260335952097197E-5</v>
      </c>
      <c r="CG60" s="51">
        <v>3.4294596288049293E-5</v>
      </c>
      <c r="CH60" s="51">
        <v>3.4328890884337344E-5</v>
      </c>
      <c r="CI60" s="51">
        <v>3.4363219775221679E-5</v>
      </c>
      <c r="CJ60" s="51">
        <v>3.4397582994996899E-5</v>
      </c>
      <c r="CK60" s="51">
        <v>3.4431980577991895E-5</v>
      </c>
      <c r="CL60" s="51">
        <v>3.4466412558569886E-5</v>
      </c>
      <c r="CM60" s="51">
        <v>3.4500878971128458E-5</v>
      </c>
    </row>
    <row r="61" spans="1:91" s="50" customFormat="1" x14ac:dyDescent="0.25">
      <c r="A61" s="50" t="s">
        <v>2</v>
      </c>
      <c r="B61" s="4">
        <v>0</v>
      </c>
      <c r="C61" s="4">
        <v>0</v>
      </c>
      <c r="D61" s="4">
        <v>0</v>
      </c>
      <c r="E61" s="4">
        <v>0</v>
      </c>
      <c r="F61" s="4">
        <v>0</v>
      </c>
      <c r="G61" s="4">
        <v>0</v>
      </c>
      <c r="H61" s="4">
        <v>0</v>
      </c>
      <c r="I61" s="4">
        <v>0</v>
      </c>
      <c r="J61" s="4">
        <v>0</v>
      </c>
      <c r="K61" s="4">
        <v>0</v>
      </c>
      <c r="L61" s="4">
        <v>0</v>
      </c>
      <c r="M61" s="4">
        <v>0</v>
      </c>
      <c r="N61" s="4">
        <v>0</v>
      </c>
      <c r="O61" s="4">
        <v>0</v>
      </c>
      <c r="P61" s="4">
        <v>0</v>
      </c>
      <c r="Q61" s="4">
        <v>0</v>
      </c>
      <c r="R61" s="4">
        <v>0</v>
      </c>
      <c r="S61" s="4">
        <v>0</v>
      </c>
      <c r="T61" s="4">
        <v>0</v>
      </c>
      <c r="U61" s="4">
        <v>0</v>
      </c>
      <c r="V61" s="4">
        <v>0</v>
      </c>
      <c r="W61" s="4">
        <v>0</v>
      </c>
      <c r="X61" s="4">
        <v>0</v>
      </c>
      <c r="Y61" s="4">
        <v>0</v>
      </c>
      <c r="Z61" s="4">
        <v>0</v>
      </c>
      <c r="AA61" s="4">
        <v>0</v>
      </c>
      <c r="AB61" s="4">
        <v>0</v>
      </c>
      <c r="AC61" s="4">
        <v>0</v>
      </c>
      <c r="AD61" s="4">
        <v>0</v>
      </c>
      <c r="AE61" s="4">
        <v>0</v>
      </c>
      <c r="AF61" s="51">
        <v>1.9058062501626263E-5</v>
      </c>
      <c r="AG61" s="51">
        <v>1.9367949696774658E-5</v>
      </c>
      <c r="AH61" s="51">
        <v>1.9682875708104327E-5</v>
      </c>
      <c r="AI61" s="51">
        <v>2.0002922467585699E-5</v>
      </c>
      <c r="AJ61" s="51">
        <v>2.0328173239416362E-5</v>
      </c>
      <c r="AK61" s="51">
        <v>2.0658712641683296E-5</v>
      </c>
      <c r="AL61" s="51">
        <v>2.0994626668377332E-5</v>
      </c>
      <c r="AM61" s="51">
        <v>2.1336002711765583E-5</v>
      </c>
      <c r="AN61" s="51">
        <v>2.1682929585127624E-5</v>
      </c>
      <c r="AO61" s="51">
        <v>2.2035497545861405E-5</v>
      </c>
      <c r="AP61" s="51">
        <v>2.2393798318964842E-5</v>
      </c>
      <c r="AQ61" s="51">
        <v>2.2757925120899231E-5</v>
      </c>
      <c r="AR61" s="51">
        <v>2.3127972683840682E-5</v>
      </c>
      <c r="AS61" s="51">
        <v>2.3504037280325898E-5</v>
      </c>
      <c r="AT61" s="51">
        <v>2.3886216748298676E-5</v>
      </c>
      <c r="AU61" s="51">
        <v>2.4274610516563694E-5</v>
      </c>
      <c r="AV61" s="51">
        <v>2.4444532790179639E-5</v>
      </c>
      <c r="AW61" s="51">
        <v>2.4615644519710897E-5</v>
      </c>
      <c r="AX61" s="51">
        <v>2.4787954031348874E-5</v>
      </c>
      <c r="AY61" s="51">
        <v>2.4961469709568316E-5</v>
      </c>
      <c r="AZ61" s="51">
        <v>2.5136199997535295E-5</v>
      </c>
      <c r="BA61" s="51">
        <v>2.5312153397518044E-5</v>
      </c>
      <c r="BB61" s="51">
        <v>2.5489338471300669E-5</v>
      </c>
      <c r="BC61" s="51">
        <v>2.5667763840599773E-5</v>
      </c>
      <c r="BD61" s="51">
        <v>2.5847438187483973E-5</v>
      </c>
      <c r="BE61" s="51">
        <v>2.6028370254796361E-5</v>
      </c>
      <c r="BF61" s="51">
        <v>2.6210568846579936E-5</v>
      </c>
      <c r="BG61" s="51">
        <v>2.6394042828505995E-5</v>
      </c>
      <c r="BH61" s="51">
        <v>2.6578801128305539E-5</v>
      </c>
      <c r="BI61" s="51">
        <v>2.6764852736203677E-5</v>
      </c>
      <c r="BJ61" s="51">
        <v>2.6952206705357104E-5</v>
      </c>
      <c r="BK61" s="51">
        <v>2.7140872152294603E-5</v>
      </c>
      <c r="BL61" s="51">
        <v>2.7330858257360666E-5</v>
      </c>
      <c r="BM61" s="51">
        <v>2.7522174265162191E-5</v>
      </c>
      <c r="BN61" s="51">
        <v>2.7714829485018327E-5</v>
      </c>
      <c r="BO61" s="51">
        <v>2.7908833291413456E-5</v>
      </c>
      <c r="BP61" s="51">
        <v>2.8104195124453349E-5</v>
      </c>
      <c r="BQ61" s="51">
        <v>2.8300924490324521E-5</v>
      </c>
      <c r="BR61" s="51">
        <v>2.8499030961756792E-5</v>
      </c>
      <c r="BS61" s="51">
        <v>2.8698524178489089E-5</v>
      </c>
      <c r="BT61" s="51">
        <v>2.8899413847738511E-5</v>
      </c>
      <c r="BU61" s="51">
        <v>2.9101709744672679E-5</v>
      </c>
      <c r="BV61" s="51">
        <v>2.9305421712885388E-5</v>
      </c>
      <c r="BW61" s="51">
        <v>2.9510559664875587E-5</v>
      </c>
      <c r="BX61" s="51">
        <v>2.9717133582529715E-5</v>
      </c>
      <c r="BY61" s="51">
        <v>2.9925153517607422E-5</v>
      </c>
      <c r="BZ61" s="51">
        <v>3.0134629592230675E-5</v>
      </c>
      <c r="CA61" s="51">
        <v>3.0345571999376289E-5</v>
      </c>
      <c r="CB61" s="51">
        <v>3.0557991003371919E-5</v>
      </c>
      <c r="CC61" s="51">
        <v>3.0771896940395526E-5</v>
      </c>
      <c r="CD61" s="51">
        <v>3.0987300218978292E-5</v>
      </c>
      <c r="CE61" s="51">
        <v>3.120421132051114E-5</v>
      </c>
      <c r="CF61" s="51">
        <v>3.1422640799754715E-5</v>
      </c>
      <c r="CG61" s="51">
        <v>3.1642599285352998E-5</v>
      </c>
      <c r="CH61" s="51">
        <v>3.1864097480350471E-5</v>
      </c>
      <c r="CI61" s="51">
        <v>3.2087146162712921E-5</v>
      </c>
      <c r="CJ61" s="51">
        <v>3.2311756185851908E-5</v>
      </c>
      <c r="CK61" s="51">
        <v>3.2537938479152873E-5</v>
      </c>
      <c r="CL61" s="51">
        <v>3.2765704048506942E-5</v>
      </c>
      <c r="CM61" s="51">
        <v>3.299506397684649E-5</v>
      </c>
    </row>
    <row r="62" spans="1:91" s="50" customFormat="1" x14ac:dyDescent="0.25">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spans="1:91" s="50" customFormat="1" x14ac:dyDescent="0.25">
      <c r="A63" s="50" t="s">
        <v>205</v>
      </c>
      <c r="B63" s="4">
        <v>0</v>
      </c>
      <c r="C63" s="4">
        <v>0</v>
      </c>
      <c r="D63" s="4">
        <v>0</v>
      </c>
      <c r="E63" s="4">
        <v>0</v>
      </c>
      <c r="F63" s="4">
        <v>0</v>
      </c>
      <c r="G63" s="4">
        <v>0</v>
      </c>
      <c r="H63" s="4">
        <v>0</v>
      </c>
      <c r="I63" s="4">
        <v>0</v>
      </c>
      <c r="J63" s="4">
        <v>0</v>
      </c>
      <c r="K63" s="4">
        <v>0</v>
      </c>
      <c r="L63" s="4">
        <v>0</v>
      </c>
      <c r="M63" s="4">
        <v>0</v>
      </c>
      <c r="N63" s="4">
        <v>0</v>
      </c>
      <c r="O63" s="4">
        <v>0</v>
      </c>
      <c r="P63" s="4">
        <v>0</v>
      </c>
      <c r="Q63" s="4">
        <v>0</v>
      </c>
      <c r="R63" s="4">
        <v>0</v>
      </c>
      <c r="S63" s="4">
        <v>0</v>
      </c>
      <c r="T63" s="4">
        <v>0</v>
      </c>
      <c r="U63" s="4">
        <v>0</v>
      </c>
      <c r="V63" s="4">
        <v>0</v>
      </c>
      <c r="W63" s="4">
        <v>0</v>
      </c>
      <c r="X63" s="4">
        <v>0</v>
      </c>
      <c r="Y63" s="4">
        <v>0</v>
      </c>
      <c r="Z63" s="4">
        <v>0</v>
      </c>
      <c r="AA63" s="4">
        <v>0</v>
      </c>
      <c r="AB63" s="4">
        <v>0</v>
      </c>
      <c r="AC63" s="4">
        <v>0</v>
      </c>
      <c r="AD63" s="4">
        <v>0</v>
      </c>
      <c r="AE63" s="4">
        <v>0</v>
      </c>
      <c r="AF63" s="51">
        <v>3.7310549777117386E-5</v>
      </c>
      <c r="AG63" s="51">
        <v>3.7387320455671127E-5</v>
      </c>
      <c r="AH63" s="51">
        <v>3.7464091134224867E-5</v>
      </c>
      <c r="AI63" s="51">
        <v>3.7540861812778601E-5</v>
      </c>
      <c r="AJ63" s="51">
        <v>3.7617632491332342E-5</v>
      </c>
      <c r="AK63" s="51">
        <v>3.7694403169886082E-5</v>
      </c>
      <c r="AL63" s="51">
        <v>3.7771173848439823E-5</v>
      </c>
      <c r="AM63" s="51">
        <v>3.7847944526993563E-5</v>
      </c>
      <c r="AN63" s="51">
        <v>3.7924715205547297E-5</v>
      </c>
      <c r="AO63" s="51">
        <v>3.8001485884101038E-5</v>
      </c>
      <c r="AP63" s="51">
        <v>3.8078256562654778E-5</v>
      </c>
      <c r="AQ63" s="51">
        <v>3.8155027241208519E-5</v>
      </c>
      <c r="AR63" s="51">
        <v>3.823179791976226E-5</v>
      </c>
      <c r="AS63" s="51">
        <v>3.8308568598315993E-5</v>
      </c>
      <c r="AT63" s="51">
        <v>3.8385339276869734E-5</v>
      </c>
      <c r="AU63" s="51">
        <v>3.8462109955423475E-5</v>
      </c>
      <c r="AV63" s="51">
        <v>3.8690126860987058E-5</v>
      </c>
      <c r="AW63" s="51">
        <v>3.8918143766550648E-5</v>
      </c>
      <c r="AX63" s="51">
        <v>3.9146160672114232E-5</v>
      </c>
      <c r="AY63" s="51">
        <v>3.9374177577677815E-5</v>
      </c>
      <c r="AZ63" s="51">
        <v>3.9602194483241399E-5</v>
      </c>
      <c r="BA63" s="51">
        <v>3.9830211388804982E-5</v>
      </c>
      <c r="BB63" s="51">
        <v>4.0058228294368573E-5</v>
      </c>
      <c r="BC63" s="51">
        <v>4.0286245199932156E-5</v>
      </c>
      <c r="BD63" s="51">
        <v>4.051426210549574E-5</v>
      </c>
      <c r="BE63" s="51">
        <v>4.074227901105933E-5</v>
      </c>
      <c r="BF63" s="51">
        <v>4.0970295916622914E-5</v>
      </c>
      <c r="BG63" s="51">
        <v>4.1198312822186497E-5</v>
      </c>
      <c r="BH63" s="51">
        <v>4.1426329727750081E-5</v>
      </c>
      <c r="BI63" s="51">
        <v>4.1654346633313664E-5</v>
      </c>
      <c r="BJ63" s="51">
        <v>4.1882363538877255E-5</v>
      </c>
      <c r="BK63" s="51">
        <v>4.2110380444440838E-5</v>
      </c>
      <c r="BL63" s="51">
        <v>4.2338397350004422E-5</v>
      </c>
      <c r="BM63" s="51">
        <v>4.2566414255568012E-5</v>
      </c>
      <c r="BN63" s="51">
        <v>4.2794431161131595E-5</v>
      </c>
      <c r="BO63" s="51">
        <v>4.3022448066695179E-5</v>
      </c>
      <c r="BP63" s="51">
        <v>4.3250464972258763E-5</v>
      </c>
      <c r="BQ63" s="51">
        <v>4.3478481877822346E-5</v>
      </c>
      <c r="BR63" s="51">
        <v>4.3706498783385936E-5</v>
      </c>
      <c r="BS63" s="51">
        <v>4.393451568894952E-5</v>
      </c>
      <c r="BT63" s="51">
        <v>4.393451568894952E-5</v>
      </c>
      <c r="BU63" s="51">
        <v>4.393451568894952E-5</v>
      </c>
      <c r="BV63" s="51">
        <v>4.393451568894952E-5</v>
      </c>
      <c r="BW63" s="51">
        <v>4.393451568894952E-5</v>
      </c>
      <c r="BX63" s="51">
        <v>4.393451568894952E-5</v>
      </c>
      <c r="BY63" s="51">
        <v>4.393451568894952E-5</v>
      </c>
      <c r="BZ63" s="51">
        <v>4.393451568894952E-5</v>
      </c>
      <c r="CA63" s="51">
        <v>4.393451568894952E-5</v>
      </c>
      <c r="CB63" s="51">
        <v>4.393451568894952E-5</v>
      </c>
      <c r="CC63" s="51">
        <v>4.393451568894952E-5</v>
      </c>
      <c r="CD63" s="51">
        <v>4.393451568894952E-5</v>
      </c>
      <c r="CE63" s="51">
        <v>4.393451568894952E-5</v>
      </c>
      <c r="CF63" s="51">
        <v>4.393451568894952E-5</v>
      </c>
      <c r="CG63" s="51">
        <v>4.393451568894952E-5</v>
      </c>
      <c r="CH63" s="51">
        <v>4.393451568894952E-5</v>
      </c>
      <c r="CI63" s="51">
        <v>4.393451568894952E-5</v>
      </c>
      <c r="CJ63" s="51">
        <v>4.393451568894952E-5</v>
      </c>
      <c r="CK63" s="51">
        <v>4.393451568894952E-5</v>
      </c>
      <c r="CL63" s="51">
        <v>4.393451568894952E-5</v>
      </c>
      <c r="CM63" s="51">
        <v>4.393451568894952E-5</v>
      </c>
    </row>
    <row r="64" spans="1:91" s="50" customFormat="1" x14ac:dyDescent="0.25">
      <c r="A64" s="50" t="s">
        <v>1</v>
      </c>
      <c r="B64" s="4">
        <v>0</v>
      </c>
      <c r="C64" s="4">
        <v>0</v>
      </c>
      <c r="D64" s="4">
        <v>0</v>
      </c>
      <c r="E64" s="4">
        <v>0</v>
      </c>
      <c r="F64" s="4">
        <v>0</v>
      </c>
      <c r="G64" s="4">
        <v>0</v>
      </c>
      <c r="H64" s="4">
        <v>0</v>
      </c>
      <c r="I64" s="4">
        <v>0</v>
      </c>
      <c r="J64" s="4">
        <v>0</v>
      </c>
      <c r="K64" s="4">
        <v>0</v>
      </c>
      <c r="L64" s="4">
        <v>0</v>
      </c>
      <c r="M64" s="4">
        <v>0</v>
      </c>
      <c r="N64" s="4">
        <v>0</v>
      </c>
      <c r="O64" s="4">
        <v>0</v>
      </c>
      <c r="P64" s="4">
        <v>0</v>
      </c>
      <c r="Q64" s="4">
        <v>0</v>
      </c>
      <c r="R64" s="4">
        <v>0</v>
      </c>
      <c r="S64" s="4">
        <v>0</v>
      </c>
      <c r="T64" s="4">
        <v>0</v>
      </c>
      <c r="U64" s="4">
        <v>0</v>
      </c>
      <c r="V64" s="4">
        <v>0</v>
      </c>
      <c r="W64" s="4">
        <v>0</v>
      </c>
      <c r="X64" s="4">
        <v>0</v>
      </c>
      <c r="Y64" s="4">
        <v>0</v>
      </c>
      <c r="Z64" s="4">
        <v>0</v>
      </c>
      <c r="AA64" s="4">
        <v>0</v>
      </c>
      <c r="AB64" s="4">
        <v>0</v>
      </c>
      <c r="AC64" s="4">
        <v>0</v>
      </c>
      <c r="AD64" s="4">
        <v>0</v>
      </c>
      <c r="AE64" s="4">
        <v>0</v>
      </c>
      <c r="AF64" s="51">
        <v>5.3438335809806834E-5</v>
      </c>
      <c r="AG64" s="51">
        <v>5.3548291233283803E-5</v>
      </c>
      <c r="AH64" s="51">
        <v>5.3658246656760772E-5</v>
      </c>
      <c r="AI64" s="51">
        <v>5.3768202080237741E-5</v>
      </c>
      <c r="AJ64" s="51">
        <v>5.3878157503714709E-5</v>
      </c>
      <c r="AK64" s="51">
        <v>5.3988112927191678E-5</v>
      </c>
      <c r="AL64" s="51">
        <v>5.4098068350668647E-5</v>
      </c>
      <c r="AM64" s="51">
        <v>5.4208023774145616E-5</v>
      </c>
      <c r="AN64" s="51">
        <v>5.4317979197622585E-5</v>
      </c>
      <c r="AO64" s="51">
        <v>5.4427934621099554E-5</v>
      </c>
      <c r="AP64" s="51">
        <v>5.4537890044576523E-5</v>
      </c>
      <c r="AQ64" s="51">
        <v>5.4647845468053492E-5</v>
      </c>
      <c r="AR64" s="51">
        <v>5.4757800891530461E-5</v>
      </c>
      <c r="AS64" s="51">
        <v>5.4867756315007429E-5</v>
      </c>
      <c r="AT64" s="51">
        <v>5.4977711738484398E-5</v>
      </c>
      <c r="AU64" s="51">
        <v>5.5087667161961367E-5</v>
      </c>
      <c r="AV64" s="51">
        <v>5.4915471844219341E-5</v>
      </c>
      <c r="AW64" s="51">
        <v>5.4743276526477322E-5</v>
      </c>
      <c r="AX64" s="51">
        <v>5.4571081208735296E-5</v>
      </c>
      <c r="AY64" s="51">
        <v>5.439888589099327E-5</v>
      </c>
      <c r="AZ64" s="51">
        <v>5.4226690573251244E-5</v>
      </c>
      <c r="BA64" s="51">
        <v>5.4054495255509225E-5</v>
      </c>
      <c r="BB64" s="51">
        <v>5.3882299937767199E-5</v>
      </c>
      <c r="BC64" s="51">
        <v>5.3710104620025173E-5</v>
      </c>
      <c r="BD64" s="51">
        <v>5.3537909302283154E-5</v>
      </c>
      <c r="BE64" s="51">
        <v>5.3365713984541128E-5</v>
      </c>
      <c r="BF64" s="51">
        <v>5.3193518666799102E-5</v>
      </c>
      <c r="BG64" s="51">
        <v>5.3021323349057076E-5</v>
      </c>
      <c r="BH64" s="51">
        <v>5.2849128031315057E-5</v>
      </c>
      <c r="BI64" s="51">
        <v>5.2676932713573031E-5</v>
      </c>
      <c r="BJ64" s="51">
        <v>5.2504737395831005E-5</v>
      </c>
      <c r="BK64" s="51">
        <v>5.2332542078088986E-5</v>
      </c>
      <c r="BL64" s="51">
        <v>5.216034676034696E-5</v>
      </c>
      <c r="BM64" s="51">
        <v>5.1988151442604934E-5</v>
      </c>
      <c r="BN64" s="51">
        <v>5.1815956124862915E-5</v>
      </c>
      <c r="BO64" s="51">
        <v>5.1643760807120889E-5</v>
      </c>
      <c r="BP64" s="51">
        <v>5.1471565489378863E-5</v>
      </c>
      <c r="BQ64" s="51">
        <v>5.1299370171636837E-5</v>
      </c>
      <c r="BR64" s="51">
        <v>5.1127174853894818E-5</v>
      </c>
      <c r="BS64" s="51">
        <v>5.0954979536152792E-5</v>
      </c>
      <c r="BT64" s="51">
        <v>5.0954979536152792E-5</v>
      </c>
      <c r="BU64" s="51">
        <v>5.0954979536152792E-5</v>
      </c>
      <c r="BV64" s="51">
        <v>5.0954979536152792E-5</v>
      </c>
      <c r="BW64" s="51">
        <v>5.0954979536152792E-5</v>
      </c>
      <c r="BX64" s="51">
        <v>5.0954979536152792E-5</v>
      </c>
      <c r="BY64" s="51">
        <v>5.0954979536152792E-5</v>
      </c>
      <c r="BZ64" s="51">
        <v>5.0954979536152792E-5</v>
      </c>
      <c r="CA64" s="51">
        <v>5.0954979536152792E-5</v>
      </c>
      <c r="CB64" s="51">
        <v>5.0954979536152792E-5</v>
      </c>
      <c r="CC64" s="51">
        <v>5.0954979536152792E-5</v>
      </c>
      <c r="CD64" s="51">
        <v>5.0954979536152792E-5</v>
      </c>
      <c r="CE64" s="51">
        <v>5.0954979536152792E-5</v>
      </c>
      <c r="CF64" s="51">
        <v>5.0954979536152792E-5</v>
      </c>
      <c r="CG64" s="51">
        <v>5.0954979536152792E-5</v>
      </c>
      <c r="CH64" s="51">
        <v>5.0954979536152792E-5</v>
      </c>
      <c r="CI64" s="51">
        <v>5.0954979536152792E-5</v>
      </c>
      <c r="CJ64" s="51">
        <v>5.0954979536152792E-5</v>
      </c>
      <c r="CK64" s="51">
        <v>5.0954979536152792E-5</v>
      </c>
      <c r="CL64" s="51">
        <v>5.0954979536152792E-5</v>
      </c>
      <c r="CM64" s="51">
        <v>5.0954979536152792E-5</v>
      </c>
    </row>
    <row r="65" spans="1:91" s="50" customFormat="1" x14ac:dyDescent="0.25">
      <c r="A65" s="50" t="s">
        <v>1</v>
      </c>
      <c r="B65" s="4">
        <v>0</v>
      </c>
      <c r="C65" s="4">
        <v>0</v>
      </c>
      <c r="D65" s="4">
        <v>0</v>
      </c>
      <c r="E65" s="4">
        <v>0</v>
      </c>
      <c r="F65" s="4">
        <v>0</v>
      </c>
      <c r="G65" s="4">
        <v>0</v>
      </c>
      <c r="H65" s="4">
        <v>0</v>
      </c>
      <c r="I65" s="4">
        <v>0</v>
      </c>
      <c r="J65" s="4">
        <v>0</v>
      </c>
      <c r="K65" s="4">
        <v>0</v>
      </c>
      <c r="L65" s="4">
        <v>0</v>
      </c>
      <c r="M65" s="4">
        <v>0</v>
      </c>
      <c r="N65" s="4">
        <v>0</v>
      </c>
      <c r="O65" s="4">
        <v>0</v>
      </c>
      <c r="P65" s="4">
        <v>0</v>
      </c>
      <c r="Q65" s="4">
        <v>0</v>
      </c>
      <c r="R65" s="4">
        <v>0</v>
      </c>
      <c r="S65" s="4">
        <v>0</v>
      </c>
      <c r="T65" s="4">
        <v>0</v>
      </c>
      <c r="U65" s="4">
        <v>0</v>
      </c>
      <c r="V65" s="4">
        <v>0</v>
      </c>
      <c r="W65" s="4">
        <v>0</v>
      </c>
      <c r="X65" s="4">
        <v>0</v>
      </c>
      <c r="Y65" s="4">
        <v>0</v>
      </c>
      <c r="Z65" s="4">
        <v>0</v>
      </c>
      <c r="AA65" s="4">
        <v>0</v>
      </c>
      <c r="AB65" s="4">
        <v>0</v>
      </c>
      <c r="AC65" s="4">
        <v>0</v>
      </c>
      <c r="AD65" s="4">
        <v>0</v>
      </c>
      <c r="AE65" s="4">
        <v>0</v>
      </c>
      <c r="AF65" s="51">
        <v>3.8032689450222883E-5</v>
      </c>
      <c r="AG65" s="51">
        <v>3.8110946012877659E-5</v>
      </c>
      <c r="AH65" s="51">
        <v>3.8189202575532442E-5</v>
      </c>
      <c r="AI65" s="51">
        <v>3.8267459138187219E-5</v>
      </c>
      <c r="AJ65" s="51">
        <v>3.8345715700842002E-5</v>
      </c>
      <c r="AK65" s="51">
        <v>3.8423972263496778E-5</v>
      </c>
      <c r="AL65" s="51">
        <v>3.8502228826151561E-5</v>
      </c>
      <c r="AM65" s="51">
        <v>3.8580485388806337E-5</v>
      </c>
      <c r="AN65" s="51">
        <v>3.865874195146112E-5</v>
      </c>
      <c r="AO65" s="51">
        <v>3.8736998514115897E-5</v>
      </c>
      <c r="AP65" s="51">
        <v>3.881525507677068E-5</v>
      </c>
      <c r="AQ65" s="51">
        <v>3.8893511639425456E-5</v>
      </c>
      <c r="AR65" s="51">
        <v>3.8971768202080239E-5</v>
      </c>
      <c r="AS65" s="51">
        <v>3.9050024764735016E-5</v>
      </c>
      <c r="AT65" s="51">
        <v>3.9128281327389799E-5</v>
      </c>
      <c r="AU65" s="51">
        <v>3.9206537890044575E-5</v>
      </c>
      <c r="AV65" s="51">
        <v>3.9035528779460066E-5</v>
      </c>
      <c r="AW65" s="51">
        <v>3.8864519668875558E-5</v>
      </c>
      <c r="AX65" s="51">
        <v>3.8693510558291049E-5</v>
      </c>
      <c r="AY65" s="51">
        <v>3.8522501447706541E-5</v>
      </c>
      <c r="AZ65" s="51">
        <v>3.8351492337122032E-5</v>
      </c>
      <c r="BA65" s="51">
        <v>3.8180483226537523E-5</v>
      </c>
      <c r="BB65" s="51">
        <v>3.8009474115953015E-5</v>
      </c>
      <c r="BC65" s="51">
        <v>3.7838465005368506E-5</v>
      </c>
      <c r="BD65" s="51">
        <v>3.7667455894783998E-5</v>
      </c>
      <c r="BE65" s="51">
        <v>3.7496446784199489E-5</v>
      </c>
      <c r="BF65" s="51">
        <v>3.7325437673614981E-5</v>
      </c>
      <c r="BG65" s="51">
        <v>3.7154428563030472E-5</v>
      </c>
      <c r="BH65" s="51">
        <v>3.6983419452445963E-5</v>
      </c>
      <c r="BI65" s="51">
        <v>3.6812410341861455E-5</v>
      </c>
      <c r="BJ65" s="51">
        <v>3.6641401231276946E-5</v>
      </c>
      <c r="BK65" s="51">
        <v>3.6470392120692438E-5</v>
      </c>
      <c r="BL65" s="51">
        <v>3.6299383010107929E-5</v>
      </c>
      <c r="BM65" s="51">
        <v>3.612837389952342E-5</v>
      </c>
      <c r="BN65" s="51">
        <v>3.5957364788938912E-5</v>
      </c>
      <c r="BO65" s="51">
        <v>3.5786355678354403E-5</v>
      </c>
      <c r="BP65" s="51">
        <v>3.5615346567769895E-5</v>
      </c>
      <c r="BQ65" s="51">
        <v>3.5444337457185386E-5</v>
      </c>
      <c r="BR65" s="51">
        <v>3.5273328346600878E-5</v>
      </c>
      <c r="BS65" s="51">
        <v>3.5102319236016369E-5</v>
      </c>
      <c r="BT65" s="51">
        <v>3.5102319236016369E-5</v>
      </c>
      <c r="BU65" s="51">
        <v>3.5102319236016369E-5</v>
      </c>
      <c r="BV65" s="51">
        <v>3.5102319236016369E-5</v>
      </c>
      <c r="BW65" s="51">
        <v>3.5102319236016369E-5</v>
      </c>
      <c r="BX65" s="51">
        <v>3.5102319236016369E-5</v>
      </c>
      <c r="BY65" s="51">
        <v>3.5102319236016369E-5</v>
      </c>
      <c r="BZ65" s="51">
        <v>3.5102319236016369E-5</v>
      </c>
      <c r="CA65" s="51">
        <v>3.5102319236016369E-5</v>
      </c>
      <c r="CB65" s="51">
        <v>3.5102319236016369E-5</v>
      </c>
      <c r="CC65" s="51">
        <v>3.5102319236016369E-5</v>
      </c>
      <c r="CD65" s="51">
        <v>3.5102319236016369E-5</v>
      </c>
      <c r="CE65" s="51">
        <v>3.5102319236016369E-5</v>
      </c>
      <c r="CF65" s="51">
        <v>3.5102319236016369E-5</v>
      </c>
      <c r="CG65" s="51">
        <v>3.5102319236016369E-5</v>
      </c>
      <c r="CH65" s="51">
        <v>3.5102319236016369E-5</v>
      </c>
      <c r="CI65" s="51">
        <v>3.5102319236016369E-5</v>
      </c>
      <c r="CJ65" s="51">
        <v>3.5102319236016369E-5</v>
      </c>
      <c r="CK65" s="51">
        <v>3.5102319236016369E-5</v>
      </c>
      <c r="CL65" s="51">
        <v>3.5102319236016369E-5</v>
      </c>
      <c r="CM65" s="51">
        <v>3.5102319236016369E-5</v>
      </c>
    </row>
    <row r="66" spans="1:91" s="50" customFormat="1" x14ac:dyDescent="0.25">
      <c r="A66" s="50" t="s">
        <v>1</v>
      </c>
      <c r="B66" s="4">
        <v>0</v>
      </c>
      <c r="C66" s="4">
        <v>0</v>
      </c>
      <c r="D66" s="4">
        <v>0</v>
      </c>
      <c r="E66" s="4">
        <v>0</v>
      </c>
      <c r="F66" s="4">
        <v>0</v>
      </c>
      <c r="G66" s="4">
        <v>0</v>
      </c>
      <c r="H66" s="4">
        <v>0</v>
      </c>
      <c r="I66" s="4">
        <v>0</v>
      </c>
      <c r="J66" s="4">
        <v>0</v>
      </c>
      <c r="K66" s="4">
        <v>0</v>
      </c>
      <c r="L66" s="4">
        <v>0</v>
      </c>
      <c r="M66" s="4">
        <v>0</v>
      </c>
      <c r="N66" s="4">
        <v>0</v>
      </c>
      <c r="O66" s="4">
        <v>0</v>
      </c>
      <c r="P66" s="4">
        <v>0</v>
      </c>
      <c r="Q66" s="4">
        <v>0</v>
      </c>
      <c r="R66" s="4">
        <v>0</v>
      </c>
      <c r="S66" s="4">
        <v>0</v>
      </c>
      <c r="T66" s="4">
        <v>0</v>
      </c>
      <c r="U66" s="4">
        <v>0</v>
      </c>
      <c r="V66" s="4">
        <v>0</v>
      </c>
      <c r="W66" s="4">
        <v>0</v>
      </c>
      <c r="X66" s="4">
        <v>0</v>
      </c>
      <c r="Y66" s="4">
        <v>0</v>
      </c>
      <c r="Z66" s="4">
        <v>0</v>
      </c>
      <c r="AA66" s="4">
        <v>0</v>
      </c>
      <c r="AB66" s="4">
        <v>0</v>
      </c>
      <c r="AC66" s="4">
        <v>0</v>
      </c>
      <c r="AD66" s="4">
        <v>0</v>
      </c>
      <c r="AE66" s="4">
        <v>0</v>
      </c>
      <c r="AF66" s="51">
        <v>3.3218424962852898E-5</v>
      </c>
      <c r="AG66" s="51">
        <v>3.3286775631500744E-5</v>
      </c>
      <c r="AH66" s="51">
        <v>3.3355126300148591E-5</v>
      </c>
      <c r="AI66" s="51">
        <v>3.3423476968796431E-5</v>
      </c>
      <c r="AJ66" s="51">
        <v>3.3491827637444278E-5</v>
      </c>
      <c r="AK66" s="51">
        <v>3.3560178306092124E-5</v>
      </c>
      <c r="AL66" s="51">
        <v>3.3628528974739971E-5</v>
      </c>
      <c r="AM66" s="51">
        <v>3.3696879643387817E-5</v>
      </c>
      <c r="AN66" s="51">
        <v>3.3765230312035657E-5</v>
      </c>
      <c r="AO66" s="51">
        <v>3.3833580980683504E-5</v>
      </c>
      <c r="AP66" s="51">
        <v>3.3901931649331351E-5</v>
      </c>
      <c r="AQ66" s="51">
        <v>3.3970282317979197E-5</v>
      </c>
      <c r="AR66" s="51">
        <v>3.4038632986627044E-5</v>
      </c>
      <c r="AS66" s="51">
        <v>3.4106983655274884E-5</v>
      </c>
      <c r="AT66" s="51">
        <v>3.417533432392273E-5</v>
      </c>
      <c r="AU66" s="51">
        <v>3.4243684992570577E-5</v>
      </c>
      <c r="AV66" s="51">
        <v>3.4317205848666858E-5</v>
      </c>
      <c r="AW66" s="51">
        <v>3.4390726704763139E-5</v>
      </c>
      <c r="AX66" s="51">
        <v>3.446424756085942E-5</v>
      </c>
      <c r="AY66" s="51">
        <v>3.4537768416955701E-5</v>
      </c>
      <c r="AZ66" s="51">
        <v>3.4611289273051982E-5</v>
      </c>
      <c r="BA66" s="51">
        <v>3.4684810129148263E-5</v>
      </c>
      <c r="BB66" s="51">
        <v>3.4758330985244537E-5</v>
      </c>
      <c r="BC66" s="51">
        <v>3.4831851841340818E-5</v>
      </c>
      <c r="BD66" s="51">
        <v>3.4905372697437099E-5</v>
      </c>
      <c r="BE66" s="51">
        <v>3.497889355353338E-5</v>
      </c>
      <c r="BF66" s="51">
        <v>3.5052414409629662E-5</v>
      </c>
      <c r="BG66" s="51">
        <v>3.5125935265725943E-5</v>
      </c>
      <c r="BH66" s="51">
        <v>3.5199456121822224E-5</v>
      </c>
      <c r="BI66" s="51">
        <v>3.5272976977918505E-5</v>
      </c>
      <c r="BJ66" s="51">
        <v>3.5346497834014786E-5</v>
      </c>
      <c r="BK66" s="51">
        <v>3.5420018690111067E-5</v>
      </c>
      <c r="BL66" s="51">
        <v>3.5493539546207348E-5</v>
      </c>
      <c r="BM66" s="51">
        <v>3.5567060402303622E-5</v>
      </c>
      <c r="BN66" s="51">
        <v>3.5640581258399903E-5</v>
      </c>
      <c r="BO66" s="51">
        <v>3.5714102114496184E-5</v>
      </c>
      <c r="BP66" s="51">
        <v>3.5787622970592465E-5</v>
      </c>
      <c r="BQ66" s="51">
        <v>3.5861143826688746E-5</v>
      </c>
      <c r="BR66" s="51">
        <v>3.5934664682785027E-5</v>
      </c>
      <c r="BS66" s="51">
        <v>3.6008185538881308E-5</v>
      </c>
      <c r="BT66" s="51">
        <v>3.6008185538881308E-5</v>
      </c>
      <c r="BU66" s="51">
        <v>3.6008185538881308E-5</v>
      </c>
      <c r="BV66" s="51">
        <v>3.6008185538881308E-5</v>
      </c>
      <c r="BW66" s="51">
        <v>3.6008185538881308E-5</v>
      </c>
      <c r="BX66" s="51">
        <v>3.6008185538881308E-5</v>
      </c>
      <c r="BY66" s="51">
        <v>3.6008185538881308E-5</v>
      </c>
      <c r="BZ66" s="51">
        <v>3.6008185538881308E-5</v>
      </c>
      <c r="CA66" s="51">
        <v>3.6008185538881308E-5</v>
      </c>
      <c r="CB66" s="51">
        <v>3.6008185538881308E-5</v>
      </c>
      <c r="CC66" s="51">
        <v>3.6008185538881308E-5</v>
      </c>
      <c r="CD66" s="51">
        <v>3.6008185538881308E-5</v>
      </c>
      <c r="CE66" s="51">
        <v>3.6008185538881308E-5</v>
      </c>
      <c r="CF66" s="51">
        <v>3.6008185538881308E-5</v>
      </c>
      <c r="CG66" s="51">
        <v>3.6008185538881308E-5</v>
      </c>
      <c r="CH66" s="51">
        <v>3.6008185538881308E-5</v>
      </c>
      <c r="CI66" s="51">
        <v>3.6008185538881308E-5</v>
      </c>
      <c r="CJ66" s="51">
        <v>3.6008185538881308E-5</v>
      </c>
      <c r="CK66" s="51">
        <v>3.6008185538881308E-5</v>
      </c>
      <c r="CL66" s="51">
        <v>3.6008185538881308E-5</v>
      </c>
      <c r="CM66" s="51">
        <v>3.6008185538881308E-5</v>
      </c>
    </row>
    <row r="67" spans="1:91" s="50" customFormat="1" x14ac:dyDescent="0.25">
      <c r="A67" s="50" t="s">
        <v>1</v>
      </c>
      <c r="B67" s="4">
        <v>0</v>
      </c>
      <c r="C67" s="4">
        <v>0</v>
      </c>
      <c r="D67" s="4">
        <v>0</v>
      </c>
      <c r="E67" s="4">
        <v>0</v>
      </c>
      <c r="F67" s="4">
        <v>0</v>
      </c>
      <c r="G67" s="4">
        <v>0</v>
      </c>
      <c r="H67" s="4">
        <v>0</v>
      </c>
      <c r="I67" s="4">
        <v>0</v>
      </c>
      <c r="J67" s="4">
        <v>0</v>
      </c>
      <c r="K67" s="4">
        <v>0</v>
      </c>
      <c r="L67" s="4">
        <v>0</v>
      </c>
      <c r="M67" s="4">
        <v>0</v>
      </c>
      <c r="N67" s="4">
        <v>0</v>
      </c>
      <c r="O67" s="4">
        <v>0</v>
      </c>
      <c r="P67" s="4">
        <v>0</v>
      </c>
      <c r="Q67" s="4">
        <v>0</v>
      </c>
      <c r="R67" s="4">
        <v>0</v>
      </c>
      <c r="S67" s="4">
        <v>0</v>
      </c>
      <c r="T67" s="4">
        <v>0</v>
      </c>
      <c r="U67" s="4">
        <v>0</v>
      </c>
      <c r="V67" s="4">
        <v>0</v>
      </c>
      <c r="W67" s="4">
        <v>0</v>
      </c>
      <c r="X67" s="4">
        <v>0</v>
      </c>
      <c r="Y67" s="4">
        <v>0</v>
      </c>
      <c r="Z67" s="4">
        <v>0</v>
      </c>
      <c r="AA67" s="4">
        <v>0</v>
      </c>
      <c r="AB67" s="4">
        <v>0</v>
      </c>
      <c r="AC67" s="4">
        <v>0</v>
      </c>
      <c r="AD67" s="4">
        <v>0</v>
      </c>
      <c r="AE67" s="4">
        <v>0</v>
      </c>
      <c r="AF67" s="51">
        <v>1.5999999999999999E-5</v>
      </c>
      <c r="AG67" s="51">
        <v>1.6200000000000001E-5</v>
      </c>
      <c r="AH67" s="51">
        <v>1.6399999999999999E-5</v>
      </c>
      <c r="AI67" s="51">
        <v>1.66E-5</v>
      </c>
      <c r="AJ67" s="51">
        <v>1.6799999999999998E-5</v>
      </c>
      <c r="AK67" s="51">
        <v>1.7E-5</v>
      </c>
      <c r="AL67" s="51">
        <v>1.7200000000000001E-5</v>
      </c>
      <c r="AM67" s="51">
        <v>1.7399999999999999E-5</v>
      </c>
      <c r="AN67" s="51">
        <v>1.7600000000000001E-5</v>
      </c>
      <c r="AO67" s="51">
        <v>1.7799999999999999E-5</v>
      </c>
      <c r="AP67" s="51">
        <v>1.8E-5</v>
      </c>
      <c r="AQ67" s="51">
        <v>1.8200000000000002E-5</v>
      </c>
      <c r="AR67" s="51">
        <v>1.84E-5</v>
      </c>
      <c r="AS67" s="51">
        <v>1.8600000000000001E-5</v>
      </c>
      <c r="AT67" s="51">
        <v>1.88E-5</v>
      </c>
      <c r="AU67" s="51">
        <v>1.9000000000000001E-5</v>
      </c>
      <c r="AV67" s="51">
        <v>1.9041666666666668E-5</v>
      </c>
      <c r="AW67" s="51">
        <v>1.9083333333333334E-5</v>
      </c>
      <c r="AX67" s="51">
        <v>1.9125000000000001E-5</v>
      </c>
      <c r="AY67" s="51">
        <v>1.9166666666666667E-5</v>
      </c>
      <c r="AZ67" s="51">
        <v>1.9208333333333334E-5</v>
      </c>
      <c r="BA67" s="51">
        <v>1.925E-5</v>
      </c>
      <c r="BB67" s="51">
        <v>1.9291666666666667E-5</v>
      </c>
      <c r="BC67" s="51">
        <v>1.9333333333333333E-5</v>
      </c>
      <c r="BD67" s="51">
        <v>1.9375E-5</v>
      </c>
      <c r="BE67" s="51">
        <v>1.9416666666666667E-5</v>
      </c>
      <c r="BF67" s="51">
        <v>1.9458333333333333E-5</v>
      </c>
      <c r="BG67" s="51">
        <v>1.95E-5</v>
      </c>
      <c r="BH67" s="51">
        <v>1.954166666666667E-5</v>
      </c>
      <c r="BI67" s="51">
        <v>1.9583333333333336E-5</v>
      </c>
      <c r="BJ67" s="51">
        <v>1.9625000000000003E-5</v>
      </c>
      <c r="BK67" s="51">
        <v>1.9666666666666669E-5</v>
      </c>
      <c r="BL67" s="51">
        <v>1.9708333333333336E-5</v>
      </c>
      <c r="BM67" s="51">
        <v>1.9750000000000002E-5</v>
      </c>
      <c r="BN67" s="51">
        <v>1.9791666666666669E-5</v>
      </c>
      <c r="BO67" s="51">
        <v>1.9833333333333335E-5</v>
      </c>
      <c r="BP67" s="51">
        <v>1.9875000000000002E-5</v>
      </c>
      <c r="BQ67" s="51">
        <v>1.9916666666666669E-5</v>
      </c>
      <c r="BR67" s="51">
        <v>1.9958333333333335E-5</v>
      </c>
      <c r="BS67" s="51">
        <v>2.0000000000000002E-5</v>
      </c>
      <c r="BT67" s="51">
        <v>2.0050000000000003E-5</v>
      </c>
      <c r="BU67" s="51">
        <v>2.0100000000000001E-5</v>
      </c>
      <c r="BV67" s="51">
        <v>2.0150000000000002E-5</v>
      </c>
      <c r="BW67" s="51">
        <v>2.02E-5</v>
      </c>
      <c r="BX67" s="51">
        <v>2.0250000000000001E-5</v>
      </c>
      <c r="BY67" s="51">
        <v>2.0300000000000002E-5</v>
      </c>
      <c r="BZ67" s="51">
        <v>2.035E-5</v>
      </c>
      <c r="CA67" s="51">
        <v>2.0400000000000001E-5</v>
      </c>
      <c r="CB67" s="51">
        <v>2.0449999999999999E-5</v>
      </c>
      <c r="CC67" s="51">
        <v>2.05E-5</v>
      </c>
      <c r="CD67" s="51">
        <v>2.0550000000000001E-5</v>
      </c>
      <c r="CE67" s="51">
        <v>2.0599999999999999E-5</v>
      </c>
      <c r="CF67" s="51">
        <v>2.065E-5</v>
      </c>
      <c r="CG67" s="51">
        <v>2.0699999999999998E-5</v>
      </c>
      <c r="CH67" s="51">
        <v>2.075E-5</v>
      </c>
      <c r="CI67" s="51">
        <v>2.0800000000000001E-5</v>
      </c>
      <c r="CJ67" s="51">
        <v>2.0849999999999999E-5</v>
      </c>
      <c r="CK67" s="51">
        <v>2.09E-5</v>
      </c>
      <c r="CL67" s="51">
        <v>2.0949999999999998E-5</v>
      </c>
      <c r="CM67" s="51">
        <v>2.0999999999999999E-5</v>
      </c>
    </row>
    <row r="68" spans="1:91" s="50" customFormat="1" x14ac:dyDescent="0.25">
      <c r="A68" s="50" t="s">
        <v>1</v>
      </c>
      <c r="B68" s="4">
        <v>0</v>
      </c>
      <c r="C68" s="4">
        <v>0</v>
      </c>
      <c r="D68" s="4">
        <v>0</v>
      </c>
      <c r="E68" s="4">
        <v>0</v>
      </c>
      <c r="F68" s="4">
        <v>0</v>
      </c>
      <c r="G68" s="4">
        <v>0</v>
      </c>
      <c r="H68" s="4">
        <v>0</v>
      </c>
      <c r="I68" s="4">
        <v>0</v>
      </c>
      <c r="J68" s="4">
        <v>0</v>
      </c>
      <c r="K68" s="4">
        <v>0</v>
      </c>
      <c r="L68" s="4">
        <v>0</v>
      </c>
      <c r="M68" s="4">
        <v>0</v>
      </c>
      <c r="N68" s="4">
        <v>0</v>
      </c>
      <c r="O68" s="4">
        <v>0</v>
      </c>
      <c r="P68" s="4">
        <v>0</v>
      </c>
      <c r="Q68" s="4">
        <v>0</v>
      </c>
      <c r="R68" s="4">
        <v>0</v>
      </c>
      <c r="S68" s="4">
        <v>0</v>
      </c>
      <c r="T68" s="4">
        <v>0</v>
      </c>
      <c r="U68" s="4">
        <v>0</v>
      </c>
      <c r="V68" s="4">
        <v>0</v>
      </c>
      <c r="W68" s="4">
        <v>0</v>
      </c>
      <c r="X68" s="4">
        <v>0</v>
      </c>
      <c r="Y68" s="4">
        <v>0</v>
      </c>
      <c r="Z68" s="4">
        <v>0</v>
      </c>
      <c r="AA68" s="4">
        <v>0</v>
      </c>
      <c r="AB68" s="4">
        <v>0</v>
      </c>
      <c r="AC68" s="4">
        <v>0</v>
      </c>
      <c r="AD68" s="4">
        <v>0</v>
      </c>
      <c r="AE68" s="4">
        <v>0</v>
      </c>
      <c r="AF68" s="51">
        <v>3.6000000000000001E-5</v>
      </c>
      <c r="AG68" s="51">
        <v>3.5866666666666667E-5</v>
      </c>
      <c r="AH68" s="51">
        <v>3.5733333333333332E-5</v>
      </c>
      <c r="AI68" s="51">
        <v>3.5599999999999998E-5</v>
      </c>
      <c r="AJ68" s="51">
        <v>3.546666666666667E-5</v>
      </c>
      <c r="AK68" s="51">
        <v>3.5333333333333336E-5</v>
      </c>
      <c r="AL68" s="51">
        <v>3.5200000000000002E-5</v>
      </c>
      <c r="AM68" s="51">
        <v>3.5066666666666667E-5</v>
      </c>
      <c r="AN68" s="51">
        <v>3.4933333333333333E-5</v>
      </c>
      <c r="AO68" s="51">
        <v>3.4799999999999999E-5</v>
      </c>
      <c r="AP68" s="51">
        <v>3.4666666666666665E-5</v>
      </c>
      <c r="AQ68" s="51">
        <v>3.453333333333333E-5</v>
      </c>
      <c r="AR68" s="51">
        <v>3.4400000000000003E-5</v>
      </c>
      <c r="AS68" s="51">
        <v>3.4266666666666668E-5</v>
      </c>
      <c r="AT68" s="51">
        <v>3.4133333333333334E-5</v>
      </c>
      <c r="AU68" s="51">
        <v>3.4E-5</v>
      </c>
      <c r="AV68" s="51">
        <v>3.3958333333333337E-5</v>
      </c>
      <c r="AW68" s="51">
        <v>3.3916666666666667E-5</v>
      </c>
      <c r="AX68" s="51">
        <v>3.3874999999999997E-5</v>
      </c>
      <c r="AY68" s="51">
        <v>3.3833333333333334E-5</v>
      </c>
      <c r="AZ68" s="51">
        <v>3.379166666666667E-5</v>
      </c>
      <c r="BA68" s="51">
        <v>3.375E-5</v>
      </c>
      <c r="BB68" s="51">
        <v>3.370833333333333E-5</v>
      </c>
      <c r="BC68" s="51">
        <v>3.3666666666666667E-5</v>
      </c>
      <c r="BD68" s="51">
        <v>3.3625000000000004E-5</v>
      </c>
      <c r="BE68" s="51">
        <v>3.3583333333333334E-5</v>
      </c>
      <c r="BF68" s="51">
        <v>3.3541666666666664E-5</v>
      </c>
      <c r="BG68" s="51">
        <v>3.3500000000000001E-5</v>
      </c>
      <c r="BH68" s="51">
        <v>3.3458333333333338E-5</v>
      </c>
      <c r="BI68" s="51">
        <v>3.3416666666666668E-5</v>
      </c>
      <c r="BJ68" s="51">
        <v>3.3374999999999998E-5</v>
      </c>
      <c r="BK68" s="51">
        <v>3.3333333333333335E-5</v>
      </c>
      <c r="BL68" s="51">
        <v>3.3291666666666672E-5</v>
      </c>
      <c r="BM68" s="51">
        <v>3.3250000000000002E-5</v>
      </c>
      <c r="BN68" s="51">
        <v>3.3208333333333332E-5</v>
      </c>
      <c r="BO68" s="51">
        <v>3.3166666666666669E-5</v>
      </c>
      <c r="BP68" s="51">
        <v>3.3125000000000006E-5</v>
      </c>
      <c r="BQ68" s="51">
        <v>3.3083333333333336E-5</v>
      </c>
      <c r="BR68" s="51">
        <v>3.3041666666666666E-5</v>
      </c>
      <c r="BS68" s="51">
        <v>3.3000000000000003E-5</v>
      </c>
      <c r="BT68" s="51">
        <v>3.3000000000000003E-5</v>
      </c>
      <c r="BU68" s="51">
        <v>3.3000000000000003E-5</v>
      </c>
      <c r="BV68" s="51">
        <v>3.3000000000000003E-5</v>
      </c>
      <c r="BW68" s="51">
        <v>3.3000000000000003E-5</v>
      </c>
      <c r="BX68" s="51">
        <v>3.3000000000000003E-5</v>
      </c>
      <c r="BY68" s="51">
        <v>3.3000000000000003E-5</v>
      </c>
      <c r="BZ68" s="51">
        <v>3.3000000000000003E-5</v>
      </c>
      <c r="CA68" s="51">
        <v>3.3000000000000003E-5</v>
      </c>
      <c r="CB68" s="51">
        <v>3.3000000000000003E-5</v>
      </c>
      <c r="CC68" s="51">
        <v>3.3000000000000003E-5</v>
      </c>
      <c r="CD68" s="51">
        <v>3.3000000000000003E-5</v>
      </c>
      <c r="CE68" s="51">
        <v>3.3000000000000003E-5</v>
      </c>
      <c r="CF68" s="51">
        <v>3.3000000000000003E-5</v>
      </c>
      <c r="CG68" s="51">
        <v>3.3000000000000003E-5</v>
      </c>
      <c r="CH68" s="51">
        <v>3.3000000000000003E-5</v>
      </c>
      <c r="CI68" s="51">
        <v>3.3000000000000003E-5</v>
      </c>
      <c r="CJ68" s="51">
        <v>3.3000000000000003E-5</v>
      </c>
      <c r="CK68" s="51">
        <v>3.3000000000000003E-5</v>
      </c>
      <c r="CL68" s="51">
        <v>3.3000000000000003E-5</v>
      </c>
      <c r="CM68" s="51">
        <v>3.3000000000000003E-5</v>
      </c>
    </row>
    <row r="69" spans="1:91" s="50" customFormat="1" x14ac:dyDescent="0.25">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spans="1:91" s="50" customFormat="1" x14ac:dyDescent="0.25">
      <c r="A70" s="50" t="s">
        <v>206</v>
      </c>
      <c r="B70" s="4">
        <v>0</v>
      </c>
      <c r="C70" s="4">
        <v>0</v>
      </c>
      <c r="D70" s="4">
        <v>0</v>
      </c>
      <c r="E70" s="4">
        <v>0</v>
      </c>
      <c r="F70" s="4">
        <v>0</v>
      </c>
      <c r="G70" s="4">
        <v>0</v>
      </c>
      <c r="H70" s="4">
        <v>0</v>
      </c>
      <c r="I70" s="4">
        <v>0</v>
      </c>
      <c r="J70" s="4">
        <v>0</v>
      </c>
      <c r="K70" s="4">
        <v>0</v>
      </c>
      <c r="L70" s="4">
        <v>0</v>
      </c>
      <c r="M70" s="4">
        <v>0</v>
      </c>
      <c r="N70" s="4">
        <v>0</v>
      </c>
      <c r="O70" s="4">
        <v>0</v>
      </c>
      <c r="P70" s="4">
        <v>0</v>
      </c>
      <c r="Q70" s="4">
        <v>0</v>
      </c>
      <c r="R70" s="4">
        <v>0</v>
      </c>
      <c r="S70" s="4">
        <v>0</v>
      </c>
      <c r="T70" s="4">
        <v>0</v>
      </c>
      <c r="U70" s="4">
        <v>0</v>
      </c>
      <c r="V70" s="4">
        <v>0</v>
      </c>
      <c r="W70" s="4">
        <v>0</v>
      </c>
      <c r="X70" s="4">
        <v>0</v>
      </c>
      <c r="Y70" s="4">
        <v>0</v>
      </c>
      <c r="Z70" s="4">
        <v>0</v>
      </c>
      <c r="AA70" s="4">
        <v>0</v>
      </c>
      <c r="AB70" s="4">
        <v>0</v>
      </c>
      <c r="AC70" s="4">
        <v>0</v>
      </c>
      <c r="AD70" s="4">
        <v>0</v>
      </c>
      <c r="AE70" s="4">
        <v>0</v>
      </c>
      <c r="AF70" s="51">
        <v>8.0900000000000001E-5</v>
      </c>
      <c r="AG70" s="51">
        <v>8.0833333333333338E-5</v>
      </c>
      <c r="AH70" s="51">
        <v>8.0766666666666674E-5</v>
      </c>
      <c r="AI70" s="51">
        <v>8.0699999999999996E-5</v>
      </c>
      <c r="AJ70" s="51">
        <v>8.0633333333333333E-5</v>
      </c>
      <c r="AK70" s="51">
        <v>8.0566666666666669E-5</v>
      </c>
      <c r="AL70" s="51">
        <v>8.0500000000000005E-5</v>
      </c>
      <c r="AM70" s="51">
        <v>8.0433333333333341E-5</v>
      </c>
      <c r="AN70" s="51">
        <v>8.0366666666666664E-5</v>
      </c>
      <c r="AO70" s="51">
        <v>8.03E-5</v>
      </c>
      <c r="AP70" s="51">
        <v>8.0233333333333337E-5</v>
      </c>
      <c r="AQ70" s="51">
        <v>8.0166666666666673E-5</v>
      </c>
      <c r="AR70" s="51">
        <v>8.0100000000000009E-5</v>
      </c>
      <c r="AS70" s="51">
        <v>8.0033333333333332E-5</v>
      </c>
      <c r="AT70" s="51">
        <v>7.9966666666666668E-5</v>
      </c>
      <c r="AU70" s="51">
        <v>7.9900000000000004E-5</v>
      </c>
      <c r="AV70" s="51">
        <v>7.9790909090909099E-5</v>
      </c>
      <c r="AW70" s="51">
        <v>7.9681818181818179E-5</v>
      </c>
      <c r="AX70" s="51">
        <v>7.9572727272727274E-5</v>
      </c>
      <c r="AY70" s="51">
        <v>7.9463636363636368E-5</v>
      </c>
      <c r="AZ70" s="51">
        <v>7.9354545454545463E-5</v>
      </c>
      <c r="BA70" s="51">
        <v>7.9245454545454544E-5</v>
      </c>
      <c r="BB70" s="51">
        <v>7.9136363636363638E-5</v>
      </c>
      <c r="BC70" s="51">
        <v>7.9027272727272732E-5</v>
      </c>
      <c r="BD70" s="51">
        <v>7.8918181818181827E-5</v>
      </c>
      <c r="BE70" s="51">
        <v>7.8809090909090908E-5</v>
      </c>
      <c r="BF70" s="51">
        <v>7.8700000000000002E-5</v>
      </c>
      <c r="BG70" s="51">
        <v>7.8590909090909096E-5</v>
      </c>
      <c r="BH70" s="51">
        <v>7.8481818181818177E-5</v>
      </c>
      <c r="BI70" s="51">
        <v>7.8372727272727272E-5</v>
      </c>
      <c r="BJ70" s="51">
        <v>7.8263636363636366E-5</v>
      </c>
      <c r="BK70" s="51">
        <v>7.8154545454545461E-5</v>
      </c>
      <c r="BL70" s="51">
        <v>7.8045454545454541E-5</v>
      </c>
      <c r="BM70" s="51">
        <v>7.7936363636363636E-5</v>
      </c>
      <c r="BN70" s="51">
        <v>7.782727272727273E-5</v>
      </c>
      <c r="BO70" s="51">
        <v>7.7718181818181825E-5</v>
      </c>
      <c r="BP70" s="51">
        <v>7.7609090909090906E-5</v>
      </c>
      <c r="BQ70" s="51">
        <v>7.75E-5</v>
      </c>
      <c r="BR70" s="51">
        <v>7.7390909090909094E-5</v>
      </c>
      <c r="BS70" s="51">
        <v>7.6000000000000004E-5</v>
      </c>
      <c r="BT70" s="51">
        <v>7.5955E-5</v>
      </c>
      <c r="BU70" s="51">
        <v>7.5909999999999997E-5</v>
      </c>
      <c r="BV70" s="51">
        <v>7.5865000000000006E-5</v>
      </c>
      <c r="BW70" s="51">
        <v>7.5820000000000003E-5</v>
      </c>
      <c r="BX70" s="51">
        <v>7.5774999999999999E-5</v>
      </c>
      <c r="BY70" s="51">
        <v>7.5730000000000008E-5</v>
      </c>
      <c r="BZ70" s="51">
        <v>7.5685000000000005E-5</v>
      </c>
      <c r="CA70" s="51">
        <v>7.5640000000000001E-5</v>
      </c>
      <c r="CB70" s="51">
        <v>7.5594999999999997E-5</v>
      </c>
      <c r="CC70" s="51">
        <v>7.5549999999999993E-5</v>
      </c>
      <c r="CD70" s="51">
        <v>7.5505000000000003E-5</v>
      </c>
      <c r="CE70" s="51">
        <v>7.5459999999999999E-5</v>
      </c>
      <c r="CF70" s="51">
        <v>7.5414999999999995E-5</v>
      </c>
      <c r="CG70" s="51">
        <v>7.5370000000000005E-5</v>
      </c>
      <c r="CH70" s="51">
        <v>7.5325000000000001E-5</v>
      </c>
      <c r="CI70" s="51">
        <v>7.5279999999999998E-5</v>
      </c>
      <c r="CJ70" s="51">
        <v>7.5234999999999994E-5</v>
      </c>
      <c r="CK70" s="51">
        <v>7.518999999999999E-5</v>
      </c>
      <c r="CL70" s="51">
        <v>7.5145E-5</v>
      </c>
      <c r="CM70" s="51">
        <v>7.5099999999999996E-5</v>
      </c>
    </row>
    <row r="71" spans="1:91" s="50" customFormat="1" x14ac:dyDescent="0.25">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spans="1:91" s="50" customFormat="1" x14ac:dyDescent="0.25">
      <c r="A72" s="50" t="s">
        <v>207</v>
      </c>
      <c r="B72" s="4">
        <v>0</v>
      </c>
      <c r="C72" s="4">
        <v>0</v>
      </c>
      <c r="D72" s="4">
        <v>0</v>
      </c>
      <c r="E72" s="4">
        <v>0</v>
      </c>
      <c r="F72" s="4">
        <v>0</v>
      </c>
      <c r="G72" s="4">
        <v>0</v>
      </c>
      <c r="H72" s="4">
        <v>0</v>
      </c>
      <c r="I72" s="4">
        <v>0</v>
      </c>
      <c r="J72" s="4">
        <v>0</v>
      </c>
      <c r="K72" s="4">
        <v>0</v>
      </c>
      <c r="L72" s="4">
        <v>0</v>
      </c>
      <c r="M72" s="4">
        <v>0</v>
      </c>
      <c r="N72" s="4">
        <v>0</v>
      </c>
      <c r="O72" s="4">
        <v>0</v>
      </c>
      <c r="P72" s="4">
        <v>0</v>
      </c>
      <c r="Q72" s="4">
        <v>0</v>
      </c>
      <c r="R72" s="4">
        <v>0</v>
      </c>
      <c r="S72" s="4">
        <v>0</v>
      </c>
      <c r="T72" s="4">
        <v>0</v>
      </c>
      <c r="U72" s="4">
        <v>0</v>
      </c>
      <c r="V72" s="4">
        <v>0</v>
      </c>
      <c r="W72" s="4">
        <v>0</v>
      </c>
      <c r="X72" s="4">
        <v>0</v>
      </c>
      <c r="Y72" s="4">
        <v>0</v>
      </c>
      <c r="Z72" s="4">
        <v>0</v>
      </c>
      <c r="AA72" s="4">
        <v>0</v>
      </c>
      <c r="AB72" s="4">
        <v>0</v>
      </c>
      <c r="AC72" s="4">
        <v>0</v>
      </c>
      <c r="AD72" s="4">
        <v>0</v>
      </c>
      <c r="AE72" s="4">
        <v>0</v>
      </c>
      <c r="AF72" s="51">
        <v>2.6047124150016419E-5</v>
      </c>
      <c r="AG72" s="51">
        <v>2.5931820509822103E-5</v>
      </c>
      <c r="AH72" s="51">
        <v>2.5817027287951345E-5</v>
      </c>
      <c r="AI72" s="51">
        <v>2.5702742224918969E-5</v>
      </c>
      <c r="AJ72" s="51">
        <v>2.5588963071241946E-5</v>
      </c>
      <c r="AK72" s="51">
        <v>2.5475687587395098E-5</v>
      </c>
      <c r="AL72" s="51">
        <v>2.5362913543767027E-5</v>
      </c>
      <c r="AM72" s="51">
        <v>2.5250638720616227E-5</v>
      </c>
      <c r="AN72" s="51">
        <v>2.5138860908027395E-5</v>
      </c>
      <c r="AO72" s="51">
        <v>2.5027577905867931E-5</v>
      </c>
      <c r="AP72" s="51">
        <v>2.4916787523744632E-5</v>
      </c>
      <c r="AQ72" s="51">
        <v>2.4806487580960574E-5</v>
      </c>
      <c r="AR72" s="51">
        <v>2.4696675906472202E-5</v>
      </c>
      <c r="AS72" s="51">
        <v>2.4587350338846587E-5</v>
      </c>
      <c r="AT72" s="51">
        <v>2.4478508726218878E-5</v>
      </c>
      <c r="AU72" s="51">
        <v>2.4370148926249962E-5</v>
      </c>
      <c r="AV72" s="51">
        <v>2.4378852289661097E-5</v>
      </c>
      <c r="AW72" s="51">
        <v>2.438755876132302E-5</v>
      </c>
      <c r="AX72" s="51">
        <v>2.4396268342345792E-5</v>
      </c>
      <c r="AY72" s="51">
        <v>2.4404981033839863E-5</v>
      </c>
      <c r="AZ72" s="51">
        <v>2.4413696836916083E-5</v>
      </c>
      <c r="BA72" s="51">
        <v>2.4422415752685697E-5</v>
      </c>
      <c r="BB72" s="51">
        <v>2.443113778226035E-5</v>
      </c>
      <c r="BC72" s="51">
        <v>2.4439862926752079E-5</v>
      </c>
      <c r="BD72" s="51">
        <v>2.4448591187273323E-5</v>
      </c>
      <c r="BE72" s="51">
        <v>2.4457322564936916E-5</v>
      </c>
      <c r="BF72" s="51">
        <v>2.4466057060856087E-5</v>
      </c>
      <c r="BG72" s="51">
        <v>2.4474794676144469E-5</v>
      </c>
      <c r="BH72" s="51">
        <v>2.4483535411916089E-5</v>
      </c>
      <c r="BI72" s="51">
        <v>2.4492279269285369E-5</v>
      </c>
      <c r="BJ72" s="51">
        <v>2.4501026249367136E-5</v>
      </c>
      <c r="BK72" s="51">
        <v>2.4509776353276607E-5</v>
      </c>
      <c r="BL72" s="51">
        <v>2.4518529582129402E-5</v>
      </c>
      <c r="BM72" s="51">
        <v>2.4527285937041538E-5</v>
      </c>
      <c r="BN72" s="51">
        <v>2.4536045419129436E-5</v>
      </c>
      <c r="BO72" s="51">
        <v>2.4544808029509907E-5</v>
      </c>
      <c r="BP72" s="51">
        <v>2.4553573769300165E-5</v>
      </c>
      <c r="BQ72" s="51">
        <v>2.4562342639617823E-5</v>
      </c>
      <c r="BR72" s="51">
        <v>2.4571114641580892E-5</v>
      </c>
      <c r="BS72" s="51">
        <v>2.4579889776307785E-5</v>
      </c>
      <c r="BT72" s="51">
        <v>2.4588668044917313E-5</v>
      </c>
      <c r="BU72" s="51">
        <v>2.4597449448528686E-5</v>
      </c>
      <c r="BV72" s="51">
        <v>2.460623398826151E-5</v>
      </c>
      <c r="BW72" s="51">
        <v>2.4615021665235799E-5</v>
      </c>
      <c r="BX72" s="51">
        <v>2.4623812480571962E-5</v>
      </c>
      <c r="BY72" s="51">
        <v>2.463260643539081E-5</v>
      </c>
      <c r="BZ72" s="51">
        <v>2.4641403530813551E-5</v>
      </c>
      <c r="CA72" s="51">
        <v>2.4650203767961796E-5</v>
      </c>
      <c r="CB72" s="51">
        <v>2.4659007147957558E-5</v>
      </c>
      <c r="CC72" s="51">
        <v>2.4667813671923248E-5</v>
      </c>
      <c r="CD72" s="51">
        <v>2.4676623340981674E-5</v>
      </c>
      <c r="CE72" s="51">
        <v>2.4685436156256055E-5</v>
      </c>
      <c r="CF72" s="51">
        <v>2.4694252118870006E-5</v>
      </c>
      <c r="CG72" s="51">
        <v>2.4703071229947542E-5</v>
      </c>
      <c r="CH72" s="51">
        <v>2.4711893490613081E-5</v>
      </c>
      <c r="CI72" s="51">
        <v>2.4720718901991441E-5</v>
      </c>
      <c r="CJ72" s="51">
        <v>2.4729547465207841E-5</v>
      </c>
      <c r="CK72" s="51">
        <v>2.4738379181387907E-5</v>
      </c>
      <c r="CL72" s="51">
        <v>2.4747214051657664E-5</v>
      </c>
      <c r="CM72" s="51">
        <v>2.4756052077143536E-5</v>
      </c>
    </row>
    <row r="73" spans="1:91" s="50" customFormat="1" x14ac:dyDescent="0.25">
      <c r="A73" s="50" t="s">
        <v>1</v>
      </c>
      <c r="B73" s="4">
        <v>0</v>
      </c>
      <c r="C73" s="4">
        <v>0</v>
      </c>
      <c r="D73" s="4">
        <v>0</v>
      </c>
      <c r="E73" s="4">
        <v>0</v>
      </c>
      <c r="F73" s="4">
        <v>0</v>
      </c>
      <c r="G73" s="4">
        <v>0</v>
      </c>
      <c r="H73" s="4">
        <v>0</v>
      </c>
      <c r="I73" s="4">
        <v>0</v>
      </c>
      <c r="J73" s="4">
        <v>0</v>
      </c>
      <c r="K73" s="4">
        <v>0</v>
      </c>
      <c r="L73" s="4">
        <v>0</v>
      </c>
      <c r="M73" s="4">
        <v>0</v>
      </c>
      <c r="N73" s="4">
        <v>0</v>
      </c>
      <c r="O73" s="4">
        <v>0</v>
      </c>
      <c r="P73" s="4">
        <v>0</v>
      </c>
      <c r="Q73" s="4">
        <v>0</v>
      </c>
      <c r="R73" s="4">
        <v>0</v>
      </c>
      <c r="S73" s="4">
        <v>0</v>
      </c>
      <c r="T73" s="4">
        <v>0</v>
      </c>
      <c r="U73" s="4">
        <v>0</v>
      </c>
      <c r="V73" s="4">
        <v>0</v>
      </c>
      <c r="W73" s="4">
        <v>0</v>
      </c>
      <c r="X73" s="4">
        <v>0</v>
      </c>
      <c r="Y73" s="4">
        <v>0</v>
      </c>
      <c r="Z73" s="4">
        <v>0</v>
      </c>
      <c r="AA73" s="4">
        <v>0</v>
      </c>
      <c r="AB73" s="4">
        <v>0</v>
      </c>
      <c r="AC73" s="4">
        <v>0</v>
      </c>
      <c r="AD73" s="4">
        <v>0</v>
      </c>
      <c r="AE73" s="4">
        <v>0</v>
      </c>
      <c r="AF73" s="51">
        <v>2.0100000000000001E-4</v>
      </c>
      <c r="AG73" s="51">
        <v>2.0106666666666668E-4</v>
      </c>
      <c r="AH73" s="51">
        <v>2.0113333333333333E-4</v>
      </c>
      <c r="AI73" s="51">
        <v>2.0120000000000001E-4</v>
      </c>
      <c r="AJ73" s="51">
        <v>2.0126666666666666E-4</v>
      </c>
      <c r="AK73" s="51">
        <v>2.0133333333333334E-4</v>
      </c>
      <c r="AL73" s="51">
        <v>2.0140000000000002E-4</v>
      </c>
      <c r="AM73" s="51">
        <v>2.0146666666666667E-4</v>
      </c>
      <c r="AN73" s="51">
        <v>2.0153333333333334E-4</v>
      </c>
      <c r="AO73" s="51">
        <v>2.0159999999999999E-4</v>
      </c>
      <c r="AP73" s="51">
        <v>2.0166666666666667E-4</v>
      </c>
      <c r="AQ73" s="51">
        <v>2.0173333333333335E-4</v>
      </c>
      <c r="AR73" s="51">
        <v>2.018E-4</v>
      </c>
      <c r="AS73" s="51">
        <v>2.0186666666666668E-4</v>
      </c>
      <c r="AT73" s="51">
        <v>2.0193333333333333E-4</v>
      </c>
      <c r="AU73" s="51">
        <v>2.02E-4</v>
      </c>
      <c r="AV73" s="51">
        <v>2.0254166666666668E-4</v>
      </c>
      <c r="AW73" s="51">
        <v>2.0308333333333333E-4</v>
      </c>
      <c r="AX73" s="51">
        <v>2.03625E-4</v>
      </c>
      <c r="AY73" s="51">
        <v>2.0416666666666668E-4</v>
      </c>
      <c r="AZ73" s="51">
        <v>2.0470833333333333E-4</v>
      </c>
      <c r="BA73" s="51">
        <v>2.0525E-4</v>
      </c>
      <c r="BB73" s="51">
        <v>2.0579166666666668E-4</v>
      </c>
      <c r="BC73" s="51">
        <v>2.0633333333333333E-4</v>
      </c>
      <c r="BD73" s="51">
        <v>2.06875E-4</v>
      </c>
      <c r="BE73" s="51">
        <v>2.0741666666666668E-4</v>
      </c>
      <c r="BF73" s="51">
        <v>2.0795833333333332E-4</v>
      </c>
      <c r="BG73" s="51">
        <v>2.085E-4</v>
      </c>
      <c r="BH73" s="51">
        <v>2.0904166666666667E-4</v>
      </c>
      <c r="BI73" s="51">
        <v>2.0958333333333332E-4</v>
      </c>
      <c r="BJ73" s="51">
        <v>2.10125E-4</v>
      </c>
      <c r="BK73" s="51">
        <v>2.1066666666666667E-4</v>
      </c>
      <c r="BL73" s="51">
        <v>2.1120833333333332E-4</v>
      </c>
      <c r="BM73" s="51">
        <v>2.1175E-4</v>
      </c>
      <c r="BN73" s="51">
        <v>2.1229166666666667E-4</v>
      </c>
      <c r="BO73" s="51">
        <v>2.1283333333333332E-4</v>
      </c>
      <c r="BP73" s="51">
        <v>2.13375E-4</v>
      </c>
      <c r="BQ73" s="51">
        <v>2.1391666666666667E-4</v>
      </c>
      <c r="BR73" s="51">
        <v>2.1445833333333332E-4</v>
      </c>
      <c r="BS73" s="51">
        <v>2.1499999999999999E-4</v>
      </c>
      <c r="BT73" s="51">
        <v>2.1535E-4</v>
      </c>
      <c r="BU73" s="51">
        <v>2.1569999999999998E-4</v>
      </c>
      <c r="BV73" s="51">
        <v>2.1604999999999999E-4</v>
      </c>
      <c r="BW73" s="51">
        <v>2.164E-4</v>
      </c>
      <c r="BX73" s="51">
        <v>2.1674999999999998E-4</v>
      </c>
      <c r="BY73" s="51">
        <v>2.1709999999999999E-4</v>
      </c>
      <c r="BZ73" s="51">
        <v>2.1745E-4</v>
      </c>
      <c r="CA73" s="51">
        <v>2.1780000000000001E-4</v>
      </c>
      <c r="CB73" s="51">
        <v>2.1814999999999999E-4</v>
      </c>
      <c r="CC73" s="51">
        <v>2.185E-4</v>
      </c>
      <c r="CD73" s="51">
        <v>2.1885000000000001E-4</v>
      </c>
      <c r="CE73" s="51">
        <v>2.1919999999999999E-4</v>
      </c>
      <c r="CF73" s="51">
        <v>2.1955E-4</v>
      </c>
      <c r="CG73" s="51">
        <v>2.1990000000000001E-4</v>
      </c>
      <c r="CH73" s="51">
        <v>2.2025000000000001E-4</v>
      </c>
      <c r="CI73" s="51">
        <v>2.206E-4</v>
      </c>
      <c r="CJ73" s="51">
        <v>2.2095E-4</v>
      </c>
      <c r="CK73" s="51">
        <v>2.2130000000000001E-4</v>
      </c>
      <c r="CL73" s="51">
        <v>2.2164999999999999E-4</v>
      </c>
      <c r="CM73" s="51">
        <v>2.22E-4</v>
      </c>
    </row>
    <row r="74" spans="1:91" s="50" customFormat="1" x14ac:dyDescent="0.25">
      <c r="A74" s="50" t="s">
        <v>2</v>
      </c>
      <c r="B74" s="4">
        <v>0</v>
      </c>
      <c r="C74" s="4">
        <v>0</v>
      </c>
      <c r="D74" s="4">
        <v>0</v>
      </c>
      <c r="E74" s="4">
        <v>0</v>
      </c>
      <c r="F74" s="4">
        <v>0</v>
      </c>
      <c r="G74" s="4">
        <v>0</v>
      </c>
      <c r="H74" s="4">
        <v>0</v>
      </c>
      <c r="I74" s="4">
        <v>0</v>
      </c>
      <c r="J74" s="4">
        <v>0</v>
      </c>
      <c r="K74" s="4">
        <v>0</v>
      </c>
      <c r="L74" s="4">
        <v>0</v>
      </c>
      <c r="M74" s="4">
        <v>0</v>
      </c>
      <c r="N74" s="4">
        <v>0</v>
      </c>
      <c r="O74" s="4">
        <v>0</v>
      </c>
      <c r="P74" s="4">
        <v>0</v>
      </c>
      <c r="Q74" s="4">
        <v>0</v>
      </c>
      <c r="R74" s="4">
        <v>0</v>
      </c>
      <c r="S74" s="4">
        <v>0</v>
      </c>
      <c r="T74" s="4">
        <v>0</v>
      </c>
      <c r="U74" s="4">
        <v>0</v>
      </c>
      <c r="V74" s="4">
        <v>0</v>
      </c>
      <c r="W74" s="4">
        <v>0</v>
      </c>
      <c r="X74" s="4">
        <v>0</v>
      </c>
      <c r="Y74" s="4">
        <v>0</v>
      </c>
      <c r="Z74" s="4">
        <v>0</v>
      </c>
      <c r="AA74" s="4">
        <v>0</v>
      </c>
      <c r="AB74" s="4">
        <v>0</v>
      </c>
      <c r="AC74" s="4">
        <v>0</v>
      </c>
      <c r="AD74" s="4">
        <v>0</v>
      </c>
      <c r="AE74" s="4">
        <v>0</v>
      </c>
      <c r="AF74" s="51">
        <v>3.1090007506599416E-5</v>
      </c>
      <c r="AG74" s="51">
        <v>3.1214866974497405E-5</v>
      </c>
      <c r="AH74" s="51">
        <v>3.1340227886041568E-5</v>
      </c>
      <c r="AI74" s="51">
        <v>3.1466092255061819E-5</v>
      </c>
      <c r="AJ74" s="51">
        <v>3.1592462103475722E-5</v>
      </c>
      <c r="AK74" s="51">
        <v>3.1719339461321004E-5</v>
      </c>
      <c r="AL74" s="51">
        <v>3.1846726366788155E-5</v>
      </c>
      <c r="AM74" s="51">
        <v>3.1974624866253171E-5</v>
      </c>
      <c r="AN74" s="51">
        <v>3.2103037014310414E-5</v>
      </c>
      <c r="AO74" s="51">
        <v>3.2231964873805633E-5</v>
      </c>
      <c r="AP74" s="51">
        <v>3.2361410515869112E-5</v>
      </c>
      <c r="AQ74" s="51">
        <v>3.2491376019948906E-5</v>
      </c>
      <c r="AR74" s="51">
        <v>3.2621863473844284E-5</v>
      </c>
      <c r="AS74" s="51">
        <v>3.2752874973739242E-5</v>
      </c>
      <c r="AT74" s="51">
        <v>3.288441262423619E-5</v>
      </c>
      <c r="AU74" s="51">
        <v>3.3016478538389752E-5</v>
      </c>
      <c r="AV74" s="51">
        <v>3.3049495016928139E-5</v>
      </c>
      <c r="AW74" s="51">
        <v>3.3082544511945068E-5</v>
      </c>
      <c r="AX74" s="51">
        <v>3.3115627056457015E-5</v>
      </c>
      <c r="AY74" s="51">
        <v>3.3148742683513472E-5</v>
      </c>
      <c r="AZ74" s="51">
        <v>3.3181891426196984E-5</v>
      </c>
      <c r="BA74" s="51">
        <v>3.3215073317623179E-5</v>
      </c>
      <c r="BB74" s="51">
        <v>3.3248288390940805E-5</v>
      </c>
      <c r="BC74" s="51">
        <v>3.3281536679331748E-5</v>
      </c>
      <c r="BD74" s="51">
        <v>3.3314818216011078E-5</v>
      </c>
      <c r="BE74" s="51">
        <v>3.3348133034227087E-5</v>
      </c>
      <c r="BF74" s="51">
        <v>3.3381481167261313E-5</v>
      </c>
      <c r="BG74" s="51">
        <v>3.3414862648428577E-5</v>
      </c>
      <c r="BH74" s="51">
        <v>3.3448277511077007E-5</v>
      </c>
      <c r="BI74" s="51">
        <v>3.3481725788588084E-5</v>
      </c>
      <c r="BJ74" s="51">
        <v>3.3515207514376674E-5</v>
      </c>
      <c r="BK74" s="51">
        <v>3.3548722721891052E-5</v>
      </c>
      <c r="BL74" s="51">
        <v>3.3582271444612947E-5</v>
      </c>
      <c r="BM74" s="51">
        <v>3.361585371605756E-5</v>
      </c>
      <c r="BN74" s="51">
        <v>3.3649469569773618E-5</v>
      </c>
      <c r="BO74" s="51">
        <v>3.3683119039343394E-5</v>
      </c>
      <c r="BP74" s="51">
        <v>3.3716802158382734E-5</v>
      </c>
      <c r="BQ74" s="51">
        <v>3.3750518960541119E-5</v>
      </c>
      <c r="BR74" s="51">
        <v>3.3784269479501661E-5</v>
      </c>
      <c r="BS74" s="51">
        <v>3.3818053748981164E-5</v>
      </c>
      <c r="BT74" s="51">
        <v>3.3851871802730143E-5</v>
      </c>
      <c r="BU74" s="51">
        <v>3.3885723674532874E-5</v>
      </c>
      <c r="BV74" s="51">
        <v>3.3919609398207405E-5</v>
      </c>
      <c r="BW74" s="51">
        <v>3.3953529007605609E-5</v>
      </c>
      <c r="BX74" s="51">
        <v>3.3987482536613218E-5</v>
      </c>
      <c r="BY74" s="51">
        <v>3.4021470019149833E-5</v>
      </c>
      <c r="BZ74" s="51">
        <v>3.4055491489168982E-5</v>
      </c>
      <c r="CA74" s="51">
        <v>3.4089546980658153E-5</v>
      </c>
      <c r="CB74" s="51">
        <v>3.412363652763881E-5</v>
      </c>
      <c r="CC74" s="51">
        <v>3.4157760164166448E-5</v>
      </c>
      <c r="CD74" s="51">
        <v>3.4191917924330613E-5</v>
      </c>
      <c r="CE74" s="51">
        <v>3.4226109842254942E-5</v>
      </c>
      <c r="CF74" s="51">
        <v>3.4260335952097197E-5</v>
      </c>
      <c r="CG74" s="51">
        <v>3.4294596288049293E-5</v>
      </c>
      <c r="CH74" s="51">
        <v>3.4328890884337344E-5</v>
      </c>
      <c r="CI74" s="51">
        <v>3.4363219775221679E-5</v>
      </c>
      <c r="CJ74" s="51">
        <v>3.4397582994996899E-5</v>
      </c>
      <c r="CK74" s="51">
        <v>3.4431980577991895E-5</v>
      </c>
      <c r="CL74" s="51">
        <v>3.4466412558569886E-5</v>
      </c>
      <c r="CM74" s="51">
        <v>3.4500878971128458E-5</v>
      </c>
    </row>
    <row r="75" spans="1:91" s="50" customFormat="1" x14ac:dyDescent="0.25">
      <c r="A75" s="50" t="s">
        <v>2</v>
      </c>
      <c r="B75" s="4">
        <v>0</v>
      </c>
      <c r="C75" s="4">
        <v>0</v>
      </c>
      <c r="D75" s="4">
        <v>0</v>
      </c>
      <c r="E75" s="4">
        <v>0</v>
      </c>
      <c r="F75" s="4">
        <v>0</v>
      </c>
      <c r="G75" s="4">
        <v>0</v>
      </c>
      <c r="H75" s="4">
        <v>0</v>
      </c>
      <c r="I75" s="4">
        <v>0</v>
      </c>
      <c r="J75" s="4">
        <v>0</v>
      </c>
      <c r="K75" s="4">
        <v>0</v>
      </c>
      <c r="L75" s="4">
        <v>0</v>
      </c>
      <c r="M75" s="4">
        <v>0</v>
      </c>
      <c r="N75" s="4">
        <v>0</v>
      </c>
      <c r="O75" s="4">
        <v>0</v>
      </c>
      <c r="P75" s="4">
        <v>0</v>
      </c>
      <c r="Q75" s="4">
        <v>0</v>
      </c>
      <c r="R75" s="4">
        <v>0</v>
      </c>
      <c r="S75" s="4">
        <v>0</v>
      </c>
      <c r="T75" s="4">
        <v>0</v>
      </c>
      <c r="U75" s="4">
        <v>0</v>
      </c>
      <c r="V75" s="4">
        <v>0</v>
      </c>
      <c r="W75" s="4">
        <v>0</v>
      </c>
      <c r="X75" s="4">
        <v>0</v>
      </c>
      <c r="Y75" s="4">
        <v>0</v>
      </c>
      <c r="Z75" s="4">
        <v>0</v>
      </c>
      <c r="AA75" s="4">
        <v>0</v>
      </c>
      <c r="AB75" s="4">
        <v>0</v>
      </c>
      <c r="AC75" s="4">
        <v>0</v>
      </c>
      <c r="AD75" s="4">
        <v>0</v>
      </c>
      <c r="AE75" s="4">
        <v>0</v>
      </c>
      <c r="AF75" s="51">
        <v>1.9058062501626263E-5</v>
      </c>
      <c r="AG75" s="51">
        <v>1.9367949696774658E-5</v>
      </c>
      <c r="AH75" s="51">
        <v>1.9682875708104327E-5</v>
      </c>
      <c r="AI75" s="51">
        <v>2.0002922467585699E-5</v>
      </c>
      <c r="AJ75" s="51">
        <v>2.0328173239416362E-5</v>
      </c>
      <c r="AK75" s="51">
        <v>2.0658712641683296E-5</v>
      </c>
      <c r="AL75" s="51">
        <v>2.0994626668377332E-5</v>
      </c>
      <c r="AM75" s="51">
        <v>2.1336002711765583E-5</v>
      </c>
      <c r="AN75" s="51">
        <v>2.1682929585127624E-5</v>
      </c>
      <c r="AO75" s="51">
        <v>2.2035497545861405E-5</v>
      </c>
      <c r="AP75" s="51">
        <v>2.2393798318964842E-5</v>
      </c>
      <c r="AQ75" s="51">
        <v>2.2757925120899231E-5</v>
      </c>
      <c r="AR75" s="51">
        <v>2.3127972683840682E-5</v>
      </c>
      <c r="AS75" s="51">
        <v>2.3504037280325898E-5</v>
      </c>
      <c r="AT75" s="51">
        <v>2.3886216748298676E-5</v>
      </c>
      <c r="AU75" s="51">
        <v>2.4274610516563694E-5</v>
      </c>
      <c r="AV75" s="51">
        <v>2.4444532790179639E-5</v>
      </c>
      <c r="AW75" s="51">
        <v>2.4615644519710897E-5</v>
      </c>
      <c r="AX75" s="51">
        <v>2.4787954031348874E-5</v>
      </c>
      <c r="AY75" s="51">
        <v>2.4961469709568316E-5</v>
      </c>
      <c r="AZ75" s="51">
        <v>2.5136199997535295E-5</v>
      </c>
      <c r="BA75" s="51">
        <v>2.5312153397518044E-5</v>
      </c>
      <c r="BB75" s="51">
        <v>2.5489338471300669E-5</v>
      </c>
      <c r="BC75" s="51">
        <v>2.5667763840599773E-5</v>
      </c>
      <c r="BD75" s="51">
        <v>2.5847438187483973E-5</v>
      </c>
      <c r="BE75" s="51">
        <v>2.6028370254796361E-5</v>
      </c>
      <c r="BF75" s="51">
        <v>2.6210568846579936E-5</v>
      </c>
      <c r="BG75" s="51">
        <v>2.6394042828505995E-5</v>
      </c>
      <c r="BH75" s="51">
        <v>2.6578801128305539E-5</v>
      </c>
      <c r="BI75" s="51">
        <v>2.6764852736203677E-5</v>
      </c>
      <c r="BJ75" s="51">
        <v>2.6952206705357104E-5</v>
      </c>
      <c r="BK75" s="51">
        <v>2.7140872152294603E-5</v>
      </c>
      <c r="BL75" s="51">
        <v>2.7330858257360666E-5</v>
      </c>
      <c r="BM75" s="51">
        <v>2.7522174265162191E-5</v>
      </c>
      <c r="BN75" s="51">
        <v>2.7714829485018327E-5</v>
      </c>
      <c r="BO75" s="51">
        <v>2.7908833291413456E-5</v>
      </c>
      <c r="BP75" s="51">
        <v>2.8104195124453349E-5</v>
      </c>
      <c r="BQ75" s="51">
        <v>2.8300924490324521E-5</v>
      </c>
      <c r="BR75" s="51">
        <v>2.8499030961756792E-5</v>
      </c>
      <c r="BS75" s="51">
        <v>2.8698524178489089E-5</v>
      </c>
      <c r="BT75" s="51">
        <v>2.8899413847738511E-5</v>
      </c>
      <c r="BU75" s="51">
        <v>2.9101709744672679E-5</v>
      </c>
      <c r="BV75" s="51">
        <v>2.9305421712885388E-5</v>
      </c>
      <c r="BW75" s="51">
        <v>2.9510559664875587E-5</v>
      </c>
      <c r="BX75" s="51">
        <v>2.9717133582529715E-5</v>
      </c>
      <c r="BY75" s="51">
        <v>2.9925153517607422E-5</v>
      </c>
      <c r="BZ75" s="51">
        <v>3.0134629592230675E-5</v>
      </c>
      <c r="CA75" s="51">
        <v>3.0345571999376289E-5</v>
      </c>
      <c r="CB75" s="51">
        <v>3.0557991003371919E-5</v>
      </c>
      <c r="CC75" s="51">
        <v>3.0771896940395526E-5</v>
      </c>
      <c r="CD75" s="51">
        <v>3.0987300218978292E-5</v>
      </c>
      <c r="CE75" s="51">
        <v>3.120421132051114E-5</v>
      </c>
      <c r="CF75" s="51">
        <v>3.1422640799754715E-5</v>
      </c>
      <c r="CG75" s="51">
        <v>3.1642599285352998E-5</v>
      </c>
      <c r="CH75" s="51">
        <v>3.1864097480350471E-5</v>
      </c>
      <c r="CI75" s="51">
        <v>3.2087146162712921E-5</v>
      </c>
      <c r="CJ75" s="51">
        <v>3.2311756185851908E-5</v>
      </c>
      <c r="CK75" s="51">
        <v>3.2537938479152873E-5</v>
      </c>
      <c r="CL75" s="51">
        <v>3.2765704048506942E-5</v>
      </c>
      <c r="CM75" s="51">
        <v>3.299506397684649E-5</v>
      </c>
    </row>
    <row r="76" spans="1:91" s="50" customFormat="1" x14ac:dyDescent="0.25">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spans="1:91" s="50" customFormat="1" x14ac:dyDescent="0.25">
      <c r="A77" s="50" t="s">
        <v>208</v>
      </c>
      <c r="B77" s="4">
        <v>0</v>
      </c>
      <c r="C77" s="4">
        <v>0</v>
      </c>
      <c r="D77" s="4">
        <v>0</v>
      </c>
      <c r="E77" s="4">
        <v>0</v>
      </c>
      <c r="F77" s="4">
        <v>0</v>
      </c>
      <c r="G77" s="4">
        <v>0</v>
      </c>
      <c r="H77" s="4">
        <v>0</v>
      </c>
      <c r="I77" s="4">
        <v>0</v>
      </c>
      <c r="J77" s="4">
        <v>0</v>
      </c>
      <c r="K77" s="4">
        <v>0</v>
      </c>
      <c r="L77" s="4">
        <v>0</v>
      </c>
      <c r="M77" s="4">
        <v>0</v>
      </c>
      <c r="N77" s="4">
        <v>0</v>
      </c>
      <c r="O77" s="4">
        <v>0</v>
      </c>
      <c r="P77" s="4">
        <v>0</v>
      </c>
      <c r="Q77" s="4">
        <v>0</v>
      </c>
      <c r="R77" s="4">
        <v>0</v>
      </c>
      <c r="S77" s="4">
        <v>0</v>
      </c>
      <c r="T77" s="4">
        <v>0</v>
      </c>
      <c r="U77" s="4">
        <v>0</v>
      </c>
      <c r="V77" s="4">
        <v>0</v>
      </c>
      <c r="W77" s="4">
        <v>0</v>
      </c>
      <c r="X77" s="4">
        <v>0</v>
      </c>
      <c r="Y77" s="4">
        <v>0</v>
      </c>
      <c r="Z77" s="4">
        <v>0</v>
      </c>
      <c r="AA77" s="4">
        <v>0</v>
      </c>
      <c r="AB77" s="4">
        <v>0</v>
      </c>
      <c r="AC77" s="4">
        <v>0</v>
      </c>
      <c r="AD77" s="4">
        <v>0</v>
      </c>
      <c r="AE77" s="4">
        <v>0</v>
      </c>
      <c r="AF77" s="51">
        <v>3.7310549777117386E-5</v>
      </c>
      <c r="AG77" s="51">
        <v>3.7387320455671127E-5</v>
      </c>
      <c r="AH77" s="51">
        <v>3.7464091134224867E-5</v>
      </c>
      <c r="AI77" s="51">
        <v>3.7540861812778601E-5</v>
      </c>
      <c r="AJ77" s="51">
        <v>3.7617632491332342E-5</v>
      </c>
      <c r="AK77" s="51">
        <v>3.7694403169886082E-5</v>
      </c>
      <c r="AL77" s="51">
        <v>3.7771173848439823E-5</v>
      </c>
      <c r="AM77" s="51">
        <v>3.7847944526993563E-5</v>
      </c>
      <c r="AN77" s="51">
        <v>3.7924715205547297E-5</v>
      </c>
      <c r="AO77" s="51">
        <v>3.8001485884101038E-5</v>
      </c>
      <c r="AP77" s="51">
        <v>3.8078256562654778E-5</v>
      </c>
      <c r="AQ77" s="51">
        <v>3.8155027241208519E-5</v>
      </c>
      <c r="AR77" s="51">
        <v>3.823179791976226E-5</v>
      </c>
      <c r="AS77" s="51">
        <v>3.8308568598315993E-5</v>
      </c>
      <c r="AT77" s="51">
        <v>3.8385339276869734E-5</v>
      </c>
      <c r="AU77" s="51">
        <v>3.8462109955423475E-5</v>
      </c>
      <c r="AV77" s="51">
        <v>3.8690126860987058E-5</v>
      </c>
      <c r="AW77" s="51">
        <v>3.8918143766550648E-5</v>
      </c>
      <c r="AX77" s="51">
        <v>3.9146160672114232E-5</v>
      </c>
      <c r="AY77" s="51">
        <v>3.9374177577677815E-5</v>
      </c>
      <c r="AZ77" s="51">
        <v>3.9602194483241399E-5</v>
      </c>
      <c r="BA77" s="51">
        <v>3.9830211388804982E-5</v>
      </c>
      <c r="BB77" s="51">
        <v>4.0058228294368573E-5</v>
      </c>
      <c r="BC77" s="51">
        <v>4.0286245199932156E-5</v>
      </c>
      <c r="BD77" s="51">
        <v>4.051426210549574E-5</v>
      </c>
      <c r="BE77" s="51">
        <v>4.074227901105933E-5</v>
      </c>
      <c r="BF77" s="51">
        <v>4.0970295916622914E-5</v>
      </c>
      <c r="BG77" s="51">
        <v>4.1198312822186497E-5</v>
      </c>
      <c r="BH77" s="51">
        <v>4.1426329727750081E-5</v>
      </c>
      <c r="BI77" s="51">
        <v>4.1654346633313664E-5</v>
      </c>
      <c r="BJ77" s="51">
        <v>4.1882363538877255E-5</v>
      </c>
      <c r="BK77" s="51">
        <v>4.2110380444440838E-5</v>
      </c>
      <c r="BL77" s="51">
        <v>4.2338397350004422E-5</v>
      </c>
      <c r="BM77" s="51">
        <v>4.2566414255568012E-5</v>
      </c>
      <c r="BN77" s="51">
        <v>4.2794431161131595E-5</v>
      </c>
      <c r="BO77" s="51">
        <v>4.3022448066695179E-5</v>
      </c>
      <c r="BP77" s="51">
        <v>4.3250464972258763E-5</v>
      </c>
      <c r="BQ77" s="51">
        <v>4.3478481877822346E-5</v>
      </c>
      <c r="BR77" s="51">
        <v>4.3706498783385936E-5</v>
      </c>
      <c r="BS77" s="51">
        <v>4.393451568894952E-5</v>
      </c>
      <c r="BT77" s="51">
        <v>4.393451568894952E-5</v>
      </c>
      <c r="BU77" s="51">
        <v>4.393451568894952E-5</v>
      </c>
      <c r="BV77" s="51">
        <v>4.393451568894952E-5</v>
      </c>
      <c r="BW77" s="51">
        <v>4.393451568894952E-5</v>
      </c>
      <c r="BX77" s="51">
        <v>4.393451568894952E-5</v>
      </c>
      <c r="BY77" s="51">
        <v>4.393451568894952E-5</v>
      </c>
      <c r="BZ77" s="51">
        <v>4.393451568894952E-5</v>
      </c>
      <c r="CA77" s="51">
        <v>4.393451568894952E-5</v>
      </c>
      <c r="CB77" s="51">
        <v>4.393451568894952E-5</v>
      </c>
      <c r="CC77" s="51">
        <v>4.393451568894952E-5</v>
      </c>
      <c r="CD77" s="51">
        <v>4.393451568894952E-5</v>
      </c>
      <c r="CE77" s="51">
        <v>4.393451568894952E-5</v>
      </c>
      <c r="CF77" s="51">
        <v>4.393451568894952E-5</v>
      </c>
      <c r="CG77" s="51">
        <v>4.393451568894952E-5</v>
      </c>
      <c r="CH77" s="51">
        <v>4.393451568894952E-5</v>
      </c>
      <c r="CI77" s="51">
        <v>4.393451568894952E-5</v>
      </c>
      <c r="CJ77" s="51">
        <v>4.393451568894952E-5</v>
      </c>
      <c r="CK77" s="51">
        <v>4.393451568894952E-5</v>
      </c>
      <c r="CL77" s="51">
        <v>4.393451568894952E-5</v>
      </c>
      <c r="CM77" s="51">
        <v>4.393451568894952E-5</v>
      </c>
    </row>
    <row r="78" spans="1:91" s="50" customFormat="1" x14ac:dyDescent="0.25">
      <c r="A78" s="50" t="s">
        <v>1</v>
      </c>
      <c r="B78" s="4">
        <v>0</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0</v>
      </c>
      <c r="AE78" s="4">
        <v>0</v>
      </c>
      <c r="AF78" s="51">
        <v>5.3438335809806834E-5</v>
      </c>
      <c r="AG78" s="51">
        <v>5.3548291233283803E-5</v>
      </c>
      <c r="AH78" s="51">
        <v>5.3658246656760772E-5</v>
      </c>
      <c r="AI78" s="51">
        <v>5.3768202080237741E-5</v>
      </c>
      <c r="AJ78" s="51">
        <v>5.3878157503714709E-5</v>
      </c>
      <c r="AK78" s="51">
        <v>5.3988112927191678E-5</v>
      </c>
      <c r="AL78" s="51">
        <v>5.4098068350668647E-5</v>
      </c>
      <c r="AM78" s="51">
        <v>5.4208023774145616E-5</v>
      </c>
      <c r="AN78" s="51">
        <v>5.4317979197622585E-5</v>
      </c>
      <c r="AO78" s="51">
        <v>5.4427934621099554E-5</v>
      </c>
      <c r="AP78" s="51">
        <v>5.4537890044576523E-5</v>
      </c>
      <c r="AQ78" s="51">
        <v>5.4647845468053492E-5</v>
      </c>
      <c r="AR78" s="51">
        <v>5.4757800891530461E-5</v>
      </c>
      <c r="AS78" s="51">
        <v>5.4867756315007429E-5</v>
      </c>
      <c r="AT78" s="51">
        <v>5.4977711738484398E-5</v>
      </c>
      <c r="AU78" s="51">
        <v>5.5087667161961367E-5</v>
      </c>
      <c r="AV78" s="51">
        <v>5.4915471844219341E-5</v>
      </c>
      <c r="AW78" s="51">
        <v>5.4743276526477322E-5</v>
      </c>
      <c r="AX78" s="51">
        <v>5.4571081208735296E-5</v>
      </c>
      <c r="AY78" s="51">
        <v>5.439888589099327E-5</v>
      </c>
      <c r="AZ78" s="51">
        <v>5.4226690573251244E-5</v>
      </c>
      <c r="BA78" s="51">
        <v>5.4054495255509225E-5</v>
      </c>
      <c r="BB78" s="51">
        <v>5.3882299937767199E-5</v>
      </c>
      <c r="BC78" s="51">
        <v>5.3710104620025173E-5</v>
      </c>
      <c r="BD78" s="51">
        <v>5.3537909302283154E-5</v>
      </c>
      <c r="BE78" s="51">
        <v>5.3365713984541128E-5</v>
      </c>
      <c r="BF78" s="51">
        <v>5.3193518666799102E-5</v>
      </c>
      <c r="BG78" s="51">
        <v>5.3021323349057076E-5</v>
      </c>
      <c r="BH78" s="51">
        <v>5.2849128031315057E-5</v>
      </c>
      <c r="BI78" s="51">
        <v>5.2676932713573031E-5</v>
      </c>
      <c r="BJ78" s="51">
        <v>5.2504737395831005E-5</v>
      </c>
      <c r="BK78" s="51">
        <v>5.2332542078088986E-5</v>
      </c>
      <c r="BL78" s="51">
        <v>5.216034676034696E-5</v>
      </c>
      <c r="BM78" s="51">
        <v>5.1988151442604934E-5</v>
      </c>
      <c r="BN78" s="51">
        <v>5.1815956124862915E-5</v>
      </c>
      <c r="BO78" s="51">
        <v>5.1643760807120889E-5</v>
      </c>
      <c r="BP78" s="51">
        <v>5.1471565489378863E-5</v>
      </c>
      <c r="BQ78" s="51">
        <v>5.1299370171636837E-5</v>
      </c>
      <c r="BR78" s="51">
        <v>5.1127174853894818E-5</v>
      </c>
      <c r="BS78" s="51">
        <v>5.0954979536152792E-5</v>
      </c>
      <c r="BT78" s="51">
        <v>5.0954979536152792E-5</v>
      </c>
      <c r="BU78" s="51">
        <v>5.0954979536152792E-5</v>
      </c>
      <c r="BV78" s="51">
        <v>5.0954979536152792E-5</v>
      </c>
      <c r="BW78" s="51">
        <v>5.0954979536152792E-5</v>
      </c>
      <c r="BX78" s="51">
        <v>5.0954979536152792E-5</v>
      </c>
      <c r="BY78" s="51">
        <v>5.0954979536152792E-5</v>
      </c>
      <c r="BZ78" s="51">
        <v>5.0954979536152792E-5</v>
      </c>
      <c r="CA78" s="51">
        <v>5.0954979536152792E-5</v>
      </c>
      <c r="CB78" s="51">
        <v>5.0954979536152792E-5</v>
      </c>
      <c r="CC78" s="51">
        <v>5.0954979536152792E-5</v>
      </c>
      <c r="CD78" s="51">
        <v>5.0954979536152792E-5</v>
      </c>
      <c r="CE78" s="51">
        <v>5.0954979536152792E-5</v>
      </c>
      <c r="CF78" s="51">
        <v>5.0954979536152792E-5</v>
      </c>
      <c r="CG78" s="51">
        <v>5.0954979536152792E-5</v>
      </c>
      <c r="CH78" s="51">
        <v>5.0954979536152792E-5</v>
      </c>
      <c r="CI78" s="51">
        <v>5.0954979536152792E-5</v>
      </c>
      <c r="CJ78" s="51">
        <v>5.0954979536152792E-5</v>
      </c>
      <c r="CK78" s="51">
        <v>5.0954979536152792E-5</v>
      </c>
      <c r="CL78" s="51">
        <v>5.0954979536152792E-5</v>
      </c>
      <c r="CM78" s="51">
        <v>5.0954979536152792E-5</v>
      </c>
    </row>
    <row r="79" spans="1:91" s="50" customFormat="1" x14ac:dyDescent="0.25">
      <c r="A79" s="50" t="s">
        <v>1</v>
      </c>
      <c r="B79" s="4">
        <v>0</v>
      </c>
      <c r="C79" s="4">
        <v>0</v>
      </c>
      <c r="D79" s="4">
        <v>0</v>
      </c>
      <c r="E79" s="4">
        <v>0</v>
      </c>
      <c r="F79" s="4">
        <v>0</v>
      </c>
      <c r="G79" s="4">
        <v>0</v>
      </c>
      <c r="H79" s="4">
        <v>0</v>
      </c>
      <c r="I79" s="4">
        <v>0</v>
      </c>
      <c r="J79" s="4">
        <v>0</v>
      </c>
      <c r="K79" s="4">
        <v>0</v>
      </c>
      <c r="L79" s="4">
        <v>0</v>
      </c>
      <c r="M79" s="4">
        <v>0</v>
      </c>
      <c r="N79" s="4">
        <v>0</v>
      </c>
      <c r="O79" s="4">
        <v>0</v>
      </c>
      <c r="P79" s="4">
        <v>0</v>
      </c>
      <c r="Q79" s="4">
        <v>0</v>
      </c>
      <c r="R79" s="4">
        <v>0</v>
      </c>
      <c r="S79" s="4">
        <v>0</v>
      </c>
      <c r="T79" s="4">
        <v>0</v>
      </c>
      <c r="U79" s="4">
        <v>0</v>
      </c>
      <c r="V79" s="4">
        <v>0</v>
      </c>
      <c r="W79" s="4">
        <v>0</v>
      </c>
      <c r="X79" s="4">
        <v>0</v>
      </c>
      <c r="Y79" s="4">
        <v>0</v>
      </c>
      <c r="Z79" s="4">
        <v>0</v>
      </c>
      <c r="AA79" s="4">
        <v>0</v>
      </c>
      <c r="AB79" s="4">
        <v>0</v>
      </c>
      <c r="AC79" s="4">
        <v>0</v>
      </c>
      <c r="AD79" s="4">
        <v>0</v>
      </c>
      <c r="AE79" s="4">
        <v>0</v>
      </c>
      <c r="AF79" s="51">
        <v>3.8032689450222883E-5</v>
      </c>
      <c r="AG79" s="51">
        <v>3.8110946012877659E-5</v>
      </c>
      <c r="AH79" s="51">
        <v>3.8189202575532442E-5</v>
      </c>
      <c r="AI79" s="51">
        <v>3.8267459138187219E-5</v>
      </c>
      <c r="AJ79" s="51">
        <v>3.8345715700842002E-5</v>
      </c>
      <c r="AK79" s="51">
        <v>3.8423972263496778E-5</v>
      </c>
      <c r="AL79" s="51">
        <v>3.8502228826151561E-5</v>
      </c>
      <c r="AM79" s="51">
        <v>3.8580485388806337E-5</v>
      </c>
      <c r="AN79" s="51">
        <v>3.865874195146112E-5</v>
      </c>
      <c r="AO79" s="51">
        <v>3.8736998514115897E-5</v>
      </c>
      <c r="AP79" s="51">
        <v>3.881525507677068E-5</v>
      </c>
      <c r="AQ79" s="51">
        <v>3.8893511639425456E-5</v>
      </c>
      <c r="AR79" s="51">
        <v>3.8971768202080239E-5</v>
      </c>
      <c r="AS79" s="51">
        <v>3.9050024764735016E-5</v>
      </c>
      <c r="AT79" s="51">
        <v>3.9128281327389799E-5</v>
      </c>
      <c r="AU79" s="51">
        <v>3.9206537890044575E-5</v>
      </c>
      <c r="AV79" s="51">
        <v>3.9035528779460066E-5</v>
      </c>
      <c r="AW79" s="51">
        <v>3.8864519668875558E-5</v>
      </c>
      <c r="AX79" s="51">
        <v>3.8693510558291049E-5</v>
      </c>
      <c r="AY79" s="51">
        <v>3.8522501447706541E-5</v>
      </c>
      <c r="AZ79" s="51">
        <v>3.8351492337122032E-5</v>
      </c>
      <c r="BA79" s="51">
        <v>3.8180483226537523E-5</v>
      </c>
      <c r="BB79" s="51">
        <v>3.8009474115953015E-5</v>
      </c>
      <c r="BC79" s="51">
        <v>3.7838465005368506E-5</v>
      </c>
      <c r="BD79" s="51">
        <v>3.7667455894783998E-5</v>
      </c>
      <c r="BE79" s="51">
        <v>3.7496446784199489E-5</v>
      </c>
      <c r="BF79" s="51">
        <v>3.7325437673614981E-5</v>
      </c>
      <c r="BG79" s="51">
        <v>3.7154428563030472E-5</v>
      </c>
      <c r="BH79" s="51">
        <v>3.6983419452445963E-5</v>
      </c>
      <c r="BI79" s="51">
        <v>3.6812410341861455E-5</v>
      </c>
      <c r="BJ79" s="51">
        <v>3.6641401231276946E-5</v>
      </c>
      <c r="BK79" s="51">
        <v>3.6470392120692438E-5</v>
      </c>
      <c r="BL79" s="51">
        <v>3.6299383010107929E-5</v>
      </c>
      <c r="BM79" s="51">
        <v>3.612837389952342E-5</v>
      </c>
      <c r="BN79" s="51">
        <v>3.5957364788938912E-5</v>
      </c>
      <c r="BO79" s="51">
        <v>3.5786355678354403E-5</v>
      </c>
      <c r="BP79" s="51">
        <v>3.5615346567769895E-5</v>
      </c>
      <c r="BQ79" s="51">
        <v>3.5444337457185386E-5</v>
      </c>
      <c r="BR79" s="51">
        <v>3.5273328346600878E-5</v>
      </c>
      <c r="BS79" s="51">
        <v>3.5102319236016369E-5</v>
      </c>
      <c r="BT79" s="51">
        <v>3.5102319236016369E-5</v>
      </c>
      <c r="BU79" s="51">
        <v>3.5102319236016369E-5</v>
      </c>
      <c r="BV79" s="51">
        <v>3.5102319236016369E-5</v>
      </c>
      <c r="BW79" s="51">
        <v>3.5102319236016369E-5</v>
      </c>
      <c r="BX79" s="51">
        <v>3.5102319236016369E-5</v>
      </c>
      <c r="BY79" s="51">
        <v>3.5102319236016369E-5</v>
      </c>
      <c r="BZ79" s="51">
        <v>3.5102319236016369E-5</v>
      </c>
      <c r="CA79" s="51">
        <v>3.5102319236016369E-5</v>
      </c>
      <c r="CB79" s="51">
        <v>3.5102319236016369E-5</v>
      </c>
      <c r="CC79" s="51">
        <v>3.5102319236016369E-5</v>
      </c>
      <c r="CD79" s="51">
        <v>3.5102319236016369E-5</v>
      </c>
      <c r="CE79" s="51">
        <v>3.5102319236016369E-5</v>
      </c>
      <c r="CF79" s="51">
        <v>3.5102319236016369E-5</v>
      </c>
      <c r="CG79" s="51">
        <v>3.5102319236016369E-5</v>
      </c>
      <c r="CH79" s="51">
        <v>3.5102319236016369E-5</v>
      </c>
      <c r="CI79" s="51">
        <v>3.5102319236016369E-5</v>
      </c>
      <c r="CJ79" s="51">
        <v>3.5102319236016369E-5</v>
      </c>
      <c r="CK79" s="51">
        <v>3.5102319236016369E-5</v>
      </c>
      <c r="CL79" s="51">
        <v>3.5102319236016369E-5</v>
      </c>
      <c r="CM79" s="51">
        <v>3.5102319236016369E-5</v>
      </c>
    </row>
    <row r="80" spans="1:91" s="50" customFormat="1" x14ac:dyDescent="0.25">
      <c r="A80" s="50" t="s">
        <v>1</v>
      </c>
      <c r="B80" s="4">
        <v>0</v>
      </c>
      <c r="C80" s="4">
        <v>0</v>
      </c>
      <c r="D80" s="4">
        <v>0</v>
      </c>
      <c r="E80" s="4">
        <v>0</v>
      </c>
      <c r="F80" s="4">
        <v>0</v>
      </c>
      <c r="G80" s="4">
        <v>0</v>
      </c>
      <c r="H80" s="4">
        <v>0</v>
      </c>
      <c r="I80" s="4">
        <v>0</v>
      </c>
      <c r="J80" s="4">
        <v>0</v>
      </c>
      <c r="K80" s="4">
        <v>0</v>
      </c>
      <c r="L80" s="4">
        <v>0</v>
      </c>
      <c r="M80" s="4">
        <v>0</v>
      </c>
      <c r="N80" s="4">
        <v>0</v>
      </c>
      <c r="O80" s="4">
        <v>0</v>
      </c>
      <c r="P80" s="4">
        <v>0</v>
      </c>
      <c r="Q80" s="4">
        <v>0</v>
      </c>
      <c r="R80" s="4">
        <v>0</v>
      </c>
      <c r="S80" s="4">
        <v>0</v>
      </c>
      <c r="T80" s="4">
        <v>0</v>
      </c>
      <c r="U80" s="4">
        <v>0</v>
      </c>
      <c r="V80" s="4">
        <v>0</v>
      </c>
      <c r="W80" s="4">
        <v>0</v>
      </c>
      <c r="X80" s="4">
        <v>0</v>
      </c>
      <c r="Y80" s="4">
        <v>0</v>
      </c>
      <c r="Z80" s="4">
        <v>0</v>
      </c>
      <c r="AA80" s="4">
        <v>0</v>
      </c>
      <c r="AB80" s="4">
        <v>0</v>
      </c>
      <c r="AC80" s="4">
        <v>0</v>
      </c>
      <c r="AD80" s="4">
        <v>0</v>
      </c>
      <c r="AE80" s="4">
        <v>0</v>
      </c>
      <c r="AF80" s="51">
        <v>3.3218424962852898E-5</v>
      </c>
      <c r="AG80" s="51">
        <v>3.3286775631500744E-5</v>
      </c>
      <c r="AH80" s="51">
        <v>3.3355126300148591E-5</v>
      </c>
      <c r="AI80" s="51">
        <v>3.3423476968796431E-5</v>
      </c>
      <c r="AJ80" s="51">
        <v>3.3491827637444278E-5</v>
      </c>
      <c r="AK80" s="51">
        <v>3.3560178306092124E-5</v>
      </c>
      <c r="AL80" s="51">
        <v>3.3628528974739971E-5</v>
      </c>
      <c r="AM80" s="51">
        <v>3.3696879643387817E-5</v>
      </c>
      <c r="AN80" s="51">
        <v>3.3765230312035657E-5</v>
      </c>
      <c r="AO80" s="51">
        <v>3.3833580980683504E-5</v>
      </c>
      <c r="AP80" s="51">
        <v>3.3901931649331351E-5</v>
      </c>
      <c r="AQ80" s="51">
        <v>3.3970282317979197E-5</v>
      </c>
      <c r="AR80" s="51">
        <v>3.4038632986627044E-5</v>
      </c>
      <c r="AS80" s="51">
        <v>3.4106983655274884E-5</v>
      </c>
      <c r="AT80" s="51">
        <v>3.417533432392273E-5</v>
      </c>
      <c r="AU80" s="51">
        <v>3.4243684992570577E-5</v>
      </c>
      <c r="AV80" s="51">
        <v>3.4317205848666858E-5</v>
      </c>
      <c r="AW80" s="51">
        <v>3.4390726704763139E-5</v>
      </c>
      <c r="AX80" s="51">
        <v>3.446424756085942E-5</v>
      </c>
      <c r="AY80" s="51">
        <v>3.4537768416955701E-5</v>
      </c>
      <c r="AZ80" s="51">
        <v>3.4611289273051982E-5</v>
      </c>
      <c r="BA80" s="51">
        <v>3.4684810129148263E-5</v>
      </c>
      <c r="BB80" s="51">
        <v>3.4758330985244537E-5</v>
      </c>
      <c r="BC80" s="51">
        <v>3.4831851841340818E-5</v>
      </c>
      <c r="BD80" s="51">
        <v>3.4905372697437099E-5</v>
      </c>
      <c r="BE80" s="51">
        <v>3.497889355353338E-5</v>
      </c>
      <c r="BF80" s="51">
        <v>3.5052414409629662E-5</v>
      </c>
      <c r="BG80" s="51">
        <v>3.5125935265725943E-5</v>
      </c>
      <c r="BH80" s="51">
        <v>3.5199456121822224E-5</v>
      </c>
      <c r="BI80" s="51">
        <v>3.5272976977918505E-5</v>
      </c>
      <c r="BJ80" s="51">
        <v>3.5346497834014786E-5</v>
      </c>
      <c r="BK80" s="51">
        <v>3.5420018690111067E-5</v>
      </c>
      <c r="BL80" s="51">
        <v>3.5493539546207348E-5</v>
      </c>
      <c r="BM80" s="51">
        <v>3.5567060402303622E-5</v>
      </c>
      <c r="BN80" s="51">
        <v>3.5640581258399903E-5</v>
      </c>
      <c r="BO80" s="51">
        <v>3.5714102114496184E-5</v>
      </c>
      <c r="BP80" s="51">
        <v>3.5787622970592465E-5</v>
      </c>
      <c r="BQ80" s="51">
        <v>3.5861143826688746E-5</v>
      </c>
      <c r="BR80" s="51">
        <v>3.5934664682785027E-5</v>
      </c>
      <c r="BS80" s="51">
        <v>3.6008185538881308E-5</v>
      </c>
      <c r="BT80" s="51">
        <v>3.6008185538881308E-5</v>
      </c>
      <c r="BU80" s="51">
        <v>3.6008185538881308E-5</v>
      </c>
      <c r="BV80" s="51">
        <v>3.6008185538881308E-5</v>
      </c>
      <c r="BW80" s="51">
        <v>3.6008185538881308E-5</v>
      </c>
      <c r="BX80" s="51">
        <v>3.6008185538881308E-5</v>
      </c>
      <c r="BY80" s="51">
        <v>3.6008185538881308E-5</v>
      </c>
      <c r="BZ80" s="51">
        <v>3.6008185538881308E-5</v>
      </c>
      <c r="CA80" s="51">
        <v>3.6008185538881308E-5</v>
      </c>
      <c r="CB80" s="51">
        <v>3.6008185538881308E-5</v>
      </c>
      <c r="CC80" s="51">
        <v>3.6008185538881308E-5</v>
      </c>
      <c r="CD80" s="51">
        <v>3.6008185538881308E-5</v>
      </c>
      <c r="CE80" s="51">
        <v>3.6008185538881308E-5</v>
      </c>
      <c r="CF80" s="51">
        <v>3.6008185538881308E-5</v>
      </c>
      <c r="CG80" s="51">
        <v>3.6008185538881308E-5</v>
      </c>
      <c r="CH80" s="51">
        <v>3.6008185538881308E-5</v>
      </c>
      <c r="CI80" s="51">
        <v>3.6008185538881308E-5</v>
      </c>
      <c r="CJ80" s="51">
        <v>3.6008185538881308E-5</v>
      </c>
      <c r="CK80" s="51">
        <v>3.6008185538881308E-5</v>
      </c>
      <c r="CL80" s="51">
        <v>3.6008185538881308E-5</v>
      </c>
      <c r="CM80" s="51">
        <v>3.6008185538881308E-5</v>
      </c>
    </row>
    <row r="81" spans="1:91" s="50" customFormat="1" x14ac:dyDescent="0.25">
      <c r="A81" s="50" t="s">
        <v>1</v>
      </c>
      <c r="B81" s="4">
        <v>0</v>
      </c>
      <c r="C81" s="4">
        <v>0</v>
      </c>
      <c r="D81" s="4">
        <v>0</v>
      </c>
      <c r="E81" s="4">
        <v>0</v>
      </c>
      <c r="F81" s="4">
        <v>0</v>
      </c>
      <c r="G81" s="4">
        <v>0</v>
      </c>
      <c r="H81" s="4">
        <v>0</v>
      </c>
      <c r="I81" s="4">
        <v>0</v>
      </c>
      <c r="J81" s="4">
        <v>0</v>
      </c>
      <c r="K81" s="4">
        <v>0</v>
      </c>
      <c r="L81" s="4">
        <v>0</v>
      </c>
      <c r="M81" s="4">
        <v>0</v>
      </c>
      <c r="N81" s="4">
        <v>0</v>
      </c>
      <c r="O81" s="4">
        <v>0</v>
      </c>
      <c r="P81" s="4">
        <v>0</v>
      </c>
      <c r="Q81" s="4">
        <v>0</v>
      </c>
      <c r="R81" s="4">
        <v>0</v>
      </c>
      <c r="S81" s="4">
        <v>0</v>
      </c>
      <c r="T81" s="4">
        <v>0</v>
      </c>
      <c r="U81" s="4">
        <v>0</v>
      </c>
      <c r="V81" s="4">
        <v>0</v>
      </c>
      <c r="W81" s="4">
        <v>0</v>
      </c>
      <c r="X81" s="4">
        <v>0</v>
      </c>
      <c r="Y81" s="4">
        <v>0</v>
      </c>
      <c r="Z81" s="4">
        <v>0</v>
      </c>
      <c r="AA81" s="4">
        <v>0</v>
      </c>
      <c r="AB81" s="4">
        <v>0</v>
      </c>
      <c r="AC81" s="4">
        <v>0</v>
      </c>
      <c r="AD81" s="4">
        <v>0</v>
      </c>
      <c r="AE81" s="4">
        <v>0</v>
      </c>
      <c r="AF81" s="51">
        <v>1.5999999999999999E-5</v>
      </c>
      <c r="AG81" s="51">
        <v>1.6200000000000001E-5</v>
      </c>
      <c r="AH81" s="51">
        <v>1.6399999999999999E-5</v>
      </c>
      <c r="AI81" s="51">
        <v>1.66E-5</v>
      </c>
      <c r="AJ81" s="51">
        <v>1.6799999999999998E-5</v>
      </c>
      <c r="AK81" s="51">
        <v>1.7E-5</v>
      </c>
      <c r="AL81" s="51">
        <v>1.7200000000000001E-5</v>
      </c>
      <c r="AM81" s="51">
        <v>1.7399999999999999E-5</v>
      </c>
      <c r="AN81" s="51">
        <v>1.7600000000000001E-5</v>
      </c>
      <c r="AO81" s="51">
        <v>1.7799999999999999E-5</v>
      </c>
      <c r="AP81" s="51">
        <v>1.8E-5</v>
      </c>
      <c r="AQ81" s="51">
        <v>1.8200000000000002E-5</v>
      </c>
      <c r="AR81" s="51">
        <v>1.84E-5</v>
      </c>
      <c r="AS81" s="51">
        <v>1.8600000000000001E-5</v>
      </c>
      <c r="AT81" s="51">
        <v>1.88E-5</v>
      </c>
      <c r="AU81" s="51">
        <v>1.9000000000000001E-5</v>
      </c>
      <c r="AV81" s="51">
        <v>1.9041666666666668E-5</v>
      </c>
      <c r="AW81" s="51">
        <v>1.9083333333333334E-5</v>
      </c>
      <c r="AX81" s="51">
        <v>1.9125000000000001E-5</v>
      </c>
      <c r="AY81" s="51">
        <v>1.9166666666666667E-5</v>
      </c>
      <c r="AZ81" s="51">
        <v>1.9208333333333334E-5</v>
      </c>
      <c r="BA81" s="51">
        <v>1.925E-5</v>
      </c>
      <c r="BB81" s="51">
        <v>1.9291666666666667E-5</v>
      </c>
      <c r="BC81" s="51">
        <v>1.9333333333333333E-5</v>
      </c>
      <c r="BD81" s="51">
        <v>1.9375E-5</v>
      </c>
      <c r="BE81" s="51">
        <v>1.9416666666666667E-5</v>
      </c>
      <c r="BF81" s="51">
        <v>1.9458333333333333E-5</v>
      </c>
      <c r="BG81" s="51">
        <v>1.95E-5</v>
      </c>
      <c r="BH81" s="51">
        <v>1.954166666666667E-5</v>
      </c>
      <c r="BI81" s="51">
        <v>1.9583333333333336E-5</v>
      </c>
      <c r="BJ81" s="51">
        <v>1.9625000000000003E-5</v>
      </c>
      <c r="BK81" s="51">
        <v>1.9666666666666669E-5</v>
      </c>
      <c r="BL81" s="51">
        <v>1.9708333333333336E-5</v>
      </c>
      <c r="BM81" s="51">
        <v>1.9750000000000002E-5</v>
      </c>
      <c r="BN81" s="51">
        <v>1.9791666666666669E-5</v>
      </c>
      <c r="BO81" s="51">
        <v>1.9833333333333335E-5</v>
      </c>
      <c r="BP81" s="51">
        <v>1.9875000000000002E-5</v>
      </c>
      <c r="BQ81" s="51">
        <v>1.9916666666666669E-5</v>
      </c>
      <c r="BR81" s="51">
        <v>1.9958333333333335E-5</v>
      </c>
      <c r="BS81" s="51">
        <v>2.0000000000000002E-5</v>
      </c>
      <c r="BT81" s="51">
        <v>2.0050000000000003E-5</v>
      </c>
      <c r="BU81" s="51">
        <v>2.0100000000000001E-5</v>
      </c>
      <c r="BV81" s="51">
        <v>2.0150000000000002E-5</v>
      </c>
      <c r="BW81" s="51">
        <v>2.02E-5</v>
      </c>
      <c r="BX81" s="51">
        <v>2.0250000000000001E-5</v>
      </c>
      <c r="BY81" s="51">
        <v>2.0300000000000002E-5</v>
      </c>
      <c r="BZ81" s="51">
        <v>2.035E-5</v>
      </c>
      <c r="CA81" s="51">
        <v>2.0400000000000001E-5</v>
      </c>
      <c r="CB81" s="51">
        <v>2.0449999999999999E-5</v>
      </c>
      <c r="CC81" s="51">
        <v>2.05E-5</v>
      </c>
      <c r="CD81" s="51">
        <v>2.0550000000000001E-5</v>
      </c>
      <c r="CE81" s="51">
        <v>2.0599999999999999E-5</v>
      </c>
      <c r="CF81" s="51">
        <v>2.065E-5</v>
      </c>
      <c r="CG81" s="51">
        <v>2.0699999999999998E-5</v>
      </c>
      <c r="CH81" s="51">
        <v>2.075E-5</v>
      </c>
      <c r="CI81" s="51">
        <v>2.0800000000000001E-5</v>
      </c>
      <c r="CJ81" s="51">
        <v>2.0849999999999999E-5</v>
      </c>
      <c r="CK81" s="51">
        <v>2.09E-5</v>
      </c>
      <c r="CL81" s="51">
        <v>2.0949999999999998E-5</v>
      </c>
      <c r="CM81" s="51">
        <v>2.0999999999999999E-5</v>
      </c>
    </row>
    <row r="82" spans="1:91" s="50" customFormat="1" x14ac:dyDescent="0.25">
      <c r="A82" s="50" t="s">
        <v>1</v>
      </c>
      <c r="B82" s="4">
        <v>0</v>
      </c>
      <c r="C82" s="4">
        <v>0</v>
      </c>
      <c r="D82" s="4">
        <v>0</v>
      </c>
      <c r="E82" s="4">
        <v>0</v>
      </c>
      <c r="F82" s="4">
        <v>0</v>
      </c>
      <c r="G82" s="4">
        <v>0</v>
      </c>
      <c r="H82" s="4">
        <v>0</v>
      </c>
      <c r="I82" s="4">
        <v>0</v>
      </c>
      <c r="J82" s="4">
        <v>0</v>
      </c>
      <c r="K82" s="4">
        <v>0</v>
      </c>
      <c r="L82" s="4">
        <v>0</v>
      </c>
      <c r="M82" s="4">
        <v>0</v>
      </c>
      <c r="N82" s="4">
        <v>0</v>
      </c>
      <c r="O82" s="4">
        <v>0</v>
      </c>
      <c r="P82" s="4">
        <v>0</v>
      </c>
      <c r="Q82" s="4">
        <v>0</v>
      </c>
      <c r="R82" s="4">
        <v>0</v>
      </c>
      <c r="S82" s="4">
        <v>0</v>
      </c>
      <c r="T82" s="4">
        <v>0</v>
      </c>
      <c r="U82" s="4">
        <v>0</v>
      </c>
      <c r="V82" s="4">
        <v>0</v>
      </c>
      <c r="W82" s="4">
        <v>0</v>
      </c>
      <c r="X82" s="4">
        <v>0</v>
      </c>
      <c r="Y82" s="4">
        <v>0</v>
      </c>
      <c r="Z82" s="4">
        <v>0</v>
      </c>
      <c r="AA82" s="4">
        <v>0</v>
      </c>
      <c r="AB82" s="4">
        <v>0</v>
      </c>
      <c r="AC82" s="4">
        <v>0</v>
      </c>
      <c r="AD82" s="4">
        <v>0</v>
      </c>
      <c r="AE82" s="4">
        <v>0</v>
      </c>
      <c r="AF82" s="51">
        <v>3.6000000000000001E-5</v>
      </c>
      <c r="AG82" s="51">
        <v>3.5866666666666667E-5</v>
      </c>
      <c r="AH82" s="51">
        <v>3.5733333333333332E-5</v>
      </c>
      <c r="AI82" s="51">
        <v>3.5599999999999998E-5</v>
      </c>
      <c r="AJ82" s="51">
        <v>3.546666666666667E-5</v>
      </c>
      <c r="AK82" s="51">
        <v>3.5333333333333336E-5</v>
      </c>
      <c r="AL82" s="51">
        <v>3.5200000000000002E-5</v>
      </c>
      <c r="AM82" s="51">
        <v>3.5066666666666667E-5</v>
      </c>
      <c r="AN82" s="51">
        <v>3.4933333333333333E-5</v>
      </c>
      <c r="AO82" s="51">
        <v>3.4799999999999999E-5</v>
      </c>
      <c r="AP82" s="51">
        <v>3.4666666666666665E-5</v>
      </c>
      <c r="AQ82" s="51">
        <v>3.453333333333333E-5</v>
      </c>
      <c r="AR82" s="51">
        <v>3.4400000000000003E-5</v>
      </c>
      <c r="AS82" s="51">
        <v>3.4266666666666668E-5</v>
      </c>
      <c r="AT82" s="51">
        <v>3.4133333333333334E-5</v>
      </c>
      <c r="AU82" s="51">
        <v>3.4E-5</v>
      </c>
      <c r="AV82" s="51">
        <v>3.3958333333333337E-5</v>
      </c>
      <c r="AW82" s="51">
        <v>3.3916666666666667E-5</v>
      </c>
      <c r="AX82" s="51">
        <v>3.3874999999999997E-5</v>
      </c>
      <c r="AY82" s="51">
        <v>3.3833333333333334E-5</v>
      </c>
      <c r="AZ82" s="51">
        <v>3.379166666666667E-5</v>
      </c>
      <c r="BA82" s="51">
        <v>3.375E-5</v>
      </c>
      <c r="BB82" s="51">
        <v>3.370833333333333E-5</v>
      </c>
      <c r="BC82" s="51">
        <v>3.3666666666666667E-5</v>
      </c>
      <c r="BD82" s="51">
        <v>3.3625000000000004E-5</v>
      </c>
      <c r="BE82" s="51">
        <v>3.3583333333333334E-5</v>
      </c>
      <c r="BF82" s="51">
        <v>3.3541666666666664E-5</v>
      </c>
      <c r="BG82" s="51">
        <v>3.3500000000000001E-5</v>
      </c>
      <c r="BH82" s="51">
        <v>3.3458333333333338E-5</v>
      </c>
      <c r="BI82" s="51">
        <v>3.3416666666666668E-5</v>
      </c>
      <c r="BJ82" s="51">
        <v>3.3374999999999998E-5</v>
      </c>
      <c r="BK82" s="51">
        <v>3.3333333333333335E-5</v>
      </c>
      <c r="BL82" s="51">
        <v>3.3291666666666672E-5</v>
      </c>
      <c r="BM82" s="51">
        <v>3.3250000000000002E-5</v>
      </c>
      <c r="BN82" s="51">
        <v>3.3208333333333332E-5</v>
      </c>
      <c r="BO82" s="51">
        <v>3.3166666666666669E-5</v>
      </c>
      <c r="BP82" s="51">
        <v>3.3125000000000006E-5</v>
      </c>
      <c r="BQ82" s="51">
        <v>3.3083333333333336E-5</v>
      </c>
      <c r="BR82" s="51">
        <v>3.3041666666666666E-5</v>
      </c>
      <c r="BS82" s="51">
        <v>3.3000000000000003E-5</v>
      </c>
      <c r="BT82" s="51">
        <v>3.3000000000000003E-5</v>
      </c>
      <c r="BU82" s="51">
        <v>3.3000000000000003E-5</v>
      </c>
      <c r="BV82" s="51">
        <v>3.3000000000000003E-5</v>
      </c>
      <c r="BW82" s="51">
        <v>3.3000000000000003E-5</v>
      </c>
      <c r="BX82" s="51">
        <v>3.3000000000000003E-5</v>
      </c>
      <c r="BY82" s="51">
        <v>3.3000000000000003E-5</v>
      </c>
      <c r="BZ82" s="51">
        <v>3.3000000000000003E-5</v>
      </c>
      <c r="CA82" s="51">
        <v>3.3000000000000003E-5</v>
      </c>
      <c r="CB82" s="51">
        <v>3.3000000000000003E-5</v>
      </c>
      <c r="CC82" s="51">
        <v>3.3000000000000003E-5</v>
      </c>
      <c r="CD82" s="51">
        <v>3.3000000000000003E-5</v>
      </c>
      <c r="CE82" s="51">
        <v>3.3000000000000003E-5</v>
      </c>
      <c r="CF82" s="51">
        <v>3.3000000000000003E-5</v>
      </c>
      <c r="CG82" s="51">
        <v>3.3000000000000003E-5</v>
      </c>
      <c r="CH82" s="51">
        <v>3.3000000000000003E-5</v>
      </c>
      <c r="CI82" s="51">
        <v>3.3000000000000003E-5</v>
      </c>
      <c r="CJ82" s="51">
        <v>3.3000000000000003E-5</v>
      </c>
      <c r="CK82" s="51">
        <v>3.3000000000000003E-5</v>
      </c>
      <c r="CL82" s="51">
        <v>3.3000000000000003E-5</v>
      </c>
      <c r="CM82" s="51">
        <v>3.3000000000000003E-5</v>
      </c>
    </row>
    <row r="83" spans="1:91" s="50" customFormat="1" x14ac:dyDescent="0.25">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spans="1:91" s="50" customFormat="1" x14ac:dyDescent="0.25">
      <c r="A84" s="50" t="s">
        <v>209</v>
      </c>
      <c r="B84" s="4">
        <v>0</v>
      </c>
      <c r="C84" s="4">
        <v>0</v>
      </c>
      <c r="D84" s="4">
        <v>0</v>
      </c>
      <c r="E84" s="4">
        <v>0</v>
      </c>
      <c r="F84" s="4">
        <v>0</v>
      </c>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c r="Z84" s="4">
        <v>0</v>
      </c>
      <c r="AA84" s="4">
        <v>0</v>
      </c>
      <c r="AB84" s="4">
        <v>0</v>
      </c>
      <c r="AC84" s="4">
        <v>0</v>
      </c>
      <c r="AD84" s="4">
        <v>0</v>
      </c>
      <c r="AE84" s="4">
        <v>0</v>
      </c>
      <c r="AF84" s="51">
        <v>8.0900000000000001E-5</v>
      </c>
      <c r="AG84" s="51">
        <v>8.0833333333333338E-5</v>
      </c>
      <c r="AH84" s="51">
        <v>8.0766666666666674E-5</v>
      </c>
      <c r="AI84" s="51">
        <v>8.0699999999999996E-5</v>
      </c>
      <c r="AJ84" s="51">
        <v>8.0633333333333333E-5</v>
      </c>
      <c r="AK84" s="51">
        <v>8.0566666666666669E-5</v>
      </c>
      <c r="AL84" s="51">
        <v>8.0500000000000005E-5</v>
      </c>
      <c r="AM84" s="51">
        <v>8.0433333333333341E-5</v>
      </c>
      <c r="AN84" s="51">
        <v>8.0366666666666664E-5</v>
      </c>
      <c r="AO84" s="51">
        <v>8.03E-5</v>
      </c>
      <c r="AP84" s="51">
        <v>8.0233333333333337E-5</v>
      </c>
      <c r="AQ84" s="51">
        <v>8.0166666666666673E-5</v>
      </c>
      <c r="AR84" s="51">
        <v>8.0100000000000009E-5</v>
      </c>
      <c r="AS84" s="51">
        <v>8.0033333333333332E-5</v>
      </c>
      <c r="AT84" s="51">
        <v>7.9966666666666668E-5</v>
      </c>
      <c r="AU84" s="51">
        <v>7.9900000000000004E-5</v>
      </c>
      <c r="AV84" s="51">
        <v>7.9790909090909099E-5</v>
      </c>
      <c r="AW84" s="51">
        <v>7.9681818181818179E-5</v>
      </c>
      <c r="AX84" s="51">
        <v>7.9572727272727274E-5</v>
      </c>
      <c r="AY84" s="51">
        <v>7.9463636363636368E-5</v>
      </c>
      <c r="AZ84" s="51">
        <v>7.9354545454545463E-5</v>
      </c>
      <c r="BA84" s="51">
        <v>7.9245454545454544E-5</v>
      </c>
      <c r="BB84" s="51">
        <v>7.9136363636363638E-5</v>
      </c>
      <c r="BC84" s="51">
        <v>7.9027272727272732E-5</v>
      </c>
      <c r="BD84" s="51">
        <v>7.8918181818181827E-5</v>
      </c>
      <c r="BE84" s="51">
        <v>7.8809090909090908E-5</v>
      </c>
      <c r="BF84" s="51">
        <v>7.8700000000000002E-5</v>
      </c>
      <c r="BG84" s="51">
        <v>7.8590909090909096E-5</v>
      </c>
      <c r="BH84" s="51">
        <v>7.8481818181818177E-5</v>
      </c>
      <c r="BI84" s="51">
        <v>7.8372727272727272E-5</v>
      </c>
      <c r="BJ84" s="51">
        <v>7.8263636363636366E-5</v>
      </c>
      <c r="BK84" s="51">
        <v>7.8154545454545461E-5</v>
      </c>
      <c r="BL84" s="51">
        <v>7.8045454545454541E-5</v>
      </c>
      <c r="BM84" s="51">
        <v>7.7936363636363636E-5</v>
      </c>
      <c r="BN84" s="51">
        <v>7.782727272727273E-5</v>
      </c>
      <c r="BO84" s="51">
        <v>7.7718181818181825E-5</v>
      </c>
      <c r="BP84" s="51">
        <v>7.7609090909090906E-5</v>
      </c>
      <c r="BQ84" s="51">
        <v>7.75E-5</v>
      </c>
      <c r="BR84" s="51">
        <v>7.7390909090909094E-5</v>
      </c>
      <c r="BS84" s="51">
        <v>7.6000000000000004E-5</v>
      </c>
      <c r="BT84" s="51">
        <v>7.5955E-5</v>
      </c>
      <c r="BU84" s="51">
        <v>7.5909999999999997E-5</v>
      </c>
      <c r="BV84" s="51">
        <v>7.5865000000000006E-5</v>
      </c>
      <c r="BW84" s="51">
        <v>7.5820000000000003E-5</v>
      </c>
      <c r="BX84" s="51">
        <v>7.5774999999999999E-5</v>
      </c>
      <c r="BY84" s="51">
        <v>7.5730000000000008E-5</v>
      </c>
      <c r="BZ84" s="51">
        <v>7.5685000000000005E-5</v>
      </c>
      <c r="CA84" s="51">
        <v>7.5640000000000001E-5</v>
      </c>
      <c r="CB84" s="51">
        <v>7.5594999999999997E-5</v>
      </c>
      <c r="CC84" s="51">
        <v>7.5549999999999993E-5</v>
      </c>
      <c r="CD84" s="51">
        <v>7.5505000000000003E-5</v>
      </c>
      <c r="CE84" s="51">
        <v>7.5459999999999999E-5</v>
      </c>
      <c r="CF84" s="51">
        <v>7.5414999999999995E-5</v>
      </c>
      <c r="CG84" s="51">
        <v>7.5370000000000005E-5</v>
      </c>
      <c r="CH84" s="51">
        <v>7.5325000000000001E-5</v>
      </c>
      <c r="CI84" s="51">
        <v>7.5279999999999998E-5</v>
      </c>
      <c r="CJ84" s="51">
        <v>7.5234999999999994E-5</v>
      </c>
      <c r="CK84" s="51">
        <v>7.518999999999999E-5</v>
      </c>
      <c r="CL84" s="51">
        <v>7.5145E-5</v>
      </c>
      <c r="CM84" s="51">
        <v>7.5099999999999996E-5</v>
      </c>
    </row>
    <row r="85" spans="1:91" s="50" customFormat="1" x14ac:dyDescent="0.2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spans="1:91" s="50" customFormat="1" x14ac:dyDescent="0.25">
      <c r="A86" s="50" t="s">
        <v>210</v>
      </c>
      <c r="B86" s="4">
        <v>0</v>
      </c>
      <c r="C86" s="4">
        <v>0</v>
      </c>
      <c r="D86" s="4">
        <v>0</v>
      </c>
      <c r="E86" s="4">
        <v>0</v>
      </c>
      <c r="F86" s="4">
        <v>0</v>
      </c>
      <c r="G86" s="4">
        <v>0</v>
      </c>
      <c r="H86" s="4">
        <v>0</v>
      </c>
      <c r="I86" s="4">
        <v>0</v>
      </c>
      <c r="J86" s="4">
        <v>0</v>
      </c>
      <c r="K86" s="4">
        <v>0</v>
      </c>
      <c r="L86" s="4">
        <v>0</v>
      </c>
      <c r="M86" s="4">
        <v>0</v>
      </c>
      <c r="N86" s="4">
        <v>0</v>
      </c>
      <c r="O86" s="4">
        <v>0</v>
      </c>
      <c r="P86" s="4">
        <v>0</v>
      </c>
      <c r="Q86" s="4">
        <v>0</v>
      </c>
      <c r="R86" s="4">
        <v>0</v>
      </c>
      <c r="S86" s="4">
        <v>0</v>
      </c>
      <c r="T86" s="4">
        <v>0</v>
      </c>
      <c r="U86" s="4">
        <v>0</v>
      </c>
      <c r="V86" s="4">
        <v>0</v>
      </c>
      <c r="W86" s="4">
        <v>0</v>
      </c>
      <c r="X86" s="4">
        <v>0</v>
      </c>
      <c r="Y86" s="4">
        <v>0</v>
      </c>
      <c r="Z86" s="4">
        <v>0</v>
      </c>
      <c r="AA86" s="4">
        <v>0</v>
      </c>
      <c r="AB86" s="4">
        <v>0</v>
      </c>
      <c r="AC86" s="4">
        <v>0</v>
      </c>
      <c r="AD86" s="4">
        <v>0</v>
      </c>
      <c r="AE86" s="4">
        <v>0</v>
      </c>
      <c r="AF86" s="51">
        <v>2.6047124150016419E-5</v>
      </c>
      <c r="AG86" s="51">
        <v>2.5931820509822103E-5</v>
      </c>
      <c r="AH86" s="51">
        <v>2.5817027287951345E-5</v>
      </c>
      <c r="AI86" s="51">
        <v>2.5702742224918969E-5</v>
      </c>
      <c r="AJ86" s="51">
        <v>2.5588963071241946E-5</v>
      </c>
      <c r="AK86" s="51">
        <v>2.5475687587395098E-5</v>
      </c>
      <c r="AL86" s="51">
        <v>2.5362913543767027E-5</v>
      </c>
      <c r="AM86" s="51">
        <v>2.5250638720616227E-5</v>
      </c>
      <c r="AN86" s="51">
        <v>2.5138860908027395E-5</v>
      </c>
      <c r="AO86" s="51">
        <v>2.5027577905867931E-5</v>
      </c>
      <c r="AP86" s="51">
        <v>2.4916787523744632E-5</v>
      </c>
      <c r="AQ86" s="51">
        <v>2.4806487580960574E-5</v>
      </c>
      <c r="AR86" s="51">
        <v>2.4696675906472202E-5</v>
      </c>
      <c r="AS86" s="51">
        <v>2.4587350338846587E-5</v>
      </c>
      <c r="AT86" s="51">
        <v>2.4478508726218878E-5</v>
      </c>
      <c r="AU86" s="51">
        <v>2.4370148926249962E-5</v>
      </c>
      <c r="AV86" s="51">
        <v>2.4378852289661097E-5</v>
      </c>
      <c r="AW86" s="51">
        <v>2.438755876132302E-5</v>
      </c>
      <c r="AX86" s="51">
        <v>2.4396268342345792E-5</v>
      </c>
      <c r="AY86" s="51">
        <v>2.4404981033839863E-5</v>
      </c>
      <c r="AZ86" s="51">
        <v>2.4413696836916083E-5</v>
      </c>
      <c r="BA86" s="51">
        <v>2.4422415752685697E-5</v>
      </c>
      <c r="BB86" s="51">
        <v>2.443113778226035E-5</v>
      </c>
      <c r="BC86" s="51">
        <v>2.4439862926752079E-5</v>
      </c>
      <c r="BD86" s="51">
        <v>2.4448591187273323E-5</v>
      </c>
      <c r="BE86" s="51">
        <v>2.4457322564936916E-5</v>
      </c>
      <c r="BF86" s="51">
        <v>2.4466057060856087E-5</v>
      </c>
      <c r="BG86" s="51">
        <v>2.4474794676144469E-5</v>
      </c>
      <c r="BH86" s="51">
        <v>2.4483535411916089E-5</v>
      </c>
      <c r="BI86" s="51">
        <v>2.4492279269285369E-5</v>
      </c>
      <c r="BJ86" s="51">
        <v>2.4501026249367136E-5</v>
      </c>
      <c r="BK86" s="51">
        <v>2.4509776353276607E-5</v>
      </c>
      <c r="BL86" s="51">
        <v>2.4518529582129402E-5</v>
      </c>
      <c r="BM86" s="51">
        <v>2.4527285937041538E-5</v>
      </c>
      <c r="BN86" s="51">
        <v>2.4536045419129436E-5</v>
      </c>
      <c r="BO86" s="51">
        <v>2.4544808029509907E-5</v>
      </c>
      <c r="BP86" s="51">
        <v>2.4553573769300165E-5</v>
      </c>
      <c r="BQ86" s="51">
        <v>2.4562342639617823E-5</v>
      </c>
      <c r="BR86" s="51">
        <v>2.4571114641580892E-5</v>
      </c>
      <c r="BS86" s="51">
        <v>2.4579889776307785E-5</v>
      </c>
      <c r="BT86" s="51">
        <v>2.4588668044917313E-5</v>
      </c>
      <c r="BU86" s="51">
        <v>2.4597449448528686E-5</v>
      </c>
      <c r="BV86" s="51">
        <v>2.460623398826151E-5</v>
      </c>
      <c r="BW86" s="51">
        <v>2.4615021665235799E-5</v>
      </c>
      <c r="BX86" s="51">
        <v>2.4623812480571962E-5</v>
      </c>
      <c r="BY86" s="51">
        <v>2.463260643539081E-5</v>
      </c>
      <c r="BZ86" s="51">
        <v>2.4641403530813551E-5</v>
      </c>
      <c r="CA86" s="51">
        <v>2.4650203767961796E-5</v>
      </c>
      <c r="CB86" s="51">
        <v>2.4659007147957558E-5</v>
      </c>
      <c r="CC86" s="51">
        <v>2.4667813671923248E-5</v>
      </c>
      <c r="CD86" s="51">
        <v>2.4676623340981674E-5</v>
      </c>
      <c r="CE86" s="51">
        <v>2.4685436156256055E-5</v>
      </c>
      <c r="CF86" s="51">
        <v>2.4694252118870006E-5</v>
      </c>
      <c r="CG86" s="51">
        <v>2.4703071229947542E-5</v>
      </c>
      <c r="CH86" s="51">
        <v>2.4711893490613081E-5</v>
      </c>
      <c r="CI86" s="51">
        <v>2.4720718901991441E-5</v>
      </c>
      <c r="CJ86" s="51">
        <v>2.4729547465207841E-5</v>
      </c>
      <c r="CK86" s="51">
        <v>2.4738379181387907E-5</v>
      </c>
      <c r="CL86" s="51">
        <v>2.4747214051657664E-5</v>
      </c>
      <c r="CM86" s="51">
        <v>2.4756052077143536E-5</v>
      </c>
    </row>
    <row r="87" spans="1:91" s="50" customFormat="1" x14ac:dyDescent="0.25">
      <c r="A87" s="50" t="s">
        <v>1</v>
      </c>
      <c r="B87" s="4">
        <v>0</v>
      </c>
      <c r="C87" s="4">
        <v>0</v>
      </c>
      <c r="D87" s="4">
        <v>0</v>
      </c>
      <c r="E87" s="4">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c r="X87" s="4">
        <v>0</v>
      </c>
      <c r="Y87" s="4">
        <v>0</v>
      </c>
      <c r="Z87" s="4">
        <v>0</v>
      </c>
      <c r="AA87" s="4">
        <v>0</v>
      </c>
      <c r="AB87" s="4">
        <v>0</v>
      </c>
      <c r="AC87" s="4">
        <v>0</v>
      </c>
      <c r="AD87" s="4">
        <v>0</v>
      </c>
      <c r="AE87" s="4">
        <v>0</v>
      </c>
      <c r="AF87" s="51">
        <v>2.0100000000000001E-4</v>
      </c>
      <c r="AG87" s="51">
        <v>2.0106666666666668E-4</v>
      </c>
      <c r="AH87" s="51">
        <v>2.0113333333333333E-4</v>
      </c>
      <c r="AI87" s="51">
        <v>2.0120000000000001E-4</v>
      </c>
      <c r="AJ87" s="51">
        <v>2.0126666666666666E-4</v>
      </c>
      <c r="AK87" s="51">
        <v>2.0133333333333334E-4</v>
      </c>
      <c r="AL87" s="51">
        <v>2.0140000000000002E-4</v>
      </c>
      <c r="AM87" s="51">
        <v>2.0146666666666667E-4</v>
      </c>
      <c r="AN87" s="51">
        <v>2.0153333333333334E-4</v>
      </c>
      <c r="AO87" s="51">
        <v>2.0159999999999999E-4</v>
      </c>
      <c r="AP87" s="51">
        <v>2.0166666666666667E-4</v>
      </c>
      <c r="AQ87" s="51">
        <v>2.0173333333333335E-4</v>
      </c>
      <c r="AR87" s="51">
        <v>2.018E-4</v>
      </c>
      <c r="AS87" s="51">
        <v>2.0186666666666668E-4</v>
      </c>
      <c r="AT87" s="51">
        <v>2.0193333333333333E-4</v>
      </c>
      <c r="AU87" s="51">
        <v>2.02E-4</v>
      </c>
      <c r="AV87" s="51">
        <v>2.0254166666666668E-4</v>
      </c>
      <c r="AW87" s="51">
        <v>2.0308333333333333E-4</v>
      </c>
      <c r="AX87" s="51">
        <v>2.03625E-4</v>
      </c>
      <c r="AY87" s="51">
        <v>2.0416666666666668E-4</v>
      </c>
      <c r="AZ87" s="51">
        <v>2.0470833333333333E-4</v>
      </c>
      <c r="BA87" s="51">
        <v>2.0525E-4</v>
      </c>
      <c r="BB87" s="51">
        <v>2.0579166666666668E-4</v>
      </c>
      <c r="BC87" s="51">
        <v>2.0633333333333333E-4</v>
      </c>
      <c r="BD87" s="51">
        <v>2.06875E-4</v>
      </c>
      <c r="BE87" s="51">
        <v>2.0741666666666668E-4</v>
      </c>
      <c r="BF87" s="51">
        <v>2.0795833333333332E-4</v>
      </c>
      <c r="BG87" s="51">
        <v>2.085E-4</v>
      </c>
      <c r="BH87" s="51">
        <v>2.0904166666666667E-4</v>
      </c>
      <c r="BI87" s="51">
        <v>2.0958333333333332E-4</v>
      </c>
      <c r="BJ87" s="51">
        <v>2.10125E-4</v>
      </c>
      <c r="BK87" s="51">
        <v>2.1066666666666667E-4</v>
      </c>
      <c r="BL87" s="51">
        <v>2.1120833333333332E-4</v>
      </c>
      <c r="BM87" s="51">
        <v>2.1175E-4</v>
      </c>
      <c r="BN87" s="51">
        <v>2.1229166666666667E-4</v>
      </c>
      <c r="BO87" s="51">
        <v>2.1283333333333332E-4</v>
      </c>
      <c r="BP87" s="51">
        <v>2.13375E-4</v>
      </c>
      <c r="BQ87" s="51">
        <v>2.1391666666666667E-4</v>
      </c>
      <c r="BR87" s="51">
        <v>2.1445833333333332E-4</v>
      </c>
      <c r="BS87" s="51">
        <v>2.1499999999999999E-4</v>
      </c>
      <c r="BT87" s="51">
        <v>2.1535E-4</v>
      </c>
      <c r="BU87" s="51">
        <v>2.1569999999999998E-4</v>
      </c>
      <c r="BV87" s="51">
        <v>2.1604999999999999E-4</v>
      </c>
      <c r="BW87" s="51">
        <v>2.164E-4</v>
      </c>
      <c r="BX87" s="51">
        <v>2.1674999999999998E-4</v>
      </c>
      <c r="BY87" s="51">
        <v>2.1709999999999999E-4</v>
      </c>
      <c r="BZ87" s="51">
        <v>2.1745E-4</v>
      </c>
      <c r="CA87" s="51">
        <v>2.1780000000000001E-4</v>
      </c>
      <c r="CB87" s="51">
        <v>2.1814999999999999E-4</v>
      </c>
      <c r="CC87" s="51">
        <v>2.185E-4</v>
      </c>
      <c r="CD87" s="51">
        <v>2.1885000000000001E-4</v>
      </c>
      <c r="CE87" s="51">
        <v>2.1919999999999999E-4</v>
      </c>
      <c r="CF87" s="51">
        <v>2.1955E-4</v>
      </c>
      <c r="CG87" s="51">
        <v>2.1990000000000001E-4</v>
      </c>
      <c r="CH87" s="51">
        <v>2.2025000000000001E-4</v>
      </c>
      <c r="CI87" s="51">
        <v>2.206E-4</v>
      </c>
      <c r="CJ87" s="51">
        <v>2.2095E-4</v>
      </c>
      <c r="CK87" s="51">
        <v>2.2130000000000001E-4</v>
      </c>
      <c r="CL87" s="51">
        <v>2.2164999999999999E-4</v>
      </c>
      <c r="CM87" s="51">
        <v>2.22E-4</v>
      </c>
    </row>
    <row r="88" spans="1:91" s="50" customFormat="1" x14ac:dyDescent="0.25">
      <c r="A88" s="50" t="s">
        <v>2</v>
      </c>
      <c r="B88" s="4">
        <v>0</v>
      </c>
      <c r="C88" s="4">
        <v>0</v>
      </c>
      <c r="D88" s="4">
        <v>0</v>
      </c>
      <c r="E88" s="4">
        <v>0</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0</v>
      </c>
      <c r="X88" s="4">
        <v>0</v>
      </c>
      <c r="Y88" s="4">
        <v>0</v>
      </c>
      <c r="Z88" s="4">
        <v>0</v>
      </c>
      <c r="AA88" s="4">
        <v>0</v>
      </c>
      <c r="AB88" s="4">
        <v>0</v>
      </c>
      <c r="AC88" s="4">
        <v>0</v>
      </c>
      <c r="AD88" s="4">
        <v>0</v>
      </c>
      <c r="AE88" s="4">
        <v>0</v>
      </c>
      <c r="AF88" s="51">
        <v>3.1090007506599416E-5</v>
      </c>
      <c r="AG88" s="51">
        <v>3.1214866974497405E-5</v>
      </c>
      <c r="AH88" s="51">
        <v>3.1340227886041568E-5</v>
      </c>
      <c r="AI88" s="51">
        <v>3.1466092255061819E-5</v>
      </c>
      <c r="AJ88" s="51">
        <v>3.1592462103475722E-5</v>
      </c>
      <c r="AK88" s="51">
        <v>3.1719339461321004E-5</v>
      </c>
      <c r="AL88" s="51">
        <v>3.1846726366788155E-5</v>
      </c>
      <c r="AM88" s="51">
        <v>3.1974624866253171E-5</v>
      </c>
      <c r="AN88" s="51">
        <v>3.2103037014310414E-5</v>
      </c>
      <c r="AO88" s="51">
        <v>3.2231964873805633E-5</v>
      </c>
      <c r="AP88" s="51">
        <v>3.2361410515869112E-5</v>
      </c>
      <c r="AQ88" s="51">
        <v>3.2491376019948906E-5</v>
      </c>
      <c r="AR88" s="51">
        <v>3.2621863473844284E-5</v>
      </c>
      <c r="AS88" s="51">
        <v>3.2752874973739242E-5</v>
      </c>
      <c r="AT88" s="51">
        <v>3.288441262423619E-5</v>
      </c>
      <c r="AU88" s="51">
        <v>3.3016478538389752E-5</v>
      </c>
      <c r="AV88" s="51">
        <v>3.3049495016928139E-5</v>
      </c>
      <c r="AW88" s="51">
        <v>3.3082544511945068E-5</v>
      </c>
      <c r="AX88" s="51">
        <v>3.3115627056457015E-5</v>
      </c>
      <c r="AY88" s="51">
        <v>3.3148742683513472E-5</v>
      </c>
      <c r="AZ88" s="51">
        <v>3.3181891426196984E-5</v>
      </c>
      <c r="BA88" s="51">
        <v>3.3215073317623179E-5</v>
      </c>
      <c r="BB88" s="51">
        <v>3.3248288390940805E-5</v>
      </c>
      <c r="BC88" s="51">
        <v>3.3281536679331748E-5</v>
      </c>
      <c r="BD88" s="51">
        <v>3.3314818216011078E-5</v>
      </c>
      <c r="BE88" s="51">
        <v>3.3348133034227087E-5</v>
      </c>
      <c r="BF88" s="51">
        <v>3.3381481167261313E-5</v>
      </c>
      <c r="BG88" s="51">
        <v>3.3414862648428577E-5</v>
      </c>
      <c r="BH88" s="51">
        <v>3.3448277511077007E-5</v>
      </c>
      <c r="BI88" s="51">
        <v>3.3481725788588084E-5</v>
      </c>
      <c r="BJ88" s="51">
        <v>3.3515207514376674E-5</v>
      </c>
      <c r="BK88" s="51">
        <v>3.3548722721891052E-5</v>
      </c>
      <c r="BL88" s="51">
        <v>3.3582271444612947E-5</v>
      </c>
      <c r="BM88" s="51">
        <v>3.361585371605756E-5</v>
      </c>
      <c r="BN88" s="51">
        <v>3.3649469569773618E-5</v>
      </c>
      <c r="BO88" s="51">
        <v>3.3683119039343394E-5</v>
      </c>
      <c r="BP88" s="51">
        <v>3.3716802158382734E-5</v>
      </c>
      <c r="BQ88" s="51">
        <v>3.3750518960541119E-5</v>
      </c>
      <c r="BR88" s="51">
        <v>3.3784269479501661E-5</v>
      </c>
      <c r="BS88" s="51">
        <v>3.3818053748981164E-5</v>
      </c>
      <c r="BT88" s="51">
        <v>3.3851871802730143E-5</v>
      </c>
      <c r="BU88" s="51">
        <v>3.3885723674532874E-5</v>
      </c>
      <c r="BV88" s="51">
        <v>3.3919609398207405E-5</v>
      </c>
      <c r="BW88" s="51">
        <v>3.3953529007605609E-5</v>
      </c>
      <c r="BX88" s="51">
        <v>3.3987482536613218E-5</v>
      </c>
      <c r="BY88" s="51">
        <v>3.4021470019149833E-5</v>
      </c>
      <c r="BZ88" s="51">
        <v>3.4055491489168982E-5</v>
      </c>
      <c r="CA88" s="51">
        <v>3.4089546980658153E-5</v>
      </c>
      <c r="CB88" s="51">
        <v>3.412363652763881E-5</v>
      </c>
      <c r="CC88" s="51">
        <v>3.4157760164166448E-5</v>
      </c>
      <c r="CD88" s="51">
        <v>3.4191917924330613E-5</v>
      </c>
      <c r="CE88" s="51">
        <v>3.4226109842254942E-5</v>
      </c>
      <c r="CF88" s="51">
        <v>3.4260335952097197E-5</v>
      </c>
      <c r="CG88" s="51">
        <v>3.4294596288049293E-5</v>
      </c>
      <c r="CH88" s="51">
        <v>3.4328890884337344E-5</v>
      </c>
      <c r="CI88" s="51">
        <v>3.4363219775221679E-5</v>
      </c>
      <c r="CJ88" s="51">
        <v>3.4397582994996899E-5</v>
      </c>
      <c r="CK88" s="51">
        <v>3.4431980577991895E-5</v>
      </c>
      <c r="CL88" s="51">
        <v>3.4466412558569886E-5</v>
      </c>
      <c r="CM88" s="51">
        <v>3.4500878971128458E-5</v>
      </c>
    </row>
    <row r="89" spans="1:91" s="50" customFormat="1" x14ac:dyDescent="0.25">
      <c r="A89" s="50" t="s">
        <v>2</v>
      </c>
      <c r="B89" s="4">
        <v>0</v>
      </c>
      <c r="C89" s="4">
        <v>0</v>
      </c>
      <c r="D89" s="4">
        <v>0</v>
      </c>
      <c r="E89" s="4">
        <v>0</v>
      </c>
      <c r="F89" s="4">
        <v>0</v>
      </c>
      <c r="G89" s="4">
        <v>0</v>
      </c>
      <c r="H89" s="4">
        <v>0</v>
      </c>
      <c r="I89" s="4">
        <v>0</v>
      </c>
      <c r="J89" s="4">
        <v>0</v>
      </c>
      <c r="K89" s="4">
        <v>0</v>
      </c>
      <c r="L89" s="4">
        <v>0</v>
      </c>
      <c r="M89" s="4">
        <v>0</v>
      </c>
      <c r="N89" s="4">
        <v>0</v>
      </c>
      <c r="O89" s="4">
        <v>0</v>
      </c>
      <c r="P89" s="4">
        <v>0</v>
      </c>
      <c r="Q89" s="4">
        <v>0</v>
      </c>
      <c r="R89" s="4">
        <v>0</v>
      </c>
      <c r="S89" s="4">
        <v>0</v>
      </c>
      <c r="T89" s="4">
        <v>0</v>
      </c>
      <c r="U89" s="4">
        <v>0</v>
      </c>
      <c r="V89" s="4">
        <v>0</v>
      </c>
      <c r="W89" s="4">
        <v>0</v>
      </c>
      <c r="X89" s="4">
        <v>0</v>
      </c>
      <c r="Y89" s="4">
        <v>0</v>
      </c>
      <c r="Z89" s="4">
        <v>0</v>
      </c>
      <c r="AA89" s="4">
        <v>0</v>
      </c>
      <c r="AB89" s="4">
        <v>0</v>
      </c>
      <c r="AC89" s="4">
        <v>0</v>
      </c>
      <c r="AD89" s="4">
        <v>0</v>
      </c>
      <c r="AE89" s="4">
        <v>0</v>
      </c>
      <c r="AF89" s="51">
        <v>1.9058062501626263E-5</v>
      </c>
      <c r="AG89" s="51">
        <v>1.9367949696774658E-5</v>
      </c>
      <c r="AH89" s="51">
        <v>1.9682875708104327E-5</v>
      </c>
      <c r="AI89" s="51">
        <v>2.0002922467585699E-5</v>
      </c>
      <c r="AJ89" s="51">
        <v>2.0328173239416362E-5</v>
      </c>
      <c r="AK89" s="51">
        <v>2.0658712641683296E-5</v>
      </c>
      <c r="AL89" s="51">
        <v>2.0994626668377332E-5</v>
      </c>
      <c r="AM89" s="51">
        <v>2.1336002711765583E-5</v>
      </c>
      <c r="AN89" s="51">
        <v>2.1682929585127624E-5</v>
      </c>
      <c r="AO89" s="51">
        <v>2.2035497545861405E-5</v>
      </c>
      <c r="AP89" s="51">
        <v>2.2393798318964842E-5</v>
      </c>
      <c r="AQ89" s="51">
        <v>2.2757925120899231E-5</v>
      </c>
      <c r="AR89" s="51">
        <v>2.3127972683840682E-5</v>
      </c>
      <c r="AS89" s="51">
        <v>2.3504037280325898E-5</v>
      </c>
      <c r="AT89" s="51">
        <v>2.3886216748298676E-5</v>
      </c>
      <c r="AU89" s="51">
        <v>2.4274610516563694E-5</v>
      </c>
      <c r="AV89" s="51">
        <v>2.4444532790179639E-5</v>
      </c>
      <c r="AW89" s="51">
        <v>2.4615644519710897E-5</v>
      </c>
      <c r="AX89" s="51">
        <v>2.4787954031348874E-5</v>
      </c>
      <c r="AY89" s="51">
        <v>2.4961469709568316E-5</v>
      </c>
      <c r="AZ89" s="51">
        <v>2.5136199997535295E-5</v>
      </c>
      <c r="BA89" s="51">
        <v>2.5312153397518044E-5</v>
      </c>
      <c r="BB89" s="51">
        <v>2.5489338471300669E-5</v>
      </c>
      <c r="BC89" s="51">
        <v>2.5667763840599773E-5</v>
      </c>
      <c r="BD89" s="51">
        <v>2.5847438187483973E-5</v>
      </c>
      <c r="BE89" s="51">
        <v>2.6028370254796361E-5</v>
      </c>
      <c r="BF89" s="51">
        <v>2.6210568846579936E-5</v>
      </c>
      <c r="BG89" s="51">
        <v>2.6394042828505995E-5</v>
      </c>
      <c r="BH89" s="51">
        <v>2.6578801128305539E-5</v>
      </c>
      <c r="BI89" s="51">
        <v>2.6764852736203677E-5</v>
      </c>
      <c r="BJ89" s="51">
        <v>2.6952206705357104E-5</v>
      </c>
      <c r="BK89" s="51">
        <v>2.7140872152294603E-5</v>
      </c>
      <c r="BL89" s="51">
        <v>2.7330858257360666E-5</v>
      </c>
      <c r="BM89" s="51">
        <v>2.7522174265162191E-5</v>
      </c>
      <c r="BN89" s="51">
        <v>2.7714829485018327E-5</v>
      </c>
      <c r="BO89" s="51">
        <v>2.7908833291413456E-5</v>
      </c>
      <c r="BP89" s="51">
        <v>2.8104195124453349E-5</v>
      </c>
      <c r="BQ89" s="51">
        <v>2.8300924490324521E-5</v>
      </c>
      <c r="BR89" s="51">
        <v>2.8499030961756792E-5</v>
      </c>
      <c r="BS89" s="51">
        <v>2.8698524178489089E-5</v>
      </c>
      <c r="BT89" s="51">
        <v>2.8899413847738511E-5</v>
      </c>
      <c r="BU89" s="51">
        <v>2.9101709744672679E-5</v>
      </c>
      <c r="BV89" s="51">
        <v>2.9305421712885388E-5</v>
      </c>
      <c r="BW89" s="51">
        <v>2.9510559664875587E-5</v>
      </c>
      <c r="BX89" s="51">
        <v>2.9717133582529715E-5</v>
      </c>
      <c r="BY89" s="51">
        <v>2.9925153517607422E-5</v>
      </c>
      <c r="BZ89" s="51">
        <v>3.0134629592230675E-5</v>
      </c>
      <c r="CA89" s="51">
        <v>3.0345571999376289E-5</v>
      </c>
      <c r="CB89" s="51">
        <v>3.0557991003371919E-5</v>
      </c>
      <c r="CC89" s="51">
        <v>3.0771896940395526E-5</v>
      </c>
      <c r="CD89" s="51">
        <v>3.0987300218978292E-5</v>
      </c>
      <c r="CE89" s="51">
        <v>3.120421132051114E-5</v>
      </c>
      <c r="CF89" s="51">
        <v>3.1422640799754715E-5</v>
      </c>
      <c r="CG89" s="51">
        <v>3.1642599285352998E-5</v>
      </c>
      <c r="CH89" s="51">
        <v>3.1864097480350471E-5</v>
      </c>
      <c r="CI89" s="51">
        <v>3.2087146162712921E-5</v>
      </c>
      <c r="CJ89" s="51">
        <v>3.2311756185851908E-5</v>
      </c>
      <c r="CK89" s="51">
        <v>3.2537938479152873E-5</v>
      </c>
      <c r="CL89" s="51">
        <v>3.2765704048506942E-5</v>
      </c>
      <c r="CM89" s="51">
        <v>3.299506397684649E-5</v>
      </c>
    </row>
    <row r="90" spans="1:91" s="50" customFormat="1" x14ac:dyDescent="0.25">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spans="1:91" s="50" customFormat="1" x14ac:dyDescent="0.25">
      <c r="A91" s="50" t="s">
        <v>211</v>
      </c>
      <c r="B91" s="4">
        <v>0</v>
      </c>
      <c r="C91" s="4">
        <v>0</v>
      </c>
      <c r="D91" s="4">
        <v>0</v>
      </c>
      <c r="E91" s="4">
        <v>0</v>
      </c>
      <c r="F91" s="4">
        <v>0</v>
      </c>
      <c r="G91" s="4">
        <v>0</v>
      </c>
      <c r="H91" s="4">
        <v>0</v>
      </c>
      <c r="I91" s="4">
        <v>0</v>
      </c>
      <c r="J91" s="4">
        <v>0</v>
      </c>
      <c r="K91" s="4">
        <v>0</v>
      </c>
      <c r="L91" s="4">
        <v>0</v>
      </c>
      <c r="M91" s="4">
        <v>0</v>
      </c>
      <c r="N91" s="4">
        <v>0</v>
      </c>
      <c r="O91" s="4">
        <v>0</v>
      </c>
      <c r="P91" s="4">
        <v>0</v>
      </c>
      <c r="Q91" s="4">
        <v>0</v>
      </c>
      <c r="R91" s="4">
        <v>0</v>
      </c>
      <c r="S91" s="4">
        <v>0</v>
      </c>
      <c r="T91" s="4">
        <v>0</v>
      </c>
      <c r="U91" s="4">
        <v>0</v>
      </c>
      <c r="V91" s="4">
        <v>0</v>
      </c>
      <c r="W91" s="4">
        <v>0</v>
      </c>
      <c r="X91" s="4">
        <v>0</v>
      </c>
      <c r="Y91" s="4">
        <v>0</v>
      </c>
      <c r="Z91" s="4">
        <v>0</v>
      </c>
      <c r="AA91" s="4">
        <v>0</v>
      </c>
      <c r="AB91" s="4">
        <v>0</v>
      </c>
      <c r="AC91" s="4">
        <v>0</v>
      </c>
      <c r="AD91" s="4">
        <v>0</v>
      </c>
      <c r="AE91" s="4">
        <v>0</v>
      </c>
      <c r="AF91" s="51">
        <v>3.7310549777117386E-5</v>
      </c>
      <c r="AG91" s="51">
        <v>3.7387320455671127E-5</v>
      </c>
      <c r="AH91" s="51">
        <v>3.7464091134224867E-5</v>
      </c>
      <c r="AI91" s="51">
        <v>3.7540861812778601E-5</v>
      </c>
      <c r="AJ91" s="51">
        <v>3.7617632491332342E-5</v>
      </c>
      <c r="AK91" s="51">
        <v>3.7694403169886082E-5</v>
      </c>
      <c r="AL91" s="51">
        <v>3.7771173848439823E-5</v>
      </c>
      <c r="AM91" s="51">
        <v>3.7847944526993563E-5</v>
      </c>
      <c r="AN91" s="51">
        <v>3.7924715205547297E-5</v>
      </c>
      <c r="AO91" s="51">
        <v>3.8001485884101038E-5</v>
      </c>
      <c r="AP91" s="51">
        <v>3.8078256562654778E-5</v>
      </c>
      <c r="AQ91" s="51">
        <v>3.8155027241208519E-5</v>
      </c>
      <c r="AR91" s="51">
        <v>3.823179791976226E-5</v>
      </c>
      <c r="AS91" s="51">
        <v>3.8308568598315993E-5</v>
      </c>
      <c r="AT91" s="51">
        <v>3.8385339276869734E-5</v>
      </c>
      <c r="AU91" s="51">
        <v>3.8462109955423475E-5</v>
      </c>
      <c r="AV91" s="51">
        <v>3.8690126860987058E-5</v>
      </c>
      <c r="AW91" s="51">
        <v>3.8918143766550648E-5</v>
      </c>
      <c r="AX91" s="51">
        <v>3.9146160672114232E-5</v>
      </c>
      <c r="AY91" s="51">
        <v>3.9374177577677815E-5</v>
      </c>
      <c r="AZ91" s="51">
        <v>3.9602194483241399E-5</v>
      </c>
      <c r="BA91" s="51">
        <v>3.9830211388804982E-5</v>
      </c>
      <c r="BB91" s="51">
        <v>4.0058228294368573E-5</v>
      </c>
      <c r="BC91" s="51">
        <v>4.0286245199932156E-5</v>
      </c>
      <c r="BD91" s="51">
        <v>4.051426210549574E-5</v>
      </c>
      <c r="BE91" s="51">
        <v>4.074227901105933E-5</v>
      </c>
      <c r="BF91" s="51">
        <v>4.0970295916622914E-5</v>
      </c>
      <c r="BG91" s="51">
        <v>4.1198312822186497E-5</v>
      </c>
      <c r="BH91" s="51">
        <v>4.1426329727750081E-5</v>
      </c>
      <c r="BI91" s="51">
        <v>4.1654346633313664E-5</v>
      </c>
      <c r="BJ91" s="51">
        <v>4.1882363538877255E-5</v>
      </c>
      <c r="BK91" s="51">
        <v>4.2110380444440838E-5</v>
      </c>
      <c r="BL91" s="51">
        <v>4.2338397350004422E-5</v>
      </c>
      <c r="BM91" s="51">
        <v>4.2566414255568012E-5</v>
      </c>
      <c r="BN91" s="51">
        <v>4.2794431161131595E-5</v>
      </c>
      <c r="BO91" s="51">
        <v>4.3022448066695179E-5</v>
      </c>
      <c r="BP91" s="51">
        <v>4.3250464972258763E-5</v>
      </c>
      <c r="BQ91" s="51">
        <v>4.3478481877822346E-5</v>
      </c>
      <c r="BR91" s="51">
        <v>4.3706498783385936E-5</v>
      </c>
      <c r="BS91" s="51">
        <v>4.393451568894952E-5</v>
      </c>
      <c r="BT91" s="51">
        <v>4.393451568894952E-5</v>
      </c>
      <c r="BU91" s="51">
        <v>4.393451568894952E-5</v>
      </c>
      <c r="BV91" s="51">
        <v>4.393451568894952E-5</v>
      </c>
      <c r="BW91" s="51">
        <v>4.393451568894952E-5</v>
      </c>
      <c r="BX91" s="51">
        <v>4.393451568894952E-5</v>
      </c>
      <c r="BY91" s="51">
        <v>4.393451568894952E-5</v>
      </c>
      <c r="BZ91" s="51">
        <v>4.393451568894952E-5</v>
      </c>
      <c r="CA91" s="51">
        <v>4.393451568894952E-5</v>
      </c>
      <c r="CB91" s="51">
        <v>4.393451568894952E-5</v>
      </c>
      <c r="CC91" s="51">
        <v>4.393451568894952E-5</v>
      </c>
      <c r="CD91" s="51">
        <v>4.393451568894952E-5</v>
      </c>
      <c r="CE91" s="51">
        <v>4.393451568894952E-5</v>
      </c>
      <c r="CF91" s="51">
        <v>4.393451568894952E-5</v>
      </c>
      <c r="CG91" s="51">
        <v>4.393451568894952E-5</v>
      </c>
      <c r="CH91" s="51">
        <v>4.393451568894952E-5</v>
      </c>
      <c r="CI91" s="51">
        <v>4.393451568894952E-5</v>
      </c>
      <c r="CJ91" s="51">
        <v>4.393451568894952E-5</v>
      </c>
      <c r="CK91" s="51">
        <v>4.393451568894952E-5</v>
      </c>
      <c r="CL91" s="51">
        <v>4.393451568894952E-5</v>
      </c>
      <c r="CM91" s="51">
        <v>4.393451568894952E-5</v>
      </c>
    </row>
    <row r="92" spans="1:91" s="50" customFormat="1" x14ac:dyDescent="0.25">
      <c r="A92" s="50" t="s">
        <v>1</v>
      </c>
      <c r="B92" s="4">
        <v>0</v>
      </c>
      <c r="C92" s="4">
        <v>0</v>
      </c>
      <c r="D92" s="4">
        <v>0</v>
      </c>
      <c r="E92" s="4">
        <v>0</v>
      </c>
      <c r="F92" s="4">
        <v>0</v>
      </c>
      <c r="G92" s="4">
        <v>0</v>
      </c>
      <c r="H92" s="4">
        <v>0</v>
      </c>
      <c r="I92" s="4">
        <v>0</v>
      </c>
      <c r="J92" s="4">
        <v>0</v>
      </c>
      <c r="K92" s="4">
        <v>0</v>
      </c>
      <c r="L92" s="4">
        <v>0</v>
      </c>
      <c r="M92" s="4">
        <v>0</v>
      </c>
      <c r="N92" s="4">
        <v>0</v>
      </c>
      <c r="O92" s="4">
        <v>0</v>
      </c>
      <c r="P92" s="4">
        <v>0</v>
      </c>
      <c r="Q92" s="4">
        <v>0</v>
      </c>
      <c r="R92" s="4">
        <v>0</v>
      </c>
      <c r="S92" s="4">
        <v>0</v>
      </c>
      <c r="T92" s="4">
        <v>0</v>
      </c>
      <c r="U92" s="4">
        <v>0</v>
      </c>
      <c r="V92" s="4">
        <v>0</v>
      </c>
      <c r="W92" s="4">
        <v>0</v>
      </c>
      <c r="X92" s="4">
        <v>0</v>
      </c>
      <c r="Y92" s="4">
        <v>0</v>
      </c>
      <c r="Z92" s="4">
        <v>0</v>
      </c>
      <c r="AA92" s="4">
        <v>0</v>
      </c>
      <c r="AB92" s="4">
        <v>0</v>
      </c>
      <c r="AC92" s="4">
        <v>0</v>
      </c>
      <c r="AD92" s="4">
        <v>0</v>
      </c>
      <c r="AE92" s="4">
        <v>0</v>
      </c>
      <c r="AF92" s="51">
        <v>5.3438335809806834E-5</v>
      </c>
      <c r="AG92" s="51">
        <v>5.3548291233283803E-5</v>
      </c>
      <c r="AH92" s="51">
        <v>5.3658246656760772E-5</v>
      </c>
      <c r="AI92" s="51">
        <v>5.3768202080237741E-5</v>
      </c>
      <c r="AJ92" s="51">
        <v>5.3878157503714709E-5</v>
      </c>
      <c r="AK92" s="51">
        <v>5.3988112927191678E-5</v>
      </c>
      <c r="AL92" s="51">
        <v>5.4098068350668647E-5</v>
      </c>
      <c r="AM92" s="51">
        <v>5.4208023774145616E-5</v>
      </c>
      <c r="AN92" s="51">
        <v>5.4317979197622585E-5</v>
      </c>
      <c r="AO92" s="51">
        <v>5.4427934621099554E-5</v>
      </c>
      <c r="AP92" s="51">
        <v>5.4537890044576523E-5</v>
      </c>
      <c r="AQ92" s="51">
        <v>5.4647845468053492E-5</v>
      </c>
      <c r="AR92" s="51">
        <v>5.4757800891530461E-5</v>
      </c>
      <c r="AS92" s="51">
        <v>5.4867756315007429E-5</v>
      </c>
      <c r="AT92" s="51">
        <v>5.4977711738484398E-5</v>
      </c>
      <c r="AU92" s="51">
        <v>5.5087667161961367E-5</v>
      </c>
      <c r="AV92" s="51">
        <v>5.4915471844219341E-5</v>
      </c>
      <c r="AW92" s="51">
        <v>5.4743276526477322E-5</v>
      </c>
      <c r="AX92" s="51">
        <v>5.4571081208735296E-5</v>
      </c>
      <c r="AY92" s="51">
        <v>5.439888589099327E-5</v>
      </c>
      <c r="AZ92" s="51">
        <v>5.4226690573251244E-5</v>
      </c>
      <c r="BA92" s="51">
        <v>5.4054495255509225E-5</v>
      </c>
      <c r="BB92" s="51">
        <v>5.3882299937767199E-5</v>
      </c>
      <c r="BC92" s="51">
        <v>5.3710104620025173E-5</v>
      </c>
      <c r="BD92" s="51">
        <v>5.3537909302283154E-5</v>
      </c>
      <c r="BE92" s="51">
        <v>5.3365713984541128E-5</v>
      </c>
      <c r="BF92" s="51">
        <v>5.3193518666799102E-5</v>
      </c>
      <c r="BG92" s="51">
        <v>5.3021323349057076E-5</v>
      </c>
      <c r="BH92" s="51">
        <v>5.2849128031315057E-5</v>
      </c>
      <c r="BI92" s="51">
        <v>5.2676932713573031E-5</v>
      </c>
      <c r="BJ92" s="51">
        <v>5.2504737395831005E-5</v>
      </c>
      <c r="BK92" s="51">
        <v>5.2332542078088986E-5</v>
      </c>
      <c r="BL92" s="51">
        <v>5.216034676034696E-5</v>
      </c>
      <c r="BM92" s="51">
        <v>5.1988151442604934E-5</v>
      </c>
      <c r="BN92" s="51">
        <v>5.1815956124862915E-5</v>
      </c>
      <c r="BO92" s="51">
        <v>5.1643760807120889E-5</v>
      </c>
      <c r="BP92" s="51">
        <v>5.1471565489378863E-5</v>
      </c>
      <c r="BQ92" s="51">
        <v>5.1299370171636837E-5</v>
      </c>
      <c r="BR92" s="51">
        <v>5.1127174853894818E-5</v>
      </c>
      <c r="BS92" s="51">
        <v>5.0954979536152792E-5</v>
      </c>
      <c r="BT92" s="51">
        <v>5.0954979536152792E-5</v>
      </c>
      <c r="BU92" s="51">
        <v>5.0954979536152792E-5</v>
      </c>
      <c r="BV92" s="51">
        <v>5.0954979536152792E-5</v>
      </c>
      <c r="BW92" s="51">
        <v>5.0954979536152792E-5</v>
      </c>
      <c r="BX92" s="51">
        <v>5.0954979536152792E-5</v>
      </c>
      <c r="BY92" s="51">
        <v>5.0954979536152792E-5</v>
      </c>
      <c r="BZ92" s="51">
        <v>5.0954979536152792E-5</v>
      </c>
      <c r="CA92" s="51">
        <v>5.0954979536152792E-5</v>
      </c>
      <c r="CB92" s="51">
        <v>5.0954979536152792E-5</v>
      </c>
      <c r="CC92" s="51">
        <v>5.0954979536152792E-5</v>
      </c>
      <c r="CD92" s="51">
        <v>5.0954979536152792E-5</v>
      </c>
      <c r="CE92" s="51">
        <v>5.0954979536152792E-5</v>
      </c>
      <c r="CF92" s="51">
        <v>5.0954979536152792E-5</v>
      </c>
      <c r="CG92" s="51">
        <v>5.0954979536152792E-5</v>
      </c>
      <c r="CH92" s="51">
        <v>5.0954979536152792E-5</v>
      </c>
      <c r="CI92" s="51">
        <v>5.0954979536152792E-5</v>
      </c>
      <c r="CJ92" s="51">
        <v>5.0954979536152792E-5</v>
      </c>
      <c r="CK92" s="51">
        <v>5.0954979536152792E-5</v>
      </c>
      <c r="CL92" s="51">
        <v>5.0954979536152792E-5</v>
      </c>
      <c r="CM92" s="51">
        <v>5.0954979536152792E-5</v>
      </c>
    </row>
    <row r="93" spans="1:91" s="50" customFormat="1" x14ac:dyDescent="0.25">
      <c r="A93" s="50" t="s">
        <v>1</v>
      </c>
      <c r="B93" s="4">
        <v>0</v>
      </c>
      <c r="C93" s="4">
        <v>0</v>
      </c>
      <c r="D93" s="4">
        <v>0</v>
      </c>
      <c r="E93" s="4">
        <v>0</v>
      </c>
      <c r="F93" s="4">
        <v>0</v>
      </c>
      <c r="G93" s="4">
        <v>0</v>
      </c>
      <c r="H93" s="4">
        <v>0</v>
      </c>
      <c r="I93" s="4">
        <v>0</v>
      </c>
      <c r="J93" s="4">
        <v>0</v>
      </c>
      <c r="K93" s="4">
        <v>0</v>
      </c>
      <c r="L93" s="4">
        <v>0</v>
      </c>
      <c r="M93" s="4">
        <v>0</v>
      </c>
      <c r="N93" s="4">
        <v>0</v>
      </c>
      <c r="O93" s="4">
        <v>0</v>
      </c>
      <c r="P93" s="4">
        <v>0</v>
      </c>
      <c r="Q93" s="4">
        <v>0</v>
      </c>
      <c r="R93" s="4">
        <v>0</v>
      </c>
      <c r="S93" s="4">
        <v>0</v>
      </c>
      <c r="T93" s="4">
        <v>0</v>
      </c>
      <c r="U93" s="4">
        <v>0</v>
      </c>
      <c r="V93" s="4">
        <v>0</v>
      </c>
      <c r="W93" s="4">
        <v>0</v>
      </c>
      <c r="X93" s="4">
        <v>0</v>
      </c>
      <c r="Y93" s="4">
        <v>0</v>
      </c>
      <c r="Z93" s="4">
        <v>0</v>
      </c>
      <c r="AA93" s="4">
        <v>0</v>
      </c>
      <c r="AB93" s="4">
        <v>0</v>
      </c>
      <c r="AC93" s="4">
        <v>0</v>
      </c>
      <c r="AD93" s="4">
        <v>0</v>
      </c>
      <c r="AE93" s="4">
        <v>0</v>
      </c>
      <c r="AF93" s="51">
        <v>3.8032689450222883E-5</v>
      </c>
      <c r="AG93" s="51">
        <v>3.8110946012877659E-5</v>
      </c>
      <c r="AH93" s="51">
        <v>3.8189202575532442E-5</v>
      </c>
      <c r="AI93" s="51">
        <v>3.8267459138187219E-5</v>
      </c>
      <c r="AJ93" s="51">
        <v>3.8345715700842002E-5</v>
      </c>
      <c r="AK93" s="51">
        <v>3.8423972263496778E-5</v>
      </c>
      <c r="AL93" s="51">
        <v>3.8502228826151561E-5</v>
      </c>
      <c r="AM93" s="51">
        <v>3.8580485388806337E-5</v>
      </c>
      <c r="AN93" s="51">
        <v>3.865874195146112E-5</v>
      </c>
      <c r="AO93" s="51">
        <v>3.8736998514115897E-5</v>
      </c>
      <c r="AP93" s="51">
        <v>3.881525507677068E-5</v>
      </c>
      <c r="AQ93" s="51">
        <v>3.8893511639425456E-5</v>
      </c>
      <c r="AR93" s="51">
        <v>3.8971768202080239E-5</v>
      </c>
      <c r="AS93" s="51">
        <v>3.9050024764735016E-5</v>
      </c>
      <c r="AT93" s="51">
        <v>3.9128281327389799E-5</v>
      </c>
      <c r="AU93" s="51">
        <v>3.9206537890044575E-5</v>
      </c>
      <c r="AV93" s="51">
        <v>3.9035528779460066E-5</v>
      </c>
      <c r="AW93" s="51">
        <v>3.8864519668875558E-5</v>
      </c>
      <c r="AX93" s="51">
        <v>3.8693510558291049E-5</v>
      </c>
      <c r="AY93" s="51">
        <v>3.8522501447706541E-5</v>
      </c>
      <c r="AZ93" s="51">
        <v>3.8351492337122032E-5</v>
      </c>
      <c r="BA93" s="51">
        <v>3.8180483226537523E-5</v>
      </c>
      <c r="BB93" s="51">
        <v>3.8009474115953015E-5</v>
      </c>
      <c r="BC93" s="51">
        <v>3.7838465005368506E-5</v>
      </c>
      <c r="BD93" s="51">
        <v>3.7667455894783998E-5</v>
      </c>
      <c r="BE93" s="51">
        <v>3.7496446784199489E-5</v>
      </c>
      <c r="BF93" s="51">
        <v>3.7325437673614981E-5</v>
      </c>
      <c r="BG93" s="51">
        <v>3.7154428563030472E-5</v>
      </c>
      <c r="BH93" s="51">
        <v>3.6983419452445963E-5</v>
      </c>
      <c r="BI93" s="51">
        <v>3.6812410341861455E-5</v>
      </c>
      <c r="BJ93" s="51">
        <v>3.6641401231276946E-5</v>
      </c>
      <c r="BK93" s="51">
        <v>3.6470392120692438E-5</v>
      </c>
      <c r="BL93" s="51">
        <v>3.6299383010107929E-5</v>
      </c>
      <c r="BM93" s="51">
        <v>3.612837389952342E-5</v>
      </c>
      <c r="BN93" s="51">
        <v>3.5957364788938912E-5</v>
      </c>
      <c r="BO93" s="51">
        <v>3.5786355678354403E-5</v>
      </c>
      <c r="BP93" s="51">
        <v>3.5615346567769895E-5</v>
      </c>
      <c r="BQ93" s="51">
        <v>3.5444337457185386E-5</v>
      </c>
      <c r="BR93" s="51">
        <v>3.5273328346600878E-5</v>
      </c>
      <c r="BS93" s="51">
        <v>3.5102319236016369E-5</v>
      </c>
      <c r="BT93" s="51">
        <v>3.5102319236016369E-5</v>
      </c>
      <c r="BU93" s="51">
        <v>3.5102319236016369E-5</v>
      </c>
      <c r="BV93" s="51">
        <v>3.5102319236016369E-5</v>
      </c>
      <c r="BW93" s="51">
        <v>3.5102319236016369E-5</v>
      </c>
      <c r="BX93" s="51">
        <v>3.5102319236016369E-5</v>
      </c>
      <c r="BY93" s="51">
        <v>3.5102319236016369E-5</v>
      </c>
      <c r="BZ93" s="51">
        <v>3.5102319236016369E-5</v>
      </c>
      <c r="CA93" s="51">
        <v>3.5102319236016369E-5</v>
      </c>
      <c r="CB93" s="51">
        <v>3.5102319236016369E-5</v>
      </c>
      <c r="CC93" s="51">
        <v>3.5102319236016369E-5</v>
      </c>
      <c r="CD93" s="51">
        <v>3.5102319236016369E-5</v>
      </c>
      <c r="CE93" s="51">
        <v>3.5102319236016369E-5</v>
      </c>
      <c r="CF93" s="51">
        <v>3.5102319236016369E-5</v>
      </c>
      <c r="CG93" s="51">
        <v>3.5102319236016369E-5</v>
      </c>
      <c r="CH93" s="51">
        <v>3.5102319236016369E-5</v>
      </c>
      <c r="CI93" s="51">
        <v>3.5102319236016369E-5</v>
      </c>
      <c r="CJ93" s="51">
        <v>3.5102319236016369E-5</v>
      </c>
      <c r="CK93" s="51">
        <v>3.5102319236016369E-5</v>
      </c>
      <c r="CL93" s="51">
        <v>3.5102319236016369E-5</v>
      </c>
      <c r="CM93" s="51">
        <v>3.5102319236016369E-5</v>
      </c>
    </row>
    <row r="94" spans="1:91" s="50" customFormat="1" x14ac:dyDescent="0.25">
      <c r="A94" s="50" t="s">
        <v>1</v>
      </c>
      <c r="B94" s="4">
        <v>0</v>
      </c>
      <c r="C94" s="4">
        <v>0</v>
      </c>
      <c r="D94" s="4">
        <v>0</v>
      </c>
      <c r="E94" s="4">
        <v>0</v>
      </c>
      <c r="F94" s="4">
        <v>0</v>
      </c>
      <c r="G94" s="4">
        <v>0</v>
      </c>
      <c r="H94" s="4">
        <v>0</v>
      </c>
      <c r="I94" s="4">
        <v>0</v>
      </c>
      <c r="J94" s="4">
        <v>0</v>
      </c>
      <c r="K94" s="4">
        <v>0</v>
      </c>
      <c r="L94" s="4">
        <v>0</v>
      </c>
      <c r="M94" s="4">
        <v>0</v>
      </c>
      <c r="N94" s="4">
        <v>0</v>
      </c>
      <c r="O94" s="4">
        <v>0</v>
      </c>
      <c r="P94" s="4">
        <v>0</v>
      </c>
      <c r="Q94" s="4">
        <v>0</v>
      </c>
      <c r="R94" s="4">
        <v>0</v>
      </c>
      <c r="S94" s="4">
        <v>0</v>
      </c>
      <c r="T94" s="4">
        <v>0</v>
      </c>
      <c r="U94" s="4">
        <v>0</v>
      </c>
      <c r="V94" s="4">
        <v>0</v>
      </c>
      <c r="W94" s="4">
        <v>0</v>
      </c>
      <c r="X94" s="4">
        <v>0</v>
      </c>
      <c r="Y94" s="4">
        <v>0</v>
      </c>
      <c r="Z94" s="4">
        <v>0</v>
      </c>
      <c r="AA94" s="4">
        <v>0</v>
      </c>
      <c r="AB94" s="4">
        <v>0</v>
      </c>
      <c r="AC94" s="4">
        <v>0</v>
      </c>
      <c r="AD94" s="4">
        <v>0</v>
      </c>
      <c r="AE94" s="4">
        <v>0</v>
      </c>
      <c r="AF94" s="51">
        <v>3.3218424962852898E-5</v>
      </c>
      <c r="AG94" s="51">
        <v>3.3286775631500744E-5</v>
      </c>
      <c r="AH94" s="51">
        <v>3.3355126300148591E-5</v>
      </c>
      <c r="AI94" s="51">
        <v>3.3423476968796431E-5</v>
      </c>
      <c r="AJ94" s="51">
        <v>3.3491827637444278E-5</v>
      </c>
      <c r="AK94" s="51">
        <v>3.3560178306092124E-5</v>
      </c>
      <c r="AL94" s="51">
        <v>3.3628528974739971E-5</v>
      </c>
      <c r="AM94" s="51">
        <v>3.3696879643387817E-5</v>
      </c>
      <c r="AN94" s="51">
        <v>3.3765230312035657E-5</v>
      </c>
      <c r="AO94" s="51">
        <v>3.3833580980683504E-5</v>
      </c>
      <c r="AP94" s="51">
        <v>3.3901931649331351E-5</v>
      </c>
      <c r="AQ94" s="51">
        <v>3.3970282317979197E-5</v>
      </c>
      <c r="AR94" s="51">
        <v>3.4038632986627044E-5</v>
      </c>
      <c r="AS94" s="51">
        <v>3.4106983655274884E-5</v>
      </c>
      <c r="AT94" s="51">
        <v>3.417533432392273E-5</v>
      </c>
      <c r="AU94" s="51">
        <v>3.4243684992570577E-5</v>
      </c>
      <c r="AV94" s="51">
        <v>3.4317205848666858E-5</v>
      </c>
      <c r="AW94" s="51">
        <v>3.4390726704763139E-5</v>
      </c>
      <c r="AX94" s="51">
        <v>3.446424756085942E-5</v>
      </c>
      <c r="AY94" s="51">
        <v>3.4537768416955701E-5</v>
      </c>
      <c r="AZ94" s="51">
        <v>3.4611289273051982E-5</v>
      </c>
      <c r="BA94" s="51">
        <v>3.4684810129148263E-5</v>
      </c>
      <c r="BB94" s="51">
        <v>3.4758330985244537E-5</v>
      </c>
      <c r="BC94" s="51">
        <v>3.4831851841340818E-5</v>
      </c>
      <c r="BD94" s="51">
        <v>3.4905372697437099E-5</v>
      </c>
      <c r="BE94" s="51">
        <v>3.497889355353338E-5</v>
      </c>
      <c r="BF94" s="51">
        <v>3.5052414409629662E-5</v>
      </c>
      <c r="BG94" s="51">
        <v>3.5125935265725943E-5</v>
      </c>
      <c r="BH94" s="51">
        <v>3.5199456121822224E-5</v>
      </c>
      <c r="BI94" s="51">
        <v>3.5272976977918505E-5</v>
      </c>
      <c r="BJ94" s="51">
        <v>3.5346497834014786E-5</v>
      </c>
      <c r="BK94" s="51">
        <v>3.5420018690111067E-5</v>
      </c>
      <c r="BL94" s="51">
        <v>3.5493539546207348E-5</v>
      </c>
      <c r="BM94" s="51">
        <v>3.5567060402303622E-5</v>
      </c>
      <c r="BN94" s="51">
        <v>3.5640581258399903E-5</v>
      </c>
      <c r="BO94" s="51">
        <v>3.5714102114496184E-5</v>
      </c>
      <c r="BP94" s="51">
        <v>3.5787622970592465E-5</v>
      </c>
      <c r="BQ94" s="51">
        <v>3.5861143826688746E-5</v>
      </c>
      <c r="BR94" s="51">
        <v>3.5934664682785027E-5</v>
      </c>
      <c r="BS94" s="51">
        <v>3.6008185538881308E-5</v>
      </c>
      <c r="BT94" s="51">
        <v>3.6008185538881308E-5</v>
      </c>
      <c r="BU94" s="51">
        <v>3.6008185538881308E-5</v>
      </c>
      <c r="BV94" s="51">
        <v>3.6008185538881308E-5</v>
      </c>
      <c r="BW94" s="51">
        <v>3.6008185538881308E-5</v>
      </c>
      <c r="BX94" s="51">
        <v>3.6008185538881308E-5</v>
      </c>
      <c r="BY94" s="51">
        <v>3.6008185538881308E-5</v>
      </c>
      <c r="BZ94" s="51">
        <v>3.6008185538881308E-5</v>
      </c>
      <c r="CA94" s="51">
        <v>3.6008185538881308E-5</v>
      </c>
      <c r="CB94" s="51">
        <v>3.6008185538881308E-5</v>
      </c>
      <c r="CC94" s="51">
        <v>3.6008185538881308E-5</v>
      </c>
      <c r="CD94" s="51">
        <v>3.6008185538881308E-5</v>
      </c>
      <c r="CE94" s="51">
        <v>3.6008185538881308E-5</v>
      </c>
      <c r="CF94" s="51">
        <v>3.6008185538881308E-5</v>
      </c>
      <c r="CG94" s="51">
        <v>3.6008185538881308E-5</v>
      </c>
      <c r="CH94" s="51">
        <v>3.6008185538881308E-5</v>
      </c>
      <c r="CI94" s="51">
        <v>3.6008185538881308E-5</v>
      </c>
      <c r="CJ94" s="51">
        <v>3.6008185538881308E-5</v>
      </c>
      <c r="CK94" s="51">
        <v>3.6008185538881308E-5</v>
      </c>
      <c r="CL94" s="51">
        <v>3.6008185538881308E-5</v>
      </c>
      <c r="CM94" s="51">
        <v>3.6008185538881308E-5</v>
      </c>
    </row>
    <row r="95" spans="1:91" s="50" customFormat="1" x14ac:dyDescent="0.25">
      <c r="A95" s="50" t="s">
        <v>1</v>
      </c>
      <c r="B95" s="4">
        <v>0</v>
      </c>
      <c r="C95" s="4">
        <v>0</v>
      </c>
      <c r="D95" s="4">
        <v>0</v>
      </c>
      <c r="E95" s="4">
        <v>0</v>
      </c>
      <c r="F95" s="4">
        <v>0</v>
      </c>
      <c r="G95" s="4">
        <v>0</v>
      </c>
      <c r="H95" s="4">
        <v>0</v>
      </c>
      <c r="I95" s="4">
        <v>0</v>
      </c>
      <c r="J95" s="4">
        <v>0</v>
      </c>
      <c r="K95" s="4">
        <v>0</v>
      </c>
      <c r="L95" s="4">
        <v>0</v>
      </c>
      <c r="M95" s="4">
        <v>0</v>
      </c>
      <c r="N95" s="4">
        <v>0</v>
      </c>
      <c r="O95" s="4">
        <v>0</v>
      </c>
      <c r="P95" s="4">
        <v>0</v>
      </c>
      <c r="Q95" s="4">
        <v>0</v>
      </c>
      <c r="R95" s="4">
        <v>0</v>
      </c>
      <c r="S95" s="4">
        <v>0</v>
      </c>
      <c r="T95" s="4">
        <v>0</v>
      </c>
      <c r="U95" s="4">
        <v>0</v>
      </c>
      <c r="V95" s="4">
        <v>0</v>
      </c>
      <c r="W95" s="4">
        <v>0</v>
      </c>
      <c r="X95" s="4">
        <v>0</v>
      </c>
      <c r="Y95" s="4">
        <v>0</v>
      </c>
      <c r="Z95" s="4">
        <v>0</v>
      </c>
      <c r="AA95" s="4">
        <v>0</v>
      </c>
      <c r="AB95" s="4">
        <v>0</v>
      </c>
      <c r="AC95" s="4">
        <v>0</v>
      </c>
      <c r="AD95" s="4">
        <v>0</v>
      </c>
      <c r="AE95" s="4">
        <v>0</v>
      </c>
      <c r="AF95" s="51">
        <v>1.5999999999999999E-5</v>
      </c>
      <c r="AG95" s="51">
        <v>1.6200000000000001E-5</v>
      </c>
      <c r="AH95" s="51">
        <v>1.6399999999999999E-5</v>
      </c>
      <c r="AI95" s="51">
        <v>1.66E-5</v>
      </c>
      <c r="AJ95" s="51">
        <v>1.6799999999999998E-5</v>
      </c>
      <c r="AK95" s="51">
        <v>1.7E-5</v>
      </c>
      <c r="AL95" s="51">
        <v>1.7200000000000001E-5</v>
      </c>
      <c r="AM95" s="51">
        <v>1.7399999999999999E-5</v>
      </c>
      <c r="AN95" s="51">
        <v>1.7600000000000001E-5</v>
      </c>
      <c r="AO95" s="51">
        <v>1.7799999999999999E-5</v>
      </c>
      <c r="AP95" s="51">
        <v>1.8E-5</v>
      </c>
      <c r="AQ95" s="51">
        <v>1.8200000000000002E-5</v>
      </c>
      <c r="AR95" s="51">
        <v>1.84E-5</v>
      </c>
      <c r="AS95" s="51">
        <v>1.8600000000000001E-5</v>
      </c>
      <c r="AT95" s="51">
        <v>1.88E-5</v>
      </c>
      <c r="AU95" s="51">
        <v>1.9000000000000001E-5</v>
      </c>
      <c r="AV95" s="51">
        <v>1.9041666666666668E-5</v>
      </c>
      <c r="AW95" s="51">
        <v>1.9083333333333334E-5</v>
      </c>
      <c r="AX95" s="51">
        <v>1.9125000000000001E-5</v>
      </c>
      <c r="AY95" s="51">
        <v>1.9166666666666667E-5</v>
      </c>
      <c r="AZ95" s="51">
        <v>1.9208333333333334E-5</v>
      </c>
      <c r="BA95" s="51">
        <v>1.925E-5</v>
      </c>
      <c r="BB95" s="51">
        <v>1.9291666666666667E-5</v>
      </c>
      <c r="BC95" s="51">
        <v>1.9333333333333333E-5</v>
      </c>
      <c r="BD95" s="51">
        <v>1.9375E-5</v>
      </c>
      <c r="BE95" s="51">
        <v>1.9416666666666667E-5</v>
      </c>
      <c r="BF95" s="51">
        <v>1.9458333333333333E-5</v>
      </c>
      <c r="BG95" s="51">
        <v>1.95E-5</v>
      </c>
      <c r="BH95" s="51">
        <v>1.954166666666667E-5</v>
      </c>
      <c r="BI95" s="51">
        <v>1.9583333333333336E-5</v>
      </c>
      <c r="BJ95" s="51">
        <v>1.9625000000000003E-5</v>
      </c>
      <c r="BK95" s="51">
        <v>1.9666666666666669E-5</v>
      </c>
      <c r="BL95" s="51">
        <v>1.9708333333333336E-5</v>
      </c>
      <c r="BM95" s="51">
        <v>1.9750000000000002E-5</v>
      </c>
      <c r="BN95" s="51">
        <v>1.9791666666666669E-5</v>
      </c>
      <c r="BO95" s="51">
        <v>1.9833333333333335E-5</v>
      </c>
      <c r="BP95" s="51">
        <v>1.9875000000000002E-5</v>
      </c>
      <c r="BQ95" s="51">
        <v>1.9916666666666669E-5</v>
      </c>
      <c r="BR95" s="51">
        <v>1.9958333333333335E-5</v>
      </c>
      <c r="BS95" s="51">
        <v>2.0000000000000002E-5</v>
      </c>
      <c r="BT95" s="51">
        <v>2.0050000000000003E-5</v>
      </c>
      <c r="BU95" s="51">
        <v>2.0100000000000001E-5</v>
      </c>
      <c r="BV95" s="51">
        <v>2.0150000000000002E-5</v>
      </c>
      <c r="BW95" s="51">
        <v>2.02E-5</v>
      </c>
      <c r="BX95" s="51">
        <v>2.0250000000000001E-5</v>
      </c>
      <c r="BY95" s="51">
        <v>2.0300000000000002E-5</v>
      </c>
      <c r="BZ95" s="51">
        <v>2.035E-5</v>
      </c>
      <c r="CA95" s="51">
        <v>2.0400000000000001E-5</v>
      </c>
      <c r="CB95" s="51">
        <v>2.0449999999999999E-5</v>
      </c>
      <c r="CC95" s="51">
        <v>2.05E-5</v>
      </c>
      <c r="CD95" s="51">
        <v>2.0550000000000001E-5</v>
      </c>
      <c r="CE95" s="51">
        <v>2.0599999999999999E-5</v>
      </c>
      <c r="CF95" s="51">
        <v>2.065E-5</v>
      </c>
      <c r="CG95" s="51">
        <v>2.0699999999999998E-5</v>
      </c>
      <c r="CH95" s="51">
        <v>2.075E-5</v>
      </c>
      <c r="CI95" s="51">
        <v>2.0800000000000001E-5</v>
      </c>
      <c r="CJ95" s="51">
        <v>2.0849999999999999E-5</v>
      </c>
      <c r="CK95" s="51">
        <v>2.09E-5</v>
      </c>
      <c r="CL95" s="51">
        <v>2.0949999999999998E-5</v>
      </c>
      <c r="CM95" s="51">
        <v>2.0999999999999999E-5</v>
      </c>
    </row>
    <row r="96" spans="1:91" s="50" customFormat="1" x14ac:dyDescent="0.25">
      <c r="A96" s="50" t="s">
        <v>1</v>
      </c>
      <c r="B96" s="4">
        <v>0</v>
      </c>
      <c r="C96" s="4">
        <v>0</v>
      </c>
      <c r="D96" s="4">
        <v>0</v>
      </c>
      <c r="E96" s="4">
        <v>0</v>
      </c>
      <c r="F96" s="4">
        <v>0</v>
      </c>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c r="Z96" s="4">
        <v>0</v>
      </c>
      <c r="AA96" s="4">
        <v>0</v>
      </c>
      <c r="AB96" s="4">
        <v>0</v>
      </c>
      <c r="AC96" s="4">
        <v>0</v>
      </c>
      <c r="AD96" s="4">
        <v>0</v>
      </c>
      <c r="AE96" s="4">
        <v>0</v>
      </c>
      <c r="AF96" s="51">
        <v>3.6000000000000001E-5</v>
      </c>
      <c r="AG96" s="51">
        <v>3.5866666666666667E-5</v>
      </c>
      <c r="AH96" s="51">
        <v>3.5733333333333332E-5</v>
      </c>
      <c r="AI96" s="51">
        <v>3.5599999999999998E-5</v>
      </c>
      <c r="AJ96" s="51">
        <v>3.546666666666667E-5</v>
      </c>
      <c r="AK96" s="51">
        <v>3.5333333333333336E-5</v>
      </c>
      <c r="AL96" s="51">
        <v>3.5200000000000002E-5</v>
      </c>
      <c r="AM96" s="51">
        <v>3.5066666666666667E-5</v>
      </c>
      <c r="AN96" s="51">
        <v>3.4933333333333333E-5</v>
      </c>
      <c r="AO96" s="51">
        <v>3.4799999999999999E-5</v>
      </c>
      <c r="AP96" s="51">
        <v>3.4666666666666665E-5</v>
      </c>
      <c r="AQ96" s="51">
        <v>3.453333333333333E-5</v>
      </c>
      <c r="AR96" s="51">
        <v>3.4400000000000003E-5</v>
      </c>
      <c r="AS96" s="51">
        <v>3.4266666666666668E-5</v>
      </c>
      <c r="AT96" s="51">
        <v>3.4133333333333334E-5</v>
      </c>
      <c r="AU96" s="51">
        <v>3.4E-5</v>
      </c>
      <c r="AV96" s="51">
        <v>3.3958333333333337E-5</v>
      </c>
      <c r="AW96" s="51">
        <v>3.3916666666666667E-5</v>
      </c>
      <c r="AX96" s="51">
        <v>3.3874999999999997E-5</v>
      </c>
      <c r="AY96" s="51">
        <v>3.3833333333333334E-5</v>
      </c>
      <c r="AZ96" s="51">
        <v>3.379166666666667E-5</v>
      </c>
      <c r="BA96" s="51">
        <v>3.375E-5</v>
      </c>
      <c r="BB96" s="51">
        <v>3.370833333333333E-5</v>
      </c>
      <c r="BC96" s="51">
        <v>3.3666666666666667E-5</v>
      </c>
      <c r="BD96" s="51">
        <v>3.3625000000000004E-5</v>
      </c>
      <c r="BE96" s="51">
        <v>3.3583333333333334E-5</v>
      </c>
      <c r="BF96" s="51">
        <v>3.3541666666666664E-5</v>
      </c>
      <c r="BG96" s="51">
        <v>3.3500000000000001E-5</v>
      </c>
      <c r="BH96" s="51">
        <v>3.3458333333333338E-5</v>
      </c>
      <c r="BI96" s="51">
        <v>3.3416666666666668E-5</v>
      </c>
      <c r="BJ96" s="51">
        <v>3.3374999999999998E-5</v>
      </c>
      <c r="BK96" s="51">
        <v>3.3333333333333335E-5</v>
      </c>
      <c r="BL96" s="51">
        <v>3.3291666666666672E-5</v>
      </c>
      <c r="BM96" s="51">
        <v>3.3250000000000002E-5</v>
      </c>
      <c r="BN96" s="51">
        <v>3.3208333333333332E-5</v>
      </c>
      <c r="BO96" s="51">
        <v>3.3166666666666669E-5</v>
      </c>
      <c r="BP96" s="51">
        <v>3.3125000000000006E-5</v>
      </c>
      <c r="BQ96" s="51">
        <v>3.3083333333333336E-5</v>
      </c>
      <c r="BR96" s="51">
        <v>3.3041666666666666E-5</v>
      </c>
      <c r="BS96" s="51">
        <v>3.3000000000000003E-5</v>
      </c>
      <c r="BT96" s="51">
        <v>3.3000000000000003E-5</v>
      </c>
      <c r="BU96" s="51">
        <v>3.3000000000000003E-5</v>
      </c>
      <c r="BV96" s="51">
        <v>3.3000000000000003E-5</v>
      </c>
      <c r="BW96" s="51">
        <v>3.3000000000000003E-5</v>
      </c>
      <c r="BX96" s="51">
        <v>3.3000000000000003E-5</v>
      </c>
      <c r="BY96" s="51">
        <v>3.3000000000000003E-5</v>
      </c>
      <c r="BZ96" s="51">
        <v>3.3000000000000003E-5</v>
      </c>
      <c r="CA96" s="51">
        <v>3.3000000000000003E-5</v>
      </c>
      <c r="CB96" s="51">
        <v>3.3000000000000003E-5</v>
      </c>
      <c r="CC96" s="51">
        <v>3.3000000000000003E-5</v>
      </c>
      <c r="CD96" s="51">
        <v>3.3000000000000003E-5</v>
      </c>
      <c r="CE96" s="51">
        <v>3.3000000000000003E-5</v>
      </c>
      <c r="CF96" s="51">
        <v>3.3000000000000003E-5</v>
      </c>
      <c r="CG96" s="51">
        <v>3.3000000000000003E-5</v>
      </c>
      <c r="CH96" s="51">
        <v>3.3000000000000003E-5</v>
      </c>
      <c r="CI96" s="51">
        <v>3.3000000000000003E-5</v>
      </c>
      <c r="CJ96" s="51">
        <v>3.3000000000000003E-5</v>
      </c>
      <c r="CK96" s="51">
        <v>3.3000000000000003E-5</v>
      </c>
      <c r="CL96" s="51">
        <v>3.3000000000000003E-5</v>
      </c>
      <c r="CM96" s="51">
        <v>3.3000000000000003E-5</v>
      </c>
    </row>
    <row r="97" spans="1:91" s="50" customFormat="1" x14ac:dyDescent="0.25">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spans="1:91" s="50" customFormat="1" x14ac:dyDescent="0.25">
      <c r="A98" s="50" t="s">
        <v>212</v>
      </c>
      <c r="B98" s="4">
        <v>0</v>
      </c>
      <c r="C98" s="4">
        <v>0</v>
      </c>
      <c r="D98" s="4">
        <v>0</v>
      </c>
      <c r="E98" s="4">
        <v>0</v>
      </c>
      <c r="F98" s="4">
        <v>0</v>
      </c>
      <c r="G98" s="4">
        <v>0</v>
      </c>
      <c r="H98" s="4">
        <v>0</v>
      </c>
      <c r="I98" s="4">
        <v>0</v>
      </c>
      <c r="J98" s="4">
        <v>0</v>
      </c>
      <c r="K98" s="4">
        <v>0</v>
      </c>
      <c r="L98" s="4">
        <v>0</v>
      </c>
      <c r="M98" s="4">
        <v>0</v>
      </c>
      <c r="N98" s="4">
        <v>0</v>
      </c>
      <c r="O98" s="4">
        <v>0</v>
      </c>
      <c r="P98" s="4">
        <v>0</v>
      </c>
      <c r="Q98" s="4">
        <v>0</v>
      </c>
      <c r="R98" s="4">
        <v>0</v>
      </c>
      <c r="S98" s="4">
        <v>0</v>
      </c>
      <c r="T98" s="4">
        <v>0</v>
      </c>
      <c r="U98" s="4">
        <v>0</v>
      </c>
      <c r="V98" s="4">
        <v>0</v>
      </c>
      <c r="W98" s="4">
        <v>0</v>
      </c>
      <c r="X98" s="4">
        <v>0</v>
      </c>
      <c r="Y98" s="4">
        <v>0</v>
      </c>
      <c r="Z98" s="4">
        <v>0</v>
      </c>
      <c r="AA98" s="4">
        <v>0</v>
      </c>
      <c r="AB98" s="4">
        <v>0</v>
      </c>
      <c r="AC98" s="4">
        <v>0</v>
      </c>
      <c r="AD98" s="4">
        <v>0</v>
      </c>
      <c r="AE98" s="4">
        <v>0</v>
      </c>
      <c r="AF98" s="51">
        <v>8.0900000000000001E-5</v>
      </c>
      <c r="AG98" s="51">
        <v>8.0833333333333338E-5</v>
      </c>
      <c r="AH98" s="51">
        <v>8.0766666666666674E-5</v>
      </c>
      <c r="AI98" s="51">
        <v>8.0699999999999996E-5</v>
      </c>
      <c r="AJ98" s="51">
        <v>8.0633333333333333E-5</v>
      </c>
      <c r="AK98" s="51">
        <v>8.0566666666666669E-5</v>
      </c>
      <c r="AL98" s="51">
        <v>8.0500000000000005E-5</v>
      </c>
      <c r="AM98" s="51">
        <v>8.0433333333333341E-5</v>
      </c>
      <c r="AN98" s="51">
        <v>8.0366666666666664E-5</v>
      </c>
      <c r="AO98" s="51">
        <v>8.03E-5</v>
      </c>
      <c r="AP98" s="51">
        <v>8.0233333333333337E-5</v>
      </c>
      <c r="AQ98" s="51">
        <v>8.0166666666666673E-5</v>
      </c>
      <c r="AR98" s="51">
        <v>8.0100000000000009E-5</v>
      </c>
      <c r="AS98" s="51">
        <v>8.0033333333333332E-5</v>
      </c>
      <c r="AT98" s="51">
        <v>7.9966666666666668E-5</v>
      </c>
      <c r="AU98" s="51">
        <v>7.9900000000000004E-5</v>
      </c>
      <c r="AV98" s="51">
        <v>7.9790909090909099E-5</v>
      </c>
      <c r="AW98" s="51">
        <v>7.9681818181818179E-5</v>
      </c>
      <c r="AX98" s="51">
        <v>7.9572727272727274E-5</v>
      </c>
      <c r="AY98" s="51">
        <v>7.9463636363636368E-5</v>
      </c>
      <c r="AZ98" s="51">
        <v>7.9354545454545463E-5</v>
      </c>
      <c r="BA98" s="51">
        <v>7.9245454545454544E-5</v>
      </c>
      <c r="BB98" s="51">
        <v>7.9136363636363638E-5</v>
      </c>
      <c r="BC98" s="51">
        <v>7.9027272727272732E-5</v>
      </c>
      <c r="BD98" s="51">
        <v>7.8918181818181827E-5</v>
      </c>
      <c r="BE98" s="51">
        <v>7.8809090909090908E-5</v>
      </c>
      <c r="BF98" s="51">
        <v>7.8700000000000002E-5</v>
      </c>
      <c r="BG98" s="51">
        <v>7.8590909090909096E-5</v>
      </c>
      <c r="BH98" s="51">
        <v>7.8481818181818177E-5</v>
      </c>
      <c r="BI98" s="51">
        <v>7.8372727272727272E-5</v>
      </c>
      <c r="BJ98" s="51">
        <v>7.8263636363636366E-5</v>
      </c>
      <c r="BK98" s="51">
        <v>7.8154545454545461E-5</v>
      </c>
      <c r="BL98" s="51">
        <v>7.8045454545454541E-5</v>
      </c>
      <c r="BM98" s="51">
        <v>7.7936363636363636E-5</v>
      </c>
      <c r="BN98" s="51">
        <v>7.782727272727273E-5</v>
      </c>
      <c r="BO98" s="51">
        <v>7.7718181818181825E-5</v>
      </c>
      <c r="BP98" s="51">
        <v>7.7609090909090906E-5</v>
      </c>
      <c r="BQ98" s="51">
        <v>7.75E-5</v>
      </c>
      <c r="BR98" s="51">
        <v>7.7390909090909094E-5</v>
      </c>
      <c r="BS98" s="51">
        <v>7.6000000000000004E-5</v>
      </c>
      <c r="BT98" s="51">
        <v>7.5955E-5</v>
      </c>
      <c r="BU98" s="51">
        <v>7.5909999999999997E-5</v>
      </c>
      <c r="BV98" s="51">
        <v>7.5865000000000006E-5</v>
      </c>
      <c r="BW98" s="51">
        <v>7.5820000000000003E-5</v>
      </c>
      <c r="BX98" s="51">
        <v>7.5774999999999999E-5</v>
      </c>
      <c r="BY98" s="51">
        <v>7.5730000000000008E-5</v>
      </c>
      <c r="BZ98" s="51">
        <v>7.5685000000000005E-5</v>
      </c>
      <c r="CA98" s="51">
        <v>7.5640000000000001E-5</v>
      </c>
      <c r="CB98" s="51">
        <v>7.5594999999999997E-5</v>
      </c>
      <c r="CC98" s="51">
        <v>7.5549999999999993E-5</v>
      </c>
      <c r="CD98" s="51">
        <v>7.5505000000000003E-5</v>
      </c>
      <c r="CE98" s="51">
        <v>7.5459999999999999E-5</v>
      </c>
      <c r="CF98" s="51">
        <v>7.5414999999999995E-5</v>
      </c>
      <c r="CG98" s="51">
        <v>7.5370000000000005E-5</v>
      </c>
      <c r="CH98" s="51">
        <v>7.5325000000000001E-5</v>
      </c>
      <c r="CI98" s="51">
        <v>7.5279999999999998E-5</v>
      </c>
      <c r="CJ98" s="51">
        <v>7.5234999999999994E-5</v>
      </c>
      <c r="CK98" s="51">
        <v>7.518999999999999E-5</v>
      </c>
      <c r="CL98" s="51">
        <v>7.5145E-5</v>
      </c>
      <c r="CM98" s="51">
        <v>7.5099999999999996E-5</v>
      </c>
    </row>
    <row r="99" spans="1:91" s="50" customFormat="1" x14ac:dyDescent="0.25">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spans="1:91" s="50" customFormat="1" x14ac:dyDescent="0.25">
      <c r="A100" s="50" t="s">
        <v>213</v>
      </c>
      <c r="B100" s="4">
        <v>0</v>
      </c>
      <c r="C100" s="4">
        <v>0</v>
      </c>
      <c r="D100" s="4">
        <v>0</v>
      </c>
      <c r="E100" s="4">
        <v>0</v>
      </c>
      <c r="F100" s="4">
        <v>0</v>
      </c>
      <c r="G100" s="4">
        <v>0</v>
      </c>
      <c r="H100" s="4">
        <v>0</v>
      </c>
      <c r="I100" s="4">
        <v>0</v>
      </c>
      <c r="J100" s="4">
        <v>0</v>
      </c>
      <c r="K100" s="4">
        <v>0</v>
      </c>
      <c r="L100" s="4">
        <v>0</v>
      </c>
      <c r="M100" s="4">
        <v>0</v>
      </c>
      <c r="N100" s="4">
        <v>0</v>
      </c>
      <c r="O100" s="4">
        <v>0</v>
      </c>
      <c r="P100" s="4">
        <v>0</v>
      </c>
      <c r="Q100" s="4">
        <v>0</v>
      </c>
      <c r="R100" s="4">
        <v>0</v>
      </c>
      <c r="S100" s="4">
        <v>0</v>
      </c>
      <c r="T100" s="4">
        <v>0</v>
      </c>
      <c r="U100" s="4">
        <v>0</v>
      </c>
      <c r="V100" s="4">
        <v>0</v>
      </c>
      <c r="W100" s="4">
        <v>0</v>
      </c>
      <c r="X100" s="4">
        <v>0</v>
      </c>
      <c r="Y100" s="4">
        <v>0</v>
      </c>
      <c r="Z100" s="4">
        <v>0</v>
      </c>
      <c r="AA100" s="4">
        <v>0</v>
      </c>
      <c r="AB100" s="4">
        <v>0</v>
      </c>
      <c r="AC100" s="4">
        <v>0</v>
      </c>
      <c r="AD100" s="4">
        <v>0</v>
      </c>
      <c r="AE100" s="4">
        <v>0</v>
      </c>
      <c r="AF100" s="51">
        <v>2.6047124150016419E-5</v>
      </c>
      <c r="AG100" s="51">
        <v>2.5931820509822103E-5</v>
      </c>
      <c r="AH100" s="51">
        <v>2.5817027287951345E-5</v>
      </c>
      <c r="AI100" s="51">
        <v>2.5702742224918969E-5</v>
      </c>
      <c r="AJ100" s="51">
        <v>2.5588963071241946E-5</v>
      </c>
      <c r="AK100" s="51">
        <v>2.5475687587395098E-5</v>
      </c>
      <c r="AL100" s="51">
        <v>2.5362913543767027E-5</v>
      </c>
      <c r="AM100" s="51">
        <v>2.5250638720616227E-5</v>
      </c>
      <c r="AN100" s="51">
        <v>2.5138860908027395E-5</v>
      </c>
      <c r="AO100" s="51">
        <v>2.5027577905867931E-5</v>
      </c>
      <c r="AP100" s="51">
        <v>2.4916787523744632E-5</v>
      </c>
      <c r="AQ100" s="51">
        <v>2.4806487580960574E-5</v>
      </c>
      <c r="AR100" s="51">
        <v>2.4696675906472202E-5</v>
      </c>
      <c r="AS100" s="51">
        <v>2.4587350338846587E-5</v>
      </c>
      <c r="AT100" s="51">
        <v>2.4478508726218878E-5</v>
      </c>
      <c r="AU100" s="51">
        <v>2.4370148926249962E-5</v>
      </c>
      <c r="AV100" s="51">
        <v>2.4378852289661097E-5</v>
      </c>
      <c r="AW100" s="51">
        <v>2.438755876132302E-5</v>
      </c>
      <c r="AX100" s="51">
        <v>2.4396268342345792E-5</v>
      </c>
      <c r="AY100" s="51">
        <v>2.4404981033839863E-5</v>
      </c>
      <c r="AZ100" s="51">
        <v>2.4413696836916083E-5</v>
      </c>
      <c r="BA100" s="51">
        <v>2.4422415752685697E-5</v>
      </c>
      <c r="BB100" s="51">
        <v>2.443113778226035E-5</v>
      </c>
      <c r="BC100" s="51">
        <v>2.4439862926752079E-5</v>
      </c>
      <c r="BD100" s="51">
        <v>2.4448591187273323E-5</v>
      </c>
      <c r="BE100" s="51">
        <v>2.4457322564936916E-5</v>
      </c>
      <c r="BF100" s="51">
        <v>2.4466057060856087E-5</v>
      </c>
      <c r="BG100" s="51">
        <v>2.4474794676144469E-5</v>
      </c>
      <c r="BH100" s="51">
        <v>2.4483535411916089E-5</v>
      </c>
      <c r="BI100" s="51">
        <v>2.4492279269285369E-5</v>
      </c>
      <c r="BJ100" s="51">
        <v>2.4501026249367136E-5</v>
      </c>
      <c r="BK100" s="51">
        <v>2.4509776353276607E-5</v>
      </c>
      <c r="BL100" s="51">
        <v>2.4518529582129402E-5</v>
      </c>
      <c r="BM100" s="51">
        <v>2.4527285937041538E-5</v>
      </c>
      <c r="BN100" s="51">
        <v>2.4536045419129436E-5</v>
      </c>
      <c r="BO100" s="51">
        <v>2.4544808029509907E-5</v>
      </c>
      <c r="BP100" s="51">
        <v>2.4553573769300165E-5</v>
      </c>
      <c r="BQ100" s="51">
        <v>2.4562342639617823E-5</v>
      </c>
      <c r="BR100" s="51">
        <v>2.4571114641580892E-5</v>
      </c>
      <c r="BS100" s="51">
        <v>2.4579889776307785E-5</v>
      </c>
      <c r="BT100" s="51">
        <v>2.4588668044917313E-5</v>
      </c>
      <c r="BU100" s="51">
        <v>2.4597449448528686E-5</v>
      </c>
      <c r="BV100" s="51">
        <v>2.460623398826151E-5</v>
      </c>
      <c r="BW100" s="51">
        <v>2.4615021665235799E-5</v>
      </c>
      <c r="BX100" s="51">
        <v>2.4623812480571962E-5</v>
      </c>
      <c r="BY100" s="51">
        <v>2.463260643539081E-5</v>
      </c>
      <c r="BZ100" s="51">
        <v>2.4641403530813551E-5</v>
      </c>
      <c r="CA100" s="51">
        <v>2.4650203767961796E-5</v>
      </c>
      <c r="CB100" s="51">
        <v>2.4659007147957558E-5</v>
      </c>
      <c r="CC100" s="51">
        <v>2.4667813671923248E-5</v>
      </c>
      <c r="CD100" s="51">
        <v>2.4676623340981674E-5</v>
      </c>
      <c r="CE100" s="51">
        <v>2.4685436156256055E-5</v>
      </c>
      <c r="CF100" s="51">
        <v>2.4694252118870006E-5</v>
      </c>
      <c r="CG100" s="51">
        <v>2.4703071229947542E-5</v>
      </c>
      <c r="CH100" s="51">
        <v>2.4711893490613081E-5</v>
      </c>
      <c r="CI100" s="51">
        <v>2.4720718901991441E-5</v>
      </c>
      <c r="CJ100" s="51">
        <v>2.4729547465207841E-5</v>
      </c>
      <c r="CK100" s="51">
        <v>2.4738379181387907E-5</v>
      </c>
      <c r="CL100" s="51">
        <v>2.4747214051657664E-5</v>
      </c>
      <c r="CM100" s="51">
        <v>2.4756052077143536E-5</v>
      </c>
    </row>
    <row r="101" spans="1:91" s="50" customFormat="1" x14ac:dyDescent="0.25">
      <c r="A101" s="50" t="s">
        <v>1</v>
      </c>
      <c r="B101" s="4">
        <v>0</v>
      </c>
      <c r="C101" s="4">
        <v>0</v>
      </c>
      <c r="D101" s="4">
        <v>0</v>
      </c>
      <c r="E101" s="4">
        <v>0</v>
      </c>
      <c r="F101" s="4">
        <v>0</v>
      </c>
      <c r="G101" s="4">
        <v>0</v>
      </c>
      <c r="H101" s="4">
        <v>0</v>
      </c>
      <c r="I101" s="4">
        <v>0</v>
      </c>
      <c r="J101" s="4">
        <v>0</v>
      </c>
      <c r="K101" s="4">
        <v>0</v>
      </c>
      <c r="L101" s="4">
        <v>0</v>
      </c>
      <c r="M101" s="4">
        <v>0</v>
      </c>
      <c r="N101" s="4">
        <v>0</v>
      </c>
      <c r="O101" s="4">
        <v>0</v>
      </c>
      <c r="P101" s="4">
        <v>0</v>
      </c>
      <c r="Q101" s="4">
        <v>0</v>
      </c>
      <c r="R101" s="4">
        <v>0</v>
      </c>
      <c r="S101" s="4">
        <v>0</v>
      </c>
      <c r="T101" s="4">
        <v>0</v>
      </c>
      <c r="U101" s="4">
        <v>0</v>
      </c>
      <c r="V101" s="4">
        <v>0</v>
      </c>
      <c r="W101" s="4">
        <v>0</v>
      </c>
      <c r="X101" s="4">
        <v>0</v>
      </c>
      <c r="Y101" s="4">
        <v>0</v>
      </c>
      <c r="Z101" s="4">
        <v>0</v>
      </c>
      <c r="AA101" s="4">
        <v>0</v>
      </c>
      <c r="AB101" s="4">
        <v>0</v>
      </c>
      <c r="AC101" s="4">
        <v>0</v>
      </c>
      <c r="AD101" s="4">
        <v>0</v>
      </c>
      <c r="AE101" s="4">
        <v>0</v>
      </c>
      <c r="AF101" s="51">
        <v>2.0100000000000001E-4</v>
      </c>
      <c r="AG101" s="51">
        <v>2.0106666666666668E-4</v>
      </c>
      <c r="AH101" s="51">
        <v>2.0113333333333333E-4</v>
      </c>
      <c r="AI101" s="51">
        <v>2.0120000000000001E-4</v>
      </c>
      <c r="AJ101" s="51">
        <v>2.0126666666666666E-4</v>
      </c>
      <c r="AK101" s="51">
        <v>2.0133333333333334E-4</v>
      </c>
      <c r="AL101" s="51">
        <v>2.0140000000000002E-4</v>
      </c>
      <c r="AM101" s="51">
        <v>2.0146666666666667E-4</v>
      </c>
      <c r="AN101" s="51">
        <v>2.0153333333333334E-4</v>
      </c>
      <c r="AO101" s="51">
        <v>2.0159999999999999E-4</v>
      </c>
      <c r="AP101" s="51">
        <v>2.0166666666666667E-4</v>
      </c>
      <c r="AQ101" s="51">
        <v>2.0173333333333335E-4</v>
      </c>
      <c r="AR101" s="51">
        <v>2.018E-4</v>
      </c>
      <c r="AS101" s="51">
        <v>2.0186666666666668E-4</v>
      </c>
      <c r="AT101" s="51">
        <v>2.0193333333333333E-4</v>
      </c>
      <c r="AU101" s="51">
        <v>2.02E-4</v>
      </c>
      <c r="AV101" s="51">
        <v>2.0254166666666668E-4</v>
      </c>
      <c r="AW101" s="51">
        <v>2.0308333333333333E-4</v>
      </c>
      <c r="AX101" s="51">
        <v>2.03625E-4</v>
      </c>
      <c r="AY101" s="51">
        <v>2.0416666666666668E-4</v>
      </c>
      <c r="AZ101" s="51">
        <v>2.0470833333333333E-4</v>
      </c>
      <c r="BA101" s="51">
        <v>2.0525E-4</v>
      </c>
      <c r="BB101" s="51">
        <v>2.0579166666666668E-4</v>
      </c>
      <c r="BC101" s="51">
        <v>2.0633333333333333E-4</v>
      </c>
      <c r="BD101" s="51">
        <v>2.06875E-4</v>
      </c>
      <c r="BE101" s="51">
        <v>2.0741666666666668E-4</v>
      </c>
      <c r="BF101" s="51">
        <v>2.0795833333333332E-4</v>
      </c>
      <c r="BG101" s="51">
        <v>2.085E-4</v>
      </c>
      <c r="BH101" s="51">
        <v>2.0904166666666667E-4</v>
      </c>
      <c r="BI101" s="51">
        <v>2.0958333333333332E-4</v>
      </c>
      <c r="BJ101" s="51">
        <v>2.10125E-4</v>
      </c>
      <c r="BK101" s="51">
        <v>2.1066666666666667E-4</v>
      </c>
      <c r="BL101" s="51">
        <v>2.1120833333333332E-4</v>
      </c>
      <c r="BM101" s="51">
        <v>2.1175E-4</v>
      </c>
      <c r="BN101" s="51">
        <v>2.1229166666666667E-4</v>
      </c>
      <c r="BO101" s="51">
        <v>2.1283333333333332E-4</v>
      </c>
      <c r="BP101" s="51">
        <v>2.13375E-4</v>
      </c>
      <c r="BQ101" s="51">
        <v>2.1391666666666667E-4</v>
      </c>
      <c r="BR101" s="51">
        <v>2.1445833333333332E-4</v>
      </c>
      <c r="BS101" s="51">
        <v>2.1499999999999999E-4</v>
      </c>
      <c r="BT101" s="51">
        <v>2.1535E-4</v>
      </c>
      <c r="BU101" s="51">
        <v>2.1569999999999998E-4</v>
      </c>
      <c r="BV101" s="51">
        <v>2.1604999999999999E-4</v>
      </c>
      <c r="BW101" s="51">
        <v>2.164E-4</v>
      </c>
      <c r="BX101" s="51">
        <v>2.1674999999999998E-4</v>
      </c>
      <c r="BY101" s="51">
        <v>2.1709999999999999E-4</v>
      </c>
      <c r="BZ101" s="51">
        <v>2.1745E-4</v>
      </c>
      <c r="CA101" s="51">
        <v>2.1780000000000001E-4</v>
      </c>
      <c r="CB101" s="51">
        <v>2.1814999999999999E-4</v>
      </c>
      <c r="CC101" s="51">
        <v>2.185E-4</v>
      </c>
      <c r="CD101" s="51">
        <v>2.1885000000000001E-4</v>
      </c>
      <c r="CE101" s="51">
        <v>2.1919999999999999E-4</v>
      </c>
      <c r="CF101" s="51">
        <v>2.1955E-4</v>
      </c>
      <c r="CG101" s="51">
        <v>2.1990000000000001E-4</v>
      </c>
      <c r="CH101" s="51">
        <v>2.2025000000000001E-4</v>
      </c>
      <c r="CI101" s="51">
        <v>2.206E-4</v>
      </c>
      <c r="CJ101" s="51">
        <v>2.2095E-4</v>
      </c>
      <c r="CK101" s="51">
        <v>2.2130000000000001E-4</v>
      </c>
      <c r="CL101" s="51">
        <v>2.2164999999999999E-4</v>
      </c>
      <c r="CM101" s="51">
        <v>2.22E-4</v>
      </c>
    </row>
    <row r="102" spans="1:91" s="50" customFormat="1" x14ac:dyDescent="0.25">
      <c r="A102" s="50" t="s">
        <v>2</v>
      </c>
      <c r="B102" s="4">
        <v>0</v>
      </c>
      <c r="C102" s="4">
        <v>0</v>
      </c>
      <c r="D102" s="4">
        <v>0</v>
      </c>
      <c r="E102" s="4">
        <v>0</v>
      </c>
      <c r="F102" s="4">
        <v>0</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c r="X102" s="4">
        <v>0</v>
      </c>
      <c r="Y102" s="4">
        <v>0</v>
      </c>
      <c r="Z102" s="4">
        <v>0</v>
      </c>
      <c r="AA102" s="4">
        <v>0</v>
      </c>
      <c r="AB102" s="4">
        <v>0</v>
      </c>
      <c r="AC102" s="4">
        <v>0</v>
      </c>
      <c r="AD102" s="4">
        <v>0</v>
      </c>
      <c r="AE102" s="4">
        <v>0</v>
      </c>
      <c r="AF102" s="51">
        <v>3.1090007506599416E-5</v>
      </c>
      <c r="AG102" s="51">
        <v>3.1214866974497405E-5</v>
      </c>
      <c r="AH102" s="51">
        <v>3.1340227886041568E-5</v>
      </c>
      <c r="AI102" s="51">
        <v>3.1466092255061819E-5</v>
      </c>
      <c r="AJ102" s="51">
        <v>3.1592462103475722E-5</v>
      </c>
      <c r="AK102" s="51">
        <v>3.1719339461321004E-5</v>
      </c>
      <c r="AL102" s="51">
        <v>3.1846726366788155E-5</v>
      </c>
      <c r="AM102" s="51">
        <v>3.1974624866253171E-5</v>
      </c>
      <c r="AN102" s="51">
        <v>3.2103037014310414E-5</v>
      </c>
      <c r="AO102" s="51">
        <v>3.2231964873805633E-5</v>
      </c>
      <c r="AP102" s="51">
        <v>3.2361410515869112E-5</v>
      </c>
      <c r="AQ102" s="51">
        <v>3.2491376019948906E-5</v>
      </c>
      <c r="AR102" s="51">
        <v>3.2621863473844284E-5</v>
      </c>
      <c r="AS102" s="51">
        <v>3.2752874973739242E-5</v>
      </c>
      <c r="AT102" s="51">
        <v>3.288441262423619E-5</v>
      </c>
      <c r="AU102" s="51">
        <v>3.3016478538389752E-5</v>
      </c>
      <c r="AV102" s="51">
        <v>3.3049495016928139E-5</v>
      </c>
      <c r="AW102" s="51">
        <v>3.3082544511945068E-5</v>
      </c>
      <c r="AX102" s="51">
        <v>3.3115627056457015E-5</v>
      </c>
      <c r="AY102" s="51">
        <v>3.3148742683513472E-5</v>
      </c>
      <c r="AZ102" s="51">
        <v>3.3181891426196984E-5</v>
      </c>
      <c r="BA102" s="51">
        <v>3.3215073317623179E-5</v>
      </c>
      <c r="BB102" s="51">
        <v>3.3248288390940805E-5</v>
      </c>
      <c r="BC102" s="51">
        <v>3.3281536679331748E-5</v>
      </c>
      <c r="BD102" s="51">
        <v>3.3314818216011078E-5</v>
      </c>
      <c r="BE102" s="51">
        <v>3.3348133034227087E-5</v>
      </c>
      <c r="BF102" s="51">
        <v>3.3381481167261313E-5</v>
      </c>
      <c r="BG102" s="51">
        <v>3.3414862648428577E-5</v>
      </c>
      <c r="BH102" s="51">
        <v>3.3448277511077007E-5</v>
      </c>
      <c r="BI102" s="51">
        <v>3.3481725788588084E-5</v>
      </c>
      <c r="BJ102" s="51">
        <v>3.3515207514376674E-5</v>
      </c>
      <c r="BK102" s="51">
        <v>3.3548722721891052E-5</v>
      </c>
      <c r="BL102" s="51">
        <v>3.3582271444612947E-5</v>
      </c>
      <c r="BM102" s="51">
        <v>3.361585371605756E-5</v>
      </c>
      <c r="BN102" s="51">
        <v>3.3649469569773618E-5</v>
      </c>
      <c r="BO102" s="51">
        <v>3.3683119039343394E-5</v>
      </c>
      <c r="BP102" s="51">
        <v>3.3716802158382734E-5</v>
      </c>
      <c r="BQ102" s="51">
        <v>3.3750518960541119E-5</v>
      </c>
      <c r="BR102" s="51">
        <v>3.3784269479501661E-5</v>
      </c>
      <c r="BS102" s="51">
        <v>3.3818053748981164E-5</v>
      </c>
      <c r="BT102" s="51">
        <v>3.3851871802730143E-5</v>
      </c>
      <c r="BU102" s="51">
        <v>3.3885723674532874E-5</v>
      </c>
      <c r="BV102" s="51">
        <v>3.3919609398207405E-5</v>
      </c>
      <c r="BW102" s="51">
        <v>3.3953529007605609E-5</v>
      </c>
      <c r="BX102" s="51">
        <v>3.3987482536613218E-5</v>
      </c>
      <c r="BY102" s="51">
        <v>3.4021470019149833E-5</v>
      </c>
      <c r="BZ102" s="51">
        <v>3.4055491489168982E-5</v>
      </c>
      <c r="CA102" s="51">
        <v>3.4089546980658153E-5</v>
      </c>
      <c r="CB102" s="51">
        <v>3.412363652763881E-5</v>
      </c>
      <c r="CC102" s="51">
        <v>3.4157760164166448E-5</v>
      </c>
      <c r="CD102" s="51">
        <v>3.4191917924330613E-5</v>
      </c>
      <c r="CE102" s="51">
        <v>3.4226109842254942E-5</v>
      </c>
      <c r="CF102" s="51">
        <v>3.4260335952097197E-5</v>
      </c>
      <c r="CG102" s="51">
        <v>3.4294596288049293E-5</v>
      </c>
      <c r="CH102" s="51">
        <v>3.4328890884337344E-5</v>
      </c>
      <c r="CI102" s="51">
        <v>3.4363219775221679E-5</v>
      </c>
      <c r="CJ102" s="51">
        <v>3.4397582994996899E-5</v>
      </c>
      <c r="CK102" s="51">
        <v>3.4431980577991895E-5</v>
      </c>
      <c r="CL102" s="51">
        <v>3.4466412558569886E-5</v>
      </c>
      <c r="CM102" s="51">
        <v>3.4500878971128458E-5</v>
      </c>
    </row>
    <row r="103" spans="1:91" s="50" customFormat="1" x14ac:dyDescent="0.25">
      <c r="A103" s="50" t="s">
        <v>2</v>
      </c>
      <c r="B103" s="4">
        <v>0</v>
      </c>
      <c r="C103" s="4">
        <v>0</v>
      </c>
      <c r="D103" s="4">
        <v>0</v>
      </c>
      <c r="E103" s="4">
        <v>0</v>
      </c>
      <c r="F103" s="4">
        <v>0</v>
      </c>
      <c r="G103" s="4">
        <v>0</v>
      </c>
      <c r="H103" s="4">
        <v>0</v>
      </c>
      <c r="I103" s="4">
        <v>0</v>
      </c>
      <c r="J103" s="4">
        <v>0</v>
      </c>
      <c r="K103" s="4">
        <v>0</v>
      </c>
      <c r="L103" s="4">
        <v>0</v>
      </c>
      <c r="M103" s="4">
        <v>0</v>
      </c>
      <c r="N103" s="4">
        <v>0</v>
      </c>
      <c r="O103" s="4">
        <v>0</v>
      </c>
      <c r="P103" s="4">
        <v>0</v>
      </c>
      <c r="Q103" s="4">
        <v>0</v>
      </c>
      <c r="R103" s="4">
        <v>0</v>
      </c>
      <c r="S103" s="4">
        <v>0</v>
      </c>
      <c r="T103" s="4">
        <v>0</v>
      </c>
      <c r="U103" s="4">
        <v>0</v>
      </c>
      <c r="V103" s="4">
        <v>0</v>
      </c>
      <c r="W103" s="4">
        <v>0</v>
      </c>
      <c r="X103" s="4">
        <v>0</v>
      </c>
      <c r="Y103" s="4">
        <v>0</v>
      </c>
      <c r="Z103" s="4">
        <v>0</v>
      </c>
      <c r="AA103" s="4">
        <v>0</v>
      </c>
      <c r="AB103" s="4">
        <v>0</v>
      </c>
      <c r="AC103" s="4">
        <v>0</v>
      </c>
      <c r="AD103" s="4">
        <v>0</v>
      </c>
      <c r="AE103" s="4">
        <v>0</v>
      </c>
      <c r="AF103" s="51">
        <v>1.9058062501626263E-5</v>
      </c>
      <c r="AG103" s="51">
        <v>1.9367949696774658E-5</v>
      </c>
      <c r="AH103" s="51">
        <v>1.9682875708104327E-5</v>
      </c>
      <c r="AI103" s="51">
        <v>2.0002922467585699E-5</v>
      </c>
      <c r="AJ103" s="51">
        <v>2.0328173239416362E-5</v>
      </c>
      <c r="AK103" s="51">
        <v>2.0658712641683296E-5</v>
      </c>
      <c r="AL103" s="51">
        <v>2.0994626668377332E-5</v>
      </c>
      <c r="AM103" s="51">
        <v>2.1336002711765583E-5</v>
      </c>
      <c r="AN103" s="51">
        <v>2.1682929585127624E-5</v>
      </c>
      <c r="AO103" s="51">
        <v>2.2035497545861405E-5</v>
      </c>
      <c r="AP103" s="51">
        <v>2.2393798318964842E-5</v>
      </c>
      <c r="AQ103" s="51">
        <v>2.2757925120899231E-5</v>
      </c>
      <c r="AR103" s="51">
        <v>2.3127972683840682E-5</v>
      </c>
      <c r="AS103" s="51">
        <v>2.3504037280325898E-5</v>
      </c>
      <c r="AT103" s="51">
        <v>2.3886216748298676E-5</v>
      </c>
      <c r="AU103" s="51">
        <v>2.4274610516563694E-5</v>
      </c>
      <c r="AV103" s="51">
        <v>2.4444532790179639E-5</v>
      </c>
      <c r="AW103" s="51">
        <v>2.4615644519710897E-5</v>
      </c>
      <c r="AX103" s="51">
        <v>2.4787954031348874E-5</v>
      </c>
      <c r="AY103" s="51">
        <v>2.4961469709568316E-5</v>
      </c>
      <c r="AZ103" s="51">
        <v>2.5136199997535295E-5</v>
      </c>
      <c r="BA103" s="51">
        <v>2.5312153397518044E-5</v>
      </c>
      <c r="BB103" s="51">
        <v>2.5489338471300669E-5</v>
      </c>
      <c r="BC103" s="51">
        <v>2.5667763840599773E-5</v>
      </c>
      <c r="BD103" s="51">
        <v>2.5847438187483973E-5</v>
      </c>
      <c r="BE103" s="51">
        <v>2.6028370254796361E-5</v>
      </c>
      <c r="BF103" s="51">
        <v>2.6210568846579936E-5</v>
      </c>
      <c r="BG103" s="51">
        <v>2.6394042828505995E-5</v>
      </c>
      <c r="BH103" s="51">
        <v>2.6578801128305539E-5</v>
      </c>
      <c r="BI103" s="51">
        <v>2.6764852736203677E-5</v>
      </c>
      <c r="BJ103" s="51">
        <v>2.6952206705357104E-5</v>
      </c>
      <c r="BK103" s="51">
        <v>2.7140872152294603E-5</v>
      </c>
      <c r="BL103" s="51">
        <v>2.7330858257360666E-5</v>
      </c>
      <c r="BM103" s="51">
        <v>2.7522174265162191E-5</v>
      </c>
      <c r="BN103" s="51">
        <v>2.7714829485018327E-5</v>
      </c>
      <c r="BO103" s="51">
        <v>2.7908833291413456E-5</v>
      </c>
      <c r="BP103" s="51">
        <v>2.8104195124453349E-5</v>
      </c>
      <c r="BQ103" s="51">
        <v>2.8300924490324521E-5</v>
      </c>
      <c r="BR103" s="51">
        <v>2.8499030961756792E-5</v>
      </c>
      <c r="BS103" s="51">
        <v>2.8698524178489089E-5</v>
      </c>
      <c r="BT103" s="51">
        <v>2.8899413847738511E-5</v>
      </c>
      <c r="BU103" s="51">
        <v>2.9101709744672679E-5</v>
      </c>
      <c r="BV103" s="51">
        <v>2.9305421712885388E-5</v>
      </c>
      <c r="BW103" s="51">
        <v>2.9510559664875587E-5</v>
      </c>
      <c r="BX103" s="51">
        <v>2.9717133582529715E-5</v>
      </c>
      <c r="BY103" s="51">
        <v>2.9925153517607422E-5</v>
      </c>
      <c r="BZ103" s="51">
        <v>3.0134629592230675E-5</v>
      </c>
      <c r="CA103" s="51">
        <v>3.0345571999376289E-5</v>
      </c>
      <c r="CB103" s="51">
        <v>3.0557991003371919E-5</v>
      </c>
      <c r="CC103" s="51">
        <v>3.0771896940395526E-5</v>
      </c>
      <c r="CD103" s="51">
        <v>3.0987300218978292E-5</v>
      </c>
      <c r="CE103" s="51">
        <v>3.120421132051114E-5</v>
      </c>
      <c r="CF103" s="51">
        <v>3.1422640799754715E-5</v>
      </c>
      <c r="CG103" s="51">
        <v>3.1642599285352998E-5</v>
      </c>
      <c r="CH103" s="51">
        <v>3.1864097480350471E-5</v>
      </c>
      <c r="CI103" s="51">
        <v>3.2087146162712921E-5</v>
      </c>
      <c r="CJ103" s="51">
        <v>3.2311756185851908E-5</v>
      </c>
      <c r="CK103" s="51">
        <v>3.2537938479152873E-5</v>
      </c>
      <c r="CL103" s="51">
        <v>3.2765704048506942E-5</v>
      </c>
      <c r="CM103" s="51">
        <v>3.299506397684649E-5</v>
      </c>
    </row>
    <row r="104" spans="1:91" s="50" customFormat="1" x14ac:dyDescent="0.25">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spans="1:91" s="50" customFormat="1" x14ac:dyDescent="0.25">
      <c r="A105" s="50" t="s">
        <v>214</v>
      </c>
      <c r="B105" s="4">
        <v>0</v>
      </c>
      <c r="C105" s="4">
        <v>0</v>
      </c>
      <c r="D105" s="4">
        <v>0</v>
      </c>
      <c r="E105" s="4">
        <v>0</v>
      </c>
      <c r="F105" s="4">
        <v>0</v>
      </c>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0</v>
      </c>
      <c r="AF105" s="51">
        <v>3.7310549777117386E-5</v>
      </c>
      <c r="AG105" s="51">
        <v>3.7387320455671127E-5</v>
      </c>
      <c r="AH105" s="51">
        <v>3.7464091134224867E-5</v>
      </c>
      <c r="AI105" s="51">
        <v>3.7540861812778601E-5</v>
      </c>
      <c r="AJ105" s="51">
        <v>3.7617632491332342E-5</v>
      </c>
      <c r="AK105" s="51">
        <v>3.7694403169886082E-5</v>
      </c>
      <c r="AL105" s="51">
        <v>3.7771173848439823E-5</v>
      </c>
      <c r="AM105" s="51">
        <v>3.7847944526993563E-5</v>
      </c>
      <c r="AN105" s="51">
        <v>3.7924715205547297E-5</v>
      </c>
      <c r="AO105" s="51">
        <v>3.8001485884101038E-5</v>
      </c>
      <c r="AP105" s="51">
        <v>3.8078256562654778E-5</v>
      </c>
      <c r="AQ105" s="51">
        <v>3.8155027241208519E-5</v>
      </c>
      <c r="AR105" s="51">
        <v>3.823179791976226E-5</v>
      </c>
      <c r="AS105" s="51">
        <v>3.8308568598315993E-5</v>
      </c>
      <c r="AT105" s="51">
        <v>3.8385339276869734E-5</v>
      </c>
      <c r="AU105" s="51">
        <v>3.8462109955423475E-5</v>
      </c>
      <c r="AV105" s="51">
        <v>3.8690126860987058E-5</v>
      </c>
      <c r="AW105" s="51">
        <v>3.8918143766550648E-5</v>
      </c>
      <c r="AX105" s="51">
        <v>3.9146160672114232E-5</v>
      </c>
      <c r="AY105" s="51">
        <v>3.9374177577677815E-5</v>
      </c>
      <c r="AZ105" s="51">
        <v>3.9602194483241399E-5</v>
      </c>
      <c r="BA105" s="51">
        <v>3.9830211388804982E-5</v>
      </c>
      <c r="BB105" s="51">
        <v>4.0058228294368573E-5</v>
      </c>
      <c r="BC105" s="51">
        <v>4.0286245199932156E-5</v>
      </c>
      <c r="BD105" s="51">
        <v>4.051426210549574E-5</v>
      </c>
      <c r="BE105" s="51">
        <v>4.074227901105933E-5</v>
      </c>
      <c r="BF105" s="51">
        <v>4.0970295916622914E-5</v>
      </c>
      <c r="BG105" s="51">
        <v>4.1198312822186497E-5</v>
      </c>
      <c r="BH105" s="51">
        <v>4.1426329727750081E-5</v>
      </c>
      <c r="BI105" s="51">
        <v>4.1654346633313664E-5</v>
      </c>
      <c r="BJ105" s="51">
        <v>4.1882363538877255E-5</v>
      </c>
      <c r="BK105" s="51">
        <v>4.2110380444440838E-5</v>
      </c>
      <c r="BL105" s="51">
        <v>4.2338397350004422E-5</v>
      </c>
      <c r="BM105" s="51">
        <v>4.2566414255568012E-5</v>
      </c>
      <c r="BN105" s="51">
        <v>4.2794431161131595E-5</v>
      </c>
      <c r="BO105" s="51">
        <v>4.3022448066695179E-5</v>
      </c>
      <c r="BP105" s="51">
        <v>4.3250464972258763E-5</v>
      </c>
      <c r="BQ105" s="51">
        <v>4.3478481877822346E-5</v>
      </c>
      <c r="BR105" s="51">
        <v>4.3706498783385936E-5</v>
      </c>
      <c r="BS105" s="51">
        <v>4.393451568894952E-5</v>
      </c>
      <c r="BT105" s="51">
        <v>4.393451568894952E-5</v>
      </c>
      <c r="BU105" s="51">
        <v>4.393451568894952E-5</v>
      </c>
      <c r="BV105" s="51">
        <v>4.393451568894952E-5</v>
      </c>
      <c r="BW105" s="51">
        <v>4.393451568894952E-5</v>
      </c>
      <c r="BX105" s="51">
        <v>4.393451568894952E-5</v>
      </c>
      <c r="BY105" s="51">
        <v>4.393451568894952E-5</v>
      </c>
      <c r="BZ105" s="51">
        <v>4.393451568894952E-5</v>
      </c>
      <c r="CA105" s="51">
        <v>4.393451568894952E-5</v>
      </c>
      <c r="CB105" s="51">
        <v>4.393451568894952E-5</v>
      </c>
      <c r="CC105" s="51">
        <v>4.393451568894952E-5</v>
      </c>
      <c r="CD105" s="51">
        <v>4.393451568894952E-5</v>
      </c>
      <c r="CE105" s="51">
        <v>4.393451568894952E-5</v>
      </c>
      <c r="CF105" s="51">
        <v>4.393451568894952E-5</v>
      </c>
      <c r="CG105" s="51">
        <v>4.393451568894952E-5</v>
      </c>
      <c r="CH105" s="51">
        <v>4.393451568894952E-5</v>
      </c>
      <c r="CI105" s="51">
        <v>4.393451568894952E-5</v>
      </c>
      <c r="CJ105" s="51">
        <v>4.393451568894952E-5</v>
      </c>
      <c r="CK105" s="51">
        <v>4.393451568894952E-5</v>
      </c>
      <c r="CL105" s="51">
        <v>4.393451568894952E-5</v>
      </c>
      <c r="CM105" s="51">
        <v>4.393451568894952E-5</v>
      </c>
    </row>
    <row r="106" spans="1:91" s="50" customFormat="1" x14ac:dyDescent="0.25">
      <c r="A106" s="50" t="s">
        <v>1</v>
      </c>
      <c r="B106" s="4">
        <v>0</v>
      </c>
      <c r="C106" s="4">
        <v>0</v>
      </c>
      <c r="D106" s="4">
        <v>0</v>
      </c>
      <c r="E106" s="4">
        <v>0</v>
      </c>
      <c r="F106" s="4">
        <v>0</v>
      </c>
      <c r="G106" s="4">
        <v>0</v>
      </c>
      <c r="H106" s="4">
        <v>0</v>
      </c>
      <c r="I106" s="4">
        <v>0</v>
      </c>
      <c r="J106" s="4">
        <v>0</v>
      </c>
      <c r="K106" s="4">
        <v>0</v>
      </c>
      <c r="L106" s="4">
        <v>0</v>
      </c>
      <c r="M106" s="4">
        <v>0</v>
      </c>
      <c r="N106" s="4">
        <v>0</v>
      </c>
      <c r="O106" s="4">
        <v>0</v>
      </c>
      <c r="P106" s="4">
        <v>0</v>
      </c>
      <c r="Q106" s="4">
        <v>0</v>
      </c>
      <c r="R106" s="4">
        <v>0</v>
      </c>
      <c r="S106" s="4">
        <v>0</v>
      </c>
      <c r="T106" s="4">
        <v>0</v>
      </c>
      <c r="U106" s="4">
        <v>0</v>
      </c>
      <c r="V106" s="4">
        <v>0</v>
      </c>
      <c r="W106" s="4">
        <v>0</v>
      </c>
      <c r="X106" s="4">
        <v>0</v>
      </c>
      <c r="Y106" s="4">
        <v>0</v>
      </c>
      <c r="Z106" s="4">
        <v>0</v>
      </c>
      <c r="AA106" s="4">
        <v>0</v>
      </c>
      <c r="AB106" s="4">
        <v>0</v>
      </c>
      <c r="AC106" s="4">
        <v>0</v>
      </c>
      <c r="AD106" s="4">
        <v>0</v>
      </c>
      <c r="AE106" s="4">
        <v>0</v>
      </c>
      <c r="AF106" s="51">
        <v>5.3438335809806834E-5</v>
      </c>
      <c r="AG106" s="51">
        <v>5.3548291233283803E-5</v>
      </c>
      <c r="AH106" s="51">
        <v>5.3658246656760772E-5</v>
      </c>
      <c r="AI106" s="51">
        <v>5.3768202080237741E-5</v>
      </c>
      <c r="AJ106" s="51">
        <v>5.3878157503714709E-5</v>
      </c>
      <c r="AK106" s="51">
        <v>5.3988112927191678E-5</v>
      </c>
      <c r="AL106" s="51">
        <v>5.4098068350668647E-5</v>
      </c>
      <c r="AM106" s="51">
        <v>5.4208023774145616E-5</v>
      </c>
      <c r="AN106" s="51">
        <v>5.4317979197622585E-5</v>
      </c>
      <c r="AO106" s="51">
        <v>5.4427934621099554E-5</v>
      </c>
      <c r="AP106" s="51">
        <v>5.4537890044576523E-5</v>
      </c>
      <c r="AQ106" s="51">
        <v>5.4647845468053492E-5</v>
      </c>
      <c r="AR106" s="51">
        <v>5.4757800891530461E-5</v>
      </c>
      <c r="AS106" s="51">
        <v>5.4867756315007429E-5</v>
      </c>
      <c r="AT106" s="51">
        <v>5.4977711738484398E-5</v>
      </c>
      <c r="AU106" s="51">
        <v>5.5087667161961367E-5</v>
      </c>
      <c r="AV106" s="51">
        <v>5.4915471844219341E-5</v>
      </c>
      <c r="AW106" s="51">
        <v>5.4743276526477322E-5</v>
      </c>
      <c r="AX106" s="51">
        <v>5.4571081208735296E-5</v>
      </c>
      <c r="AY106" s="51">
        <v>5.439888589099327E-5</v>
      </c>
      <c r="AZ106" s="51">
        <v>5.4226690573251244E-5</v>
      </c>
      <c r="BA106" s="51">
        <v>5.4054495255509225E-5</v>
      </c>
      <c r="BB106" s="51">
        <v>5.3882299937767199E-5</v>
      </c>
      <c r="BC106" s="51">
        <v>5.3710104620025173E-5</v>
      </c>
      <c r="BD106" s="51">
        <v>5.3537909302283154E-5</v>
      </c>
      <c r="BE106" s="51">
        <v>5.3365713984541128E-5</v>
      </c>
      <c r="BF106" s="51">
        <v>5.3193518666799102E-5</v>
      </c>
      <c r="BG106" s="51">
        <v>5.3021323349057076E-5</v>
      </c>
      <c r="BH106" s="51">
        <v>5.2849128031315057E-5</v>
      </c>
      <c r="BI106" s="51">
        <v>5.2676932713573031E-5</v>
      </c>
      <c r="BJ106" s="51">
        <v>5.2504737395831005E-5</v>
      </c>
      <c r="BK106" s="51">
        <v>5.2332542078088986E-5</v>
      </c>
      <c r="BL106" s="51">
        <v>5.216034676034696E-5</v>
      </c>
      <c r="BM106" s="51">
        <v>5.1988151442604934E-5</v>
      </c>
      <c r="BN106" s="51">
        <v>5.1815956124862915E-5</v>
      </c>
      <c r="BO106" s="51">
        <v>5.1643760807120889E-5</v>
      </c>
      <c r="BP106" s="51">
        <v>5.1471565489378863E-5</v>
      </c>
      <c r="BQ106" s="51">
        <v>5.1299370171636837E-5</v>
      </c>
      <c r="BR106" s="51">
        <v>5.1127174853894818E-5</v>
      </c>
      <c r="BS106" s="51">
        <v>5.0954979536152792E-5</v>
      </c>
      <c r="BT106" s="51">
        <v>5.0954979536152792E-5</v>
      </c>
      <c r="BU106" s="51">
        <v>5.0954979536152792E-5</v>
      </c>
      <c r="BV106" s="51">
        <v>5.0954979536152792E-5</v>
      </c>
      <c r="BW106" s="51">
        <v>5.0954979536152792E-5</v>
      </c>
      <c r="BX106" s="51">
        <v>5.0954979536152792E-5</v>
      </c>
      <c r="BY106" s="51">
        <v>5.0954979536152792E-5</v>
      </c>
      <c r="BZ106" s="51">
        <v>5.0954979536152792E-5</v>
      </c>
      <c r="CA106" s="51">
        <v>5.0954979536152792E-5</v>
      </c>
      <c r="CB106" s="51">
        <v>5.0954979536152792E-5</v>
      </c>
      <c r="CC106" s="51">
        <v>5.0954979536152792E-5</v>
      </c>
      <c r="CD106" s="51">
        <v>5.0954979536152792E-5</v>
      </c>
      <c r="CE106" s="51">
        <v>5.0954979536152792E-5</v>
      </c>
      <c r="CF106" s="51">
        <v>5.0954979536152792E-5</v>
      </c>
      <c r="CG106" s="51">
        <v>5.0954979536152792E-5</v>
      </c>
      <c r="CH106" s="51">
        <v>5.0954979536152792E-5</v>
      </c>
      <c r="CI106" s="51">
        <v>5.0954979536152792E-5</v>
      </c>
      <c r="CJ106" s="51">
        <v>5.0954979536152792E-5</v>
      </c>
      <c r="CK106" s="51">
        <v>5.0954979536152792E-5</v>
      </c>
      <c r="CL106" s="51">
        <v>5.0954979536152792E-5</v>
      </c>
      <c r="CM106" s="51">
        <v>5.0954979536152792E-5</v>
      </c>
    </row>
    <row r="107" spans="1:91" s="50" customFormat="1" x14ac:dyDescent="0.25">
      <c r="A107" s="50" t="s">
        <v>1</v>
      </c>
      <c r="B107" s="4">
        <v>0</v>
      </c>
      <c r="C107" s="4">
        <v>0</v>
      </c>
      <c r="D107" s="4">
        <v>0</v>
      </c>
      <c r="E107" s="4">
        <v>0</v>
      </c>
      <c r="F107" s="4">
        <v>0</v>
      </c>
      <c r="G107" s="4">
        <v>0</v>
      </c>
      <c r="H107" s="4">
        <v>0</v>
      </c>
      <c r="I107" s="4">
        <v>0</v>
      </c>
      <c r="J107" s="4">
        <v>0</v>
      </c>
      <c r="K107" s="4">
        <v>0</v>
      </c>
      <c r="L107" s="4">
        <v>0</v>
      </c>
      <c r="M107" s="4">
        <v>0</v>
      </c>
      <c r="N107" s="4">
        <v>0</v>
      </c>
      <c r="O107" s="4">
        <v>0</v>
      </c>
      <c r="P107" s="4">
        <v>0</v>
      </c>
      <c r="Q107" s="4">
        <v>0</v>
      </c>
      <c r="R107" s="4">
        <v>0</v>
      </c>
      <c r="S107" s="4">
        <v>0</v>
      </c>
      <c r="T107" s="4">
        <v>0</v>
      </c>
      <c r="U107" s="4">
        <v>0</v>
      </c>
      <c r="V107" s="4">
        <v>0</v>
      </c>
      <c r="W107" s="4">
        <v>0</v>
      </c>
      <c r="X107" s="4">
        <v>0</v>
      </c>
      <c r="Y107" s="4">
        <v>0</v>
      </c>
      <c r="Z107" s="4">
        <v>0</v>
      </c>
      <c r="AA107" s="4">
        <v>0</v>
      </c>
      <c r="AB107" s="4">
        <v>0</v>
      </c>
      <c r="AC107" s="4">
        <v>0</v>
      </c>
      <c r="AD107" s="4">
        <v>0</v>
      </c>
      <c r="AE107" s="4">
        <v>0</v>
      </c>
      <c r="AF107" s="51">
        <v>3.8032689450222883E-5</v>
      </c>
      <c r="AG107" s="51">
        <v>3.8110946012877659E-5</v>
      </c>
      <c r="AH107" s="51">
        <v>3.8189202575532442E-5</v>
      </c>
      <c r="AI107" s="51">
        <v>3.8267459138187219E-5</v>
      </c>
      <c r="AJ107" s="51">
        <v>3.8345715700842002E-5</v>
      </c>
      <c r="AK107" s="51">
        <v>3.8423972263496778E-5</v>
      </c>
      <c r="AL107" s="51">
        <v>3.8502228826151561E-5</v>
      </c>
      <c r="AM107" s="51">
        <v>3.8580485388806337E-5</v>
      </c>
      <c r="AN107" s="51">
        <v>3.865874195146112E-5</v>
      </c>
      <c r="AO107" s="51">
        <v>3.8736998514115897E-5</v>
      </c>
      <c r="AP107" s="51">
        <v>3.881525507677068E-5</v>
      </c>
      <c r="AQ107" s="51">
        <v>3.8893511639425456E-5</v>
      </c>
      <c r="AR107" s="51">
        <v>3.8971768202080239E-5</v>
      </c>
      <c r="AS107" s="51">
        <v>3.9050024764735016E-5</v>
      </c>
      <c r="AT107" s="51">
        <v>3.9128281327389799E-5</v>
      </c>
      <c r="AU107" s="51">
        <v>3.9206537890044575E-5</v>
      </c>
      <c r="AV107" s="51">
        <v>3.9035528779460066E-5</v>
      </c>
      <c r="AW107" s="51">
        <v>3.8864519668875558E-5</v>
      </c>
      <c r="AX107" s="51">
        <v>3.8693510558291049E-5</v>
      </c>
      <c r="AY107" s="51">
        <v>3.8522501447706541E-5</v>
      </c>
      <c r="AZ107" s="51">
        <v>3.8351492337122032E-5</v>
      </c>
      <c r="BA107" s="51">
        <v>3.8180483226537523E-5</v>
      </c>
      <c r="BB107" s="51">
        <v>3.8009474115953015E-5</v>
      </c>
      <c r="BC107" s="51">
        <v>3.7838465005368506E-5</v>
      </c>
      <c r="BD107" s="51">
        <v>3.7667455894783998E-5</v>
      </c>
      <c r="BE107" s="51">
        <v>3.7496446784199489E-5</v>
      </c>
      <c r="BF107" s="51">
        <v>3.7325437673614981E-5</v>
      </c>
      <c r="BG107" s="51">
        <v>3.7154428563030472E-5</v>
      </c>
      <c r="BH107" s="51">
        <v>3.6983419452445963E-5</v>
      </c>
      <c r="BI107" s="51">
        <v>3.6812410341861455E-5</v>
      </c>
      <c r="BJ107" s="51">
        <v>3.6641401231276946E-5</v>
      </c>
      <c r="BK107" s="51">
        <v>3.6470392120692438E-5</v>
      </c>
      <c r="BL107" s="51">
        <v>3.6299383010107929E-5</v>
      </c>
      <c r="BM107" s="51">
        <v>3.612837389952342E-5</v>
      </c>
      <c r="BN107" s="51">
        <v>3.5957364788938912E-5</v>
      </c>
      <c r="BO107" s="51">
        <v>3.5786355678354403E-5</v>
      </c>
      <c r="BP107" s="51">
        <v>3.5615346567769895E-5</v>
      </c>
      <c r="BQ107" s="51">
        <v>3.5444337457185386E-5</v>
      </c>
      <c r="BR107" s="51">
        <v>3.5273328346600878E-5</v>
      </c>
      <c r="BS107" s="51">
        <v>3.5102319236016369E-5</v>
      </c>
      <c r="BT107" s="51">
        <v>3.5102319236016369E-5</v>
      </c>
      <c r="BU107" s="51">
        <v>3.5102319236016369E-5</v>
      </c>
      <c r="BV107" s="51">
        <v>3.5102319236016369E-5</v>
      </c>
      <c r="BW107" s="51">
        <v>3.5102319236016369E-5</v>
      </c>
      <c r="BX107" s="51">
        <v>3.5102319236016369E-5</v>
      </c>
      <c r="BY107" s="51">
        <v>3.5102319236016369E-5</v>
      </c>
      <c r="BZ107" s="51">
        <v>3.5102319236016369E-5</v>
      </c>
      <c r="CA107" s="51">
        <v>3.5102319236016369E-5</v>
      </c>
      <c r="CB107" s="51">
        <v>3.5102319236016369E-5</v>
      </c>
      <c r="CC107" s="51">
        <v>3.5102319236016369E-5</v>
      </c>
      <c r="CD107" s="51">
        <v>3.5102319236016369E-5</v>
      </c>
      <c r="CE107" s="51">
        <v>3.5102319236016369E-5</v>
      </c>
      <c r="CF107" s="51">
        <v>3.5102319236016369E-5</v>
      </c>
      <c r="CG107" s="51">
        <v>3.5102319236016369E-5</v>
      </c>
      <c r="CH107" s="51">
        <v>3.5102319236016369E-5</v>
      </c>
      <c r="CI107" s="51">
        <v>3.5102319236016369E-5</v>
      </c>
      <c r="CJ107" s="51">
        <v>3.5102319236016369E-5</v>
      </c>
      <c r="CK107" s="51">
        <v>3.5102319236016369E-5</v>
      </c>
      <c r="CL107" s="51">
        <v>3.5102319236016369E-5</v>
      </c>
      <c r="CM107" s="51">
        <v>3.5102319236016369E-5</v>
      </c>
    </row>
    <row r="108" spans="1:91" s="50" customFormat="1" x14ac:dyDescent="0.25">
      <c r="A108" s="50" t="s">
        <v>1</v>
      </c>
      <c r="B108" s="4">
        <v>0</v>
      </c>
      <c r="C108" s="4">
        <v>0</v>
      </c>
      <c r="D108" s="4">
        <v>0</v>
      </c>
      <c r="E108" s="4">
        <v>0</v>
      </c>
      <c r="F108" s="4">
        <v>0</v>
      </c>
      <c r="G108" s="4">
        <v>0</v>
      </c>
      <c r="H108" s="4">
        <v>0</v>
      </c>
      <c r="I108" s="4">
        <v>0</v>
      </c>
      <c r="J108" s="4">
        <v>0</v>
      </c>
      <c r="K108" s="4">
        <v>0</v>
      </c>
      <c r="L108" s="4">
        <v>0</v>
      </c>
      <c r="M108" s="4">
        <v>0</v>
      </c>
      <c r="N108" s="4">
        <v>0</v>
      </c>
      <c r="O108" s="4">
        <v>0</v>
      </c>
      <c r="P108" s="4">
        <v>0</v>
      </c>
      <c r="Q108" s="4">
        <v>0</v>
      </c>
      <c r="R108" s="4">
        <v>0</v>
      </c>
      <c r="S108" s="4">
        <v>0</v>
      </c>
      <c r="T108" s="4">
        <v>0</v>
      </c>
      <c r="U108" s="4">
        <v>0</v>
      </c>
      <c r="V108" s="4">
        <v>0</v>
      </c>
      <c r="W108" s="4">
        <v>0</v>
      </c>
      <c r="X108" s="4">
        <v>0</v>
      </c>
      <c r="Y108" s="4">
        <v>0</v>
      </c>
      <c r="Z108" s="4">
        <v>0</v>
      </c>
      <c r="AA108" s="4">
        <v>0</v>
      </c>
      <c r="AB108" s="4">
        <v>0</v>
      </c>
      <c r="AC108" s="4">
        <v>0</v>
      </c>
      <c r="AD108" s="4">
        <v>0</v>
      </c>
      <c r="AE108" s="4">
        <v>0</v>
      </c>
      <c r="AF108" s="51">
        <v>3.3218424962852898E-5</v>
      </c>
      <c r="AG108" s="51">
        <v>3.3286775631500744E-5</v>
      </c>
      <c r="AH108" s="51">
        <v>3.3355126300148591E-5</v>
      </c>
      <c r="AI108" s="51">
        <v>3.3423476968796431E-5</v>
      </c>
      <c r="AJ108" s="51">
        <v>3.3491827637444278E-5</v>
      </c>
      <c r="AK108" s="51">
        <v>3.3560178306092124E-5</v>
      </c>
      <c r="AL108" s="51">
        <v>3.3628528974739971E-5</v>
      </c>
      <c r="AM108" s="51">
        <v>3.3696879643387817E-5</v>
      </c>
      <c r="AN108" s="51">
        <v>3.3765230312035657E-5</v>
      </c>
      <c r="AO108" s="51">
        <v>3.3833580980683504E-5</v>
      </c>
      <c r="AP108" s="51">
        <v>3.3901931649331351E-5</v>
      </c>
      <c r="AQ108" s="51">
        <v>3.3970282317979197E-5</v>
      </c>
      <c r="AR108" s="51">
        <v>3.4038632986627044E-5</v>
      </c>
      <c r="AS108" s="51">
        <v>3.4106983655274884E-5</v>
      </c>
      <c r="AT108" s="51">
        <v>3.417533432392273E-5</v>
      </c>
      <c r="AU108" s="51">
        <v>3.4243684992570577E-5</v>
      </c>
      <c r="AV108" s="51">
        <v>3.4317205848666858E-5</v>
      </c>
      <c r="AW108" s="51">
        <v>3.4390726704763139E-5</v>
      </c>
      <c r="AX108" s="51">
        <v>3.446424756085942E-5</v>
      </c>
      <c r="AY108" s="51">
        <v>3.4537768416955701E-5</v>
      </c>
      <c r="AZ108" s="51">
        <v>3.4611289273051982E-5</v>
      </c>
      <c r="BA108" s="51">
        <v>3.4684810129148263E-5</v>
      </c>
      <c r="BB108" s="51">
        <v>3.4758330985244537E-5</v>
      </c>
      <c r="BC108" s="51">
        <v>3.4831851841340818E-5</v>
      </c>
      <c r="BD108" s="51">
        <v>3.4905372697437099E-5</v>
      </c>
      <c r="BE108" s="51">
        <v>3.497889355353338E-5</v>
      </c>
      <c r="BF108" s="51">
        <v>3.5052414409629662E-5</v>
      </c>
      <c r="BG108" s="51">
        <v>3.5125935265725943E-5</v>
      </c>
      <c r="BH108" s="51">
        <v>3.5199456121822224E-5</v>
      </c>
      <c r="BI108" s="51">
        <v>3.5272976977918505E-5</v>
      </c>
      <c r="BJ108" s="51">
        <v>3.5346497834014786E-5</v>
      </c>
      <c r="BK108" s="51">
        <v>3.5420018690111067E-5</v>
      </c>
      <c r="BL108" s="51">
        <v>3.5493539546207348E-5</v>
      </c>
      <c r="BM108" s="51">
        <v>3.5567060402303622E-5</v>
      </c>
      <c r="BN108" s="51">
        <v>3.5640581258399903E-5</v>
      </c>
      <c r="BO108" s="51">
        <v>3.5714102114496184E-5</v>
      </c>
      <c r="BP108" s="51">
        <v>3.5787622970592465E-5</v>
      </c>
      <c r="BQ108" s="51">
        <v>3.5861143826688746E-5</v>
      </c>
      <c r="BR108" s="51">
        <v>3.5934664682785027E-5</v>
      </c>
      <c r="BS108" s="51">
        <v>3.6008185538881308E-5</v>
      </c>
      <c r="BT108" s="51">
        <v>3.6008185538881308E-5</v>
      </c>
      <c r="BU108" s="51">
        <v>3.6008185538881308E-5</v>
      </c>
      <c r="BV108" s="51">
        <v>3.6008185538881308E-5</v>
      </c>
      <c r="BW108" s="51">
        <v>3.6008185538881308E-5</v>
      </c>
      <c r="BX108" s="51">
        <v>3.6008185538881308E-5</v>
      </c>
      <c r="BY108" s="51">
        <v>3.6008185538881308E-5</v>
      </c>
      <c r="BZ108" s="51">
        <v>3.6008185538881308E-5</v>
      </c>
      <c r="CA108" s="51">
        <v>3.6008185538881308E-5</v>
      </c>
      <c r="CB108" s="51">
        <v>3.6008185538881308E-5</v>
      </c>
      <c r="CC108" s="51">
        <v>3.6008185538881308E-5</v>
      </c>
      <c r="CD108" s="51">
        <v>3.6008185538881308E-5</v>
      </c>
      <c r="CE108" s="51">
        <v>3.6008185538881308E-5</v>
      </c>
      <c r="CF108" s="51">
        <v>3.6008185538881308E-5</v>
      </c>
      <c r="CG108" s="51">
        <v>3.6008185538881308E-5</v>
      </c>
      <c r="CH108" s="51">
        <v>3.6008185538881308E-5</v>
      </c>
      <c r="CI108" s="51">
        <v>3.6008185538881308E-5</v>
      </c>
      <c r="CJ108" s="51">
        <v>3.6008185538881308E-5</v>
      </c>
      <c r="CK108" s="51">
        <v>3.6008185538881308E-5</v>
      </c>
      <c r="CL108" s="51">
        <v>3.6008185538881308E-5</v>
      </c>
      <c r="CM108" s="51">
        <v>3.6008185538881308E-5</v>
      </c>
    </row>
    <row r="109" spans="1:91" s="50" customFormat="1" x14ac:dyDescent="0.25">
      <c r="A109" s="50" t="s">
        <v>1</v>
      </c>
      <c r="B109" s="4">
        <v>0</v>
      </c>
      <c r="C109" s="4">
        <v>0</v>
      </c>
      <c r="D109" s="4">
        <v>0</v>
      </c>
      <c r="E109" s="4">
        <v>0</v>
      </c>
      <c r="F109" s="4">
        <v>0</v>
      </c>
      <c r="G109" s="4">
        <v>0</v>
      </c>
      <c r="H109" s="4">
        <v>0</v>
      </c>
      <c r="I109" s="4">
        <v>0</v>
      </c>
      <c r="J109" s="4">
        <v>0</v>
      </c>
      <c r="K109" s="4">
        <v>0</v>
      </c>
      <c r="L109" s="4">
        <v>0</v>
      </c>
      <c r="M109" s="4">
        <v>0</v>
      </c>
      <c r="N109" s="4">
        <v>0</v>
      </c>
      <c r="O109" s="4">
        <v>0</v>
      </c>
      <c r="P109" s="4">
        <v>0</v>
      </c>
      <c r="Q109" s="4">
        <v>0</v>
      </c>
      <c r="R109" s="4">
        <v>0</v>
      </c>
      <c r="S109" s="4">
        <v>0</v>
      </c>
      <c r="T109" s="4">
        <v>0</v>
      </c>
      <c r="U109" s="4">
        <v>0</v>
      </c>
      <c r="V109" s="4">
        <v>0</v>
      </c>
      <c r="W109" s="4">
        <v>0</v>
      </c>
      <c r="X109" s="4">
        <v>0</v>
      </c>
      <c r="Y109" s="4">
        <v>0</v>
      </c>
      <c r="Z109" s="4">
        <v>0</v>
      </c>
      <c r="AA109" s="4">
        <v>0</v>
      </c>
      <c r="AB109" s="4">
        <v>0</v>
      </c>
      <c r="AC109" s="4">
        <v>0</v>
      </c>
      <c r="AD109" s="4">
        <v>0</v>
      </c>
      <c r="AE109" s="4">
        <v>0</v>
      </c>
      <c r="AF109" s="51">
        <v>1.5999999999999999E-5</v>
      </c>
      <c r="AG109" s="51">
        <v>1.6200000000000001E-5</v>
      </c>
      <c r="AH109" s="51">
        <v>1.6399999999999999E-5</v>
      </c>
      <c r="AI109" s="51">
        <v>1.66E-5</v>
      </c>
      <c r="AJ109" s="51">
        <v>1.6799999999999998E-5</v>
      </c>
      <c r="AK109" s="51">
        <v>1.7E-5</v>
      </c>
      <c r="AL109" s="51">
        <v>1.7200000000000001E-5</v>
      </c>
      <c r="AM109" s="51">
        <v>1.7399999999999999E-5</v>
      </c>
      <c r="AN109" s="51">
        <v>1.7600000000000001E-5</v>
      </c>
      <c r="AO109" s="51">
        <v>1.7799999999999999E-5</v>
      </c>
      <c r="AP109" s="51">
        <v>1.8E-5</v>
      </c>
      <c r="AQ109" s="51">
        <v>1.8200000000000002E-5</v>
      </c>
      <c r="AR109" s="51">
        <v>1.84E-5</v>
      </c>
      <c r="AS109" s="51">
        <v>1.8600000000000001E-5</v>
      </c>
      <c r="AT109" s="51">
        <v>1.88E-5</v>
      </c>
      <c r="AU109" s="51">
        <v>1.9000000000000001E-5</v>
      </c>
      <c r="AV109" s="51">
        <v>1.9041666666666668E-5</v>
      </c>
      <c r="AW109" s="51">
        <v>1.9083333333333334E-5</v>
      </c>
      <c r="AX109" s="51">
        <v>1.9125000000000001E-5</v>
      </c>
      <c r="AY109" s="51">
        <v>1.9166666666666667E-5</v>
      </c>
      <c r="AZ109" s="51">
        <v>1.9208333333333334E-5</v>
      </c>
      <c r="BA109" s="51">
        <v>1.925E-5</v>
      </c>
      <c r="BB109" s="51">
        <v>1.9291666666666667E-5</v>
      </c>
      <c r="BC109" s="51">
        <v>1.9333333333333333E-5</v>
      </c>
      <c r="BD109" s="51">
        <v>1.9375E-5</v>
      </c>
      <c r="BE109" s="51">
        <v>1.9416666666666667E-5</v>
      </c>
      <c r="BF109" s="51">
        <v>1.9458333333333333E-5</v>
      </c>
      <c r="BG109" s="51">
        <v>1.95E-5</v>
      </c>
      <c r="BH109" s="51">
        <v>1.954166666666667E-5</v>
      </c>
      <c r="BI109" s="51">
        <v>1.9583333333333336E-5</v>
      </c>
      <c r="BJ109" s="51">
        <v>1.9625000000000003E-5</v>
      </c>
      <c r="BK109" s="51">
        <v>1.9666666666666669E-5</v>
      </c>
      <c r="BL109" s="51">
        <v>1.9708333333333336E-5</v>
      </c>
      <c r="BM109" s="51">
        <v>1.9750000000000002E-5</v>
      </c>
      <c r="BN109" s="51">
        <v>1.9791666666666669E-5</v>
      </c>
      <c r="BO109" s="51">
        <v>1.9833333333333335E-5</v>
      </c>
      <c r="BP109" s="51">
        <v>1.9875000000000002E-5</v>
      </c>
      <c r="BQ109" s="51">
        <v>1.9916666666666669E-5</v>
      </c>
      <c r="BR109" s="51">
        <v>1.9958333333333335E-5</v>
      </c>
      <c r="BS109" s="51">
        <v>2.0000000000000002E-5</v>
      </c>
      <c r="BT109" s="51">
        <v>2.0050000000000003E-5</v>
      </c>
      <c r="BU109" s="51">
        <v>2.0100000000000001E-5</v>
      </c>
      <c r="BV109" s="51">
        <v>2.0150000000000002E-5</v>
      </c>
      <c r="BW109" s="51">
        <v>2.02E-5</v>
      </c>
      <c r="BX109" s="51">
        <v>2.0250000000000001E-5</v>
      </c>
      <c r="BY109" s="51">
        <v>2.0300000000000002E-5</v>
      </c>
      <c r="BZ109" s="51">
        <v>2.035E-5</v>
      </c>
      <c r="CA109" s="51">
        <v>2.0400000000000001E-5</v>
      </c>
      <c r="CB109" s="51">
        <v>2.0449999999999999E-5</v>
      </c>
      <c r="CC109" s="51">
        <v>2.05E-5</v>
      </c>
      <c r="CD109" s="51">
        <v>2.0550000000000001E-5</v>
      </c>
      <c r="CE109" s="51">
        <v>2.0599999999999999E-5</v>
      </c>
      <c r="CF109" s="51">
        <v>2.065E-5</v>
      </c>
      <c r="CG109" s="51">
        <v>2.0699999999999998E-5</v>
      </c>
      <c r="CH109" s="51">
        <v>2.075E-5</v>
      </c>
      <c r="CI109" s="51">
        <v>2.0800000000000001E-5</v>
      </c>
      <c r="CJ109" s="51">
        <v>2.0849999999999999E-5</v>
      </c>
      <c r="CK109" s="51">
        <v>2.09E-5</v>
      </c>
      <c r="CL109" s="51">
        <v>2.0949999999999998E-5</v>
      </c>
      <c r="CM109" s="51">
        <v>2.0999999999999999E-5</v>
      </c>
    </row>
    <row r="110" spans="1:91" s="50" customFormat="1" x14ac:dyDescent="0.25">
      <c r="A110" s="50" t="s">
        <v>1</v>
      </c>
      <c r="B110" s="4">
        <v>0</v>
      </c>
      <c r="C110" s="4">
        <v>0</v>
      </c>
      <c r="D110" s="4">
        <v>0</v>
      </c>
      <c r="E110" s="4">
        <v>0</v>
      </c>
      <c r="F110" s="4">
        <v>0</v>
      </c>
      <c r="G110" s="4">
        <v>0</v>
      </c>
      <c r="H110" s="4">
        <v>0</v>
      </c>
      <c r="I110" s="4">
        <v>0</v>
      </c>
      <c r="J110" s="4">
        <v>0</v>
      </c>
      <c r="K110" s="4">
        <v>0</v>
      </c>
      <c r="L110" s="4">
        <v>0</v>
      </c>
      <c r="M110" s="4">
        <v>0</v>
      </c>
      <c r="N110" s="4">
        <v>0</v>
      </c>
      <c r="O110" s="4">
        <v>0</v>
      </c>
      <c r="P110" s="4">
        <v>0</v>
      </c>
      <c r="Q110" s="4">
        <v>0</v>
      </c>
      <c r="R110" s="4">
        <v>0</v>
      </c>
      <c r="S110" s="4">
        <v>0</v>
      </c>
      <c r="T110" s="4">
        <v>0</v>
      </c>
      <c r="U110" s="4">
        <v>0</v>
      </c>
      <c r="V110" s="4">
        <v>0</v>
      </c>
      <c r="W110" s="4">
        <v>0</v>
      </c>
      <c r="X110" s="4">
        <v>0</v>
      </c>
      <c r="Y110" s="4">
        <v>0</v>
      </c>
      <c r="Z110" s="4">
        <v>0</v>
      </c>
      <c r="AA110" s="4">
        <v>0</v>
      </c>
      <c r="AB110" s="4">
        <v>0</v>
      </c>
      <c r="AC110" s="4">
        <v>0</v>
      </c>
      <c r="AD110" s="4">
        <v>0</v>
      </c>
      <c r="AE110" s="4">
        <v>0</v>
      </c>
      <c r="AF110" s="51">
        <v>3.6000000000000001E-5</v>
      </c>
      <c r="AG110" s="51">
        <v>3.5866666666666667E-5</v>
      </c>
      <c r="AH110" s="51">
        <v>3.5733333333333332E-5</v>
      </c>
      <c r="AI110" s="51">
        <v>3.5599999999999998E-5</v>
      </c>
      <c r="AJ110" s="51">
        <v>3.546666666666667E-5</v>
      </c>
      <c r="AK110" s="51">
        <v>3.5333333333333336E-5</v>
      </c>
      <c r="AL110" s="51">
        <v>3.5200000000000002E-5</v>
      </c>
      <c r="AM110" s="51">
        <v>3.5066666666666667E-5</v>
      </c>
      <c r="AN110" s="51">
        <v>3.4933333333333333E-5</v>
      </c>
      <c r="AO110" s="51">
        <v>3.4799999999999999E-5</v>
      </c>
      <c r="AP110" s="51">
        <v>3.4666666666666665E-5</v>
      </c>
      <c r="AQ110" s="51">
        <v>3.453333333333333E-5</v>
      </c>
      <c r="AR110" s="51">
        <v>3.4400000000000003E-5</v>
      </c>
      <c r="AS110" s="51">
        <v>3.4266666666666668E-5</v>
      </c>
      <c r="AT110" s="51">
        <v>3.4133333333333334E-5</v>
      </c>
      <c r="AU110" s="51">
        <v>3.4E-5</v>
      </c>
      <c r="AV110" s="51">
        <v>3.3958333333333337E-5</v>
      </c>
      <c r="AW110" s="51">
        <v>3.3916666666666667E-5</v>
      </c>
      <c r="AX110" s="51">
        <v>3.3874999999999997E-5</v>
      </c>
      <c r="AY110" s="51">
        <v>3.3833333333333334E-5</v>
      </c>
      <c r="AZ110" s="51">
        <v>3.379166666666667E-5</v>
      </c>
      <c r="BA110" s="51">
        <v>3.375E-5</v>
      </c>
      <c r="BB110" s="51">
        <v>3.370833333333333E-5</v>
      </c>
      <c r="BC110" s="51">
        <v>3.3666666666666667E-5</v>
      </c>
      <c r="BD110" s="51">
        <v>3.3625000000000004E-5</v>
      </c>
      <c r="BE110" s="51">
        <v>3.3583333333333334E-5</v>
      </c>
      <c r="BF110" s="51">
        <v>3.3541666666666664E-5</v>
      </c>
      <c r="BG110" s="51">
        <v>3.3500000000000001E-5</v>
      </c>
      <c r="BH110" s="51">
        <v>3.3458333333333338E-5</v>
      </c>
      <c r="BI110" s="51">
        <v>3.3416666666666668E-5</v>
      </c>
      <c r="BJ110" s="51">
        <v>3.3374999999999998E-5</v>
      </c>
      <c r="BK110" s="51">
        <v>3.3333333333333335E-5</v>
      </c>
      <c r="BL110" s="51">
        <v>3.3291666666666672E-5</v>
      </c>
      <c r="BM110" s="51">
        <v>3.3250000000000002E-5</v>
      </c>
      <c r="BN110" s="51">
        <v>3.3208333333333332E-5</v>
      </c>
      <c r="BO110" s="51">
        <v>3.3166666666666669E-5</v>
      </c>
      <c r="BP110" s="51">
        <v>3.3125000000000006E-5</v>
      </c>
      <c r="BQ110" s="51">
        <v>3.3083333333333336E-5</v>
      </c>
      <c r="BR110" s="51">
        <v>3.3041666666666666E-5</v>
      </c>
      <c r="BS110" s="51">
        <v>3.3000000000000003E-5</v>
      </c>
      <c r="BT110" s="51">
        <v>3.3000000000000003E-5</v>
      </c>
      <c r="BU110" s="51">
        <v>3.3000000000000003E-5</v>
      </c>
      <c r="BV110" s="51">
        <v>3.3000000000000003E-5</v>
      </c>
      <c r="BW110" s="51">
        <v>3.3000000000000003E-5</v>
      </c>
      <c r="BX110" s="51">
        <v>3.3000000000000003E-5</v>
      </c>
      <c r="BY110" s="51">
        <v>3.3000000000000003E-5</v>
      </c>
      <c r="BZ110" s="51">
        <v>3.3000000000000003E-5</v>
      </c>
      <c r="CA110" s="51">
        <v>3.3000000000000003E-5</v>
      </c>
      <c r="CB110" s="51">
        <v>3.3000000000000003E-5</v>
      </c>
      <c r="CC110" s="51">
        <v>3.3000000000000003E-5</v>
      </c>
      <c r="CD110" s="51">
        <v>3.3000000000000003E-5</v>
      </c>
      <c r="CE110" s="51">
        <v>3.3000000000000003E-5</v>
      </c>
      <c r="CF110" s="51">
        <v>3.3000000000000003E-5</v>
      </c>
      <c r="CG110" s="51">
        <v>3.3000000000000003E-5</v>
      </c>
      <c r="CH110" s="51">
        <v>3.3000000000000003E-5</v>
      </c>
      <c r="CI110" s="51">
        <v>3.3000000000000003E-5</v>
      </c>
      <c r="CJ110" s="51">
        <v>3.3000000000000003E-5</v>
      </c>
      <c r="CK110" s="51">
        <v>3.3000000000000003E-5</v>
      </c>
      <c r="CL110" s="51">
        <v>3.3000000000000003E-5</v>
      </c>
      <c r="CM110" s="51">
        <v>3.3000000000000003E-5</v>
      </c>
    </row>
    <row r="111" spans="1:91" s="50" customFormat="1" x14ac:dyDescent="0.25">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spans="1:91" s="50" customFormat="1" x14ac:dyDescent="0.25">
      <c r="A112" s="50" t="s">
        <v>215</v>
      </c>
      <c r="B112" s="4">
        <v>0</v>
      </c>
      <c r="C112" s="4">
        <v>0</v>
      </c>
      <c r="D112" s="4">
        <v>0</v>
      </c>
      <c r="E112" s="4">
        <v>0</v>
      </c>
      <c r="F112" s="4">
        <v>0</v>
      </c>
      <c r="G112" s="4">
        <v>0</v>
      </c>
      <c r="H112" s="4">
        <v>0</v>
      </c>
      <c r="I112" s="4">
        <v>0</v>
      </c>
      <c r="J112" s="4">
        <v>0</v>
      </c>
      <c r="K112" s="4">
        <v>0</v>
      </c>
      <c r="L112" s="4">
        <v>0</v>
      </c>
      <c r="M112" s="4">
        <v>0</v>
      </c>
      <c r="N112" s="4">
        <v>0</v>
      </c>
      <c r="O112" s="4">
        <v>0</v>
      </c>
      <c r="P112" s="4">
        <v>0</v>
      </c>
      <c r="Q112" s="4">
        <v>0</v>
      </c>
      <c r="R112" s="4">
        <v>0</v>
      </c>
      <c r="S112" s="4">
        <v>0</v>
      </c>
      <c r="T112" s="4">
        <v>0</v>
      </c>
      <c r="U112" s="4">
        <v>0</v>
      </c>
      <c r="V112" s="4">
        <v>0</v>
      </c>
      <c r="W112" s="4">
        <v>0</v>
      </c>
      <c r="X112" s="4">
        <v>0</v>
      </c>
      <c r="Y112" s="4">
        <v>0</v>
      </c>
      <c r="Z112" s="4">
        <v>0</v>
      </c>
      <c r="AA112" s="4">
        <v>0</v>
      </c>
      <c r="AB112" s="4">
        <v>0</v>
      </c>
      <c r="AC112" s="4">
        <v>0</v>
      </c>
      <c r="AD112" s="4">
        <v>0</v>
      </c>
      <c r="AE112" s="4">
        <v>0</v>
      </c>
      <c r="AF112" s="51">
        <v>8.0900000000000001E-5</v>
      </c>
      <c r="AG112" s="51">
        <v>8.0833333333333338E-5</v>
      </c>
      <c r="AH112" s="51">
        <v>8.0766666666666674E-5</v>
      </c>
      <c r="AI112" s="51">
        <v>8.0699999999999996E-5</v>
      </c>
      <c r="AJ112" s="51">
        <v>8.0633333333333333E-5</v>
      </c>
      <c r="AK112" s="51">
        <v>8.0566666666666669E-5</v>
      </c>
      <c r="AL112" s="51">
        <v>8.0500000000000005E-5</v>
      </c>
      <c r="AM112" s="51">
        <v>8.0433333333333341E-5</v>
      </c>
      <c r="AN112" s="51">
        <v>8.0366666666666664E-5</v>
      </c>
      <c r="AO112" s="51">
        <v>8.03E-5</v>
      </c>
      <c r="AP112" s="51">
        <v>8.0233333333333337E-5</v>
      </c>
      <c r="AQ112" s="51">
        <v>8.0166666666666673E-5</v>
      </c>
      <c r="AR112" s="51">
        <v>8.0100000000000009E-5</v>
      </c>
      <c r="AS112" s="51">
        <v>8.0033333333333332E-5</v>
      </c>
      <c r="AT112" s="51">
        <v>7.9966666666666668E-5</v>
      </c>
      <c r="AU112" s="51">
        <v>7.9900000000000004E-5</v>
      </c>
      <c r="AV112" s="51">
        <v>7.9790909090909099E-5</v>
      </c>
      <c r="AW112" s="51">
        <v>7.9681818181818179E-5</v>
      </c>
      <c r="AX112" s="51">
        <v>7.9572727272727274E-5</v>
      </c>
      <c r="AY112" s="51">
        <v>7.9463636363636368E-5</v>
      </c>
      <c r="AZ112" s="51">
        <v>7.9354545454545463E-5</v>
      </c>
      <c r="BA112" s="51">
        <v>7.9245454545454544E-5</v>
      </c>
      <c r="BB112" s="51">
        <v>7.9136363636363638E-5</v>
      </c>
      <c r="BC112" s="51">
        <v>7.9027272727272732E-5</v>
      </c>
      <c r="BD112" s="51">
        <v>7.8918181818181827E-5</v>
      </c>
      <c r="BE112" s="51">
        <v>7.8809090909090908E-5</v>
      </c>
      <c r="BF112" s="51">
        <v>7.8700000000000002E-5</v>
      </c>
      <c r="BG112" s="51">
        <v>7.8590909090909096E-5</v>
      </c>
      <c r="BH112" s="51">
        <v>7.8481818181818177E-5</v>
      </c>
      <c r="BI112" s="51">
        <v>7.8372727272727272E-5</v>
      </c>
      <c r="BJ112" s="51">
        <v>7.8263636363636366E-5</v>
      </c>
      <c r="BK112" s="51">
        <v>7.8154545454545461E-5</v>
      </c>
      <c r="BL112" s="51">
        <v>7.8045454545454541E-5</v>
      </c>
      <c r="BM112" s="51">
        <v>7.7936363636363636E-5</v>
      </c>
      <c r="BN112" s="51">
        <v>7.782727272727273E-5</v>
      </c>
      <c r="BO112" s="51">
        <v>7.7718181818181825E-5</v>
      </c>
      <c r="BP112" s="51">
        <v>7.7609090909090906E-5</v>
      </c>
      <c r="BQ112" s="51">
        <v>7.75E-5</v>
      </c>
      <c r="BR112" s="51">
        <v>7.7390909090909094E-5</v>
      </c>
      <c r="BS112" s="51">
        <v>7.6000000000000004E-5</v>
      </c>
      <c r="BT112" s="51">
        <v>7.5955E-5</v>
      </c>
      <c r="BU112" s="51">
        <v>7.5909999999999997E-5</v>
      </c>
      <c r="BV112" s="51">
        <v>7.5865000000000006E-5</v>
      </c>
      <c r="BW112" s="51">
        <v>7.5820000000000003E-5</v>
      </c>
      <c r="BX112" s="51">
        <v>7.5774999999999999E-5</v>
      </c>
      <c r="BY112" s="51">
        <v>7.5730000000000008E-5</v>
      </c>
      <c r="BZ112" s="51">
        <v>7.5685000000000005E-5</v>
      </c>
      <c r="CA112" s="51">
        <v>7.5640000000000001E-5</v>
      </c>
      <c r="CB112" s="51">
        <v>7.5594999999999997E-5</v>
      </c>
      <c r="CC112" s="51">
        <v>7.5549999999999993E-5</v>
      </c>
      <c r="CD112" s="51">
        <v>7.5505000000000003E-5</v>
      </c>
      <c r="CE112" s="51">
        <v>7.5459999999999999E-5</v>
      </c>
      <c r="CF112" s="51">
        <v>7.5414999999999995E-5</v>
      </c>
      <c r="CG112" s="51">
        <v>7.5370000000000005E-5</v>
      </c>
      <c r="CH112" s="51">
        <v>7.5325000000000001E-5</v>
      </c>
      <c r="CI112" s="51">
        <v>7.5279999999999998E-5</v>
      </c>
      <c r="CJ112" s="51">
        <v>7.5234999999999994E-5</v>
      </c>
      <c r="CK112" s="51">
        <v>7.518999999999999E-5</v>
      </c>
      <c r="CL112" s="51">
        <v>7.5145E-5</v>
      </c>
      <c r="CM112" s="51">
        <v>7.5099999999999996E-5</v>
      </c>
    </row>
    <row r="113" spans="1:91" s="50" customFormat="1" x14ac:dyDescent="0.25">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91" s="50" customFormat="1" x14ac:dyDescent="0.25">
      <c r="A114" s="50" t="s">
        <v>216</v>
      </c>
      <c r="B114" s="4">
        <v>0</v>
      </c>
      <c r="C114" s="4">
        <v>0</v>
      </c>
      <c r="D114" s="4">
        <v>0</v>
      </c>
      <c r="E114" s="4">
        <v>0</v>
      </c>
      <c r="F114" s="4">
        <v>0</v>
      </c>
      <c r="G114" s="4">
        <v>0</v>
      </c>
      <c r="H114" s="4">
        <v>0</v>
      </c>
      <c r="I114" s="4">
        <v>0</v>
      </c>
      <c r="J114" s="4">
        <v>0</v>
      </c>
      <c r="K114" s="4">
        <v>0</v>
      </c>
      <c r="L114" s="4">
        <v>0</v>
      </c>
      <c r="M114" s="4">
        <v>0</v>
      </c>
      <c r="N114" s="4">
        <v>0</v>
      </c>
      <c r="O114" s="4">
        <v>0</v>
      </c>
      <c r="P114" s="4">
        <v>0</v>
      </c>
      <c r="Q114" s="4">
        <v>0</v>
      </c>
      <c r="R114" s="4">
        <v>0</v>
      </c>
      <c r="S114" s="4">
        <v>0</v>
      </c>
      <c r="T114" s="4">
        <v>0</v>
      </c>
      <c r="U114" s="4">
        <v>0</v>
      </c>
      <c r="V114" s="4">
        <v>0</v>
      </c>
      <c r="W114" s="4">
        <v>0</v>
      </c>
      <c r="X114" s="4">
        <v>0</v>
      </c>
      <c r="Y114" s="4">
        <v>0</v>
      </c>
      <c r="Z114" s="4">
        <v>0</v>
      </c>
      <c r="AA114" s="4">
        <v>0</v>
      </c>
      <c r="AB114" s="4">
        <v>0</v>
      </c>
      <c r="AC114" s="4">
        <v>0</v>
      </c>
      <c r="AD114" s="4">
        <v>0</v>
      </c>
      <c r="AE114" s="4">
        <v>0</v>
      </c>
      <c r="AF114" s="51">
        <v>2.1801015140596573E-6</v>
      </c>
      <c r="AG114" s="51">
        <v>2.2202750655975481E-6</v>
      </c>
      <c r="AH114" s="51">
        <v>2.2611889102973673E-6</v>
      </c>
      <c r="AI114" s="51">
        <v>2.302856689819974E-6</v>
      </c>
      <c r="AJ114" s="51">
        <v>2.3452922972062488E-6</v>
      </c>
      <c r="AK114" s="51">
        <v>2.3885098815093694E-6</v>
      </c>
      <c r="AL114" s="51">
        <v>2.4325238525124428E-6</v>
      </c>
      <c r="AM114" s="51">
        <v>2.4773488855330765E-6</v>
      </c>
      <c r="AN114" s="51">
        <v>2.5229999263164813E-6</v>
      </c>
      <c r="AO114" s="51">
        <v>2.5694921960187429E-6</v>
      </c>
      <c r="AP114" s="51">
        <v>2.6168411962819218E-6</v>
      </c>
      <c r="AQ114" s="51">
        <v>2.6650627144026741E-6</v>
      </c>
      <c r="AR114" s="51">
        <v>2.7141728285961167E-6</v>
      </c>
      <c r="AS114" s="51">
        <v>2.7641879133566905E-6</v>
      </c>
      <c r="AT114" s="51">
        <v>2.8151246449178114E-6</v>
      </c>
      <c r="AU114" s="51">
        <v>2.867000006812128E-6</v>
      </c>
      <c r="AV114" s="51">
        <v>2.8939382480568403E-6</v>
      </c>
      <c r="AW114" s="51">
        <v>2.9211296001629527E-6</v>
      </c>
      <c r="AX114" s="51">
        <v>2.9485764413521006E-6</v>
      </c>
      <c r="AY114" s="51">
        <v>2.9762811721916155E-6</v>
      </c>
      <c r="AZ114" s="51">
        <v>3.0042462158044827E-6</v>
      </c>
      <c r="BA114" s="51">
        <v>3.0324740180812747E-6</v>
      </c>
      <c r="BB114" s="51">
        <v>3.0609670478940742E-6</v>
      </c>
      <c r="BC114" s="51">
        <v>3.089727797312408E-6</v>
      </c>
      <c r="BD114" s="51">
        <v>3.1187587818212086E-6</v>
      </c>
      <c r="BE114" s="51">
        <v>3.1480625405408259E-6</v>
      </c>
      <c r="BF114" s="51">
        <v>3.1776416364491042E-6</v>
      </c>
      <c r="BG114" s="51">
        <v>3.2074986566055455E-6</v>
      </c>
      <c r="BH114" s="51">
        <v>3.2376362123775821E-6</v>
      </c>
      <c r="BI114" s="51">
        <v>3.2680569396689717E-6</v>
      </c>
      <c r="BJ114" s="51">
        <v>3.2987634991503394E-6</v>
      </c>
      <c r="BK114" s="51">
        <v>3.3297585764918881E-6</v>
      </c>
      <c r="BL114" s="51">
        <v>3.3610448825982925E-6</v>
      </c>
      <c r="BM114" s="51">
        <v>3.3926251538458018E-6</v>
      </c>
      <c r="BN114" s="51">
        <v>3.4245021523215695E-6</v>
      </c>
      <c r="BO114" s="51">
        <v>3.4566786660652332E-6</v>
      </c>
      <c r="BP114" s="51">
        <v>3.4891575093127617E-6</v>
      </c>
      <c r="BQ114" s="51">
        <v>3.5219415227425969E-6</v>
      </c>
      <c r="BR114" s="51">
        <v>3.5550335737241043E-6</v>
      </c>
      <c r="BS114" s="51">
        <v>3.5884365565683615E-6</v>
      </c>
      <c r="BT114" s="51">
        <v>3.6221533927813016E-6</v>
      </c>
      <c r="BU114" s="51">
        <v>3.6561870313192343E-6</v>
      </c>
      <c r="BV114" s="51">
        <v>3.6905404488467702E-6</v>
      </c>
      <c r="BW114" s="51">
        <v>3.7252166499971658E-6</v>
      </c>
      <c r="BX114" s="51">
        <v>3.760218667635116E-6</v>
      </c>
      <c r="BY114" s="51">
        <v>3.7955495631220175E-6</v>
      </c>
      <c r="BZ114" s="51">
        <v>3.8312124265837207E-6</v>
      </c>
      <c r="CA114" s="51">
        <v>3.8672103771808007E-6</v>
      </c>
      <c r="CB114" s="51">
        <v>3.9035465633813669E-6</v>
      </c>
      <c r="CC114" s="51">
        <v>3.9402241632364353E-6</v>
      </c>
      <c r="CD114" s="51">
        <v>3.9772463846578883E-6</v>
      </c>
      <c r="CE114" s="51">
        <v>4.0146164656990474E-6</v>
      </c>
      <c r="CF114" s="51">
        <v>4.0523376748378801E-6</v>
      </c>
      <c r="CG114" s="51">
        <v>4.0904133112628686E-6</v>
      </c>
      <c r="CH114" s="51">
        <v>4.128846705161567E-6</v>
      </c>
      <c r="CI114" s="51">
        <v>4.1676412180118652E-6</v>
      </c>
      <c r="CJ114" s="51">
        <v>4.2068002428759921E-6</v>
      </c>
      <c r="CK114" s="51">
        <v>4.2463272046972838E-6</v>
      </c>
      <c r="CL114" s="51">
        <v>4.286225560599735E-6</v>
      </c>
      <c r="CM114" s="51">
        <v>4.3264988001903663E-6</v>
      </c>
    </row>
    <row r="115" spans="1:91" s="50" customFormat="1" x14ac:dyDescent="0.25">
      <c r="A115" s="50" t="s">
        <v>1</v>
      </c>
      <c r="B115" s="4">
        <v>0</v>
      </c>
      <c r="C115" s="4">
        <v>0</v>
      </c>
      <c r="D115" s="4">
        <v>0</v>
      </c>
      <c r="E115" s="4">
        <v>0</v>
      </c>
      <c r="F115" s="4">
        <v>0</v>
      </c>
      <c r="G115" s="4">
        <v>0</v>
      </c>
      <c r="H115" s="4">
        <v>0</v>
      </c>
      <c r="I115" s="4">
        <v>0</v>
      </c>
      <c r="J115" s="4">
        <v>0</v>
      </c>
      <c r="K115" s="4">
        <v>0</v>
      </c>
      <c r="L115" s="4">
        <v>0</v>
      </c>
      <c r="M115" s="4">
        <v>0</v>
      </c>
      <c r="N115" s="4">
        <v>0</v>
      </c>
      <c r="O115" s="4">
        <v>0</v>
      </c>
      <c r="P115" s="4">
        <v>0</v>
      </c>
      <c r="Q115" s="4">
        <v>0</v>
      </c>
      <c r="R115" s="4">
        <v>0</v>
      </c>
      <c r="S115" s="4">
        <v>0</v>
      </c>
      <c r="T115" s="4">
        <v>0</v>
      </c>
      <c r="U115" s="4">
        <v>0</v>
      </c>
      <c r="V115" s="4">
        <v>0</v>
      </c>
      <c r="W115" s="4">
        <v>0</v>
      </c>
      <c r="X115" s="4">
        <v>0</v>
      </c>
      <c r="Y115" s="4">
        <v>0</v>
      </c>
      <c r="Z115" s="4">
        <v>0</v>
      </c>
      <c r="AA115" s="4">
        <v>0</v>
      </c>
      <c r="AB115" s="4">
        <v>0</v>
      </c>
      <c r="AC115" s="4">
        <v>0</v>
      </c>
      <c r="AD115" s="4">
        <v>0</v>
      </c>
      <c r="AE115" s="4">
        <v>0</v>
      </c>
      <c r="AF115" s="51">
        <v>2.9E-5</v>
      </c>
      <c r="AG115" s="51">
        <v>2.9133333333333334E-5</v>
      </c>
      <c r="AH115" s="51">
        <v>2.9266666666666665E-5</v>
      </c>
      <c r="AI115" s="51">
        <v>2.94E-5</v>
      </c>
      <c r="AJ115" s="51">
        <v>2.9533333333333334E-5</v>
      </c>
      <c r="AK115" s="51">
        <v>2.9666666666666668E-5</v>
      </c>
      <c r="AL115" s="51">
        <v>2.9799999999999999E-5</v>
      </c>
      <c r="AM115" s="51">
        <v>2.9933333333333334E-5</v>
      </c>
      <c r="AN115" s="51">
        <v>3.0066666666666668E-5</v>
      </c>
      <c r="AO115" s="51">
        <v>3.0200000000000002E-5</v>
      </c>
      <c r="AP115" s="51">
        <v>3.0333333333333333E-5</v>
      </c>
      <c r="AQ115" s="51">
        <v>3.0466666666666667E-5</v>
      </c>
      <c r="AR115" s="51">
        <v>3.0599999999999998E-5</v>
      </c>
      <c r="AS115" s="51">
        <v>3.0733333333333333E-5</v>
      </c>
      <c r="AT115" s="51">
        <v>3.0866666666666667E-5</v>
      </c>
      <c r="AU115" s="51">
        <v>3.1000000000000001E-5</v>
      </c>
      <c r="AV115" s="51">
        <v>3.1083333333333334E-5</v>
      </c>
      <c r="AW115" s="51">
        <v>3.1166666666666668E-5</v>
      </c>
      <c r="AX115" s="51">
        <v>3.1250000000000001E-5</v>
      </c>
      <c r="AY115" s="51">
        <v>3.1333333333333334E-5</v>
      </c>
      <c r="AZ115" s="51">
        <v>3.1416666666666667E-5</v>
      </c>
      <c r="BA115" s="51">
        <v>3.15E-5</v>
      </c>
      <c r="BB115" s="51">
        <v>3.1583333333333333E-5</v>
      </c>
      <c r="BC115" s="51">
        <v>3.1666666666666666E-5</v>
      </c>
      <c r="BD115" s="51">
        <v>3.1749999999999999E-5</v>
      </c>
      <c r="BE115" s="51">
        <v>3.1833333333333332E-5</v>
      </c>
      <c r="BF115" s="51">
        <v>3.1916666666666665E-5</v>
      </c>
      <c r="BG115" s="51">
        <v>3.2000000000000005E-5</v>
      </c>
      <c r="BH115" s="51">
        <v>3.2083333333333338E-5</v>
      </c>
      <c r="BI115" s="51">
        <v>3.2166666666666672E-5</v>
      </c>
      <c r="BJ115" s="51">
        <v>3.2250000000000005E-5</v>
      </c>
      <c r="BK115" s="51">
        <v>3.2333333333333338E-5</v>
      </c>
      <c r="BL115" s="51">
        <v>3.2416666666666671E-5</v>
      </c>
      <c r="BM115" s="51">
        <v>3.2500000000000004E-5</v>
      </c>
      <c r="BN115" s="51">
        <v>3.2583333333333337E-5</v>
      </c>
      <c r="BO115" s="51">
        <v>3.266666666666667E-5</v>
      </c>
      <c r="BP115" s="51">
        <v>3.2750000000000003E-5</v>
      </c>
      <c r="BQ115" s="51">
        <v>3.2833333333333336E-5</v>
      </c>
      <c r="BR115" s="51">
        <v>3.2916666666666669E-5</v>
      </c>
      <c r="BS115" s="51">
        <v>3.3000000000000003E-5</v>
      </c>
      <c r="BT115" s="51">
        <v>3.3200000000000001E-5</v>
      </c>
      <c r="BU115" s="51">
        <v>3.3399999999999999E-5</v>
      </c>
      <c r="BV115" s="51">
        <v>3.3600000000000004E-5</v>
      </c>
      <c r="BW115" s="51">
        <v>3.3800000000000002E-5</v>
      </c>
      <c r="BX115" s="51">
        <v>3.4E-5</v>
      </c>
      <c r="BY115" s="51">
        <v>3.4200000000000005E-5</v>
      </c>
      <c r="BZ115" s="51">
        <v>3.4400000000000003E-5</v>
      </c>
      <c r="CA115" s="51">
        <v>3.4600000000000001E-5</v>
      </c>
      <c r="CB115" s="51">
        <v>3.4799999999999999E-5</v>
      </c>
      <c r="CC115" s="51">
        <v>3.4999999999999997E-5</v>
      </c>
      <c r="CD115" s="51">
        <v>3.5200000000000002E-5</v>
      </c>
      <c r="CE115" s="51">
        <v>3.54E-5</v>
      </c>
      <c r="CF115" s="51">
        <v>3.5599999999999998E-5</v>
      </c>
      <c r="CG115" s="51">
        <v>3.5800000000000003E-5</v>
      </c>
      <c r="CH115" s="51">
        <v>3.6000000000000001E-5</v>
      </c>
      <c r="CI115" s="51">
        <v>3.6199999999999999E-5</v>
      </c>
      <c r="CJ115" s="51">
        <v>3.6399999999999997E-5</v>
      </c>
      <c r="CK115" s="51">
        <v>3.6599999999999995E-5</v>
      </c>
      <c r="CL115" s="51">
        <v>3.68E-5</v>
      </c>
      <c r="CM115" s="51">
        <v>3.6999999999999998E-5</v>
      </c>
    </row>
    <row r="116" spans="1:91" s="50" customFormat="1" x14ac:dyDescent="0.25">
      <c r="A116" s="50" t="s">
        <v>2</v>
      </c>
      <c r="B116" s="4">
        <v>0</v>
      </c>
      <c r="C116" s="4">
        <v>0</v>
      </c>
      <c r="D116" s="4">
        <v>0</v>
      </c>
      <c r="E116" s="4">
        <v>0</v>
      </c>
      <c r="F116" s="4">
        <v>0</v>
      </c>
      <c r="G116" s="4">
        <v>0</v>
      </c>
      <c r="H116" s="4">
        <v>0</v>
      </c>
      <c r="I116" s="4">
        <v>0</v>
      </c>
      <c r="J116" s="4">
        <v>0</v>
      </c>
      <c r="K116" s="4">
        <v>0</v>
      </c>
      <c r="L116" s="4">
        <v>0</v>
      </c>
      <c r="M116" s="4">
        <v>0</v>
      </c>
      <c r="N116" s="4">
        <v>0</v>
      </c>
      <c r="O116" s="4">
        <v>0</v>
      </c>
      <c r="P116" s="4">
        <v>0</v>
      </c>
      <c r="Q116" s="4">
        <v>0</v>
      </c>
      <c r="R116" s="4">
        <v>0</v>
      </c>
      <c r="S116" s="4">
        <v>0</v>
      </c>
      <c r="T116" s="4">
        <v>0</v>
      </c>
      <c r="U116" s="4">
        <v>0</v>
      </c>
      <c r="V116" s="4">
        <v>0</v>
      </c>
      <c r="W116" s="4">
        <v>0</v>
      </c>
      <c r="X116" s="4">
        <v>0</v>
      </c>
      <c r="Y116" s="4">
        <v>0</v>
      </c>
      <c r="Z116" s="4">
        <v>0</v>
      </c>
      <c r="AA116" s="4">
        <v>0</v>
      </c>
      <c r="AB116" s="4">
        <v>0</v>
      </c>
      <c r="AC116" s="4">
        <v>0</v>
      </c>
      <c r="AD116" s="4">
        <v>0</v>
      </c>
      <c r="AE116" s="4">
        <v>0</v>
      </c>
      <c r="AF116" s="51">
        <v>2.2245452532635803E-6</v>
      </c>
      <c r="AG116" s="51">
        <v>2.3196509418806888E-6</v>
      </c>
      <c r="AH116" s="51">
        <v>2.4188226714084344E-6</v>
      </c>
      <c r="AI116" s="51">
        <v>2.522234276755406E-6</v>
      </c>
      <c r="AJ116" s="51">
        <v>2.6300670247710175E-6</v>
      </c>
      <c r="AK116" s="51">
        <v>2.7425099319822915E-6</v>
      </c>
      <c r="AL116" s="51">
        <v>2.8597600959147984E-6</v>
      </c>
      <c r="AM116" s="51">
        <v>2.9820230405785177E-6</v>
      </c>
      <c r="AN116" s="51">
        <v>3.1095130767242102E-6</v>
      </c>
      <c r="AO116" s="51">
        <v>3.2424536775017835E-6</v>
      </c>
      <c r="AP116" s="51">
        <v>3.3810778701791277E-6</v>
      </c>
      <c r="AQ116" s="51">
        <v>3.5256286446080582E-6</v>
      </c>
      <c r="AR116" s="51">
        <v>3.6763593791533454E-6</v>
      </c>
      <c r="AS116" s="51">
        <v>3.8335342848314341E-6</v>
      </c>
      <c r="AT116" s="51">
        <v>3.9974288684373665E-6</v>
      </c>
      <c r="AU116" s="51">
        <v>4.1683304154717062E-6</v>
      </c>
      <c r="AV116" s="51">
        <v>4.268370345443027E-6</v>
      </c>
      <c r="AW116" s="51">
        <v>4.3708112337336594E-6</v>
      </c>
      <c r="AX116" s="51">
        <v>4.4757107033432675E-6</v>
      </c>
      <c r="AY116" s="51">
        <v>4.5831277602235059E-6</v>
      </c>
      <c r="AZ116" s="51">
        <v>4.6931228264688696E-6</v>
      </c>
      <c r="BA116" s="51">
        <v>4.8057577743041222E-6</v>
      </c>
      <c r="BB116" s="51">
        <v>4.9210959608874211E-6</v>
      </c>
      <c r="BC116" s="51">
        <v>5.0392022639487195E-6</v>
      </c>
      <c r="BD116" s="51">
        <v>5.1601431182834891E-6</v>
      </c>
      <c r="BE116" s="51">
        <v>5.2839865531222925E-6</v>
      </c>
      <c r="BF116" s="51">
        <v>5.4108022303972277E-6</v>
      </c>
      <c r="BG116" s="51">
        <v>5.5406614839267611E-6</v>
      </c>
      <c r="BH116" s="51">
        <v>5.6736373595410032E-6</v>
      </c>
      <c r="BI116" s="51">
        <v>5.8098046561699874E-6</v>
      </c>
      <c r="BJ116" s="51">
        <v>5.9492399679180672E-6</v>
      </c>
      <c r="BK116" s="51">
        <v>6.0920217271481012E-6</v>
      </c>
      <c r="BL116" s="51">
        <v>6.2382302485996556E-6</v>
      </c>
      <c r="BM116" s="51">
        <v>6.3879477745660477E-6</v>
      </c>
      <c r="BN116" s="51">
        <v>6.5412585211556331E-6</v>
      </c>
      <c r="BO116" s="51">
        <v>6.6982487256633684E-6</v>
      </c>
      <c r="BP116" s="51">
        <v>6.8590066950792892E-6</v>
      </c>
      <c r="BQ116" s="51">
        <v>7.0236228557611925E-6</v>
      </c>
      <c r="BR116" s="51">
        <v>7.1921898042994611E-6</v>
      </c>
      <c r="BS116" s="51">
        <v>7.3648023596026478E-6</v>
      </c>
      <c r="BT116" s="51">
        <v>7.5415576162331114E-6</v>
      </c>
      <c r="BU116" s="51">
        <v>7.7225549990227067E-6</v>
      </c>
      <c r="BV116" s="51">
        <v>7.9078963189992521E-6</v>
      </c>
      <c r="BW116" s="51">
        <v>8.0976858306552342E-6</v>
      </c>
      <c r="BX116" s="51">
        <v>8.2920302905909596E-6</v>
      </c>
      <c r="BY116" s="51">
        <v>8.491039017565143E-6</v>
      </c>
      <c r="BZ116" s="51">
        <v>8.6948239539867063E-6</v>
      </c>
      <c r="CA116" s="51">
        <v>8.9034997288823875E-6</v>
      </c>
      <c r="CB116" s="51">
        <v>9.117183722375564E-6</v>
      </c>
      <c r="CC116" s="51">
        <v>9.3359961317125772E-6</v>
      </c>
      <c r="CD116" s="51">
        <v>9.5600600388736783E-6</v>
      </c>
      <c r="CE116" s="51">
        <v>9.7895014798066473E-6</v>
      </c>
      <c r="CF116" s="51">
        <v>1.0024449515322007E-5</v>
      </c>
      <c r="CG116" s="51">
        <v>1.0265036303689734E-5</v>
      </c>
      <c r="CH116" s="51">
        <v>1.0511397174978288E-5</v>
      </c>
      <c r="CI116" s="51">
        <v>1.0763670707177766E-5</v>
      </c>
      <c r="CJ116" s="51">
        <v>1.1021998804150032E-5</v>
      </c>
      <c r="CK116" s="51">
        <v>1.1286526775449633E-5</v>
      </c>
      <c r="CL116" s="51">
        <v>1.1557403418060423E-5</v>
      </c>
      <c r="CM116" s="51">
        <v>1.1834781100093873E-5</v>
      </c>
    </row>
    <row r="117" spans="1:91" s="50" customFormat="1" x14ac:dyDescent="0.25">
      <c r="A117" s="50" t="s">
        <v>2</v>
      </c>
      <c r="B117" s="4">
        <v>0</v>
      </c>
      <c r="C117" s="4">
        <v>0</v>
      </c>
      <c r="D117" s="4">
        <v>0</v>
      </c>
      <c r="E117" s="4">
        <v>0</v>
      </c>
      <c r="F117" s="4">
        <v>0</v>
      </c>
      <c r="G117" s="4">
        <v>0</v>
      </c>
      <c r="H117" s="4">
        <v>0</v>
      </c>
      <c r="I117" s="4">
        <v>0</v>
      </c>
      <c r="J117" s="4">
        <v>0</v>
      </c>
      <c r="K117" s="4">
        <v>0</v>
      </c>
      <c r="L117" s="4">
        <v>0</v>
      </c>
      <c r="M117" s="4">
        <v>0</v>
      </c>
      <c r="N117" s="4">
        <v>0</v>
      </c>
      <c r="O117" s="4">
        <v>0</v>
      </c>
      <c r="P117" s="4">
        <v>0</v>
      </c>
      <c r="Q117" s="4">
        <v>0</v>
      </c>
      <c r="R117" s="4">
        <v>0</v>
      </c>
      <c r="S117" s="4">
        <v>0</v>
      </c>
      <c r="T117" s="4">
        <v>0</v>
      </c>
      <c r="U117" s="4">
        <v>0</v>
      </c>
      <c r="V117" s="4">
        <v>0</v>
      </c>
      <c r="W117" s="4">
        <v>0</v>
      </c>
      <c r="X117" s="4">
        <v>0</v>
      </c>
      <c r="Y117" s="4">
        <v>0</v>
      </c>
      <c r="Z117" s="4">
        <v>0</v>
      </c>
      <c r="AA117" s="4">
        <v>0</v>
      </c>
      <c r="AB117" s="4">
        <v>0</v>
      </c>
      <c r="AC117" s="4">
        <v>0</v>
      </c>
      <c r="AD117" s="4">
        <v>0</v>
      </c>
      <c r="AE117" s="4">
        <v>0</v>
      </c>
      <c r="AF117" s="51">
        <v>2.0016015613171661E-6</v>
      </c>
      <c r="AG117" s="51">
        <v>2.05926086555264E-6</v>
      </c>
      <c r="AH117" s="51">
        <v>2.1185811373998356E-6</v>
      </c>
      <c r="AI117" s="51">
        <v>2.1796102236623821E-6</v>
      </c>
      <c r="AJ117" s="51">
        <v>2.2423973494468954E-6</v>
      </c>
      <c r="AK117" s="51">
        <v>2.3069931578671764E-6</v>
      </c>
      <c r="AL117" s="51">
        <v>2.3734497508921568E-6</v>
      </c>
      <c r="AM117" s="51">
        <v>2.4418207313705316E-6</v>
      </c>
      <c r="AN117" s="51">
        <v>2.512161246265979E-6</v>
      </c>
      <c r="AO117" s="51">
        <v>2.5845280311378387E-6</v>
      </c>
      <c r="AP117" s="51">
        <v>2.658979455903126E-6</v>
      </c>
      <c r="AQ117" s="51">
        <v>2.7355755719167964E-6</v>
      </c>
      <c r="AR117" s="51">
        <v>2.8143781604082268E-6</v>
      </c>
      <c r="AS117" s="51">
        <v>2.8954507823129906E-6</v>
      </c>
      <c r="AT117" s="51">
        <v>2.9788588295401135E-6</v>
      </c>
      <c r="AU117" s="51">
        <v>3.0646695777161661E-6</v>
      </c>
      <c r="AV117" s="51">
        <v>3.1504803258922186E-6</v>
      </c>
      <c r="AW117" s="51">
        <v>3.2386937750172007E-6</v>
      </c>
      <c r="AX117" s="51">
        <v>3.3293772007176823E-6</v>
      </c>
      <c r="AY117" s="51">
        <v>3.4225997623377775E-6</v>
      </c>
      <c r="AZ117" s="51">
        <v>3.5184325556832351E-6</v>
      </c>
      <c r="BA117" s="51">
        <v>3.6169486672423659E-6</v>
      </c>
      <c r="BB117" s="51">
        <v>3.718223229925152E-6</v>
      </c>
      <c r="BC117" s="51">
        <v>3.8223334803630562E-6</v>
      </c>
      <c r="BD117" s="51">
        <v>3.929358817813222E-6</v>
      </c>
      <c r="BE117" s="51">
        <v>4.039380864711992E-6</v>
      </c>
      <c r="BF117" s="51">
        <v>4.1524835289239275E-6</v>
      </c>
      <c r="BG117" s="51">
        <v>4.2687530677337971E-6</v>
      </c>
      <c r="BH117" s="51">
        <v>4.3882781536303431E-6</v>
      </c>
      <c r="BI117" s="51">
        <v>4.5111499419319926E-6</v>
      </c>
      <c r="BJ117" s="51">
        <v>4.6374621403060884E-6</v>
      </c>
      <c r="BK117" s="51">
        <v>4.7673110802346591E-6</v>
      </c>
      <c r="BL117" s="51">
        <v>4.9007957904812298E-6</v>
      </c>
      <c r="BM117" s="51">
        <v>5.0380180726147039E-6</v>
      </c>
      <c r="BN117" s="51">
        <v>5.1790825786479152E-6</v>
      </c>
      <c r="BO117" s="51">
        <v>5.3240968908500568E-6</v>
      </c>
      <c r="BP117" s="51">
        <v>5.4731716037938587E-6</v>
      </c>
      <c r="BQ117" s="51">
        <v>5.6264204087000867E-6</v>
      </c>
      <c r="BR117" s="51">
        <v>5.783960180143689E-6</v>
      </c>
      <c r="BS117" s="51">
        <v>5.9459110651877126E-6</v>
      </c>
      <c r="BT117" s="51">
        <v>6.1123965750129682E-6</v>
      </c>
      <c r="BU117" s="51">
        <v>6.2835436791133311E-6</v>
      </c>
      <c r="BV117" s="51">
        <v>6.459482902128504E-6</v>
      </c>
      <c r="BW117" s="51">
        <v>6.6403484233881018E-6</v>
      </c>
      <c r="BX117" s="51">
        <v>6.8262781792429688E-6</v>
      </c>
      <c r="BY117" s="51">
        <v>7.0174139682617719E-6</v>
      </c>
      <c r="BZ117" s="51">
        <v>7.2139015593731018E-6</v>
      </c>
      <c r="CA117" s="51">
        <v>7.4158908030355485E-6</v>
      </c>
      <c r="CB117" s="51">
        <v>7.6235357455205436E-6</v>
      </c>
      <c r="CC117" s="51">
        <v>7.8369947463951196E-6</v>
      </c>
      <c r="CD117" s="51">
        <v>8.0564305992941824E-6</v>
      </c>
      <c r="CE117" s="51">
        <v>8.2820106560744197E-6</v>
      </c>
      <c r="CF117" s="51">
        <v>8.5139069544445038E-6</v>
      </c>
      <c r="CG117" s="51">
        <v>8.7522963491689494E-6</v>
      </c>
      <c r="CH117" s="51">
        <v>8.9973606469456795E-6</v>
      </c>
      <c r="CI117" s="51">
        <v>9.2492867450601582E-6</v>
      </c>
      <c r="CJ117" s="51">
        <v>9.5082667739218426E-6</v>
      </c>
      <c r="CK117" s="51">
        <v>9.7744982435916549E-6</v>
      </c>
      <c r="CL117" s="51">
        <v>1.0048184194412221E-5</v>
      </c>
      <c r="CM117" s="51">
        <v>1.0329533351855764E-5</v>
      </c>
    </row>
    <row r="118" spans="1:91" s="50" customFormat="1" x14ac:dyDescent="0.25">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91" s="50" customFormat="1" x14ac:dyDescent="0.25">
      <c r="A119" s="50" t="s">
        <v>217</v>
      </c>
      <c r="B119" s="4">
        <v>0</v>
      </c>
      <c r="C119" s="4">
        <v>0</v>
      </c>
      <c r="D119" s="4">
        <v>0</v>
      </c>
      <c r="E119" s="4">
        <v>0</v>
      </c>
      <c r="F119" s="4">
        <v>0</v>
      </c>
      <c r="G119" s="4">
        <v>0</v>
      </c>
      <c r="H119" s="4">
        <v>0</v>
      </c>
      <c r="I119" s="4">
        <v>0</v>
      </c>
      <c r="J119" s="4">
        <v>0</v>
      </c>
      <c r="K119" s="4">
        <v>0</v>
      </c>
      <c r="L119" s="4">
        <v>0</v>
      </c>
      <c r="M119" s="4">
        <v>0</v>
      </c>
      <c r="N119" s="4">
        <v>0</v>
      </c>
      <c r="O119" s="4">
        <v>0</v>
      </c>
      <c r="P119" s="4">
        <v>0</v>
      </c>
      <c r="Q119" s="4">
        <v>0</v>
      </c>
      <c r="R119" s="4">
        <v>0</v>
      </c>
      <c r="S119" s="4">
        <v>0</v>
      </c>
      <c r="T119" s="4">
        <v>0</v>
      </c>
      <c r="U119" s="4">
        <v>0</v>
      </c>
      <c r="V119" s="4">
        <v>0</v>
      </c>
      <c r="W119" s="4">
        <v>0</v>
      </c>
      <c r="X119" s="4">
        <v>0</v>
      </c>
      <c r="Y119" s="4">
        <v>0</v>
      </c>
      <c r="Z119" s="4">
        <v>0</v>
      </c>
      <c r="AA119" s="4">
        <v>0</v>
      </c>
      <c r="AB119" s="4">
        <v>0</v>
      </c>
      <c r="AC119" s="4">
        <v>0</v>
      </c>
      <c r="AD119" s="4">
        <v>0</v>
      </c>
      <c r="AE119" s="4">
        <v>0</v>
      </c>
      <c r="AF119" s="51">
        <v>2.6485884101040117E-5</v>
      </c>
      <c r="AG119" s="51">
        <v>2.6639425458147595E-5</v>
      </c>
      <c r="AH119" s="51">
        <v>2.6792966815255076E-5</v>
      </c>
      <c r="AI119" s="51">
        <v>2.6946508172362554E-5</v>
      </c>
      <c r="AJ119" s="51">
        <v>2.7100049529470031E-5</v>
      </c>
      <c r="AK119" s="51">
        <v>2.7253590886577513E-5</v>
      </c>
      <c r="AL119" s="51">
        <v>2.740713224368499E-5</v>
      </c>
      <c r="AM119" s="51">
        <v>2.7560673600792468E-5</v>
      </c>
      <c r="AN119" s="51">
        <v>2.7714214957899949E-5</v>
      </c>
      <c r="AO119" s="51">
        <v>2.7867756315007427E-5</v>
      </c>
      <c r="AP119" s="51">
        <v>2.8021297672114905E-5</v>
      </c>
      <c r="AQ119" s="51">
        <v>2.8174839029222386E-5</v>
      </c>
      <c r="AR119" s="51">
        <v>2.8328380386329864E-5</v>
      </c>
      <c r="AS119" s="51">
        <v>2.8481921743437342E-5</v>
      </c>
      <c r="AT119" s="51">
        <v>2.8635463100544823E-5</v>
      </c>
      <c r="AU119" s="51">
        <v>2.87890044576523E-5</v>
      </c>
      <c r="AV119" s="51">
        <v>2.915540166846067E-5</v>
      </c>
      <c r="AW119" s="51">
        <v>2.9521798879269043E-5</v>
      </c>
      <c r="AX119" s="51">
        <v>2.9888196090077412E-5</v>
      </c>
      <c r="AY119" s="51">
        <v>3.0254593300885785E-5</v>
      </c>
      <c r="AZ119" s="51">
        <v>3.0620990511694158E-5</v>
      </c>
      <c r="BA119" s="51">
        <v>3.0987387722502528E-5</v>
      </c>
      <c r="BB119" s="51">
        <v>3.1353784933310897E-5</v>
      </c>
      <c r="BC119" s="51">
        <v>3.1720182144119267E-5</v>
      </c>
      <c r="BD119" s="51">
        <v>3.2086579354927643E-5</v>
      </c>
      <c r="BE119" s="51">
        <v>3.2452976565736013E-5</v>
      </c>
      <c r="BF119" s="51">
        <v>3.2819373776544382E-5</v>
      </c>
      <c r="BG119" s="51">
        <v>3.3185770987352752E-5</v>
      </c>
      <c r="BH119" s="51">
        <v>3.3552168198161121E-5</v>
      </c>
      <c r="BI119" s="51">
        <v>3.3918565408969498E-5</v>
      </c>
      <c r="BJ119" s="51">
        <v>3.4284962619777867E-5</v>
      </c>
      <c r="BK119" s="51">
        <v>3.4651359830586237E-5</v>
      </c>
      <c r="BL119" s="51">
        <v>3.5017757041394606E-5</v>
      </c>
      <c r="BM119" s="51">
        <v>3.5384154252202983E-5</v>
      </c>
      <c r="BN119" s="51">
        <v>3.5750551463011352E-5</v>
      </c>
      <c r="BO119" s="51">
        <v>3.6116948673819722E-5</v>
      </c>
      <c r="BP119" s="51">
        <v>3.6483345884628091E-5</v>
      </c>
      <c r="BQ119" s="51">
        <v>3.6849743095436461E-5</v>
      </c>
      <c r="BR119" s="51">
        <v>3.7216140306244837E-5</v>
      </c>
      <c r="BS119" s="51">
        <v>3.7582537517053207E-5</v>
      </c>
      <c r="BT119" s="51">
        <v>3.7741336971350613E-5</v>
      </c>
      <c r="BU119" s="51">
        <v>3.790013642564802E-5</v>
      </c>
      <c r="BV119" s="51">
        <v>3.8058935879945427E-5</v>
      </c>
      <c r="BW119" s="51">
        <v>3.8217735334242841E-5</v>
      </c>
      <c r="BX119" s="51">
        <v>3.8376534788540247E-5</v>
      </c>
      <c r="BY119" s="51">
        <v>3.8535334242837654E-5</v>
      </c>
      <c r="BZ119" s="51">
        <v>3.8694133697135061E-5</v>
      </c>
      <c r="CA119" s="51">
        <v>3.8852933151432468E-5</v>
      </c>
      <c r="CB119" s="51">
        <v>3.9011732605729875E-5</v>
      </c>
      <c r="CC119" s="51">
        <v>3.9170532060027282E-5</v>
      </c>
      <c r="CD119" s="51">
        <v>3.9329331514324695E-5</v>
      </c>
      <c r="CE119" s="51">
        <v>3.9488130968622102E-5</v>
      </c>
      <c r="CF119" s="51">
        <v>3.9646930422919509E-5</v>
      </c>
      <c r="CG119" s="51">
        <v>3.9805729877216916E-5</v>
      </c>
      <c r="CH119" s="51">
        <v>3.9964529331514322E-5</v>
      </c>
      <c r="CI119" s="51">
        <v>4.0123328785811729E-5</v>
      </c>
      <c r="CJ119" s="51">
        <v>4.0282128240109143E-5</v>
      </c>
      <c r="CK119" s="51">
        <v>4.044092769440655E-5</v>
      </c>
      <c r="CL119" s="51">
        <v>4.0599727148703956E-5</v>
      </c>
      <c r="CM119" s="51">
        <v>4.0758526603001363E-5</v>
      </c>
    </row>
    <row r="120" spans="1:91" s="50" customFormat="1" x14ac:dyDescent="0.25">
      <c r="A120" s="50" t="s">
        <v>1</v>
      </c>
      <c r="B120" s="4">
        <v>0</v>
      </c>
      <c r="C120" s="4">
        <v>0</v>
      </c>
      <c r="D120" s="4">
        <v>0</v>
      </c>
      <c r="E120" s="4">
        <v>0</v>
      </c>
      <c r="F120" s="4">
        <v>0</v>
      </c>
      <c r="G120" s="4">
        <v>0</v>
      </c>
      <c r="H120" s="4">
        <v>0</v>
      </c>
      <c r="I120" s="4">
        <v>0</v>
      </c>
      <c r="J120" s="4">
        <v>0</v>
      </c>
      <c r="K120" s="4">
        <v>0</v>
      </c>
      <c r="L120" s="4">
        <v>0</v>
      </c>
      <c r="M120" s="4">
        <v>0</v>
      </c>
      <c r="N120" s="4">
        <v>0</v>
      </c>
      <c r="O120" s="4">
        <v>0</v>
      </c>
      <c r="P120" s="4">
        <v>0</v>
      </c>
      <c r="Q120" s="4">
        <v>0</v>
      </c>
      <c r="R120" s="4">
        <v>0</v>
      </c>
      <c r="S120" s="4">
        <v>0</v>
      </c>
      <c r="T120" s="4">
        <v>0</v>
      </c>
      <c r="U120" s="4">
        <v>0</v>
      </c>
      <c r="V120" s="4">
        <v>0</v>
      </c>
      <c r="W120" s="4">
        <v>0</v>
      </c>
      <c r="X120" s="4">
        <v>0</v>
      </c>
      <c r="Y120" s="4">
        <v>0</v>
      </c>
      <c r="Z120" s="4">
        <v>0</v>
      </c>
      <c r="AA120" s="4">
        <v>0</v>
      </c>
      <c r="AB120" s="4">
        <v>0</v>
      </c>
      <c r="AC120" s="4">
        <v>0</v>
      </c>
      <c r="AD120" s="4">
        <v>0</v>
      </c>
      <c r="AE120" s="4">
        <v>0</v>
      </c>
      <c r="AF120" s="51">
        <v>3.7934621099554234E-5</v>
      </c>
      <c r="AG120" s="51">
        <v>3.8154531946508171E-5</v>
      </c>
      <c r="AH120" s="51">
        <v>3.8374442793462109E-5</v>
      </c>
      <c r="AI120" s="51">
        <v>3.8594353640416047E-5</v>
      </c>
      <c r="AJ120" s="51">
        <v>3.8814264487369985E-5</v>
      </c>
      <c r="AK120" s="51">
        <v>3.9034175334323923E-5</v>
      </c>
      <c r="AL120" s="51">
        <v>3.925408618127786E-5</v>
      </c>
      <c r="AM120" s="51">
        <v>3.9473997028231798E-5</v>
      </c>
      <c r="AN120" s="51">
        <v>3.9693907875185736E-5</v>
      </c>
      <c r="AO120" s="51">
        <v>3.9913818722139674E-5</v>
      </c>
      <c r="AP120" s="51">
        <v>4.0133729569093612E-5</v>
      </c>
      <c r="AQ120" s="51">
        <v>4.0353640416047549E-5</v>
      </c>
      <c r="AR120" s="51">
        <v>4.0573551263001487E-5</v>
      </c>
      <c r="AS120" s="51">
        <v>4.0793462109955425E-5</v>
      </c>
      <c r="AT120" s="51">
        <v>4.1013372956909363E-5</v>
      </c>
      <c r="AU120" s="51">
        <v>4.12332838038633E-5</v>
      </c>
      <c r="AV120" s="51">
        <v>4.1331396751326252E-5</v>
      </c>
      <c r="AW120" s="51">
        <v>4.1429509698789196E-5</v>
      </c>
      <c r="AX120" s="51">
        <v>4.1527622646252148E-5</v>
      </c>
      <c r="AY120" s="51">
        <v>4.1625735593715099E-5</v>
      </c>
      <c r="AZ120" s="51">
        <v>4.1723848541178044E-5</v>
      </c>
      <c r="BA120" s="51">
        <v>4.1821961488640995E-5</v>
      </c>
      <c r="BB120" s="51">
        <v>4.1920074436103947E-5</v>
      </c>
      <c r="BC120" s="51">
        <v>4.2018187383566891E-5</v>
      </c>
      <c r="BD120" s="51">
        <v>4.2116300331029843E-5</v>
      </c>
      <c r="BE120" s="51">
        <v>4.2214413278492794E-5</v>
      </c>
      <c r="BF120" s="51">
        <v>4.2312526225955739E-5</v>
      </c>
      <c r="BG120" s="51">
        <v>4.241063917341869E-5</v>
      </c>
      <c r="BH120" s="51">
        <v>4.2508752120881641E-5</v>
      </c>
      <c r="BI120" s="51">
        <v>4.2606865068344586E-5</v>
      </c>
      <c r="BJ120" s="51">
        <v>4.2704978015807537E-5</v>
      </c>
      <c r="BK120" s="51">
        <v>4.2803090963270489E-5</v>
      </c>
      <c r="BL120" s="51">
        <v>4.2901203910733433E-5</v>
      </c>
      <c r="BM120" s="51">
        <v>4.2999316858196385E-5</v>
      </c>
      <c r="BN120" s="51">
        <v>4.3097429805659336E-5</v>
      </c>
      <c r="BO120" s="51">
        <v>4.3195542753122281E-5</v>
      </c>
      <c r="BP120" s="51">
        <v>4.3293655700585232E-5</v>
      </c>
      <c r="BQ120" s="51">
        <v>4.3391768648048183E-5</v>
      </c>
      <c r="BR120" s="51">
        <v>4.3489881595511128E-5</v>
      </c>
      <c r="BS120" s="51">
        <v>4.3587994542974079E-5</v>
      </c>
      <c r="BT120" s="51">
        <v>4.3772169167803545E-5</v>
      </c>
      <c r="BU120" s="51">
        <v>4.3956343792633017E-5</v>
      </c>
      <c r="BV120" s="51">
        <v>4.4140518417462483E-5</v>
      </c>
      <c r="BW120" s="51">
        <v>4.4324693042291949E-5</v>
      </c>
      <c r="BX120" s="51">
        <v>4.4508867667121421E-5</v>
      </c>
      <c r="BY120" s="51">
        <v>4.4693042291950887E-5</v>
      </c>
      <c r="BZ120" s="51">
        <v>4.4877216916780352E-5</v>
      </c>
      <c r="CA120" s="51">
        <v>4.5061391541609818E-5</v>
      </c>
      <c r="CB120" s="51">
        <v>4.524556616643929E-5</v>
      </c>
      <c r="CC120" s="51">
        <v>4.5429740791268756E-5</v>
      </c>
      <c r="CD120" s="51">
        <v>4.5613915416098222E-5</v>
      </c>
      <c r="CE120" s="51">
        <v>4.5798090040927694E-5</v>
      </c>
      <c r="CF120" s="51">
        <v>4.598226466575716E-5</v>
      </c>
      <c r="CG120" s="51">
        <v>4.6166439290586625E-5</v>
      </c>
      <c r="CH120" s="51">
        <v>4.6350613915416091E-5</v>
      </c>
      <c r="CI120" s="51">
        <v>4.6534788540245563E-5</v>
      </c>
      <c r="CJ120" s="51">
        <v>4.6718963165075029E-5</v>
      </c>
      <c r="CK120" s="51">
        <v>4.6903137789904494E-5</v>
      </c>
      <c r="CL120" s="51">
        <v>4.7087312414733967E-5</v>
      </c>
      <c r="CM120" s="51">
        <v>4.7271487039563433E-5</v>
      </c>
    </row>
    <row r="121" spans="1:91" s="50" customFormat="1" x14ac:dyDescent="0.25">
      <c r="A121" s="50" t="s">
        <v>1</v>
      </c>
      <c r="B121" s="4">
        <v>0</v>
      </c>
      <c r="C121" s="4">
        <v>0</v>
      </c>
      <c r="D121" s="4">
        <v>0</v>
      </c>
      <c r="E121" s="4">
        <v>0</v>
      </c>
      <c r="F121" s="4">
        <v>0</v>
      </c>
      <c r="G121" s="4">
        <v>0</v>
      </c>
      <c r="H121" s="4">
        <v>0</v>
      </c>
      <c r="I121" s="4">
        <v>0</v>
      </c>
      <c r="J121" s="4">
        <v>0</v>
      </c>
      <c r="K121" s="4">
        <v>0</v>
      </c>
      <c r="L121" s="4">
        <v>0</v>
      </c>
      <c r="M121" s="4">
        <v>0</v>
      </c>
      <c r="N121" s="4">
        <v>0</v>
      </c>
      <c r="O121" s="4">
        <v>0</v>
      </c>
      <c r="P121" s="4">
        <v>0</v>
      </c>
      <c r="Q121" s="4">
        <v>0</v>
      </c>
      <c r="R121" s="4">
        <v>0</v>
      </c>
      <c r="S121" s="4">
        <v>0</v>
      </c>
      <c r="T121" s="4">
        <v>0</v>
      </c>
      <c r="U121" s="4">
        <v>0</v>
      </c>
      <c r="V121" s="4">
        <v>0</v>
      </c>
      <c r="W121" s="4">
        <v>0</v>
      </c>
      <c r="X121" s="4">
        <v>0</v>
      </c>
      <c r="Y121" s="4">
        <v>0</v>
      </c>
      <c r="Z121" s="4">
        <v>0</v>
      </c>
      <c r="AA121" s="4">
        <v>0</v>
      </c>
      <c r="AB121" s="4">
        <v>0</v>
      </c>
      <c r="AC121" s="4">
        <v>0</v>
      </c>
      <c r="AD121" s="4">
        <v>0</v>
      </c>
      <c r="AE121" s="4">
        <v>0</v>
      </c>
      <c r="AF121" s="51">
        <v>2.699851411589896E-5</v>
      </c>
      <c r="AG121" s="51">
        <v>2.7155027241208519E-5</v>
      </c>
      <c r="AH121" s="51">
        <v>2.7311540366518079E-5</v>
      </c>
      <c r="AI121" s="51">
        <v>2.7468053491827638E-5</v>
      </c>
      <c r="AJ121" s="51">
        <v>2.7624566617137197E-5</v>
      </c>
      <c r="AK121" s="51">
        <v>2.7781079742446757E-5</v>
      </c>
      <c r="AL121" s="51">
        <v>2.7937592867756316E-5</v>
      </c>
      <c r="AM121" s="51">
        <v>2.8094105993065872E-5</v>
      </c>
      <c r="AN121" s="51">
        <v>2.8250619118375432E-5</v>
      </c>
      <c r="AO121" s="51">
        <v>2.8407132243684991E-5</v>
      </c>
      <c r="AP121" s="51">
        <v>2.856364536899455E-5</v>
      </c>
      <c r="AQ121" s="51">
        <v>2.872015849430411E-5</v>
      </c>
      <c r="AR121" s="51">
        <v>2.8876671619613669E-5</v>
      </c>
      <c r="AS121" s="51">
        <v>2.9033184744923228E-5</v>
      </c>
      <c r="AT121" s="51">
        <v>2.9189697870232788E-5</v>
      </c>
      <c r="AU121" s="51">
        <v>2.9346210995542347E-5</v>
      </c>
      <c r="AV121" s="51">
        <v>2.9374589084461597E-5</v>
      </c>
      <c r="AW121" s="51">
        <v>2.940296717338085E-5</v>
      </c>
      <c r="AX121" s="51">
        <v>2.94313452623001E-5</v>
      </c>
      <c r="AY121" s="51">
        <v>2.945972335121935E-5</v>
      </c>
      <c r="AZ121" s="51">
        <v>2.94881014401386E-5</v>
      </c>
      <c r="BA121" s="51">
        <v>2.9516479529057853E-5</v>
      </c>
      <c r="BB121" s="51">
        <v>2.9544857617977103E-5</v>
      </c>
      <c r="BC121" s="51">
        <v>2.9573235706896353E-5</v>
      </c>
      <c r="BD121" s="51">
        <v>2.9601613795815606E-5</v>
      </c>
      <c r="BE121" s="51">
        <v>2.9629991884734856E-5</v>
      </c>
      <c r="BF121" s="51">
        <v>2.9658369973654106E-5</v>
      </c>
      <c r="BG121" s="51">
        <v>2.9686748062573359E-5</v>
      </c>
      <c r="BH121" s="51">
        <v>2.9715126151492609E-5</v>
      </c>
      <c r="BI121" s="51">
        <v>2.9743504240411859E-5</v>
      </c>
      <c r="BJ121" s="51">
        <v>2.9771882329331109E-5</v>
      </c>
      <c r="BK121" s="51">
        <v>2.9800260418250362E-5</v>
      </c>
      <c r="BL121" s="51">
        <v>2.9828638507169612E-5</v>
      </c>
      <c r="BM121" s="51">
        <v>2.9857016596088862E-5</v>
      </c>
      <c r="BN121" s="51">
        <v>2.9885394685008115E-5</v>
      </c>
      <c r="BO121" s="51">
        <v>2.9913772773927365E-5</v>
      </c>
      <c r="BP121" s="51">
        <v>2.9942150862846615E-5</v>
      </c>
      <c r="BQ121" s="51">
        <v>2.9970528951765864E-5</v>
      </c>
      <c r="BR121" s="51">
        <v>2.9998907040685118E-5</v>
      </c>
      <c r="BS121" s="51">
        <v>3.0027285129604368E-5</v>
      </c>
      <c r="BT121" s="51">
        <v>3.0154160982264668E-5</v>
      </c>
      <c r="BU121" s="51">
        <v>3.0281036834924966E-5</v>
      </c>
      <c r="BV121" s="51">
        <v>3.0407912687585267E-5</v>
      </c>
      <c r="BW121" s="51">
        <v>3.0534788540245567E-5</v>
      </c>
      <c r="BX121" s="51">
        <v>3.0661664392905868E-5</v>
      </c>
      <c r="BY121" s="51">
        <v>3.0788540245566169E-5</v>
      </c>
      <c r="BZ121" s="51">
        <v>3.091541609822647E-5</v>
      </c>
      <c r="CA121" s="51">
        <v>3.1042291950886771E-5</v>
      </c>
      <c r="CB121" s="51">
        <v>3.1169167803547065E-5</v>
      </c>
      <c r="CC121" s="51">
        <v>3.1296043656207365E-5</v>
      </c>
      <c r="CD121" s="51">
        <v>3.1422919508867666E-5</v>
      </c>
      <c r="CE121" s="51">
        <v>3.1549795361527967E-5</v>
      </c>
      <c r="CF121" s="51">
        <v>3.1676671214188268E-5</v>
      </c>
      <c r="CG121" s="51">
        <v>3.1803547066848569E-5</v>
      </c>
      <c r="CH121" s="51">
        <v>3.1930422919508869E-5</v>
      </c>
      <c r="CI121" s="51">
        <v>3.2057298772169163E-5</v>
      </c>
      <c r="CJ121" s="51">
        <v>3.2184174624829464E-5</v>
      </c>
      <c r="CK121" s="51">
        <v>3.2311050477489765E-5</v>
      </c>
      <c r="CL121" s="51">
        <v>3.2437926330150066E-5</v>
      </c>
      <c r="CM121" s="51">
        <v>3.2564802182810367E-5</v>
      </c>
    </row>
    <row r="122" spans="1:91" s="50" customFormat="1" x14ac:dyDescent="0.25">
      <c r="A122" s="50" t="s">
        <v>1</v>
      </c>
      <c r="B122" s="4">
        <v>0</v>
      </c>
      <c r="C122" s="4">
        <v>0</v>
      </c>
      <c r="D122" s="4">
        <v>0</v>
      </c>
      <c r="E122" s="4">
        <v>0</v>
      </c>
      <c r="F122" s="4">
        <v>0</v>
      </c>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0</v>
      </c>
      <c r="AF122" s="51">
        <v>2.3580980683506686E-5</v>
      </c>
      <c r="AG122" s="51">
        <v>2.3717682020802376E-5</v>
      </c>
      <c r="AH122" s="51">
        <v>2.3854383358098069E-5</v>
      </c>
      <c r="AI122" s="51">
        <v>2.3991084695393759E-5</v>
      </c>
      <c r="AJ122" s="51">
        <v>2.4127786032689449E-5</v>
      </c>
      <c r="AK122" s="51">
        <v>2.4264487369985142E-5</v>
      </c>
      <c r="AL122" s="51">
        <v>2.4401188707280832E-5</v>
      </c>
      <c r="AM122" s="51">
        <v>2.4537890044576522E-5</v>
      </c>
      <c r="AN122" s="51">
        <v>2.4674591381872215E-5</v>
      </c>
      <c r="AO122" s="51">
        <v>2.4811292719167905E-5</v>
      </c>
      <c r="AP122" s="51">
        <v>2.4947994056463595E-5</v>
      </c>
      <c r="AQ122" s="51">
        <v>2.5084695393759288E-5</v>
      </c>
      <c r="AR122" s="51">
        <v>2.5221396731054978E-5</v>
      </c>
      <c r="AS122" s="51">
        <v>2.5358098068350668E-5</v>
      </c>
      <c r="AT122" s="51">
        <v>2.5494799405646361E-5</v>
      </c>
      <c r="AU122" s="51">
        <v>2.5631500742942051E-5</v>
      </c>
      <c r="AV122" s="51">
        <v>2.5846945829084815E-5</v>
      </c>
      <c r="AW122" s="51">
        <v>2.6062390915227576E-5</v>
      </c>
      <c r="AX122" s="51">
        <v>2.627783600137034E-5</v>
      </c>
      <c r="AY122" s="51">
        <v>2.64932810875131E-5</v>
      </c>
      <c r="AZ122" s="51">
        <v>2.6708726173655864E-5</v>
      </c>
      <c r="BA122" s="51">
        <v>2.6924171259798628E-5</v>
      </c>
      <c r="BB122" s="51">
        <v>2.7139616345941389E-5</v>
      </c>
      <c r="BC122" s="51">
        <v>2.7355061432084153E-5</v>
      </c>
      <c r="BD122" s="51">
        <v>2.7570506518226913E-5</v>
      </c>
      <c r="BE122" s="51">
        <v>2.7785951604369677E-5</v>
      </c>
      <c r="BF122" s="51">
        <v>2.8001396690512441E-5</v>
      </c>
      <c r="BG122" s="51">
        <v>2.8216841776655202E-5</v>
      </c>
      <c r="BH122" s="51">
        <v>2.8432286862797966E-5</v>
      </c>
      <c r="BI122" s="51">
        <v>2.8647731948940726E-5</v>
      </c>
      <c r="BJ122" s="51">
        <v>2.886317703508349E-5</v>
      </c>
      <c r="BK122" s="51">
        <v>2.9078622121226251E-5</v>
      </c>
      <c r="BL122" s="51">
        <v>2.9294067207369015E-5</v>
      </c>
      <c r="BM122" s="51">
        <v>2.9509512293511775E-5</v>
      </c>
      <c r="BN122" s="51">
        <v>2.9724957379654539E-5</v>
      </c>
      <c r="BO122" s="51">
        <v>2.9940402465797303E-5</v>
      </c>
      <c r="BP122" s="51">
        <v>3.0155847551940064E-5</v>
      </c>
      <c r="BQ122" s="51">
        <v>3.0371292638082828E-5</v>
      </c>
      <c r="BR122" s="51">
        <v>3.0586737724225588E-5</v>
      </c>
      <c r="BS122" s="51">
        <v>3.0802182810368352E-5</v>
      </c>
      <c r="BT122" s="51">
        <v>3.0932332878581173E-5</v>
      </c>
      <c r="BU122" s="51">
        <v>3.1062482946794001E-5</v>
      </c>
      <c r="BV122" s="51">
        <v>3.1192633015006822E-5</v>
      </c>
      <c r="BW122" s="51">
        <v>3.132278308321965E-5</v>
      </c>
      <c r="BX122" s="51">
        <v>3.1452933151432471E-5</v>
      </c>
      <c r="BY122" s="51">
        <v>3.1583083219645292E-5</v>
      </c>
      <c r="BZ122" s="51">
        <v>3.171323328785812E-5</v>
      </c>
      <c r="CA122" s="51">
        <v>3.1843383356070941E-5</v>
      </c>
      <c r="CB122" s="51">
        <v>3.1973533424283769E-5</v>
      </c>
      <c r="CC122" s="51">
        <v>3.210368349249659E-5</v>
      </c>
      <c r="CD122" s="51">
        <v>3.2233833560709411E-5</v>
      </c>
      <c r="CE122" s="51">
        <v>3.2363983628922238E-5</v>
      </c>
      <c r="CF122" s="51">
        <v>3.2494133697135059E-5</v>
      </c>
      <c r="CG122" s="51">
        <v>3.2624283765347887E-5</v>
      </c>
      <c r="CH122" s="51">
        <v>3.2754433833560708E-5</v>
      </c>
      <c r="CI122" s="51">
        <v>3.2884583901773529E-5</v>
      </c>
      <c r="CJ122" s="51">
        <v>3.3014733969986357E-5</v>
      </c>
      <c r="CK122" s="51">
        <v>3.3144884038199178E-5</v>
      </c>
      <c r="CL122" s="51">
        <v>3.3275034106412006E-5</v>
      </c>
      <c r="CM122" s="51">
        <v>3.3405184174624827E-5</v>
      </c>
    </row>
    <row r="123" spans="1:91" s="50" customFormat="1" x14ac:dyDescent="0.25">
      <c r="A123" s="50" t="s">
        <v>1</v>
      </c>
      <c r="B123" s="4">
        <v>0</v>
      </c>
      <c r="C123" s="4">
        <v>0</v>
      </c>
      <c r="D123" s="4">
        <v>0</v>
      </c>
      <c r="E123" s="4">
        <v>0</v>
      </c>
      <c r="F123" s="4">
        <v>0</v>
      </c>
      <c r="G123" s="4">
        <v>0</v>
      </c>
      <c r="H123" s="4">
        <v>0</v>
      </c>
      <c r="I123" s="4">
        <v>0</v>
      </c>
      <c r="J123" s="4">
        <v>0</v>
      </c>
      <c r="K123" s="4">
        <v>0</v>
      </c>
      <c r="L123" s="4">
        <v>0</v>
      </c>
      <c r="M123" s="4">
        <v>0</v>
      </c>
      <c r="N123" s="4">
        <v>0</v>
      </c>
      <c r="O123" s="4">
        <v>0</v>
      </c>
      <c r="P123" s="4">
        <v>0</v>
      </c>
      <c r="Q123" s="4">
        <v>0</v>
      </c>
      <c r="R123" s="4">
        <v>0</v>
      </c>
      <c r="S123" s="4">
        <v>0</v>
      </c>
      <c r="T123" s="4">
        <v>0</v>
      </c>
      <c r="U123" s="4">
        <v>0</v>
      </c>
      <c r="V123" s="4">
        <v>0</v>
      </c>
      <c r="W123" s="4">
        <v>0</v>
      </c>
      <c r="X123" s="4">
        <v>0</v>
      </c>
      <c r="Y123" s="4">
        <v>0</v>
      </c>
      <c r="Z123" s="4">
        <v>0</v>
      </c>
      <c r="AA123" s="4">
        <v>0</v>
      </c>
      <c r="AB123" s="4">
        <v>0</v>
      </c>
      <c r="AC123" s="4">
        <v>0</v>
      </c>
      <c r="AD123" s="4">
        <v>0</v>
      </c>
      <c r="AE123" s="4">
        <v>0</v>
      </c>
      <c r="AF123" s="51">
        <v>8.1999999999999994E-6</v>
      </c>
      <c r="AG123" s="51">
        <v>8.2799999999999987E-6</v>
      </c>
      <c r="AH123" s="51">
        <v>8.3599999999999996E-6</v>
      </c>
      <c r="AI123" s="51">
        <v>8.4399999999999988E-6</v>
      </c>
      <c r="AJ123" s="51">
        <v>8.5199999999999997E-6</v>
      </c>
      <c r="AK123" s="51">
        <v>8.599999999999999E-6</v>
      </c>
      <c r="AL123" s="51">
        <v>8.6799999999999999E-6</v>
      </c>
      <c r="AM123" s="51">
        <v>8.7599999999999991E-6</v>
      </c>
      <c r="AN123" s="51">
        <v>8.8400000000000001E-6</v>
      </c>
      <c r="AO123" s="51">
        <v>8.9199999999999993E-6</v>
      </c>
      <c r="AP123" s="51">
        <v>9.0000000000000002E-6</v>
      </c>
      <c r="AQ123" s="51">
        <v>9.0799999999999995E-6</v>
      </c>
      <c r="AR123" s="51">
        <v>9.1600000000000004E-6</v>
      </c>
      <c r="AS123" s="51">
        <v>9.2399999999999996E-6</v>
      </c>
      <c r="AT123" s="51">
        <v>9.3199999999999989E-6</v>
      </c>
      <c r="AU123" s="51">
        <v>9.3999999999999998E-6</v>
      </c>
      <c r="AV123" s="51">
        <v>9.4916666666666659E-6</v>
      </c>
      <c r="AW123" s="51">
        <v>9.5833333333333336E-6</v>
      </c>
      <c r="AX123" s="51">
        <v>9.6749999999999997E-6</v>
      </c>
      <c r="AY123" s="51">
        <v>9.7666666666666658E-6</v>
      </c>
      <c r="AZ123" s="51">
        <v>9.8583333333333335E-6</v>
      </c>
      <c r="BA123" s="51">
        <v>9.9499999999999996E-6</v>
      </c>
      <c r="BB123" s="51">
        <v>1.0041666666666666E-5</v>
      </c>
      <c r="BC123" s="51">
        <v>1.0133333333333333E-5</v>
      </c>
      <c r="BD123" s="51">
        <v>1.0225E-5</v>
      </c>
      <c r="BE123" s="51">
        <v>1.0316666666666666E-5</v>
      </c>
      <c r="BF123" s="51">
        <v>1.0408333333333333E-5</v>
      </c>
      <c r="BG123" s="51">
        <v>1.0499999999999999E-5</v>
      </c>
      <c r="BH123" s="51">
        <v>1.0591666666666665E-5</v>
      </c>
      <c r="BI123" s="51">
        <v>1.0683333333333333E-5</v>
      </c>
      <c r="BJ123" s="51">
        <v>1.0774999999999999E-5</v>
      </c>
      <c r="BK123" s="51">
        <v>1.0866666666666665E-5</v>
      </c>
      <c r="BL123" s="51">
        <v>1.0958333333333333E-5</v>
      </c>
      <c r="BM123" s="51">
        <v>1.1049999999999999E-5</v>
      </c>
      <c r="BN123" s="51">
        <v>1.1141666666666665E-5</v>
      </c>
      <c r="BO123" s="51">
        <v>1.1233333333333333E-5</v>
      </c>
      <c r="BP123" s="51">
        <v>1.1324999999999999E-5</v>
      </c>
      <c r="BQ123" s="51">
        <v>1.1416666666666665E-5</v>
      </c>
      <c r="BR123" s="51">
        <v>1.1508333333333333E-5</v>
      </c>
      <c r="BS123" s="51">
        <v>1.1599999999999999E-5</v>
      </c>
      <c r="BT123" s="51">
        <v>1.1694999999999999E-5</v>
      </c>
      <c r="BU123" s="51">
        <v>1.1789999999999999E-5</v>
      </c>
      <c r="BV123" s="51">
        <v>1.1884999999999999E-5</v>
      </c>
      <c r="BW123" s="51">
        <v>1.1979999999999999E-5</v>
      </c>
      <c r="BX123" s="51">
        <v>1.2074999999999999E-5</v>
      </c>
      <c r="BY123" s="51">
        <v>1.2169999999999999E-5</v>
      </c>
      <c r="BZ123" s="51">
        <v>1.2264999999999999E-5</v>
      </c>
      <c r="CA123" s="51">
        <v>1.2359999999999999E-5</v>
      </c>
      <c r="CB123" s="51">
        <v>1.2454999999999998E-5</v>
      </c>
      <c r="CC123" s="51">
        <v>1.255E-5</v>
      </c>
      <c r="CD123" s="51">
        <v>1.2644999999999998E-5</v>
      </c>
      <c r="CE123" s="51">
        <v>1.274E-5</v>
      </c>
      <c r="CF123" s="51">
        <v>1.2835E-5</v>
      </c>
      <c r="CG123" s="51">
        <v>1.293E-5</v>
      </c>
      <c r="CH123" s="51">
        <v>1.3025E-5</v>
      </c>
      <c r="CI123" s="51">
        <v>1.312E-5</v>
      </c>
      <c r="CJ123" s="51">
        <v>1.3215E-5</v>
      </c>
      <c r="CK123" s="51">
        <v>1.331E-5</v>
      </c>
      <c r="CL123" s="51">
        <v>1.3405E-5</v>
      </c>
      <c r="CM123" s="51">
        <v>1.3499999999999999E-5</v>
      </c>
    </row>
    <row r="124" spans="1:91" s="50" customFormat="1" x14ac:dyDescent="0.25">
      <c r="A124" s="50" t="s">
        <v>1</v>
      </c>
      <c r="B124" s="4">
        <v>0</v>
      </c>
      <c r="C124" s="4">
        <v>0</v>
      </c>
      <c r="D124" s="4">
        <v>0</v>
      </c>
      <c r="E124" s="4">
        <v>0</v>
      </c>
      <c r="F124" s="4">
        <v>0</v>
      </c>
      <c r="G124" s="4">
        <v>0</v>
      </c>
      <c r="H124" s="4">
        <v>0</v>
      </c>
      <c r="I124" s="4">
        <v>0</v>
      </c>
      <c r="J124" s="4">
        <v>0</v>
      </c>
      <c r="K124" s="4">
        <v>0</v>
      </c>
      <c r="L124" s="4">
        <v>0</v>
      </c>
      <c r="M124" s="4">
        <v>0</v>
      </c>
      <c r="N124" s="4">
        <v>0</v>
      </c>
      <c r="O124" s="4">
        <v>0</v>
      </c>
      <c r="P124" s="4">
        <v>0</v>
      </c>
      <c r="Q124" s="4">
        <v>0</v>
      </c>
      <c r="R124" s="4">
        <v>0</v>
      </c>
      <c r="S124" s="4">
        <v>0</v>
      </c>
      <c r="T124" s="4">
        <v>0</v>
      </c>
      <c r="U124" s="4">
        <v>0</v>
      </c>
      <c r="V124" s="4">
        <v>0</v>
      </c>
      <c r="W124" s="4">
        <v>0</v>
      </c>
      <c r="X124" s="4">
        <v>0</v>
      </c>
      <c r="Y124" s="4">
        <v>0</v>
      </c>
      <c r="Z124" s="4">
        <v>0</v>
      </c>
      <c r="AA124" s="4">
        <v>0</v>
      </c>
      <c r="AB124" s="4">
        <v>0</v>
      </c>
      <c r="AC124" s="4">
        <v>0</v>
      </c>
      <c r="AD124" s="4">
        <v>0</v>
      </c>
      <c r="AE124" s="4">
        <v>0</v>
      </c>
      <c r="AF124" s="51">
        <v>8.1999999999999994E-6</v>
      </c>
      <c r="AG124" s="51">
        <v>8.3666666666666656E-6</v>
      </c>
      <c r="AH124" s="51">
        <v>8.5333333333333335E-6</v>
      </c>
      <c r="AI124" s="51">
        <v>8.6999999999999997E-6</v>
      </c>
      <c r="AJ124" s="51">
        <v>8.8666666666666659E-6</v>
      </c>
      <c r="AK124" s="51">
        <v>9.0333333333333321E-6</v>
      </c>
      <c r="AL124" s="51">
        <v>9.2E-6</v>
      </c>
      <c r="AM124" s="51">
        <v>9.3666666666666662E-6</v>
      </c>
      <c r="AN124" s="51">
        <v>9.5333333333333324E-6</v>
      </c>
      <c r="AO124" s="51">
        <v>9.6999999999999986E-6</v>
      </c>
      <c r="AP124" s="51">
        <v>9.8666666666666665E-6</v>
      </c>
      <c r="AQ124" s="51">
        <v>1.0033333333333333E-5</v>
      </c>
      <c r="AR124" s="51">
        <v>1.0199999999999999E-5</v>
      </c>
      <c r="AS124" s="51">
        <v>1.0366666666666667E-5</v>
      </c>
      <c r="AT124" s="51">
        <v>1.0533333333333333E-5</v>
      </c>
      <c r="AU124" s="51">
        <v>1.0699999999999999E-5</v>
      </c>
      <c r="AV124" s="51">
        <v>1.0795833333333333E-5</v>
      </c>
      <c r="AW124" s="51">
        <v>1.0891666666666666E-5</v>
      </c>
      <c r="AX124" s="51">
        <v>1.0987499999999999E-5</v>
      </c>
      <c r="AY124" s="51">
        <v>1.1083333333333333E-5</v>
      </c>
      <c r="AZ124" s="51">
        <v>1.1179166666666666E-5</v>
      </c>
      <c r="BA124" s="51">
        <v>1.1275E-5</v>
      </c>
      <c r="BB124" s="51">
        <v>1.1370833333333333E-5</v>
      </c>
      <c r="BC124" s="51">
        <v>1.1466666666666666E-5</v>
      </c>
      <c r="BD124" s="51">
        <v>1.15625E-5</v>
      </c>
      <c r="BE124" s="51">
        <v>1.1658333333333333E-5</v>
      </c>
      <c r="BF124" s="51">
        <v>1.1754166666666667E-5</v>
      </c>
      <c r="BG124" s="51">
        <v>1.185E-5</v>
      </c>
      <c r="BH124" s="51">
        <v>1.1945833333333333E-5</v>
      </c>
      <c r="BI124" s="51">
        <v>1.2041666666666667E-5</v>
      </c>
      <c r="BJ124" s="51">
        <v>1.2137499999999999E-5</v>
      </c>
      <c r="BK124" s="51">
        <v>1.2233333333333332E-5</v>
      </c>
      <c r="BL124" s="51">
        <v>1.2329166666666665E-5</v>
      </c>
      <c r="BM124" s="51">
        <v>1.2424999999999999E-5</v>
      </c>
      <c r="BN124" s="51">
        <v>1.2520833333333332E-5</v>
      </c>
      <c r="BO124" s="51">
        <v>1.2616666666666666E-5</v>
      </c>
      <c r="BP124" s="51">
        <v>1.2712499999999999E-5</v>
      </c>
      <c r="BQ124" s="51">
        <v>1.2808333333333332E-5</v>
      </c>
      <c r="BR124" s="51">
        <v>1.2904166666666666E-5</v>
      </c>
      <c r="BS124" s="51">
        <v>1.2999999999999999E-5</v>
      </c>
      <c r="BT124" s="51">
        <v>1.31E-5</v>
      </c>
      <c r="BU124" s="51">
        <v>1.3199999999999999E-5</v>
      </c>
      <c r="BV124" s="51">
        <v>1.33E-5</v>
      </c>
      <c r="BW124" s="51">
        <v>1.3399999999999999E-5</v>
      </c>
      <c r="BX124" s="51">
        <v>1.3499999999999999E-5</v>
      </c>
      <c r="BY124" s="51">
        <v>1.36E-5</v>
      </c>
      <c r="BZ124" s="51">
        <v>1.3699999999999999E-5</v>
      </c>
      <c r="CA124" s="51">
        <v>1.38E-5</v>
      </c>
      <c r="CB124" s="51">
        <v>1.3899999999999999E-5</v>
      </c>
      <c r="CC124" s="51">
        <v>1.4E-5</v>
      </c>
      <c r="CD124" s="51">
        <v>1.4100000000000001E-5</v>
      </c>
      <c r="CE124" s="51">
        <v>1.42E-5</v>
      </c>
      <c r="CF124" s="51">
        <v>1.43E-5</v>
      </c>
      <c r="CG124" s="51">
        <v>1.4399999999999999E-5</v>
      </c>
      <c r="CH124" s="51">
        <v>1.45E-5</v>
      </c>
      <c r="CI124" s="51">
        <v>1.4600000000000001E-5</v>
      </c>
      <c r="CJ124" s="51">
        <v>1.47E-5</v>
      </c>
      <c r="CK124" s="51">
        <v>1.4800000000000001E-5</v>
      </c>
      <c r="CL124" s="51">
        <v>1.49E-5</v>
      </c>
      <c r="CM124" s="51">
        <v>1.5E-5</v>
      </c>
    </row>
    <row r="125" spans="1:91" s="50" customFormat="1" x14ac:dyDescent="0.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91" s="50" customFormat="1" x14ac:dyDescent="0.25">
      <c r="A126" s="50" t="s">
        <v>218</v>
      </c>
      <c r="B126" s="4">
        <v>0</v>
      </c>
      <c r="C126" s="4">
        <v>0</v>
      </c>
      <c r="D126" s="4">
        <v>0</v>
      </c>
      <c r="E126" s="4">
        <v>0</v>
      </c>
      <c r="F126" s="4">
        <v>0</v>
      </c>
      <c r="G126" s="4">
        <v>0</v>
      </c>
      <c r="H126" s="4">
        <v>0</v>
      </c>
      <c r="I126" s="4">
        <v>0</v>
      </c>
      <c r="J126" s="4">
        <v>0</v>
      </c>
      <c r="K126" s="4">
        <v>0</v>
      </c>
      <c r="L126" s="4">
        <v>0</v>
      </c>
      <c r="M126" s="4">
        <v>0</v>
      </c>
      <c r="N126" s="4">
        <v>0</v>
      </c>
      <c r="O126" s="4">
        <v>0</v>
      </c>
      <c r="P126" s="4">
        <v>0</v>
      </c>
      <c r="Q126" s="4">
        <v>0</v>
      </c>
      <c r="R126" s="4">
        <v>0</v>
      </c>
      <c r="S126" s="4">
        <v>0</v>
      </c>
      <c r="T126" s="4">
        <v>0</v>
      </c>
      <c r="U126" s="4">
        <v>0</v>
      </c>
      <c r="V126" s="4">
        <v>0</v>
      </c>
      <c r="W126" s="4">
        <v>0</v>
      </c>
      <c r="X126" s="4">
        <v>0</v>
      </c>
      <c r="Y126" s="4">
        <v>0</v>
      </c>
      <c r="Z126" s="4">
        <v>0</v>
      </c>
      <c r="AA126" s="4">
        <v>0</v>
      </c>
      <c r="AB126" s="4">
        <v>0</v>
      </c>
      <c r="AC126" s="4">
        <v>0</v>
      </c>
      <c r="AD126" s="4">
        <v>0</v>
      </c>
      <c r="AE126" s="4">
        <v>0</v>
      </c>
      <c r="AF126" s="51">
        <v>1.93E-4</v>
      </c>
      <c r="AG126" s="51">
        <v>1.931E-4</v>
      </c>
      <c r="AH126" s="51">
        <v>1.9320000000000001E-4</v>
      </c>
      <c r="AI126" s="51">
        <v>1.9330000000000001E-4</v>
      </c>
      <c r="AJ126" s="51">
        <v>1.9340000000000001E-4</v>
      </c>
      <c r="AK126" s="51">
        <v>1.9350000000000001E-4</v>
      </c>
      <c r="AL126" s="51">
        <v>1.9360000000000002E-4</v>
      </c>
      <c r="AM126" s="51">
        <v>1.9370000000000002E-4</v>
      </c>
      <c r="AN126" s="51">
        <v>1.9379999999999999E-4</v>
      </c>
      <c r="AO126" s="51">
        <v>1.939E-4</v>
      </c>
      <c r="AP126" s="51">
        <v>1.94E-4</v>
      </c>
      <c r="AQ126" s="51">
        <v>1.941E-4</v>
      </c>
      <c r="AR126" s="51">
        <v>1.942E-4</v>
      </c>
      <c r="AS126" s="51">
        <v>1.9430000000000001E-4</v>
      </c>
      <c r="AT126" s="51">
        <v>1.9440000000000001E-4</v>
      </c>
      <c r="AU126" s="51">
        <v>1.9450000000000001E-4</v>
      </c>
      <c r="AV126" s="51">
        <v>1.9461363636363638E-4</v>
      </c>
      <c r="AW126" s="51">
        <v>1.9472727272727274E-4</v>
      </c>
      <c r="AX126" s="51">
        <v>1.948409090909091E-4</v>
      </c>
      <c r="AY126" s="51">
        <v>1.9495454545454547E-4</v>
      </c>
      <c r="AZ126" s="51">
        <v>1.9506818181818183E-4</v>
      </c>
      <c r="BA126" s="51">
        <v>1.951818181818182E-4</v>
      </c>
      <c r="BB126" s="51">
        <v>1.9529545454545456E-4</v>
      </c>
      <c r="BC126" s="51">
        <v>1.9540909090909092E-4</v>
      </c>
      <c r="BD126" s="51">
        <v>1.9552272727272729E-4</v>
      </c>
      <c r="BE126" s="51">
        <v>1.9563636363636365E-4</v>
      </c>
      <c r="BF126" s="51">
        <v>1.9575000000000001E-4</v>
      </c>
      <c r="BG126" s="51">
        <v>1.9586363636363638E-4</v>
      </c>
      <c r="BH126" s="51">
        <v>1.9597727272727274E-4</v>
      </c>
      <c r="BI126" s="51">
        <v>1.9609090909090911E-4</v>
      </c>
      <c r="BJ126" s="51">
        <v>1.9620454545454547E-4</v>
      </c>
      <c r="BK126" s="51">
        <v>1.9631818181818183E-4</v>
      </c>
      <c r="BL126" s="51">
        <v>1.964318181818182E-4</v>
      </c>
      <c r="BM126" s="51">
        <v>1.9654545454545456E-4</v>
      </c>
      <c r="BN126" s="51">
        <v>1.9665909090909093E-4</v>
      </c>
      <c r="BO126" s="51">
        <v>1.9677272727272729E-4</v>
      </c>
      <c r="BP126" s="51">
        <v>1.9688636363636365E-4</v>
      </c>
      <c r="BQ126" s="51">
        <v>1.9700000000000002E-4</v>
      </c>
      <c r="BR126" s="51">
        <v>1.9711363636363635E-4</v>
      </c>
      <c r="BS126" s="51">
        <v>2.0150000000000002E-4</v>
      </c>
      <c r="BT126" s="51">
        <v>2.0140000000000002E-4</v>
      </c>
      <c r="BU126" s="51">
        <v>2.0130000000000001E-4</v>
      </c>
      <c r="BV126" s="51">
        <v>2.0120000000000001E-4</v>
      </c>
      <c r="BW126" s="51">
        <v>2.0110000000000001E-4</v>
      </c>
      <c r="BX126" s="51">
        <v>2.0100000000000001E-4</v>
      </c>
      <c r="BY126" s="51">
        <v>2.009E-4</v>
      </c>
      <c r="BZ126" s="51">
        <v>2.008E-4</v>
      </c>
      <c r="CA126" s="51">
        <v>2.007E-4</v>
      </c>
      <c r="CB126" s="51">
        <v>2.006E-4</v>
      </c>
      <c r="CC126" s="51">
        <v>2.0049999999999999E-4</v>
      </c>
      <c r="CD126" s="51">
        <v>2.0040000000000002E-4</v>
      </c>
      <c r="CE126" s="51">
        <v>2.0030000000000002E-4</v>
      </c>
      <c r="CF126" s="51">
        <v>2.0020000000000001E-4</v>
      </c>
      <c r="CG126" s="51">
        <v>2.0010000000000001E-4</v>
      </c>
      <c r="CH126" s="51">
        <v>2.0000000000000001E-4</v>
      </c>
      <c r="CI126" s="51">
        <v>1.9990000000000001E-4</v>
      </c>
      <c r="CJ126" s="51">
        <v>1.998E-4</v>
      </c>
      <c r="CK126" s="51">
        <v>1.997E-4</v>
      </c>
      <c r="CL126" s="51">
        <v>1.996E-4</v>
      </c>
      <c r="CM126" s="51">
        <v>1.995E-4</v>
      </c>
    </row>
    <row r="127" spans="1:91" s="50" customFormat="1" x14ac:dyDescent="0.25">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91" s="50" customFormat="1" x14ac:dyDescent="0.25">
      <c r="A128" s="50" t="s">
        <v>219</v>
      </c>
      <c r="B128" s="4">
        <v>0</v>
      </c>
      <c r="C128" s="4">
        <v>0</v>
      </c>
      <c r="D128" s="4">
        <v>0</v>
      </c>
      <c r="E128" s="4">
        <v>0</v>
      </c>
      <c r="F128" s="4">
        <v>0</v>
      </c>
      <c r="G128" s="4">
        <v>0</v>
      </c>
      <c r="H128" s="4">
        <v>0</v>
      </c>
      <c r="I128" s="4">
        <v>0</v>
      </c>
      <c r="J128" s="4">
        <v>0</v>
      </c>
      <c r="K128" s="4">
        <v>0</v>
      </c>
      <c r="L128" s="4">
        <v>0</v>
      </c>
      <c r="M128" s="4">
        <v>0</v>
      </c>
      <c r="N128" s="4">
        <v>0</v>
      </c>
      <c r="O128" s="4">
        <v>0</v>
      </c>
      <c r="P128" s="4">
        <v>0</v>
      </c>
      <c r="Q128" s="4">
        <v>0</v>
      </c>
      <c r="R128" s="4">
        <v>0</v>
      </c>
      <c r="S128" s="4">
        <v>0</v>
      </c>
      <c r="T128" s="4">
        <v>0</v>
      </c>
      <c r="U128" s="4">
        <v>0</v>
      </c>
      <c r="V128" s="4">
        <v>0</v>
      </c>
      <c r="W128" s="4">
        <v>0</v>
      </c>
      <c r="X128" s="4">
        <v>0</v>
      </c>
      <c r="Y128" s="4">
        <v>0</v>
      </c>
      <c r="Z128" s="4">
        <v>0</v>
      </c>
      <c r="AA128" s="4">
        <v>0</v>
      </c>
      <c r="AB128" s="4">
        <v>0</v>
      </c>
      <c r="AC128" s="4">
        <v>0</v>
      </c>
      <c r="AD128" s="4">
        <v>0</v>
      </c>
      <c r="AE128" s="4">
        <v>0</v>
      </c>
      <c r="AF128" s="51">
        <v>6.3194099986609068E-6</v>
      </c>
      <c r="AG128" s="51">
        <v>6.3458296351922565E-6</v>
      </c>
      <c r="AH128" s="51">
        <v>6.372359724628956E-6</v>
      </c>
      <c r="AI128" s="51">
        <v>6.3990007287428497E-6</v>
      </c>
      <c r="AJ128" s="51">
        <v>6.4257531112363182E-6</v>
      </c>
      <c r="AK128" s="51">
        <v>6.4526173377503479E-6</v>
      </c>
      <c r="AL128" s="51">
        <v>6.4795938758726367E-6</v>
      </c>
      <c r="AM128" s="51">
        <v>6.5066831951457312E-6</v>
      </c>
      <c r="AN128" s="51">
        <v>6.5338857670752021E-6</v>
      </c>
      <c r="AO128" s="51">
        <v>6.561202065137848E-6</v>
      </c>
      <c r="AP128" s="51">
        <v>6.5886325647899377E-6</v>
      </c>
      <c r="AQ128" s="51">
        <v>6.6161777434754876E-6</v>
      </c>
      <c r="AR128" s="51">
        <v>6.6438380806345682E-6</v>
      </c>
      <c r="AS128" s="51">
        <v>6.6716140577116528E-6</v>
      </c>
      <c r="AT128" s="51">
        <v>6.6995061581639946E-6</v>
      </c>
      <c r="AU128" s="51">
        <v>6.7275148674700434E-6</v>
      </c>
      <c r="AV128" s="51">
        <v>6.8066798129389559E-6</v>
      </c>
      <c r="AW128" s="51">
        <v>6.8867763191274743E-6</v>
      </c>
      <c r="AX128" s="51">
        <v>6.967815348026024E-6</v>
      </c>
      <c r="AY128" s="51">
        <v>7.0498079906184842E-6</v>
      </c>
      <c r="AZ128" s="51">
        <v>7.1327654684000971E-6</v>
      </c>
      <c r="BA128" s="51">
        <v>7.2166991349132399E-6</v>
      </c>
      <c r="BB128" s="51">
        <v>7.3016204773012661E-6</v>
      </c>
      <c r="BC128" s="51">
        <v>7.3875411178806347E-6</v>
      </c>
      <c r="BD128" s="51">
        <v>7.4744728157315387E-6</v>
      </c>
      <c r="BE128" s="51">
        <v>7.5624274683072501E-6</v>
      </c>
      <c r="BF128" s="51">
        <v>7.6514171130624008E-6</v>
      </c>
      <c r="BG128" s="51">
        <v>7.741453929100428E-6</v>
      </c>
      <c r="BH128" s="51">
        <v>7.8325502388404027E-6</v>
      </c>
      <c r="BI128" s="51">
        <v>7.9247185097034751E-6</v>
      </c>
      <c r="BJ128" s="51">
        <v>8.0179713558191585E-6</v>
      </c>
      <c r="BK128" s="51">
        <v>8.1123215397517042E-6</v>
      </c>
      <c r="BL128" s="51">
        <v>8.2077819742467734E-6</v>
      </c>
      <c r="BM128" s="51">
        <v>8.3043657239986814E-6</v>
      </c>
      <c r="BN128" s="51">
        <v>8.4020860074384253E-6</v>
      </c>
      <c r="BO128" s="51">
        <v>8.5009561985427543E-6</v>
      </c>
      <c r="BP128" s="51">
        <v>8.6009898286645306E-6</v>
      </c>
      <c r="BQ128" s="51">
        <v>8.7022005883846295E-6</v>
      </c>
      <c r="BR128" s="51">
        <v>8.8046023293856251E-6</v>
      </c>
      <c r="BS128" s="51">
        <v>8.9082090663475302E-6</v>
      </c>
      <c r="BT128" s="51">
        <v>9.0130349788658443E-6</v>
      </c>
      <c r="BU128" s="51">
        <v>9.1190944133921691E-6</v>
      </c>
      <c r="BV128" s="51">
        <v>9.2264018851976596E-6</v>
      </c>
      <c r="BW128" s="51">
        <v>9.3349720803595807E-6</v>
      </c>
      <c r="BX128" s="51">
        <v>9.4448198577712414E-6</v>
      </c>
      <c r="BY128" s="51">
        <v>9.555960251175581E-6</v>
      </c>
      <c r="BZ128" s="51">
        <v>9.6684084712226811E-6</v>
      </c>
      <c r="CA128" s="51">
        <v>9.7821799075514949E-6</v>
      </c>
      <c r="CB128" s="51">
        <v>9.8972901308960673E-6</v>
      </c>
      <c r="CC128" s="51">
        <v>1.0013754895216543E-5</v>
      </c>
      <c r="CD128" s="51">
        <v>1.013159013985525E-5</v>
      </c>
      <c r="CE128" s="51">
        <v>1.0250811991718157E-5</v>
      </c>
      <c r="CF128" s="51">
        <v>1.0371436767481994E-5</v>
      </c>
      <c r="CG128" s="51">
        <v>1.0493480975827348E-5</v>
      </c>
      <c r="CH128" s="51">
        <v>1.0616961319698048E-5</v>
      </c>
      <c r="CI128" s="51">
        <v>1.0741894698587113E-5</v>
      </c>
      <c r="CJ128" s="51">
        <v>1.0868298210849621E-5</v>
      </c>
      <c r="CK128" s="51">
        <v>1.0996189156042783E-5</v>
      </c>
      <c r="CL128" s="51">
        <v>1.1125585037293558E-5</v>
      </c>
      <c r="CM128" s="51">
        <v>1.1256503563694126E-5</v>
      </c>
    </row>
    <row r="129" spans="1:91" s="50" customFormat="1" x14ac:dyDescent="0.25">
      <c r="A129" s="50" t="s">
        <v>1</v>
      </c>
      <c r="B129" s="4">
        <v>0</v>
      </c>
      <c r="C129" s="4">
        <v>0</v>
      </c>
      <c r="D129" s="4">
        <v>0</v>
      </c>
      <c r="E129" s="4">
        <v>0</v>
      </c>
      <c r="F129" s="4">
        <v>0</v>
      </c>
      <c r="G129" s="4">
        <v>0</v>
      </c>
      <c r="H129" s="4">
        <v>0</v>
      </c>
      <c r="I129" s="4">
        <v>0</v>
      </c>
      <c r="J129" s="4">
        <v>0</v>
      </c>
      <c r="K129" s="4">
        <v>0</v>
      </c>
      <c r="L129" s="4">
        <v>0</v>
      </c>
      <c r="M129" s="4">
        <v>0</v>
      </c>
      <c r="N129" s="4">
        <v>0</v>
      </c>
      <c r="O129" s="4">
        <v>0</v>
      </c>
      <c r="P129" s="4">
        <v>0</v>
      </c>
      <c r="Q129" s="4">
        <v>0</v>
      </c>
      <c r="R129" s="4">
        <v>0</v>
      </c>
      <c r="S129" s="4">
        <v>0</v>
      </c>
      <c r="T129" s="4">
        <v>0</v>
      </c>
      <c r="U129" s="4">
        <v>0</v>
      </c>
      <c r="V129" s="4">
        <v>0</v>
      </c>
      <c r="W129" s="4">
        <v>0</v>
      </c>
      <c r="X129" s="4">
        <v>0</v>
      </c>
      <c r="Y129" s="4">
        <v>0</v>
      </c>
      <c r="Z129" s="4">
        <v>0</v>
      </c>
      <c r="AA129" s="4">
        <v>0</v>
      </c>
      <c r="AB129" s="4">
        <v>0</v>
      </c>
      <c r="AC129" s="4">
        <v>0</v>
      </c>
      <c r="AD129" s="4">
        <v>0</v>
      </c>
      <c r="AE129" s="4">
        <v>0</v>
      </c>
      <c r="AF129" s="51">
        <v>7.3999999999999996E-5</v>
      </c>
      <c r="AG129" s="51">
        <v>7.4266666666666665E-5</v>
      </c>
      <c r="AH129" s="51">
        <v>7.4533333333333333E-5</v>
      </c>
      <c r="AI129" s="51">
        <v>7.4800000000000002E-5</v>
      </c>
      <c r="AJ129" s="51">
        <v>7.5066666666666657E-5</v>
      </c>
      <c r="AK129" s="51">
        <v>7.5333333333333326E-5</v>
      </c>
      <c r="AL129" s="51">
        <v>7.5599999999999994E-5</v>
      </c>
      <c r="AM129" s="51">
        <v>7.5866666666666663E-5</v>
      </c>
      <c r="AN129" s="51">
        <v>7.6133333333333332E-5</v>
      </c>
      <c r="AO129" s="51">
        <v>7.64E-5</v>
      </c>
      <c r="AP129" s="51">
        <v>7.6666666666666669E-5</v>
      </c>
      <c r="AQ129" s="51">
        <v>7.6933333333333338E-5</v>
      </c>
      <c r="AR129" s="51">
        <v>7.7199999999999993E-5</v>
      </c>
      <c r="AS129" s="51">
        <v>7.7466666666666661E-5</v>
      </c>
      <c r="AT129" s="51">
        <v>7.773333333333333E-5</v>
      </c>
      <c r="AU129" s="51">
        <v>7.7999999999999999E-5</v>
      </c>
      <c r="AV129" s="51">
        <v>7.8416666666666671E-5</v>
      </c>
      <c r="AW129" s="51">
        <v>7.883333333333333E-5</v>
      </c>
      <c r="AX129" s="51">
        <v>7.9250000000000002E-5</v>
      </c>
      <c r="AY129" s="51">
        <v>7.9666666666666661E-5</v>
      </c>
      <c r="AZ129" s="51">
        <v>8.0083333333333333E-5</v>
      </c>
      <c r="BA129" s="51">
        <v>8.0500000000000005E-5</v>
      </c>
      <c r="BB129" s="51">
        <v>8.0916666666666664E-5</v>
      </c>
      <c r="BC129" s="51">
        <v>8.1333333333333336E-5</v>
      </c>
      <c r="BD129" s="51">
        <v>8.1749999999999995E-5</v>
      </c>
      <c r="BE129" s="51">
        <v>8.2166666666666667E-5</v>
      </c>
      <c r="BF129" s="51">
        <v>8.2583333333333326E-5</v>
      </c>
      <c r="BG129" s="51">
        <v>8.2999999999999998E-5</v>
      </c>
      <c r="BH129" s="51">
        <v>8.341666666666667E-5</v>
      </c>
      <c r="BI129" s="51">
        <v>8.3833333333333329E-5</v>
      </c>
      <c r="BJ129" s="51">
        <v>8.4250000000000001E-5</v>
      </c>
      <c r="BK129" s="51">
        <v>8.466666666666666E-5</v>
      </c>
      <c r="BL129" s="51">
        <v>8.5083333333333332E-5</v>
      </c>
      <c r="BM129" s="51">
        <v>8.5499999999999991E-5</v>
      </c>
      <c r="BN129" s="51">
        <v>8.5916666666666663E-5</v>
      </c>
      <c r="BO129" s="51">
        <v>8.6333333333333336E-5</v>
      </c>
      <c r="BP129" s="51">
        <v>8.6749999999999994E-5</v>
      </c>
      <c r="BQ129" s="51">
        <v>8.7166666666666667E-5</v>
      </c>
      <c r="BR129" s="51">
        <v>8.7583333333333325E-5</v>
      </c>
      <c r="BS129" s="51">
        <v>8.7999999999999998E-5</v>
      </c>
      <c r="BT129" s="51">
        <v>8.8399999999999994E-5</v>
      </c>
      <c r="BU129" s="51">
        <v>8.8800000000000004E-5</v>
      </c>
      <c r="BV129" s="51">
        <v>8.92E-5</v>
      </c>
      <c r="BW129" s="51">
        <v>8.9599999999999996E-5</v>
      </c>
      <c r="BX129" s="51">
        <v>8.9999999999999992E-5</v>
      </c>
      <c r="BY129" s="51">
        <v>9.0400000000000002E-5</v>
      </c>
      <c r="BZ129" s="51">
        <v>9.0799999999999998E-5</v>
      </c>
      <c r="CA129" s="51">
        <v>9.1199999999999994E-5</v>
      </c>
      <c r="CB129" s="51">
        <v>9.1600000000000004E-5</v>
      </c>
      <c r="CC129" s="51">
        <v>9.2E-5</v>
      </c>
      <c r="CD129" s="51">
        <v>9.2399999999999996E-5</v>
      </c>
      <c r="CE129" s="51">
        <v>9.2800000000000006E-5</v>
      </c>
      <c r="CF129" s="51">
        <v>9.3200000000000002E-5</v>
      </c>
      <c r="CG129" s="51">
        <v>9.3599999999999998E-5</v>
      </c>
      <c r="CH129" s="51">
        <v>9.4000000000000008E-5</v>
      </c>
      <c r="CI129" s="51">
        <v>9.4400000000000004E-5</v>
      </c>
      <c r="CJ129" s="51">
        <v>9.48E-5</v>
      </c>
      <c r="CK129" s="51">
        <v>9.5199999999999997E-5</v>
      </c>
      <c r="CL129" s="51">
        <v>9.5600000000000006E-5</v>
      </c>
      <c r="CM129" s="51">
        <v>9.6000000000000002E-5</v>
      </c>
    </row>
    <row r="130" spans="1:91" s="50" customFormat="1" x14ac:dyDescent="0.25">
      <c r="A130" s="50" t="s">
        <v>2</v>
      </c>
      <c r="B130" s="4">
        <v>0</v>
      </c>
      <c r="C130" s="4">
        <v>0</v>
      </c>
      <c r="D130" s="4">
        <v>0</v>
      </c>
      <c r="E130" s="4">
        <v>0</v>
      </c>
      <c r="F130" s="4">
        <v>0</v>
      </c>
      <c r="G130" s="4">
        <v>0</v>
      </c>
      <c r="H130" s="4">
        <v>0</v>
      </c>
      <c r="I130" s="4">
        <v>0</v>
      </c>
      <c r="J130" s="4">
        <v>0</v>
      </c>
      <c r="K130" s="4">
        <v>0</v>
      </c>
      <c r="L130" s="4">
        <v>0</v>
      </c>
      <c r="M130" s="4">
        <v>0</v>
      </c>
      <c r="N130" s="4">
        <v>0</v>
      </c>
      <c r="O130" s="4">
        <v>0</v>
      </c>
      <c r="P130" s="4">
        <v>0</v>
      </c>
      <c r="Q130" s="4">
        <v>0</v>
      </c>
      <c r="R130" s="4">
        <v>0</v>
      </c>
      <c r="S130" s="4">
        <v>0</v>
      </c>
      <c r="T130" s="4">
        <v>0</v>
      </c>
      <c r="U130" s="4">
        <v>0</v>
      </c>
      <c r="V130" s="4">
        <v>0</v>
      </c>
      <c r="W130" s="4">
        <v>0</v>
      </c>
      <c r="X130" s="4">
        <v>0</v>
      </c>
      <c r="Y130" s="4">
        <v>0</v>
      </c>
      <c r="Z130" s="4">
        <v>0</v>
      </c>
      <c r="AA130" s="4">
        <v>0</v>
      </c>
      <c r="AB130" s="4">
        <v>0</v>
      </c>
      <c r="AC130" s="4">
        <v>0</v>
      </c>
      <c r="AD130" s="4">
        <v>0</v>
      </c>
      <c r="AE130" s="4">
        <v>0</v>
      </c>
      <c r="AF130" s="51">
        <v>1.169760082316604E-5</v>
      </c>
      <c r="AG130" s="51">
        <v>1.1558894094037588E-5</v>
      </c>
      <c r="AH130" s="51">
        <v>1.1421832108732795E-5</v>
      </c>
      <c r="AI130" s="51">
        <v>1.1286395364360469E-5</v>
      </c>
      <c r="AJ130" s="51">
        <v>1.1152564589289001E-5</v>
      </c>
      <c r="AK130" s="51">
        <v>1.102032074040415E-5</v>
      </c>
      <c r="AL130" s="51">
        <v>1.0889645000399359E-5</v>
      </c>
      <c r="AM130" s="51">
        <v>1.076051877509818E-5</v>
      </c>
      <c r="AN130" s="51">
        <v>1.0632923690808478E-5</v>
      </c>
      <c r="AO130" s="51">
        <v>1.0506841591707982E-5</v>
      </c>
      <c r="AP130" s="51">
        <v>1.0382254537260852E-5</v>
      </c>
      <c r="AQ130" s="51">
        <v>1.0259144799664873E-5</v>
      </c>
      <c r="AR130" s="51">
        <v>1.0137494861328926E-5</v>
      </c>
      <c r="AS130" s="51">
        <v>1.0017287412380361E-5</v>
      </c>
      <c r="AT130" s="51">
        <v>9.8985053482019383E-6</v>
      </c>
      <c r="AU130" s="51">
        <v>9.7811317669979629E-6</v>
      </c>
      <c r="AV130" s="51">
        <v>9.8006940305319593E-6</v>
      </c>
      <c r="AW130" s="51">
        <v>9.8202954185930229E-6</v>
      </c>
      <c r="AX130" s="51">
        <v>9.8399360094302098E-6</v>
      </c>
      <c r="AY130" s="51">
        <v>9.8596158814490705E-6</v>
      </c>
      <c r="AZ130" s="51">
        <v>9.8793351132119685E-6</v>
      </c>
      <c r="BA130" s="51">
        <v>9.8990937834383919E-6</v>
      </c>
      <c r="BB130" s="51">
        <v>9.9188919710052683E-6</v>
      </c>
      <c r="BC130" s="51">
        <v>9.9387297549472788E-6</v>
      </c>
      <c r="BD130" s="51">
        <v>9.9586072144571741E-6</v>
      </c>
      <c r="BE130" s="51">
        <v>9.9785244288860883E-6</v>
      </c>
      <c r="BF130" s="51">
        <v>9.9984814777438606E-6</v>
      </c>
      <c r="BG130" s="51">
        <v>1.0018478440699349E-5</v>
      </c>
      <c r="BH130" s="51">
        <v>1.0038515397580748E-5</v>
      </c>
      <c r="BI130" s="51">
        <v>1.005859242837591E-5</v>
      </c>
      <c r="BJ130" s="51">
        <v>1.0078709613232662E-5</v>
      </c>
      <c r="BK130" s="51">
        <v>1.0098867032459128E-5</v>
      </c>
      <c r="BL130" s="51">
        <v>1.0119064766524047E-5</v>
      </c>
      <c r="BM130" s="51">
        <v>1.0139302896057095E-5</v>
      </c>
      <c r="BN130" s="51">
        <v>1.015958150184921E-5</v>
      </c>
      <c r="BO130" s="51">
        <v>1.0179900664852908E-5</v>
      </c>
      <c r="BP130" s="51">
        <v>1.0200260466182614E-5</v>
      </c>
      <c r="BQ130" s="51">
        <v>1.0220660987114979E-5</v>
      </c>
      <c r="BR130" s="51">
        <v>1.0241102309089209E-5</v>
      </c>
      <c r="BS130" s="51">
        <v>1.0261584513707386E-5</v>
      </c>
      <c r="BT130" s="51">
        <v>1.02821076827348E-5</v>
      </c>
      <c r="BU130" s="51">
        <v>1.030267189810027E-5</v>
      </c>
      <c r="BV130" s="51">
        <v>1.0323277241896471E-5</v>
      </c>
      <c r="BW130" s="51">
        <v>1.0343923796380264E-5</v>
      </c>
      <c r="BX130" s="51">
        <v>1.0364611643973025E-5</v>
      </c>
      <c r="BY130" s="51">
        <v>1.0385340867260971E-5</v>
      </c>
      <c r="BZ130" s="51">
        <v>1.0406111548995493E-5</v>
      </c>
      <c r="CA130" s="51">
        <v>1.0426923772093484E-5</v>
      </c>
      <c r="CB130" s="51">
        <v>1.0447777619637671E-5</v>
      </c>
      <c r="CC130" s="51">
        <v>1.0468673174876946E-5</v>
      </c>
      <c r="CD130" s="51">
        <v>1.0489610521226701E-5</v>
      </c>
      <c r="CE130" s="51">
        <v>1.0510589742269153E-5</v>
      </c>
      <c r="CF130" s="51">
        <v>1.0531610921753691E-5</v>
      </c>
      <c r="CG130" s="51">
        <v>1.0552674143597198E-5</v>
      </c>
      <c r="CH130" s="51">
        <v>1.0573779491884392E-5</v>
      </c>
      <c r="CI130" s="51">
        <v>1.059492705086816E-5</v>
      </c>
      <c r="CJ130" s="51">
        <v>1.0616116904969896E-5</v>
      </c>
      <c r="CK130" s="51">
        <v>1.0637349138779836E-5</v>
      </c>
      <c r="CL130" s="51">
        <v>1.0658623837057396E-5</v>
      </c>
      <c r="CM130" s="51">
        <v>1.0679941084731511E-5</v>
      </c>
    </row>
    <row r="131" spans="1:91" s="50" customFormat="1" x14ac:dyDescent="0.25">
      <c r="A131" s="50" t="s">
        <v>2</v>
      </c>
      <c r="B131" s="4">
        <v>0</v>
      </c>
      <c r="C131" s="4">
        <v>0</v>
      </c>
      <c r="D131" s="4">
        <v>0</v>
      </c>
      <c r="E131" s="4">
        <v>0</v>
      </c>
      <c r="F131" s="4">
        <v>0</v>
      </c>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c r="AF131" s="51">
        <v>2.8426830073776333E-6</v>
      </c>
      <c r="AG131" s="51">
        <v>3.0241308589123759E-6</v>
      </c>
      <c r="AH131" s="51">
        <v>3.2171604882046551E-6</v>
      </c>
      <c r="AI131" s="51">
        <v>3.422511157664527E-6</v>
      </c>
      <c r="AJ131" s="51">
        <v>3.6409693166643902E-6</v>
      </c>
      <c r="AK131" s="51">
        <v>3.8733716134727557E-6</v>
      </c>
      <c r="AL131" s="51">
        <v>4.1206080994391017E-6</v>
      </c>
      <c r="AM131" s="51">
        <v>4.3836256377011717E-6</v>
      </c>
      <c r="AN131" s="51">
        <v>4.6634315294693312E-6</v>
      </c>
      <c r="AO131" s="51">
        <v>4.9610973717758844E-6</v>
      </c>
      <c r="AP131" s="51">
        <v>5.2777631614637067E-6</v>
      </c>
      <c r="AQ131" s="51">
        <v>5.6146416611316033E-6</v>
      </c>
      <c r="AR131" s="51">
        <v>5.9730230437570248E-6</v>
      </c>
      <c r="AS131" s="51">
        <v>6.3542798337840691E-6</v>
      </c>
      <c r="AT131" s="51">
        <v>6.7598721636000731E-6</v>
      </c>
      <c r="AU131" s="51">
        <v>7.191353365531993E-6</v>
      </c>
      <c r="AV131" s="51">
        <v>7.3136063727460365E-6</v>
      </c>
      <c r="AW131" s="51">
        <v>7.4379376810827189E-6</v>
      </c>
      <c r="AX131" s="51">
        <v>7.5643826216611248E-6</v>
      </c>
      <c r="AY131" s="51">
        <v>7.6929771262293639E-6</v>
      </c>
      <c r="AZ131" s="51">
        <v>7.8237577373752626E-6</v>
      </c>
      <c r="BA131" s="51">
        <v>7.9567616189106418E-6</v>
      </c>
      <c r="BB131" s="51">
        <v>8.0920265664321221E-6</v>
      </c>
      <c r="BC131" s="51">
        <v>8.2295910180614685E-6</v>
      </c>
      <c r="BD131" s="51">
        <v>8.3694940653685127E-6</v>
      </c>
      <c r="BE131" s="51">
        <v>8.5117754644797767E-6</v>
      </c>
      <c r="BF131" s="51">
        <v>8.6564756473759322E-6</v>
      </c>
      <c r="BG131" s="51">
        <v>8.803635733381323E-6</v>
      </c>
      <c r="BH131" s="51">
        <v>8.9532975408488052E-6</v>
      </c>
      <c r="BI131" s="51">
        <v>9.1055035990432346E-6</v>
      </c>
      <c r="BJ131" s="51">
        <v>9.2602971602269701E-6</v>
      </c>
      <c r="BK131" s="51">
        <v>9.4177222119508282E-6</v>
      </c>
      <c r="BL131" s="51">
        <v>9.5778234895539926E-6</v>
      </c>
      <c r="BM131" s="51">
        <v>9.7406464888764111E-6</v>
      </c>
      <c r="BN131" s="51">
        <v>9.9062374791873106E-6</v>
      </c>
      <c r="BO131" s="51">
        <v>1.0074643516333495E-5</v>
      </c>
      <c r="BP131" s="51">
        <v>1.0245912456111164E-5</v>
      </c>
      <c r="BQ131" s="51">
        <v>1.0420092967865054E-5</v>
      </c>
      <c r="BR131" s="51">
        <v>1.0597234548318759E-5</v>
      </c>
      <c r="BS131" s="51">
        <v>1.0777387535640179E-5</v>
      </c>
      <c r="BT131" s="51">
        <v>1.0960603123746062E-5</v>
      </c>
      <c r="BU131" s="51">
        <v>1.1146933376849744E-5</v>
      </c>
      <c r="BV131" s="51">
        <v>1.1336431244256189E-5</v>
      </c>
      <c r="BW131" s="51">
        <v>1.1529150575408544E-5</v>
      </c>
      <c r="BX131" s="51">
        <v>1.172514613519049E-5</v>
      </c>
      <c r="BY131" s="51">
        <v>1.1924473619488729E-5</v>
      </c>
      <c r="BZ131" s="51">
        <v>1.2127189671020037E-5</v>
      </c>
      <c r="CA131" s="51">
        <v>1.2333351895427377E-5</v>
      </c>
      <c r="CB131" s="51">
        <v>1.2543018877649642E-5</v>
      </c>
      <c r="CC131" s="51">
        <v>1.2756250198569687E-5</v>
      </c>
      <c r="CD131" s="51">
        <v>1.2973106451945372E-5</v>
      </c>
      <c r="CE131" s="51">
        <v>1.3193649261628443E-5</v>
      </c>
      <c r="CF131" s="51">
        <v>1.3417941299076127E-5</v>
      </c>
      <c r="CG131" s="51">
        <v>1.3646046301160422E-5</v>
      </c>
      <c r="CH131" s="51">
        <v>1.3878029088280148E-5</v>
      </c>
      <c r="CI131" s="51">
        <v>1.411395558278091E-5</v>
      </c>
      <c r="CJ131" s="51">
        <v>1.4353892827688185E-5</v>
      </c>
      <c r="CK131" s="51">
        <v>1.4597909005758885E-5</v>
      </c>
      <c r="CL131" s="51">
        <v>1.4846073458856785E-5</v>
      </c>
      <c r="CM131" s="51">
        <v>1.5098456707657351E-5</v>
      </c>
    </row>
    <row r="132" spans="1:91" s="50" customFormat="1" x14ac:dyDescent="0.25">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91" s="50" customFormat="1" x14ac:dyDescent="0.25">
      <c r="A133" s="50" t="s">
        <v>220</v>
      </c>
      <c r="B133" s="4">
        <v>0</v>
      </c>
      <c r="C133" s="4">
        <v>0</v>
      </c>
      <c r="D133" s="4">
        <v>0</v>
      </c>
      <c r="E133" s="4">
        <v>0</v>
      </c>
      <c r="F133" s="4">
        <v>0</v>
      </c>
      <c r="G133" s="4">
        <v>0</v>
      </c>
      <c r="H133" s="4">
        <v>0</v>
      </c>
      <c r="I133" s="4">
        <v>0</v>
      </c>
      <c r="J133" s="4">
        <v>0</v>
      </c>
      <c r="K133" s="4">
        <v>0</v>
      </c>
      <c r="L133" s="4">
        <v>0</v>
      </c>
      <c r="M133" s="4">
        <v>0</v>
      </c>
      <c r="N133" s="4">
        <v>0</v>
      </c>
      <c r="O133" s="4">
        <v>0</v>
      </c>
      <c r="P133" s="4">
        <v>0</v>
      </c>
      <c r="Q133" s="4">
        <v>0</v>
      </c>
      <c r="R133" s="4">
        <v>0</v>
      </c>
      <c r="S133" s="4">
        <v>0</v>
      </c>
      <c r="T133" s="4">
        <v>0</v>
      </c>
      <c r="U133" s="4">
        <v>0</v>
      </c>
      <c r="V133" s="4">
        <v>0</v>
      </c>
      <c r="W133" s="4">
        <v>0</v>
      </c>
      <c r="X133" s="4">
        <v>0</v>
      </c>
      <c r="Y133" s="4">
        <v>0</v>
      </c>
      <c r="Z133" s="4">
        <v>0</v>
      </c>
      <c r="AA133" s="4">
        <v>0</v>
      </c>
      <c r="AB133" s="4">
        <v>0</v>
      </c>
      <c r="AC133" s="4">
        <v>0</v>
      </c>
      <c r="AD133" s="4">
        <v>0</v>
      </c>
      <c r="AE133" s="4">
        <v>0</v>
      </c>
      <c r="AF133" s="51">
        <v>4.9056463595839519E-5</v>
      </c>
      <c r="AG133" s="51">
        <v>4.8902922238732037E-5</v>
      </c>
      <c r="AH133" s="51">
        <v>4.8749380881624563E-5</v>
      </c>
      <c r="AI133" s="51">
        <v>4.8595839524517082E-5</v>
      </c>
      <c r="AJ133" s="51">
        <v>4.8442298167409601E-5</v>
      </c>
      <c r="AK133" s="51">
        <v>4.8288756810302126E-5</v>
      </c>
      <c r="AL133" s="51">
        <v>4.8135215453194645E-5</v>
      </c>
      <c r="AM133" s="51">
        <v>4.7981674096087164E-5</v>
      </c>
      <c r="AN133" s="51">
        <v>4.782813273897969E-5</v>
      </c>
      <c r="AO133" s="51">
        <v>4.7674591381872208E-5</v>
      </c>
      <c r="AP133" s="51">
        <v>4.7521050024764727E-5</v>
      </c>
      <c r="AQ133" s="51">
        <v>4.7367508667657253E-5</v>
      </c>
      <c r="AR133" s="51">
        <v>4.7213967310549772E-5</v>
      </c>
      <c r="AS133" s="51">
        <v>4.7060425953442291E-5</v>
      </c>
      <c r="AT133" s="51">
        <v>4.6906884596334816E-5</v>
      </c>
      <c r="AU133" s="51">
        <v>4.6753343239227335E-5</v>
      </c>
      <c r="AV133" s="51">
        <v>4.7043918466924379E-5</v>
      </c>
      <c r="AW133" s="51">
        <v>4.7334493694621416E-5</v>
      </c>
      <c r="AX133" s="51">
        <v>4.762506892231846E-5</v>
      </c>
      <c r="AY133" s="51">
        <v>4.7915644150015504E-5</v>
      </c>
      <c r="AZ133" s="51">
        <v>4.8206219377712548E-5</v>
      </c>
      <c r="BA133" s="51">
        <v>4.8496794605409586E-5</v>
      </c>
      <c r="BB133" s="51">
        <v>4.878736983310663E-5</v>
      </c>
      <c r="BC133" s="51">
        <v>4.9077945060803674E-5</v>
      </c>
      <c r="BD133" s="51">
        <v>4.9368520288500711E-5</v>
      </c>
      <c r="BE133" s="51">
        <v>4.9659095516197755E-5</v>
      </c>
      <c r="BF133" s="51">
        <v>4.9949670743894799E-5</v>
      </c>
      <c r="BG133" s="51">
        <v>5.0240245971591843E-5</v>
      </c>
      <c r="BH133" s="51">
        <v>5.053082119928888E-5</v>
      </c>
      <c r="BI133" s="51">
        <v>5.0821396426985924E-5</v>
      </c>
      <c r="BJ133" s="51">
        <v>5.1111971654682968E-5</v>
      </c>
      <c r="BK133" s="51">
        <v>5.1402546882380005E-5</v>
      </c>
      <c r="BL133" s="51">
        <v>5.1693122110077049E-5</v>
      </c>
      <c r="BM133" s="51">
        <v>5.1983697337774093E-5</v>
      </c>
      <c r="BN133" s="51">
        <v>5.2274272565471137E-5</v>
      </c>
      <c r="BO133" s="51">
        <v>5.2564847793168174E-5</v>
      </c>
      <c r="BP133" s="51">
        <v>5.2855423020865218E-5</v>
      </c>
      <c r="BQ133" s="51">
        <v>5.3145998248562262E-5</v>
      </c>
      <c r="BR133" s="51">
        <v>5.34365734762593E-5</v>
      </c>
      <c r="BS133" s="51">
        <v>5.3727148703956344E-5</v>
      </c>
      <c r="BT133" s="51">
        <v>5.3687448840381992E-5</v>
      </c>
      <c r="BU133" s="51">
        <v>5.364774897680764E-5</v>
      </c>
      <c r="BV133" s="51">
        <v>5.3608049113233289E-5</v>
      </c>
      <c r="BW133" s="51">
        <v>5.3568349249658937E-5</v>
      </c>
      <c r="BX133" s="51">
        <v>5.3528649386084585E-5</v>
      </c>
      <c r="BY133" s="51">
        <v>5.3488949522510233E-5</v>
      </c>
      <c r="BZ133" s="51">
        <v>5.3449249658935882E-5</v>
      </c>
      <c r="CA133" s="51">
        <v>5.340954979536153E-5</v>
      </c>
      <c r="CB133" s="51">
        <v>5.3369849931787178E-5</v>
      </c>
      <c r="CC133" s="51">
        <v>5.3330150068212827E-5</v>
      </c>
      <c r="CD133" s="51">
        <v>5.3290450204638475E-5</v>
      </c>
      <c r="CE133" s="51">
        <v>5.3250750341064123E-5</v>
      </c>
      <c r="CF133" s="51">
        <v>5.3211050477489772E-5</v>
      </c>
      <c r="CG133" s="51">
        <v>5.317135061391542E-5</v>
      </c>
      <c r="CH133" s="51">
        <v>5.3131650750341068E-5</v>
      </c>
      <c r="CI133" s="51">
        <v>5.3091950886766716E-5</v>
      </c>
      <c r="CJ133" s="51">
        <v>5.3052251023192365E-5</v>
      </c>
      <c r="CK133" s="51">
        <v>5.3012551159618013E-5</v>
      </c>
      <c r="CL133" s="51">
        <v>5.2972851296043661E-5</v>
      </c>
      <c r="CM133" s="51">
        <v>5.293315143246931E-5</v>
      </c>
    </row>
    <row r="134" spans="1:91" s="50" customFormat="1" x14ac:dyDescent="0.25">
      <c r="A134" s="50" t="s">
        <v>1</v>
      </c>
      <c r="B134" s="4">
        <v>0</v>
      </c>
      <c r="C134" s="4">
        <v>0</v>
      </c>
      <c r="D134" s="4">
        <v>0</v>
      </c>
      <c r="E134" s="4">
        <v>0</v>
      </c>
      <c r="F134" s="4">
        <v>0</v>
      </c>
      <c r="G134" s="4">
        <v>0</v>
      </c>
      <c r="H134" s="4">
        <v>0</v>
      </c>
      <c r="I134" s="4">
        <v>0</v>
      </c>
      <c r="J134" s="4">
        <v>0</v>
      </c>
      <c r="K134" s="4">
        <v>0</v>
      </c>
      <c r="L134" s="4">
        <v>0</v>
      </c>
      <c r="M134" s="4">
        <v>0</v>
      </c>
      <c r="N134" s="4">
        <v>0</v>
      </c>
      <c r="O134" s="4">
        <v>0</v>
      </c>
      <c r="P134" s="4">
        <v>0</v>
      </c>
      <c r="Q134" s="4">
        <v>0</v>
      </c>
      <c r="R134" s="4">
        <v>0</v>
      </c>
      <c r="S134" s="4">
        <v>0</v>
      </c>
      <c r="T134" s="4">
        <v>0</v>
      </c>
      <c r="U134" s="4">
        <v>0</v>
      </c>
      <c r="V134" s="4">
        <v>0</v>
      </c>
      <c r="W134" s="4">
        <v>0</v>
      </c>
      <c r="X134" s="4">
        <v>0</v>
      </c>
      <c r="Y134" s="4">
        <v>0</v>
      </c>
      <c r="Z134" s="4">
        <v>0</v>
      </c>
      <c r="AA134" s="4">
        <v>0</v>
      </c>
      <c r="AB134" s="4">
        <v>0</v>
      </c>
      <c r="AC134" s="4">
        <v>0</v>
      </c>
      <c r="AD134" s="4">
        <v>0</v>
      </c>
      <c r="AE134" s="4">
        <v>0</v>
      </c>
      <c r="AF134" s="51">
        <v>7.0261515601783054E-5</v>
      </c>
      <c r="AG134" s="51">
        <v>7.0041604754829116E-5</v>
      </c>
      <c r="AH134" s="51">
        <v>6.9821693907875178E-5</v>
      </c>
      <c r="AI134" s="51">
        <v>6.9601783060921241E-5</v>
      </c>
      <c r="AJ134" s="51">
        <v>6.9381872213967303E-5</v>
      </c>
      <c r="AK134" s="51">
        <v>6.9161961367013365E-5</v>
      </c>
      <c r="AL134" s="51">
        <v>6.8942050520059427E-5</v>
      </c>
      <c r="AM134" s="51">
        <v>6.8722139673105489E-5</v>
      </c>
      <c r="AN134" s="51">
        <v>6.8502228826151565E-5</v>
      </c>
      <c r="AO134" s="51">
        <v>6.8282317979197627E-5</v>
      </c>
      <c r="AP134" s="51">
        <v>6.806240713224369E-5</v>
      </c>
      <c r="AQ134" s="51">
        <v>6.7842496285289752E-5</v>
      </c>
      <c r="AR134" s="51">
        <v>6.7622585438335814E-5</v>
      </c>
      <c r="AS134" s="51">
        <v>6.7402674591381876E-5</v>
      </c>
      <c r="AT134" s="51">
        <v>6.7182763744427939E-5</v>
      </c>
      <c r="AU134" s="51">
        <v>6.6962852897474001E-5</v>
      </c>
      <c r="AV134" s="51">
        <v>6.6769084640661339E-5</v>
      </c>
      <c r="AW134" s="51">
        <v>6.6575316383848664E-5</v>
      </c>
      <c r="AX134" s="51">
        <v>6.6381548127036002E-5</v>
      </c>
      <c r="AY134" s="51">
        <v>6.6187779870223326E-5</v>
      </c>
      <c r="AZ134" s="51">
        <v>6.5994011613410664E-5</v>
      </c>
      <c r="BA134" s="51">
        <v>6.5800243356598003E-5</v>
      </c>
      <c r="BB134" s="51">
        <v>6.5606475099785327E-5</v>
      </c>
      <c r="BC134" s="51">
        <v>6.5412706842972665E-5</v>
      </c>
      <c r="BD134" s="51">
        <v>6.521893858615999E-5</v>
      </c>
      <c r="BE134" s="51">
        <v>6.5025170329347328E-5</v>
      </c>
      <c r="BF134" s="51">
        <v>6.4831402072534653E-5</v>
      </c>
      <c r="BG134" s="51">
        <v>6.4637633815721991E-5</v>
      </c>
      <c r="BH134" s="51">
        <v>6.4443865558909329E-5</v>
      </c>
      <c r="BI134" s="51">
        <v>6.4250097302096654E-5</v>
      </c>
      <c r="BJ134" s="51">
        <v>6.4056329045283992E-5</v>
      </c>
      <c r="BK134" s="51">
        <v>6.3862560788471317E-5</v>
      </c>
      <c r="BL134" s="51">
        <v>6.3668792531658655E-5</v>
      </c>
      <c r="BM134" s="51">
        <v>6.3475024274845979E-5</v>
      </c>
      <c r="BN134" s="51">
        <v>6.3281256018033318E-5</v>
      </c>
      <c r="BO134" s="51">
        <v>6.3087487761220656E-5</v>
      </c>
      <c r="BP134" s="51">
        <v>6.289371950440798E-5</v>
      </c>
      <c r="BQ134" s="51">
        <v>6.2699951247595319E-5</v>
      </c>
      <c r="BR134" s="51">
        <v>6.2506182990782643E-5</v>
      </c>
      <c r="BS134" s="51">
        <v>6.2312414733969981E-5</v>
      </c>
      <c r="BT134" s="51">
        <v>6.226637107776261E-5</v>
      </c>
      <c r="BU134" s="51">
        <v>6.2220327421555252E-5</v>
      </c>
      <c r="BV134" s="51">
        <v>6.217428376534788E-5</v>
      </c>
      <c r="BW134" s="51">
        <v>6.2128240109140509E-5</v>
      </c>
      <c r="BX134" s="51">
        <v>6.2082196452933151E-5</v>
      </c>
      <c r="BY134" s="51">
        <v>6.203615279672578E-5</v>
      </c>
      <c r="BZ134" s="51">
        <v>6.1990109140518408E-5</v>
      </c>
      <c r="CA134" s="51">
        <v>6.194406548431105E-5</v>
      </c>
      <c r="CB134" s="51">
        <v>6.1898021828103679E-5</v>
      </c>
      <c r="CC134" s="51">
        <v>6.1851978171896321E-5</v>
      </c>
      <c r="CD134" s="51">
        <v>6.1805934515688949E-5</v>
      </c>
      <c r="CE134" s="51">
        <v>6.1759890859481578E-5</v>
      </c>
      <c r="CF134" s="51">
        <v>6.171384720327422E-5</v>
      </c>
      <c r="CG134" s="51">
        <v>6.1667803547066848E-5</v>
      </c>
      <c r="CH134" s="51">
        <v>6.1621759890859477E-5</v>
      </c>
      <c r="CI134" s="51">
        <v>6.1575716234652119E-5</v>
      </c>
      <c r="CJ134" s="51">
        <v>6.1529672578444747E-5</v>
      </c>
      <c r="CK134" s="51">
        <v>6.1483628922237376E-5</v>
      </c>
      <c r="CL134" s="51">
        <v>6.1437585266030018E-5</v>
      </c>
      <c r="CM134" s="51">
        <v>6.1391541609822646E-5</v>
      </c>
    </row>
    <row r="135" spans="1:91" s="50" customFormat="1" x14ac:dyDescent="0.25">
      <c r="A135" s="50" t="s">
        <v>1</v>
      </c>
      <c r="B135" s="4">
        <v>0</v>
      </c>
      <c r="C135" s="4">
        <v>0</v>
      </c>
      <c r="D135" s="4">
        <v>0</v>
      </c>
      <c r="E135" s="4">
        <v>0</v>
      </c>
      <c r="F135" s="4">
        <v>0</v>
      </c>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c r="X135" s="4">
        <v>0</v>
      </c>
      <c r="Y135" s="4">
        <v>0</v>
      </c>
      <c r="Z135" s="4">
        <v>0</v>
      </c>
      <c r="AA135" s="4">
        <v>0</v>
      </c>
      <c r="AB135" s="4">
        <v>0</v>
      </c>
      <c r="AC135" s="4">
        <v>0</v>
      </c>
      <c r="AD135" s="4">
        <v>0</v>
      </c>
      <c r="AE135" s="4">
        <v>0</v>
      </c>
      <c r="AF135" s="51">
        <v>5.0005943536404159E-5</v>
      </c>
      <c r="AG135" s="51">
        <v>4.9849430411094599E-5</v>
      </c>
      <c r="AH135" s="51">
        <v>4.969291728578504E-5</v>
      </c>
      <c r="AI135" s="51">
        <v>4.9536404160475481E-5</v>
      </c>
      <c r="AJ135" s="51">
        <v>4.9379891035165921E-5</v>
      </c>
      <c r="AK135" s="51">
        <v>4.9223377909856362E-5</v>
      </c>
      <c r="AL135" s="51">
        <v>4.9066864784546803E-5</v>
      </c>
      <c r="AM135" s="51">
        <v>4.8910351659237243E-5</v>
      </c>
      <c r="AN135" s="51">
        <v>4.8753838533927691E-5</v>
      </c>
      <c r="AO135" s="51">
        <v>4.8597325408618131E-5</v>
      </c>
      <c r="AP135" s="51">
        <v>4.8440812283308572E-5</v>
      </c>
      <c r="AQ135" s="51">
        <v>4.8284299157999012E-5</v>
      </c>
      <c r="AR135" s="51">
        <v>4.8127786032689453E-5</v>
      </c>
      <c r="AS135" s="51">
        <v>4.7971272907379894E-5</v>
      </c>
      <c r="AT135" s="51">
        <v>4.7814759782070334E-5</v>
      </c>
      <c r="AU135" s="51">
        <v>4.7658246656760775E-5</v>
      </c>
      <c r="AV135" s="51">
        <v>4.7461083468981915E-5</v>
      </c>
      <c r="AW135" s="51">
        <v>4.7263920281203061E-5</v>
      </c>
      <c r="AX135" s="51">
        <v>4.7066757093424207E-5</v>
      </c>
      <c r="AY135" s="51">
        <v>4.6869593905645347E-5</v>
      </c>
      <c r="AZ135" s="51">
        <v>4.6672430717866487E-5</v>
      </c>
      <c r="BA135" s="51">
        <v>4.6475267530087633E-5</v>
      </c>
      <c r="BB135" s="51">
        <v>4.627810434230878E-5</v>
      </c>
      <c r="BC135" s="51">
        <v>4.6080941154529919E-5</v>
      </c>
      <c r="BD135" s="51">
        <v>4.5883777966751059E-5</v>
      </c>
      <c r="BE135" s="51">
        <v>4.5686614778972206E-5</v>
      </c>
      <c r="BF135" s="51">
        <v>4.5489451591193352E-5</v>
      </c>
      <c r="BG135" s="51">
        <v>4.5292288403414492E-5</v>
      </c>
      <c r="BH135" s="51">
        <v>4.5095125215635631E-5</v>
      </c>
      <c r="BI135" s="51">
        <v>4.4897962027856778E-5</v>
      </c>
      <c r="BJ135" s="51">
        <v>4.4700798840077924E-5</v>
      </c>
      <c r="BK135" s="51">
        <v>4.4503635652299064E-5</v>
      </c>
      <c r="BL135" s="51">
        <v>4.4306472464520204E-5</v>
      </c>
      <c r="BM135" s="51">
        <v>4.410930927674135E-5</v>
      </c>
      <c r="BN135" s="51">
        <v>4.3912146088962497E-5</v>
      </c>
      <c r="BO135" s="51">
        <v>4.3714982901183636E-5</v>
      </c>
      <c r="BP135" s="51">
        <v>4.3517819713404776E-5</v>
      </c>
      <c r="BQ135" s="51">
        <v>4.3320656525625922E-5</v>
      </c>
      <c r="BR135" s="51">
        <v>4.3123493337847069E-5</v>
      </c>
      <c r="BS135" s="51">
        <v>4.2926330150068209E-5</v>
      </c>
      <c r="BT135" s="51">
        <v>4.2894611186903137E-5</v>
      </c>
      <c r="BU135" s="51">
        <v>4.2862892223738058E-5</v>
      </c>
      <c r="BV135" s="51">
        <v>4.2831173260572986E-5</v>
      </c>
      <c r="BW135" s="51">
        <v>4.2799454297407908E-5</v>
      </c>
      <c r="BX135" s="51">
        <v>4.2767735334242836E-5</v>
      </c>
      <c r="BY135" s="51">
        <v>4.2736016371077757E-5</v>
      </c>
      <c r="BZ135" s="51">
        <v>4.2704297407912686E-5</v>
      </c>
      <c r="CA135" s="51">
        <v>4.2672578444747607E-5</v>
      </c>
      <c r="CB135" s="51">
        <v>4.2640859481582535E-5</v>
      </c>
      <c r="CC135" s="51">
        <v>4.2609140518417457E-5</v>
      </c>
      <c r="CD135" s="51">
        <v>4.2577421555252385E-5</v>
      </c>
      <c r="CE135" s="51">
        <v>4.2545702592087313E-5</v>
      </c>
      <c r="CF135" s="51">
        <v>4.2513983628922234E-5</v>
      </c>
      <c r="CG135" s="51">
        <v>4.2482264665757163E-5</v>
      </c>
      <c r="CH135" s="51">
        <v>4.2450545702592084E-5</v>
      </c>
      <c r="CI135" s="51">
        <v>4.2418826739427012E-5</v>
      </c>
      <c r="CJ135" s="51">
        <v>4.2387107776261934E-5</v>
      </c>
      <c r="CK135" s="51">
        <v>4.2355388813096862E-5</v>
      </c>
      <c r="CL135" s="51">
        <v>4.2323669849931783E-5</v>
      </c>
      <c r="CM135" s="51">
        <v>4.2291950886766711E-5</v>
      </c>
    </row>
    <row r="136" spans="1:91" s="50" customFormat="1" x14ac:dyDescent="0.25">
      <c r="A136" s="50" t="s">
        <v>1</v>
      </c>
      <c r="B136" s="4">
        <v>0</v>
      </c>
      <c r="C136" s="4">
        <v>0</v>
      </c>
      <c r="D136" s="4">
        <v>0</v>
      </c>
      <c r="E136" s="4">
        <v>0</v>
      </c>
      <c r="F136" s="4">
        <v>0</v>
      </c>
      <c r="G136" s="4">
        <v>0</v>
      </c>
      <c r="H136" s="4">
        <v>0</v>
      </c>
      <c r="I136" s="4">
        <v>0</v>
      </c>
      <c r="J136" s="4">
        <v>0</v>
      </c>
      <c r="K136" s="4">
        <v>0</v>
      </c>
      <c r="L136" s="4">
        <v>0</v>
      </c>
      <c r="M136" s="4">
        <v>0</v>
      </c>
      <c r="N136" s="4">
        <v>0</v>
      </c>
      <c r="O136" s="4">
        <v>0</v>
      </c>
      <c r="P136" s="4">
        <v>0</v>
      </c>
      <c r="Q136" s="4">
        <v>0</v>
      </c>
      <c r="R136" s="4">
        <v>0</v>
      </c>
      <c r="S136" s="4">
        <v>0</v>
      </c>
      <c r="T136" s="4">
        <v>0</v>
      </c>
      <c r="U136" s="4">
        <v>0</v>
      </c>
      <c r="V136" s="4">
        <v>0</v>
      </c>
      <c r="W136" s="4">
        <v>0</v>
      </c>
      <c r="X136" s="4">
        <v>0</v>
      </c>
      <c r="Y136" s="4">
        <v>0</v>
      </c>
      <c r="Z136" s="4">
        <v>0</v>
      </c>
      <c r="AA136" s="4">
        <v>0</v>
      </c>
      <c r="AB136" s="4">
        <v>0</v>
      </c>
      <c r="AC136" s="4">
        <v>0</v>
      </c>
      <c r="AD136" s="4">
        <v>0</v>
      </c>
      <c r="AE136" s="4">
        <v>0</v>
      </c>
      <c r="AF136" s="51">
        <v>4.3676077265973255E-5</v>
      </c>
      <c r="AG136" s="51">
        <v>4.3539375928677562E-5</v>
      </c>
      <c r="AH136" s="51">
        <v>4.3402674591381876E-5</v>
      </c>
      <c r="AI136" s="51">
        <v>4.3265973254086182E-5</v>
      </c>
      <c r="AJ136" s="51">
        <v>4.3129271916790489E-5</v>
      </c>
      <c r="AK136" s="51">
        <v>4.2992570579494803E-5</v>
      </c>
      <c r="AL136" s="51">
        <v>4.2855869242199109E-5</v>
      </c>
      <c r="AM136" s="51">
        <v>4.2719167904903416E-5</v>
      </c>
      <c r="AN136" s="51">
        <v>4.258246656760773E-5</v>
      </c>
      <c r="AO136" s="51">
        <v>4.2445765230312036E-5</v>
      </c>
      <c r="AP136" s="51">
        <v>4.2309063893016343E-5</v>
      </c>
      <c r="AQ136" s="51">
        <v>4.2172362555720657E-5</v>
      </c>
      <c r="AR136" s="51">
        <v>4.2035661218424963E-5</v>
      </c>
      <c r="AS136" s="51">
        <v>4.189895988112927E-5</v>
      </c>
      <c r="AT136" s="51">
        <v>4.1762258543833584E-5</v>
      </c>
      <c r="AU136" s="51">
        <v>4.1625557206537891E-5</v>
      </c>
      <c r="AV136" s="51">
        <v>4.1725913423432375E-5</v>
      </c>
      <c r="AW136" s="51">
        <v>4.1826269640326854E-5</v>
      </c>
      <c r="AX136" s="51">
        <v>4.1926625857221338E-5</v>
      </c>
      <c r="AY136" s="51">
        <v>4.2026982074115817E-5</v>
      </c>
      <c r="AZ136" s="51">
        <v>4.2127338291010302E-5</v>
      </c>
      <c r="BA136" s="51">
        <v>4.222769450790478E-5</v>
      </c>
      <c r="BB136" s="51">
        <v>4.2328050724799265E-5</v>
      </c>
      <c r="BC136" s="51">
        <v>4.2428406941693743E-5</v>
      </c>
      <c r="BD136" s="51">
        <v>4.2528763158588228E-5</v>
      </c>
      <c r="BE136" s="51">
        <v>4.2629119375482706E-5</v>
      </c>
      <c r="BF136" s="51">
        <v>4.2729475592377191E-5</v>
      </c>
      <c r="BG136" s="51">
        <v>4.2829831809271669E-5</v>
      </c>
      <c r="BH136" s="51">
        <v>4.2930188026166154E-5</v>
      </c>
      <c r="BI136" s="51">
        <v>4.3030544243060639E-5</v>
      </c>
      <c r="BJ136" s="51">
        <v>4.3130900459955117E-5</v>
      </c>
      <c r="BK136" s="51">
        <v>4.3231256676849602E-5</v>
      </c>
      <c r="BL136" s="51">
        <v>4.333161289374408E-5</v>
      </c>
      <c r="BM136" s="51">
        <v>4.3431969110638565E-5</v>
      </c>
      <c r="BN136" s="51">
        <v>4.3532325327533043E-5</v>
      </c>
      <c r="BO136" s="51">
        <v>4.3632681544427528E-5</v>
      </c>
      <c r="BP136" s="51">
        <v>4.3733037761322006E-5</v>
      </c>
      <c r="BQ136" s="51">
        <v>4.3833393978216491E-5</v>
      </c>
      <c r="BR136" s="51">
        <v>4.3933750195110969E-5</v>
      </c>
      <c r="BS136" s="51">
        <v>4.4034106412005454E-5</v>
      </c>
      <c r="BT136" s="51">
        <v>4.4001568894952245E-5</v>
      </c>
      <c r="BU136" s="51">
        <v>4.3969031377899043E-5</v>
      </c>
      <c r="BV136" s="51">
        <v>4.3936493860845835E-5</v>
      </c>
      <c r="BW136" s="51">
        <v>4.3903956343792633E-5</v>
      </c>
      <c r="BX136" s="51">
        <v>4.3871418826739424E-5</v>
      </c>
      <c r="BY136" s="51">
        <v>4.3838881309686222E-5</v>
      </c>
      <c r="BZ136" s="51">
        <v>4.3806343792633014E-5</v>
      </c>
      <c r="CA136" s="51">
        <v>4.3773806275579812E-5</v>
      </c>
      <c r="CB136" s="51">
        <v>4.3741268758526603E-5</v>
      </c>
      <c r="CC136" s="51">
        <v>4.3708731241473401E-5</v>
      </c>
      <c r="CD136" s="51">
        <v>4.3676193724420193E-5</v>
      </c>
      <c r="CE136" s="51">
        <v>4.3643656207366984E-5</v>
      </c>
      <c r="CF136" s="51">
        <v>4.3611118690313782E-5</v>
      </c>
      <c r="CG136" s="51">
        <v>4.3578581173260574E-5</v>
      </c>
      <c r="CH136" s="51">
        <v>4.3546043656207372E-5</v>
      </c>
      <c r="CI136" s="51">
        <v>4.3513506139154163E-5</v>
      </c>
      <c r="CJ136" s="51">
        <v>4.3480968622100961E-5</v>
      </c>
      <c r="CK136" s="51">
        <v>4.3448431105047753E-5</v>
      </c>
      <c r="CL136" s="51">
        <v>4.3415893587994551E-5</v>
      </c>
      <c r="CM136" s="51">
        <v>4.3383356070941342E-5</v>
      </c>
    </row>
    <row r="137" spans="1:91" s="50" customFormat="1" x14ac:dyDescent="0.25">
      <c r="A137" s="50" t="s">
        <v>1</v>
      </c>
      <c r="B137" s="4">
        <v>0</v>
      </c>
      <c r="C137" s="4">
        <v>0</v>
      </c>
      <c r="D137" s="4">
        <v>0</v>
      </c>
      <c r="E137" s="4">
        <v>0</v>
      </c>
      <c r="F137" s="4">
        <v>0</v>
      </c>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c r="X137" s="4">
        <v>0</v>
      </c>
      <c r="Y137" s="4">
        <v>0</v>
      </c>
      <c r="Z137" s="4">
        <v>0</v>
      </c>
      <c r="AA137" s="4">
        <v>0</v>
      </c>
      <c r="AB137" s="4">
        <v>0</v>
      </c>
      <c r="AC137" s="4">
        <v>0</v>
      </c>
      <c r="AD137" s="4">
        <v>0</v>
      </c>
      <c r="AE137" s="4">
        <v>0</v>
      </c>
      <c r="AF137" s="51">
        <v>1.2300000000000001E-5</v>
      </c>
      <c r="AG137" s="51">
        <v>1.2300000000000001E-5</v>
      </c>
      <c r="AH137" s="51">
        <v>1.2300000000000001E-5</v>
      </c>
      <c r="AI137" s="51">
        <v>1.2300000000000001E-5</v>
      </c>
      <c r="AJ137" s="51">
        <v>1.2300000000000001E-5</v>
      </c>
      <c r="AK137" s="51">
        <v>1.2300000000000001E-5</v>
      </c>
      <c r="AL137" s="51">
        <v>1.2300000000000001E-5</v>
      </c>
      <c r="AM137" s="51">
        <v>1.2300000000000001E-5</v>
      </c>
      <c r="AN137" s="51">
        <v>1.2300000000000001E-5</v>
      </c>
      <c r="AO137" s="51">
        <v>1.2300000000000001E-5</v>
      </c>
      <c r="AP137" s="51">
        <v>1.2300000000000001E-5</v>
      </c>
      <c r="AQ137" s="51">
        <v>1.2300000000000001E-5</v>
      </c>
      <c r="AR137" s="51">
        <v>1.2300000000000001E-5</v>
      </c>
      <c r="AS137" s="51">
        <v>1.2300000000000001E-5</v>
      </c>
      <c r="AT137" s="51">
        <v>1.2300000000000001E-5</v>
      </c>
      <c r="AU137" s="51">
        <v>1.2300000000000001E-5</v>
      </c>
      <c r="AV137" s="51">
        <v>1.2358333333333333E-5</v>
      </c>
      <c r="AW137" s="51">
        <v>1.2416666666666667E-5</v>
      </c>
      <c r="AX137" s="51">
        <v>1.2475E-5</v>
      </c>
      <c r="AY137" s="51">
        <v>1.2533333333333334E-5</v>
      </c>
      <c r="AZ137" s="51">
        <v>1.2591666666666667E-5</v>
      </c>
      <c r="BA137" s="51">
        <v>1.2650000000000001E-5</v>
      </c>
      <c r="BB137" s="51">
        <v>1.2708333333333333E-5</v>
      </c>
      <c r="BC137" s="51">
        <v>1.2766666666666668E-5</v>
      </c>
      <c r="BD137" s="51">
        <v>1.2825E-5</v>
      </c>
      <c r="BE137" s="51">
        <v>1.2883333333333334E-5</v>
      </c>
      <c r="BF137" s="51">
        <v>1.2941666666666667E-5</v>
      </c>
      <c r="BG137" s="51">
        <v>1.3000000000000001E-5</v>
      </c>
      <c r="BH137" s="51">
        <v>1.3058333333333333E-5</v>
      </c>
      <c r="BI137" s="51">
        <v>1.3116666666666666E-5</v>
      </c>
      <c r="BJ137" s="51">
        <v>1.3175E-5</v>
      </c>
      <c r="BK137" s="51">
        <v>1.3233333333333333E-5</v>
      </c>
      <c r="BL137" s="51">
        <v>1.3291666666666667E-5</v>
      </c>
      <c r="BM137" s="51">
        <v>1.3349999999999999E-5</v>
      </c>
      <c r="BN137" s="51">
        <v>1.3408333333333333E-5</v>
      </c>
      <c r="BO137" s="51">
        <v>1.3466666666666666E-5</v>
      </c>
      <c r="BP137" s="51">
        <v>1.3525E-5</v>
      </c>
      <c r="BQ137" s="51">
        <v>1.3583333333333333E-5</v>
      </c>
      <c r="BR137" s="51">
        <v>1.3641666666666665E-5</v>
      </c>
      <c r="BS137" s="51">
        <v>1.3699999999999999E-5</v>
      </c>
      <c r="BT137" s="51">
        <v>1.3739999999999999E-5</v>
      </c>
      <c r="BU137" s="51">
        <v>1.378E-5</v>
      </c>
      <c r="BV137" s="51">
        <v>1.382E-5</v>
      </c>
      <c r="BW137" s="51">
        <v>1.3859999999999999E-5</v>
      </c>
      <c r="BX137" s="51">
        <v>1.3899999999999999E-5</v>
      </c>
      <c r="BY137" s="51">
        <v>1.3939999999999999E-5</v>
      </c>
      <c r="BZ137" s="51">
        <v>1.398E-5</v>
      </c>
      <c r="CA137" s="51">
        <v>1.402E-5</v>
      </c>
      <c r="CB137" s="51">
        <v>1.4059999999999999E-5</v>
      </c>
      <c r="CC137" s="51">
        <v>1.4100000000000001E-5</v>
      </c>
      <c r="CD137" s="51">
        <v>1.414E-5</v>
      </c>
      <c r="CE137" s="51">
        <v>1.418E-5</v>
      </c>
      <c r="CF137" s="51">
        <v>1.4219999999999999E-5</v>
      </c>
      <c r="CG137" s="51">
        <v>1.4259999999999999E-5</v>
      </c>
      <c r="CH137" s="51">
        <v>1.43E-5</v>
      </c>
      <c r="CI137" s="51">
        <v>1.434E-5</v>
      </c>
      <c r="CJ137" s="51">
        <v>1.438E-5</v>
      </c>
      <c r="CK137" s="51">
        <v>1.4420000000000001E-5</v>
      </c>
      <c r="CL137" s="51">
        <v>1.446E-5</v>
      </c>
      <c r="CM137" s="51">
        <v>1.45E-5</v>
      </c>
    </row>
    <row r="138" spans="1:91" s="50" customFormat="1" x14ac:dyDescent="0.25">
      <c r="A138" s="50" t="s">
        <v>1</v>
      </c>
      <c r="B138" s="4">
        <v>0</v>
      </c>
      <c r="C138" s="4">
        <v>0</v>
      </c>
      <c r="D138" s="4">
        <v>0</v>
      </c>
      <c r="E138" s="4">
        <v>0</v>
      </c>
      <c r="F138" s="4">
        <v>0</v>
      </c>
      <c r="G138" s="4">
        <v>0</v>
      </c>
      <c r="H138" s="4">
        <v>0</v>
      </c>
      <c r="I138" s="4">
        <v>0</v>
      </c>
      <c r="J138" s="4">
        <v>0</v>
      </c>
      <c r="K138" s="4">
        <v>0</v>
      </c>
      <c r="L138" s="4">
        <v>0</v>
      </c>
      <c r="M138" s="4">
        <v>0</v>
      </c>
      <c r="N138" s="4">
        <v>0</v>
      </c>
      <c r="O138" s="4">
        <v>0</v>
      </c>
      <c r="P138" s="4">
        <v>0</v>
      </c>
      <c r="Q138" s="4">
        <v>0</v>
      </c>
      <c r="R138" s="4">
        <v>0</v>
      </c>
      <c r="S138" s="4">
        <v>0</v>
      </c>
      <c r="T138" s="4">
        <v>0</v>
      </c>
      <c r="U138" s="4">
        <v>0</v>
      </c>
      <c r="V138" s="4">
        <v>0</v>
      </c>
      <c r="W138" s="4">
        <v>0</v>
      </c>
      <c r="X138" s="4">
        <v>0</v>
      </c>
      <c r="Y138" s="4">
        <v>0</v>
      </c>
      <c r="Z138" s="4">
        <v>0</v>
      </c>
      <c r="AA138" s="4">
        <v>0</v>
      </c>
      <c r="AB138" s="4">
        <v>0</v>
      </c>
      <c r="AC138" s="4">
        <v>0</v>
      </c>
      <c r="AD138" s="4">
        <v>0</v>
      </c>
      <c r="AE138" s="4">
        <v>0</v>
      </c>
      <c r="AF138" s="51">
        <v>2.8100000000000002E-5</v>
      </c>
      <c r="AG138" s="51">
        <v>2.8080000000000002E-5</v>
      </c>
      <c r="AH138" s="51">
        <v>2.8060000000000002E-5</v>
      </c>
      <c r="AI138" s="51">
        <v>2.8040000000000003E-5</v>
      </c>
      <c r="AJ138" s="51">
        <v>2.8020000000000003E-5</v>
      </c>
      <c r="AK138" s="51">
        <v>2.8000000000000003E-5</v>
      </c>
      <c r="AL138" s="51">
        <v>2.7980000000000003E-5</v>
      </c>
      <c r="AM138" s="51">
        <v>2.7960000000000003E-5</v>
      </c>
      <c r="AN138" s="51">
        <v>2.794E-5</v>
      </c>
      <c r="AO138" s="51">
        <v>2.792E-5</v>
      </c>
      <c r="AP138" s="51">
        <v>2.7900000000000001E-5</v>
      </c>
      <c r="AQ138" s="51">
        <v>2.7880000000000001E-5</v>
      </c>
      <c r="AR138" s="51">
        <v>2.7860000000000001E-5</v>
      </c>
      <c r="AS138" s="51">
        <v>2.7840000000000001E-5</v>
      </c>
      <c r="AT138" s="51">
        <v>2.7820000000000001E-5</v>
      </c>
      <c r="AU138" s="51">
        <v>2.7800000000000001E-5</v>
      </c>
      <c r="AV138" s="51">
        <v>2.7841666666666668E-5</v>
      </c>
      <c r="AW138" s="51">
        <v>2.7883333333333335E-5</v>
      </c>
      <c r="AX138" s="51">
        <v>2.7925000000000001E-5</v>
      </c>
      <c r="AY138" s="51">
        <v>2.7966666666666668E-5</v>
      </c>
      <c r="AZ138" s="51">
        <v>2.8008333333333334E-5</v>
      </c>
      <c r="BA138" s="51">
        <v>2.8050000000000001E-5</v>
      </c>
      <c r="BB138" s="51">
        <v>2.8091666666666667E-5</v>
      </c>
      <c r="BC138" s="51">
        <v>2.8133333333333334E-5</v>
      </c>
      <c r="BD138" s="51">
        <v>2.8175E-5</v>
      </c>
      <c r="BE138" s="51">
        <v>2.8216666666666667E-5</v>
      </c>
      <c r="BF138" s="51">
        <v>2.8258333333333334E-5</v>
      </c>
      <c r="BG138" s="51">
        <v>2.8300000000000003E-5</v>
      </c>
      <c r="BH138" s="51">
        <v>2.834166666666667E-5</v>
      </c>
      <c r="BI138" s="51">
        <v>2.8383333333333337E-5</v>
      </c>
      <c r="BJ138" s="51">
        <v>2.8425000000000003E-5</v>
      </c>
      <c r="BK138" s="51">
        <v>2.846666666666667E-5</v>
      </c>
      <c r="BL138" s="51">
        <v>2.8508333333333336E-5</v>
      </c>
      <c r="BM138" s="51">
        <v>2.8550000000000003E-5</v>
      </c>
      <c r="BN138" s="51">
        <v>2.8591666666666669E-5</v>
      </c>
      <c r="BO138" s="51">
        <v>2.8633333333333336E-5</v>
      </c>
      <c r="BP138" s="51">
        <v>2.8675000000000002E-5</v>
      </c>
      <c r="BQ138" s="51">
        <v>2.8716666666666669E-5</v>
      </c>
      <c r="BR138" s="51">
        <v>2.8758333333333336E-5</v>
      </c>
      <c r="BS138" s="51">
        <v>2.8800000000000002E-5</v>
      </c>
      <c r="BT138" s="51">
        <v>2.8830000000000003E-5</v>
      </c>
      <c r="BU138" s="51">
        <v>2.8860000000000002E-5</v>
      </c>
      <c r="BV138" s="51">
        <v>2.8890000000000003E-5</v>
      </c>
      <c r="BW138" s="51">
        <v>2.8920000000000001E-5</v>
      </c>
      <c r="BX138" s="51">
        <v>2.8950000000000002E-5</v>
      </c>
      <c r="BY138" s="51">
        <v>2.898E-5</v>
      </c>
      <c r="BZ138" s="51">
        <v>2.9010000000000002E-5</v>
      </c>
      <c r="CA138" s="51">
        <v>2.904E-5</v>
      </c>
      <c r="CB138" s="51">
        <v>2.9070000000000001E-5</v>
      </c>
      <c r="CC138" s="51">
        <v>2.9100000000000003E-5</v>
      </c>
      <c r="CD138" s="51">
        <v>2.9130000000000001E-5</v>
      </c>
      <c r="CE138" s="51">
        <v>2.9160000000000002E-5</v>
      </c>
      <c r="CF138" s="51">
        <v>2.919E-5</v>
      </c>
      <c r="CG138" s="51">
        <v>2.9220000000000001E-5</v>
      </c>
      <c r="CH138" s="51">
        <v>2.9249999999999999E-5</v>
      </c>
      <c r="CI138" s="51">
        <v>2.9280000000000001E-5</v>
      </c>
      <c r="CJ138" s="51">
        <v>2.9309999999999999E-5</v>
      </c>
      <c r="CK138" s="51">
        <v>2.934E-5</v>
      </c>
      <c r="CL138" s="51">
        <v>2.9369999999999998E-5</v>
      </c>
      <c r="CM138" s="51">
        <v>2.94E-5</v>
      </c>
    </row>
    <row r="139" spans="1:91" s="50" customFormat="1" x14ac:dyDescent="0.25">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91" s="50" customFormat="1" x14ac:dyDescent="0.25">
      <c r="A140" s="50" t="s">
        <v>221</v>
      </c>
      <c r="B140" s="4">
        <v>0</v>
      </c>
      <c r="C140" s="4">
        <v>0</v>
      </c>
      <c r="D140" s="4">
        <v>0</v>
      </c>
      <c r="E140" s="4">
        <v>0</v>
      </c>
      <c r="F140" s="4">
        <v>0</v>
      </c>
      <c r="G140" s="4">
        <v>0</v>
      </c>
      <c r="H140" s="4">
        <v>0</v>
      </c>
      <c r="I140" s="4">
        <v>0</v>
      </c>
      <c r="J140" s="4">
        <v>0</v>
      </c>
      <c r="K140" s="4">
        <v>0</v>
      </c>
      <c r="L140" s="4">
        <v>0</v>
      </c>
      <c r="M140" s="4">
        <v>0</v>
      </c>
      <c r="N140" s="4">
        <v>0</v>
      </c>
      <c r="O140" s="4">
        <v>0</v>
      </c>
      <c r="P140" s="4">
        <v>0</v>
      </c>
      <c r="Q140" s="4">
        <v>0</v>
      </c>
      <c r="R140" s="4">
        <v>0</v>
      </c>
      <c r="S140" s="4">
        <v>0</v>
      </c>
      <c r="T140" s="4">
        <v>0</v>
      </c>
      <c r="U140" s="4">
        <v>0</v>
      </c>
      <c r="V140" s="4">
        <v>0</v>
      </c>
      <c r="W140" s="4">
        <v>0</v>
      </c>
      <c r="X140" s="4">
        <v>0</v>
      </c>
      <c r="Y140" s="4">
        <v>0</v>
      </c>
      <c r="Z140" s="4">
        <v>0</v>
      </c>
      <c r="AA140" s="4">
        <v>0</v>
      </c>
      <c r="AB140" s="4">
        <v>0</v>
      </c>
      <c r="AC140" s="4">
        <v>0</v>
      </c>
      <c r="AD140" s="4">
        <v>0</v>
      </c>
      <c r="AE140" s="4">
        <v>0</v>
      </c>
      <c r="AF140" s="51">
        <v>3.9900000000000001E-5</v>
      </c>
      <c r="AG140" s="51">
        <v>4.0179999999999998E-5</v>
      </c>
      <c r="AH140" s="51">
        <v>4.0460000000000002E-5</v>
      </c>
      <c r="AI140" s="51">
        <v>4.074E-5</v>
      </c>
      <c r="AJ140" s="51">
        <v>4.1020000000000004E-5</v>
      </c>
      <c r="AK140" s="51">
        <v>4.1300000000000001E-5</v>
      </c>
      <c r="AL140" s="51">
        <v>4.1579999999999998E-5</v>
      </c>
      <c r="AM140" s="51">
        <v>4.1860000000000002E-5</v>
      </c>
      <c r="AN140" s="51">
        <v>4.214E-5</v>
      </c>
      <c r="AO140" s="51">
        <v>4.2420000000000004E-5</v>
      </c>
      <c r="AP140" s="51">
        <v>4.2700000000000001E-5</v>
      </c>
      <c r="AQ140" s="51">
        <v>4.2979999999999998E-5</v>
      </c>
      <c r="AR140" s="51">
        <v>4.3260000000000003E-5</v>
      </c>
      <c r="AS140" s="51">
        <v>4.354E-5</v>
      </c>
      <c r="AT140" s="51">
        <v>4.3820000000000004E-5</v>
      </c>
      <c r="AU140" s="51">
        <v>4.4100000000000001E-5</v>
      </c>
      <c r="AV140" s="51">
        <v>4.4125000000000002E-5</v>
      </c>
      <c r="AW140" s="51">
        <v>4.4150000000000003E-5</v>
      </c>
      <c r="AX140" s="51">
        <v>4.4175000000000003E-5</v>
      </c>
      <c r="AY140" s="51">
        <v>4.4200000000000004E-5</v>
      </c>
      <c r="AZ140" s="51">
        <v>4.4225000000000004E-5</v>
      </c>
      <c r="BA140" s="51">
        <v>4.4249999999999998E-5</v>
      </c>
      <c r="BB140" s="51">
        <v>4.4274999999999999E-5</v>
      </c>
      <c r="BC140" s="51">
        <v>4.4299999999999999E-5</v>
      </c>
      <c r="BD140" s="51">
        <v>4.4325E-5</v>
      </c>
      <c r="BE140" s="51">
        <v>4.4350000000000001E-5</v>
      </c>
      <c r="BF140" s="51">
        <v>4.4375000000000001E-5</v>
      </c>
      <c r="BG140" s="51">
        <v>4.4400000000000002E-5</v>
      </c>
      <c r="BH140" s="51">
        <v>4.4425000000000002E-5</v>
      </c>
      <c r="BI140" s="51">
        <v>4.4450000000000003E-5</v>
      </c>
      <c r="BJ140" s="51">
        <v>4.4475000000000004E-5</v>
      </c>
      <c r="BK140" s="51">
        <v>4.4500000000000004E-5</v>
      </c>
      <c r="BL140" s="51">
        <v>4.4524999999999998E-5</v>
      </c>
      <c r="BM140" s="51">
        <v>4.4549999999999999E-5</v>
      </c>
      <c r="BN140" s="51">
        <v>4.4574999999999999E-5</v>
      </c>
      <c r="BO140" s="51">
        <v>4.46E-5</v>
      </c>
      <c r="BP140" s="51">
        <v>4.4625E-5</v>
      </c>
      <c r="BQ140" s="51">
        <v>4.4650000000000001E-5</v>
      </c>
      <c r="BR140" s="51">
        <v>4.4675000000000002E-5</v>
      </c>
      <c r="BS140" s="51">
        <v>4.5500000000000001E-5</v>
      </c>
      <c r="BT140" s="51">
        <v>4.5485000000000002E-5</v>
      </c>
      <c r="BU140" s="51">
        <v>4.5470000000000003E-5</v>
      </c>
      <c r="BV140" s="51">
        <v>4.5455000000000004E-5</v>
      </c>
      <c r="BW140" s="51">
        <v>4.5439999999999999E-5</v>
      </c>
      <c r="BX140" s="51">
        <v>4.5425E-5</v>
      </c>
      <c r="BY140" s="51">
        <v>4.5410000000000001E-5</v>
      </c>
      <c r="BZ140" s="51">
        <v>4.5395000000000002E-5</v>
      </c>
      <c r="CA140" s="51">
        <v>4.5380000000000003E-5</v>
      </c>
      <c r="CB140" s="51">
        <v>4.5365000000000004E-5</v>
      </c>
      <c r="CC140" s="51">
        <v>4.5350000000000005E-5</v>
      </c>
      <c r="CD140" s="51">
        <v>4.5334999999999999E-5</v>
      </c>
      <c r="CE140" s="51">
        <v>4.532E-5</v>
      </c>
      <c r="CF140" s="51">
        <v>4.5305000000000001E-5</v>
      </c>
      <c r="CG140" s="51">
        <v>4.5290000000000002E-5</v>
      </c>
      <c r="CH140" s="51">
        <v>4.5275000000000003E-5</v>
      </c>
      <c r="CI140" s="51">
        <v>4.5260000000000004E-5</v>
      </c>
      <c r="CJ140" s="51">
        <v>4.5244999999999998E-5</v>
      </c>
      <c r="CK140" s="51">
        <v>4.5229999999999999E-5</v>
      </c>
      <c r="CL140" s="51">
        <v>4.5215E-5</v>
      </c>
      <c r="CM140" s="51">
        <v>4.5200000000000001E-5</v>
      </c>
    </row>
    <row r="141" spans="1:91" s="50" customFormat="1" x14ac:dyDescent="0.25">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91" s="50" customFormat="1" x14ac:dyDescent="0.25">
      <c r="A142" s="50" t="s">
        <v>222</v>
      </c>
      <c r="B142" s="4">
        <v>0</v>
      </c>
      <c r="C142" s="4">
        <v>0</v>
      </c>
      <c r="D142" s="4">
        <v>0</v>
      </c>
      <c r="E142" s="4">
        <v>0</v>
      </c>
      <c r="F142" s="4">
        <v>0</v>
      </c>
      <c r="G142" s="4">
        <v>0</v>
      </c>
      <c r="H142" s="4">
        <v>0</v>
      </c>
      <c r="I142" s="4">
        <v>0</v>
      </c>
      <c r="J142" s="4">
        <v>0</v>
      </c>
      <c r="K142" s="4">
        <v>0</v>
      </c>
      <c r="L142" s="4">
        <v>0</v>
      </c>
      <c r="M142" s="4">
        <v>0</v>
      </c>
      <c r="N142" s="4">
        <v>0</v>
      </c>
      <c r="O142" s="4">
        <v>0</v>
      </c>
      <c r="P142" s="4">
        <v>0</v>
      </c>
      <c r="Q142" s="4">
        <v>0</v>
      </c>
      <c r="R142" s="4">
        <v>0</v>
      </c>
      <c r="S142" s="4">
        <v>0</v>
      </c>
      <c r="T142" s="4">
        <v>0</v>
      </c>
      <c r="U142" s="4">
        <v>0</v>
      </c>
      <c r="V142" s="4">
        <v>0</v>
      </c>
      <c r="W142" s="4">
        <v>0</v>
      </c>
      <c r="X142" s="4">
        <v>0</v>
      </c>
      <c r="Y142" s="4">
        <v>0</v>
      </c>
      <c r="Z142" s="4">
        <v>0</v>
      </c>
      <c r="AA142" s="4">
        <v>0</v>
      </c>
      <c r="AB142" s="4">
        <v>0</v>
      </c>
      <c r="AC142" s="4">
        <v>0</v>
      </c>
      <c r="AD142" s="4">
        <v>0</v>
      </c>
      <c r="AE142" s="4">
        <v>0</v>
      </c>
      <c r="AF142" s="51">
        <v>1.4576020775705699E-5</v>
      </c>
      <c r="AG142" s="51">
        <v>1.4744344075930342E-5</v>
      </c>
      <c r="AH142" s="51">
        <v>1.491461116683932E-5</v>
      </c>
      <c r="AI142" s="51">
        <v>1.5086844495249086E-5</v>
      </c>
      <c r="AJ142" s="51">
        <v>1.5261066767191021E-5</v>
      </c>
      <c r="AK142" s="51">
        <v>1.5437300950904844E-5</v>
      </c>
      <c r="AL142" s="51">
        <v>1.5615570279866575E-5</v>
      </c>
      <c r="AM142" s="51">
        <v>1.5795898255851482E-5</v>
      </c>
      <c r="AN142" s="51">
        <v>1.5978308652032388E-5</v>
      </c>
      <c r="AO142" s="51">
        <v>1.6162825516113752E-5</v>
      </c>
      <c r="AP142" s="51">
        <v>1.6349473173501959E-5</v>
      </c>
      <c r="AQ142" s="51">
        <v>1.6538276230512205E-5</v>
      </c>
      <c r="AR142" s="51">
        <v>1.6729259577612421E-5</v>
      </c>
      <c r="AS142" s="51">
        <v>1.6922448392704658E-5</v>
      </c>
      <c r="AT142" s="51">
        <v>1.7117868144444366E-5</v>
      </c>
      <c r="AU142" s="51">
        <v>1.7315544595598001E-5</v>
      </c>
      <c r="AV142" s="51">
        <v>1.7415409204547775E-5</v>
      </c>
      <c r="AW142" s="51">
        <v>1.7515849766512809E-5</v>
      </c>
      <c r="AX142" s="51">
        <v>1.7616869603209166E-5</v>
      </c>
      <c r="AY142" s="51">
        <v>1.7718472055510372E-5</v>
      </c>
      <c r="AZ142" s="51">
        <v>1.78206604835579E-5</v>
      </c>
      <c r="BA142" s="51">
        <v>1.7923438266872302E-5</v>
      </c>
      <c r="BB142" s="51">
        <v>1.8026808804464961E-5</v>
      </c>
      <c r="BC142" s="51">
        <v>1.8130775514950517E-5</v>
      </c>
      <c r="BD142" s="51">
        <v>1.8235341836659911E-5</v>
      </c>
      <c r="BE142" s="51">
        <v>1.834051122775411E-5</v>
      </c>
      <c r="BF142" s="51">
        <v>1.8446287166338464E-5</v>
      </c>
      <c r="BG142" s="51">
        <v>1.8552673150577734E-5</v>
      </c>
      <c r="BH142" s="51">
        <v>1.8659672698811777E-5</v>
      </c>
      <c r="BI142" s="51">
        <v>1.8767289349671913E-5</v>
      </c>
      <c r="BJ142" s="51">
        <v>1.8875526662197948E-5</v>
      </c>
      <c r="BK142" s="51">
        <v>1.8984388215955872E-5</v>
      </c>
      <c r="BL142" s="51">
        <v>1.9093877611156248E-5</v>
      </c>
      <c r="BM142" s="51">
        <v>1.9203998468773267E-5</v>
      </c>
      <c r="BN142" s="51">
        <v>1.9314754430664504E-5</v>
      </c>
      <c r="BO142" s="51">
        <v>1.942614915969137E-5</v>
      </c>
      <c r="BP142" s="51">
        <v>1.9538186339840227E-5</v>
      </c>
      <c r="BQ142" s="51">
        <v>1.9650869676344238E-5</v>
      </c>
      <c r="BR142" s="51">
        <v>1.9764202895805899E-5</v>
      </c>
      <c r="BS142" s="51">
        <v>1.9878189746320288E-5</v>
      </c>
      <c r="BT142" s="51">
        <v>1.9992833997599013E-5</v>
      </c>
      <c r="BU142" s="51">
        <v>2.0108139441094886E-5</v>
      </c>
      <c r="BV142" s="51">
        <v>2.022410989012731E-5</v>
      </c>
      <c r="BW142" s="51">
        <v>2.0340749180008397E-5</v>
      </c>
      <c r="BX142" s="51">
        <v>2.0458061168169796E-5</v>
      </c>
      <c r="BY142" s="51">
        <v>2.0576049734290275E-5</v>
      </c>
      <c r="BZ142" s="51">
        <v>2.0694718780424024E-5</v>
      </c>
      <c r="CA142" s="51">
        <v>2.0814072231129699E-5</v>
      </c>
      <c r="CB142" s="51">
        <v>2.093411403360021E-5</v>
      </c>
      <c r="CC142" s="51">
        <v>2.1054848157793275E-5</v>
      </c>
      <c r="CD142" s="51">
        <v>2.1176278596562695E-5</v>
      </c>
      <c r="CE142" s="51">
        <v>2.129840936579041E-5</v>
      </c>
      <c r="CF142" s="51">
        <v>2.1421244504519316E-5</v>
      </c>
      <c r="CG142" s="51">
        <v>2.1544788075086836E-5</v>
      </c>
      <c r="CH142" s="51">
        <v>2.1669044163259267E-5</v>
      </c>
      <c r="CI142" s="51">
        <v>2.1794016878366904E-5</v>
      </c>
      <c r="CJ142" s="51">
        <v>2.1919710353439944E-5</v>
      </c>
      <c r="CK142" s="51">
        <v>2.2046128745345164E-5</v>
      </c>
      <c r="CL142" s="51">
        <v>2.21732762349234E-5</v>
      </c>
      <c r="CM142" s="51">
        <v>2.2301157027127814E-5</v>
      </c>
    </row>
    <row r="143" spans="1:91" s="50" customFormat="1" x14ac:dyDescent="0.25">
      <c r="A143" s="50" t="s">
        <v>1</v>
      </c>
      <c r="B143" s="4">
        <v>0</v>
      </c>
      <c r="C143" s="4">
        <v>0</v>
      </c>
      <c r="D143" s="4">
        <v>0</v>
      </c>
      <c r="E143" s="4">
        <v>0</v>
      </c>
      <c r="F143" s="4">
        <v>0</v>
      </c>
      <c r="G143" s="4">
        <v>0</v>
      </c>
      <c r="H143" s="4">
        <v>0</v>
      </c>
      <c r="I143" s="4">
        <v>0</v>
      </c>
      <c r="J143" s="4">
        <v>0</v>
      </c>
      <c r="K143" s="4">
        <v>0</v>
      </c>
      <c r="L143" s="4">
        <v>0</v>
      </c>
      <c r="M143" s="4">
        <v>0</v>
      </c>
      <c r="N143" s="4">
        <v>0</v>
      </c>
      <c r="O143" s="4">
        <v>0</v>
      </c>
      <c r="P143" s="4">
        <v>0</v>
      </c>
      <c r="Q143" s="4">
        <v>0</v>
      </c>
      <c r="R143" s="4">
        <v>0</v>
      </c>
      <c r="S143" s="4">
        <v>0</v>
      </c>
      <c r="T143" s="4">
        <v>0</v>
      </c>
      <c r="U143" s="4">
        <v>0</v>
      </c>
      <c r="V143" s="4">
        <v>0</v>
      </c>
      <c r="W143" s="4">
        <v>0</v>
      </c>
      <c r="X143" s="4">
        <v>0</v>
      </c>
      <c r="Y143" s="4">
        <v>0</v>
      </c>
      <c r="Z143" s="4">
        <v>0</v>
      </c>
      <c r="AA143" s="4">
        <v>0</v>
      </c>
      <c r="AB143" s="4">
        <v>0</v>
      </c>
      <c r="AC143" s="4">
        <v>0</v>
      </c>
      <c r="AD143" s="4">
        <v>0</v>
      </c>
      <c r="AE143" s="4">
        <v>0</v>
      </c>
      <c r="AF143" s="51">
        <v>9.3999999999999994E-5</v>
      </c>
      <c r="AG143" s="51">
        <v>9.5133333333333333E-5</v>
      </c>
      <c r="AH143" s="51">
        <v>9.6266666666666658E-5</v>
      </c>
      <c r="AI143" s="51">
        <v>9.7399999999999996E-5</v>
      </c>
      <c r="AJ143" s="51">
        <v>9.8533333333333334E-5</v>
      </c>
      <c r="AK143" s="51">
        <v>9.9666666666666659E-5</v>
      </c>
      <c r="AL143" s="51">
        <v>1.008E-4</v>
      </c>
      <c r="AM143" s="51">
        <v>1.0193333333333334E-4</v>
      </c>
      <c r="AN143" s="51">
        <v>1.0306666666666666E-4</v>
      </c>
      <c r="AO143" s="51">
        <v>1.042E-4</v>
      </c>
      <c r="AP143" s="51">
        <v>1.0533333333333334E-4</v>
      </c>
      <c r="AQ143" s="51">
        <v>1.0646666666666666E-4</v>
      </c>
      <c r="AR143" s="51">
        <v>1.076E-4</v>
      </c>
      <c r="AS143" s="51">
        <v>1.0873333333333334E-4</v>
      </c>
      <c r="AT143" s="51">
        <v>1.0986666666666666E-4</v>
      </c>
      <c r="AU143" s="51">
        <v>1.11E-4</v>
      </c>
      <c r="AV143" s="51">
        <v>1.1170833333333333E-4</v>
      </c>
      <c r="AW143" s="51">
        <v>1.1241666666666667E-4</v>
      </c>
      <c r="AX143" s="51">
        <v>1.13125E-4</v>
      </c>
      <c r="AY143" s="51">
        <v>1.1383333333333333E-4</v>
      </c>
      <c r="AZ143" s="51">
        <v>1.1454166666666667E-4</v>
      </c>
      <c r="BA143" s="51">
        <v>1.1525E-4</v>
      </c>
      <c r="BB143" s="51">
        <v>1.1595833333333334E-4</v>
      </c>
      <c r="BC143" s="51">
        <v>1.1666666666666667E-4</v>
      </c>
      <c r="BD143" s="51">
        <v>1.1737499999999999E-4</v>
      </c>
      <c r="BE143" s="51">
        <v>1.1808333333333333E-4</v>
      </c>
      <c r="BF143" s="51">
        <v>1.1879166666666666E-4</v>
      </c>
      <c r="BG143" s="51">
        <v>1.195E-4</v>
      </c>
      <c r="BH143" s="51">
        <v>1.2020833333333333E-4</v>
      </c>
      <c r="BI143" s="51">
        <v>1.2091666666666666E-4</v>
      </c>
      <c r="BJ143" s="51">
        <v>1.21625E-4</v>
      </c>
      <c r="BK143" s="51">
        <v>1.2233333333333334E-4</v>
      </c>
      <c r="BL143" s="51">
        <v>1.2304166666666667E-4</v>
      </c>
      <c r="BM143" s="51">
        <v>1.2375E-4</v>
      </c>
      <c r="BN143" s="51">
        <v>1.2445833333333333E-4</v>
      </c>
      <c r="BO143" s="51">
        <v>1.2516666666666666E-4</v>
      </c>
      <c r="BP143" s="51">
        <v>1.2587499999999998E-4</v>
      </c>
      <c r="BQ143" s="51">
        <v>1.2658333333333334E-4</v>
      </c>
      <c r="BR143" s="51">
        <v>1.2729166666666667E-4</v>
      </c>
      <c r="BS143" s="51">
        <v>1.2799999999999999E-4</v>
      </c>
      <c r="BT143" s="51">
        <v>1.2855000000000001E-4</v>
      </c>
      <c r="BU143" s="51">
        <v>1.2909999999999999E-4</v>
      </c>
      <c r="BV143" s="51">
        <v>1.2964999999999998E-4</v>
      </c>
      <c r="BW143" s="51">
        <v>1.3019999999999999E-4</v>
      </c>
      <c r="BX143" s="51">
        <v>1.3075000000000001E-4</v>
      </c>
      <c r="BY143" s="51">
        <v>1.3129999999999999E-4</v>
      </c>
      <c r="BZ143" s="51">
        <v>1.3184999999999998E-4</v>
      </c>
      <c r="CA143" s="51">
        <v>1.3239999999999999E-4</v>
      </c>
      <c r="CB143" s="51">
        <v>1.3295000000000001E-4</v>
      </c>
      <c r="CC143" s="51">
        <v>1.3349999999999999E-4</v>
      </c>
      <c r="CD143" s="51">
        <v>1.3404999999999998E-4</v>
      </c>
      <c r="CE143" s="51">
        <v>1.3459999999999999E-4</v>
      </c>
      <c r="CF143" s="51">
        <v>1.3515000000000001E-4</v>
      </c>
      <c r="CG143" s="51">
        <v>1.3569999999999999E-4</v>
      </c>
      <c r="CH143" s="51">
        <v>1.3624999999999998E-4</v>
      </c>
      <c r="CI143" s="51">
        <v>1.3679999999999999E-4</v>
      </c>
      <c r="CJ143" s="51">
        <v>1.3735E-4</v>
      </c>
      <c r="CK143" s="51">
        <v>1.3789999999999999E-4</v>
      </c>
      <c r="CL143" s="51">
        <v>1.3844999999999998E-4</v>
      </c>
      <c r="CM143" s="51">
        <v>1.3899999999999999E-4</v>
      </c>
    </row>
    <row r="144" spans="1:91" s="50" customFormat="1" x14ac:dyDescent="0.25">
      <c r="A144" s="50" t="s">
        <v>2</v>
      </c>
      <c r="B144" s="4">
        <v>0</v>
      </c>
      <c r="C144" s="4">
        <v>0</v>
      </c>
      <c r="D144" s="4">
        <v>0</v>
      </c>
      <c r="E144" s="4">
        <v>0</v>
      </c>
      <c r="F144" s="4">
        <v>0</v>
      </c>
      <c r="G144" s="4">
        <v>0</v>
      </c>
      <c r="H144" s="4">
        <v>0</v>
      </c>
      <c r="I144" s="4">
        <v>0</v>
      </c>
      <c r="J144" s="4">
        <v>0</v>
      </c>
      <c r="K144" s="4">
        <v>0</v>
      </c>
      <c r="L144" s="4">
        <v>0</v>
      </c>
      <c r="M144" s="4">
        <v>0</v>
      </c>
      <c r="N144" s="4">
        <v>0</v>
      </c>
      <c r="O144" s="4">
        <v>0</v>
      </c>
      <c r="P144" s="4">
        <v>0</v>
      </c>
      <c r="Q144" s="4">
        <v>0</v>
      </c>
      <c r="R144" s="4">
        <v>0</v>
      </c>
      <c r="S144" s="4">
        <v>0</v>
      </c>
      <c r="T144" s="4">
        <v>0</v>
      </c>
      <c r="U144" s="4">
        <v>0</v>
      </c>
      <c r="V144" s="4">
        <v>0</v>
      </c>
      <c r="W144" s="4">
        <v>0</v>
      </c>
      <c r="X144" s="4">
        <v>0</v>
      </c>
      <c r="Y144" s="4">
        <v>0</v>
      </c>
      <c r="Z144" s="4">
        <v>0</v>
      </c>
      <c r="AA144" s="4">
        <v>0</v>
      </c>
      <c r="AB144" s="4">
        <v>0</v>
      </c>
      <c r="AC144" s="4">
        <v>0</v>
      </c>
      <c r="AD144" s="4">
        <v>0</v>
      </c>
      <c r="AE144" s="4">
        <v>0</v>
      </c>
      <c r="AF144" s="51">
        <v>2.2657361086823666E-5</v>
      </c>
      <c r="AG144" s="51">
        <v>2.281708065138335E-5</v>
      </c>
      <c r="AH144" s="51">
        <v>2.2977926134323617E-5</v>
      </c>
      <c r="AI144" s="51">
        <v>2.313990547263204E-5</v>
      </c>
      <c r="AJ144" s="51">
        <v>2.3303026659246768E-5</v>
      </c>
      <c r="AK144" s="51">
        <v>2.3467297743450924E-5</v>
      </c>
      <c r="AL144" s="51">
        <v>2.3632726831269813E-5</v>
      </c>
      <c r="AM144" s="51">
        <v>2.379932208587091E-5</v>
      </c>
      <c r="AN144" s="51">
        <v>2.3967091727966676E-5</v>
      </c>
      <c r="AO144" s="51">
        <v>2.4136044036220217E-5</v>
      </c>
      <c r="AP144" s="51">
        <v>2.4306187347653793E-5</v>
      </c>
      <c r="AQ144" s="51">
        <v>2.4477530058060215E-5</v>
      </c>
      <c r="AR144" s="51">
        <v>2.4650080622417135E-5</v>
      </c>
      <c r="AS144" s="51">
        <v>2.4823847555304266E-5</v>
      </c>
      <c r="AT144" s="51">
        <v>2.4998839431323531E-5</v>
      </c>
      <c r="AU144" s="51">
        <v>2.5175064885522186E-5</v>
      </c>
      <c r="AV144" s="51">
        <v>2.5376465404606362E-5</v>
      </c>
      <c r="AW144" s="51">
        <v>2.5579477127843213E-5</v>
      </c>
      <c r="AX144" s="51">
        <v>2.578411294486596E-5</v>
      </c>
      <c r="AY144" s="51">
        <v>2.5990385848424887E-5</v>
      </c>
      <c r="AZ144" s="51">
        <v>2.6198308935212287E-5</v>
      </c>
      <c r="BA144" s="51">
        <v>2.6407895406693984E-5</v>
      </c>
      <c r="BB144" s="51">
        <v>2.6619158569947534E-5</v>
      </c>
      <c r="BC144" s="51">
        <v>2.6832111838507114E-5</v>
      </c>
      <c r="BD144" s="51">
        <v>2.7046768733215171E-5</v>
      </c>
      <c r="BE144" s="51">
        <v>2.7263142883080892E-5</v>
      </c>
      <c r="BF144" s="51">
        <v>2.7481248026145541E-5</v>
      </c>
      <c r="BG144" s="51">
        <v>2.7701098010354706E-5</v>
      </c>
      <c r="BH144" s="51">
        <v>2.7922706794437544E-5</v>
      </c>
      <c r="BI144" s="51">
        <v>2.8146088448793043E-5</v>
      </c>
      <c r="BJ144" s="51">
        <v>2.8371257156383386E-5</v>
      </c>
      <c r="BK144" s="51">
        <v>2.8598227213634453E-5</v>
      </c>
      <c r="BL144" s="51">
        <v>2.8827013031343528E-5</v>
      </c>
      <c r="BM144" s="51">
        <v>2.9057629135594278E-5</v>
      </c>
      <c r="BN144" s="51">
        <v>2.9290090168679031E-5</v>
      </c>
      <c r="BO144" s="51">
        <v>2.9524410890028464E-5</v>
      </c>
      <c r="BP144" s="51">
        <v>2.9760606177148692E-5</v>
      </c>
      <c r="BQ144" s="51">
        <v>2.9998691026565881E-5</v>
      </c>
      <c r="BR144" s="51">
        <v>3.0238680554778409E-5</v>
      </c>
      <c r="BS144" s="51">
        <v>3.0480589999216637E-5</v>
      </c>
      <c r="BT144" s="51">
        <v>3.0724434719210369E-5</v>
      </c>
      <c r="BU144" s="51">
        <v>3.0970230196964053E-5</v>
      </c>
      <c r="BV144" s="51">
        <v>3.1217992038539765E-5</v>
      </c>
      <c r="BW144" s="51">
        <v>3.1467735974848084E-5</v>
      </c>
      <c r="BX144" s="51">
        <v>3.1719477862646865E-5</v>
      </c>
      <c r="BY144" s="51">
        <v>3.1973233685548038E-5</v>
      </c>
      <c r="BZ144" s="51">
        <v>3.2229019555032424E-5</v>
      </c>
      <c r="CA144" s="51">
        <v>3.2486851711472685E-5</v>
      </c>
      <c r="CB144" s="51">
        <v>3.2746746525164468E-5</v>
      </c>
      <c r="CC144" s="51">
        <v>3.3008720497365782E-5</v>
      </c>
      <c r="CD144" s="51">
        <v>3.3272790261344708E-5</v>
      </c>
      <c r="CE144" s="51">
        <v>3.3538972583435463E-5</v>
      </c>
      <c r="CF144" s="51">
        <v>3.3807284364102947E-5</v>
      </c>
      <c r="CG144" s="51">
        <v>3.4077742639015773E-5</v>
      </c>
      <c r="CH144" s="51">
        <v>3.4350364580127896E-5</v>
      </c>
      <c r="CI144" s="51">
        <v>3.4625167496768918E-5</v>
      </c>
      <c r="CJ144" s="51">
        <v>3.4902168836743067E-5</v>
      </c>
      <c r="CK144" s="51">
        <v>3.5181386187437011E-5</v>
      </c>
      <c r="CL144" s="51">
        <v>3.5462837276936504E-5</v>
      </c>
      <c r="CM144" s="51">
        <v>3.5746539975151994E-5</v>
      </c>
    </row>
    <row r="145" spans="1:91" s="50" customFormat="1" x14ac:dyDescent="0.25">
      <c r="A145" s="50" t="s">
        <v>2</v>
      </c>
      <c r="B145" s="4">
        <v>0</v>
      </c>
      <c r="C145" s="4">
        <v>0</v>
      </c>
      <c r="D145" s="4">
        <v>0</v>
      </c>
      <c r="E145" s="4">
        <v>0</v>
      </c>
      <c r="F145" s="4">
        <v>0</v>
      </c>
      <c r="G145" s="4">
        <v>0</v>
      </c>
      <c r="H145" s="4">
        <v>0</v>
      </c>
      <c r="I145" s="4">
        <v>0</v>
      </c>
      <c r="J145" s="4">
        <v>0</v>
      </c>
      <c r="K145" s="4">
        <v>0</v>
      </c>
      <c r="L145" s="4">
        <v>0</v>
      </c>
      <c r="M145" s="4">
        <v>0</v>
      </c>
      <c r="N145" s="4">
        <v>0</v>
      </c>
      <c r="O145" s="4">
        <v>0</v>
      </c>
      <c r="P145" s="4">
        <v>0</v>
      </c>
      <c r="Q145" s="4">
        <v>0</v>
      </c>
      <c r="R145" s="4">
        <v>0</v>
      </c>
      <c r="S145" s="4">
        <v>0</v>
      </c>
      <c r="T145" s="4">
        <v>0</v>
      </c>
      <c r="U145" s="4">
        <v>0</v>
      </c>
      <c r="V145" s="4">
        <v>0</v>
      </c>
      <c r="W145" s="4">
        <v>0</v>
      </c>
      <c r="X145" s="4">
        <v>0</v>
      </c>
      <c r="Y145" s="4">
        <v>0</v>
      </c>
      <c r="Z145" s="4">
        <v>0</v>
      </c>
      <c r="AA145" s="4">
        <v>0</v>
      </c>
      <c r="AB145" s="4">
        <v>0</v>
      </c>
      <c r="AC145" s="4">
        <v>0</v>
      </c>
      <c r="AD145" s="4">
        <v>0</v>
      </c>
      <c r="AE145" s="4">
        <v>0</v>
      </c>
      <c r="AF145" s="51">
        <v>9.1330900353755179E-6</v>
      </c>
      <c r="AG145" s="51">
        <v>9.5734696387584037E-6</v>
      </c>
      <c r="AH145" s="51">
        <v>1.0035083478782394E-5</v>
      </c>
      <c r="AI145" s="51">
        <v>1.0518955428493074E-5</v>
      </c>
      <c r="AJ145" s="51">
        <v>1.1026158730076598E-5</v>
      </c>
      <c r="AK145" s="51">
        <v>1.1557818375342346E-5</v>
      </c>
      <c r="AL145" s="51">
        <v>1.2115113600987785E-5</v>
      </c>
      <c r="AM145" s="51">
        <v>1.2699280504180067E-5</v>
      </c>
      <c r="AN145" s="51">
        <v>1.3311614784255835E-5</v>
      </c>
      <c r="AO145" s="51">
        <v>1.3953474616620372E-5</v>
      </c>
      <c r="AP145" s="51">
        <v>1.4626283665220514E-5</v>
      </c>
      <c r="AQ145" s="51">
        <v>1.5331534240273076E-5</v>
      </c>
      <c r="AR145" s="51">
        <v>1.6070790608252701E-5</v>
      </c>
      <c r="AS145" s="51">
        <v>1.6845692461480817E-5</v>
      </c>
      <c r="AT145" s="51">
        <v>1.765795855501134E-5</v>
      </c>
      <c r="AU145" s="51">
        <v>1.8509390518879812E-5</v>
      </c>
      <c r="AV145" s="51">
        <v>1.8750012595625248E-5</v>
      </c>
      <c r="AW145" s="51">
        <v>1.8993762759368378E-5</v>
      </c>
      <c r="AX145" s="51">
        <v>1.9240681675240166E-5</v>
      </c>
      <c r="AY145" s="51">
        <v>1.9490810537018289E-5</v>
      </c>
      <c r="AZ145" s="51">
        <v>1.9744191073999528E-5</v>
      </c>
      <c r="BA145" s="51">
        <v>2.0000865557961522E-5</v>
      </c>
      <c r="BB145" s="51">
        <v>2.0260876810215022E-5</v>
      </c>
      <c r="BC145" s="51">
        <v>2.0524268208747819E-5</v>
      </c>
      <c r="BD145" s="51">
        <v>2.0791083695461539E-5</v>
      </c>
      <c r="BE145" s="51">
        <v>2.106136778350254E-5</v>
      </c>
      <c r="BF145" s="51">
        <v>2.1335165564688073E-5</v>
      </c>
      <c r="BG145" s="51">
        <v>2.161252271702902E-5</v>
      </c>
      <c r="BH145" s="51">
        <v>2.1893485512350398E-5</v>
      </c>
      <c r="BI145" s="51">
        <v>2.2178100824010951E-5</v>
      </c>
      <c r="BJ145" s="51">
        <v>2.2466416134723093E-5</v>
      </c>
      <c r="BK145" s="51">
        <v>2.2758479544474495E-5</v>
      </c>
      <c r="BL145" s="51">
        <v>2.3054339778552662E-5</v>
      </c>
      <c r="BM145" s="51">
        <v>2.3354046195673846E-5</v>
      </c>
      <c r="BN145" s="51">
        <v>2.3657648796217608E-5</v>
      </c>
      <c r="BO145" s="51">
        <v>2.3965198230568436E-5</v>
      </c>
      <c r="BP145" s="51">
        <v>2.4276745807565827E-5</v>
      </c>
      <c r="BQ145" s="51">
        <v>2.4592343503064183E-5</v>
      </c>
      <c r="BR145" s="51">
        <v>2.4912043968604017E-5</v>
      </c>
      <c r="BS145" s="51">
        <v>2.5235900540195869E-5</v>
      </c>
      <c r="BT145" s="51">
        <v>2.5563967247218415E-5</v>
      </c>
      <c r="BU145" s="51">
        <v>2.5896298821432253E-5</v>
      </c>
      <c r="BV145" s="51">
        <v>2.6232950706110874E-5</v>
      </c>
      <c r="BW145" s="51">
        <v>2.6573979065290315E-5</v>
      </c>
      <c r="BX145" s="51">
        <v>2.6919440793139088E-5</v>
      </c>
      <c r="BY145" s="51">
        <v>2.7269393523449896E-5</v>
      </c>
      <c r="BZ145" s="51">
        <v>2.7623895639254743E-5</v>
      </c>
      <c r="CA145" s="51">
        <v>2.7983006282565054E-5</v>
      </c>
      <c r="CB145" s="51">
        <v>2.8346785364238401E-5</v>
      </c>
      <c r="CC145" s="51">
        <v>2.87152935739735E-5</v>
      </c>
      <c r="CD145" s="51">
        <v>2.9088592390435154E-5</v>
      </c>
      <c r="CE145" s="51">
        <v>2.9466744091510811E-5</v>
      </c>
      <c r="CF145" s="51">
        <v>2.984981176470045E-5</v>
      </c>
      <c r="CG145" s="51">
        <v>3.0237859317641555E-5</v>
      </c>
      <c r="CH145" s="51">
        <v>3.0630951488770894E-5</v>
      </c>
      <c r="CI145" s="51">
        <v>3.1029153858124914E-5</v>
      </c>
      <c r="CJ145" s="51">
        <v>3.1432532858280537E-5</v>
      </c>
      <c r="CK145" s="51">
        <v>3.1841155785438181E-5</v>
      </c>
      <c r="CL145" s="51">
        <v>3.2255090810648879E-5</v>
      </c>
      <c r="CM145" s="51">
        <v>3.2674406991187313E-5</v>
      </c>
    </row>
    <row r="146" spans="1:91" s="50" customFormat="1" x14ac:dyDescent="0.25">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91" s="50" customFormat="1" x14ac:dyDescent="0.25">
      <c r="A147" s="50" t="s">
        <v>223</v>
      </c>
      <c r="B147" s="4">
        <v>0</v>
      </c>
      <c r="C147" s="4">
        <v>0</v>
      </c>
      <c r="D147" s="4">
        <v>0</v>
      </c>
      <c r="E147" s="4">
        <v>0</v>
      </c>
      <c r="F147" s="4">
        <v>0</v>
      </c>
      <c r="G147" s="4">
        <v>0</v>
      </c>
      <c r="H147" s="4">
        <v>0</v>
      </c>
      <c r="I147" s="4">
        <v>0</v>
      </c>
      <c r="J147" s="4">
        <v>0</v>
      </c>
      <c r="K147" s="4">
        <v>0</v>
      </c>
      <c r="L147" s="4">
        <v>0</v>
      </c>
      <c r="M147" s="4">
        <v>0</v>
      </c>
      <c r="N147" s="4">
        <v>0</v>
      </c>
      <c r="O147" s="4">
        <v>0</v>
      </c>
      <c r="P147" s="4">
        <v>0</v>
      </c>
      <c r="Q147" s="4">
        <v>0</v>
      </c>
      <c r="R147" s="4">
        <v>0</v>
      </c>
      <c r="S147" s="4">
        <v>0</v>
      </c>
      <c r="T147" s="4">
        <v>0</v>
      </c>
      <c r="U147" s="4">
        <v>0</v>
      </c>
      <c r="V147" s="4">
        <v>0</v>
      </c>
      <c r="W147" s="4">
        <v>0</v>
      </c>
      <c r="X147" s="4">
        <v>0</v>
      </c>
      <c r="Y147" s="4">
        <v>0</v>
      </c>
      <c r="Z147" s="4">
        <v>0</v>
      </c>
      <c r="AA147" s="4">
        <v>0</v>
      </c>
      <c r="AB147" s="4">
        <v>0</v>
      </c>
      <c r="AC147" s="4">
        <v>0</v>
      </c>
      <c r="AD147" s="4">
        <v>0</v>
      </c>
      <c r="AE147" s="4">
        <v>0</v>
      </c>
      <c r="AF147" s="51">
        <v>2.9940564635958392E-5</v>
      </c>
      <c r="AG147" s="51">
        <v>3.0063397721644376E-5</v>
      </c>
      <c r="AH147" s="51">
        <v>3.0186230807330359E-5</v>
      </c>
      <c r="AI147" s="51">
        <v>3.0309063893016343E-5</v>
      </c>
      <c r="AJ147" s="51">
        <v>3.0431896978702323E-5</v>
      </c>
      <c r="AK147" s="51">
        <v>3.055473006438831E-5</v>
      </c>
      <c r="AL147" s="51">
        <v>3.0677563150074294E-5</v>
      </c>
      <c r="AM147" s="51">
        <v>3.0800396235760277E-5</v>
      </c>
      <c r="AN147" s="51">
        <v>3.0923229321446254E-5</v>
      </c>
      <c r="AO147" s="51">
        <v>3.1046062407132238E-5</v>
      </c>
      <c r="AP147" s="51">
        <v>3.1168895492818221E-5</v>
      </c>
      <c r="AQ147" s="51">
        <v>3.1291728578504205E-5</v>
      </c>
      <c r="AR147" s="51">
        <v>3.1414561664190188E-5</v>
      </c>
      <c r="AS147" s="51">
        <v>3.1537394749876172E-5</v>
      </c>
      <c r="AT147" s="51">
        <v>3.1660227835562155E-5</v>
      </c>
      <c r="AU147" s="51">
        <v>3.1783060921248139E-5</v>
      </c>
      <c r="AV147" s="51">
        <v>3.2035733519288448E-5</v>
      </c>
      <c r="AW147" s="51">
        <v>3.2288406117328758E-5</v>
      </c>
      <c r="AX147" s="51">
        <v>3.2541078715369068E-5</v>
      </c>
      <c r="AY147" s="51">
        <v>3.2793751313409377E-5</v>
      </c>
      <c r="AZ147" s="51">
        <v>3.3046423911449687E-5</v>
      </c>
      <c r="BA147" s="51">
        <v>3.3299096509489996E-5</v>
      </c>
      <c r="BB147" s="51">
        <v>3.3551769107530299E-5</v>
      </c>
      <c r="BC147" s="51">
        <v>3.3804441705570608E-5</v>
      </c>
      <c r="BD147" s="51">
        <v>3.4057114303610918E-5</v>
      </c>
      <c r="BE147" s="51">
        <v>3.4309786901651227E-5</v>
      </c>
      <c r="BF147" s="51">
        <v>3.4562459499691537E-5</v>
      </c>
      <c r="BG147" s="51">
        <v>3.4815132097731846E-5</v>
      </c>
      <c r="BH147" s="51">
        <v>3.5067804695772156E-5</v>
      </c>
      <c r="BI147" s="51">
        <v>3.5320477293812465E-5</v>
      </c>
      <c r="BJ147" s="51">
        <v>3.5573149891852775E-5</v>
      </c>
      <c r="BK147" s="51">
        <v>3.5825822489893084E-5</v>
      </c>
      <c r="BL147" s="51">
        <v>3.6078495087933394E-5</v>
      </c>
      <c r="BM147" s="51">
        <v>3.6331167685973697E-5</v>
      </c>
      <c r="BN147" s="51">
        <v>3.6583840284014006E-5</v>
      </c>
      <c r="BO147" s="51">
        <v>3.6836512882054316E-5</v>
      </c>
      <c r="BP147" s="51">
        <v>3.7089185480094625E-5</v>
      </c>
      <c r="BQ147" s="51">
        <v>3.7341858078134935E-5</v>
      </c>
      <c r="BR147" s="51">
        <v>3.7594530676175244E-5</v>
      </c>
      <c r="BS147" s="51">
        <v>3.7847203274215554E-5</v>
      </c>
      <c r="BT147" s="51">
        <v>3.787366984993179E-5</v>
      </c>
      <c r="BU147" s="51">
        <v>3.790013642564802E-5</v>
      </c>
      <c r="BV147" s="51">
        <v>3.7926603001364257E-5</v>
      </c>
      <c r="BW147" s="51">
        <v>3.7953069577080494E-5</v>
      </c>
      <c r="BX147" s="51">
        <v>3.797953615279673E-5</v>
      </c>
      <c r="BY147" s="51">
        <v>3.800600272851296E-5</v>
      </c>
      <c r="BZ147" s="51">
        <v>3.8032469304229197E-5</v>
      </c>
      <c r="CA147" s="51">
        <v>3.8058935879945434E-5</v>
      </c>
      <c r="CB147" s="51">
        <v>3.8085402455661664E-5</v>
      </c>
      <c r="CC147" s="51">
        <v>3.81118690313779E-5</v>
      </c>
      <c r="CD147" s="51">
        <v>3.8138335607094137E-5</v>
      </c>
      <c r="CE147" s="51">
        <v>3.8164802182810367E-5</v>
      </c>
      <c r="CF147" s="51">
        <v>3.8191268758526604E-5</v>
      </c>
      <c r="CG147" s="51">
        <v>3.8217735334242841E-5</v>
      </c>
      <c r="CH147" s="51">
        <v>3.8244201909959071E-5</v>
      </c>
      <c r="CI147" s="51">
        <v>3.8270668485675307E-5</v>
      </c>
      <c r="CJ147" s="51">
        <v>3.8297135061391544E-5</v>
      </c>
      <c r="CK147" s="51">
        <v>3.8323601637107781E-5</v>
      </c>
      <c r="CL147" s="51">
        <v>3.8350068212824011E-5</v>
      </c>
      <c r="CM147" s="51">
        <v>3.8376534788540247E-5</v>
      </c>
    </row>
    <row r="148" spans="1:91" s="50" customFormat="1" x14ac:dyDescent="0.25">
      <c r="A148" s="50" t="s">
        <v>1</v>
      </c>
      <c r="B148" s="4">
        <v>0</v>
      </c>
      <c r="C148" s="4">
        <v>0</v>
      </c>
      <c r="D148" s="4">
        <v>0</v>
      </c>
      <c r="E148" s="4">
        <v>0</v>
      </c>
      <c r="F148" s="4">
        <v>0</v>
      </c>
      <c r="G148" s="4">
        <v>0</v>
      </c>
      <c r="H148" s="4">
        <v>0</v>
      </c>
      <c r="I148" s="4">
        <v>0</v>
      </c>
      <c r="J148" s="4">
        <v>0</v>
      </c>
      <c r="K148" s="4">
        <v>0</v>
      </c>
      <c r="L148" s="4">
        <v>0</v>
      </c>
      <c r="M148" s="4">
        <v>0</v>
      </c>
      <c r="N148" s="4">
        <v>0</v>
      </c>
      <c r="O148" s="4">
        <v>0</v>
      </c>
      <c r="P148" s="4">
        <v>0</v>
      </c>
      <c r="Q148" s="4">
        <v>0</v>
      </c>
      <c r="R148" s="4">
        <v>0</v>
      </c>
      <c r="S148" s="4">
        <v>0</v>
      </c>
      <c r="T148" s="4">
        <v>0</v>
      </c>
      <c r="U148" s="4">
        <v>0</v>
      </c>
      <c r="V148" s="4">
        <v>0</v>
      </c>
      <c r="W148" s="4">
        <v>0</v>
      </c>
      <c r="X148" s="4">
        <v>0</v>
      </c>
      <c r="Y148" s="4">
        <v>0</v>
      </c>
      <c r="Z148" s="4">
        <v>0</v>
      </c>
      <c r="AA148" s="4">
        <v>0</v>
      </c>
      <c r="AB148" s="4">
        <v>0</v>
      </c>
      <c r="AC148" s="4">
        <v>0</v>
      </c>
      <c r="AD148" s="4">
        <v>0</v>
      </c>
      <c r="AE148" s="4">
        <v>0</v>
      </c>
      <c r="AF148" s="51">
        <v>4.2882615156017827E-5</v>
      </c>
      <c r="AG148" s="51">
        <v>4.3058543833580979E-5</v>
      </c>
      <c r="AH148" s="51">
        <v>4.323447251114413E-5</v>
      </c>
      <c r="AI148" s="51">
        <v>4.3410401188707275E-5</v>
      </c>
      <c r="AJ148" s="51">
        <v>4.3586329866270427E-5</v>
      </c>
      <c r="AK148" s="51">
        <v>4.3762258543833578E-5</v>
      </c>
      <c r="AL148" s="51">
        <v>4.393818722139673E-5</v>
      </c>
      <c r="AM148" s="51">
        <v>4.4114115898959881E-5</v>
      </c>
      <c r="AN148" s="51">
        <v>4.4290044576523026E-5</v>
      </c>
      <c r="AO148" s="51">
        <v>4.4465973254086178E-5</v>
      </c>
      <c r="AP148" s="51">
        <v>4.4641901931649329E-5</v>
      </c>
      <c r="AQ148" s="51">
        <v>4.4817830609212481E-5</v>
      </c>
      <c r="AR148" s="51">
        <v>4.4993759286775632E-5</v>
      </c>
      <c r="AS148" s="51">
        <v>4.5169687964338777E-5</v>
      </c>
      <c r="AT148" s="51">
        <v>4.5345616641901929E-5</v>
      </c>
      <c r="AU148" s="51">
        <v>4.552154531946508E-5</v>
      </c>
      <c r="AV148" s="51">
        <v>4.545377060828E-5</v>
      </c>
      <c r="AW148" s="51">
        <v>4.5385995897094921E-5</v>
      </c>
      <c r="AX148" s="51">
        <v>4.5318221185909841E-5</v>
      </c>
      <c r="AY148" s="51">
        <v>4.5250446474724767E-5</v>
      </c>
      <c r="AZ148" s="51">
        <v>4.5182671763539687E-5</v>
      </c>
      <c r="BA148" s="51">
        <v>4.5114897052354608E-5</v>
      </c>
      <c r="BB148" s="51">
        <v>4.5047122341169528E-5</v>
      </c>
      <c r="BC148" s="51">
        <v>4.4979347629984448E-5</v>
      </c>
      <c r="BD148" s="51">
        <v>4.4911572918799374E-5</v>
      </c>
      <c r="BE148" s="51">
        <v>4.4843798207614294E-5</v>
      </c>
      <c r="BF148" s="51">
        <v>4.4776023496429215E-5</v>
      </c>
      <c r="BG148" s="51">
        <v>4.4708248785244135E-5</v>
      </c>
      <c r="BH148" s="51">
        <v>4.4640474074059055E-5</v>
      </c>
      <c r="BI148" s="51">
        <v>4.4572699362873975E-5</v>
      </c>
      <c r="BJ148" s="51">
        <v>4.4504924651688895E-5</v>
      </c>
      <c r="BK148" s="51">
        <v>4.4437149940503822E-5</v>
      </c>
      <c r="BL148" s="51">
        <v>4.4369375229318742E-5</v>
      </c>
      <c r="BM148" s="51">
        <v>4.4301600518133662E-5</v>
      </c>
      <c r="BN148" s="51">
        <v>4.4233825806948582E-5</v>
      </c>
      <c r="BO148" s="51">
        <v>4.4166051095763502E-5</v>
      </c>
      <c r="BP148" s="51">
        <v>4.4098276384578429E-5</v>
      </c>
      <c r="BQ148" s="51">
        <v>4.4030501673393349E-5</v>
      </c>
      <c r="BR148" s="51">
        <v>4.3962726962208269E-5</v>
      </c>
      <c r="BS148" s="51">
        <v>4.3894952251023189E-5</v>
      </c>
      <c r="BT148" s="51">
        <v>4.3925648021828103E-5</v>
      </c>
      <c r="BU148" s="51">
        <v>4.3956343792633011E-5</v>
      </c>
      <c r="BV148" s="51">
        <v>4.3987039563437925E-5</v>
      </c>
      <c r="BW148" s="51">
        <v>4.4017735334242833E-5</v>
      </c>
      <c r="BX148" s="51">
        <v>4.4048431105047747E-5</v>
      </c>
      <c r="BY148" s="51">
        <v>4.4079126875852654E-5</v>
      </c>
      <c r="BZ148" s="51">
        <v>4.4109822646657569E-5</v>
      </c>
      <c r="CA148" s="51">
        <v>4.4140518417462476E-5</v>
      </c>
      <c r="CB148" s="51">
        <v>4.4171214188267391E-5</v>
      </c>
      <c r="CC148" s="51">
        <v>4.4201909959072305E-5</v>
      </c>
      <c r="CD148" s="51">
        <v>4.4232605729877212E-5</v>
      </c>
      <c r="CE148" s="51">
        <v>4.4263301500682127E-5</v>
      </c>
      <c r="CF148" s="51">
        <v>4.4293997271487034E-5</v>
      </c>
      <c r="CG148" s="51">
        <v>4.4324693042291949E-5</v>
      </c>
      <c r="CH148" s="51">
        <v>4.4355388813096856E-5</v>
      </c>
      <c r="CI148" s="51">
        <v>4.4386084583901771E-5</v>
      </c>
      <c r="CJ148" s="51">
        <v>4.4416780354706678E-5</v>
      </c>
      <c r="CK148" s="51">
        <v>4.4447476125511592E-5</v>
      </c>
      <c r="CL148" s="51">
        <v>4.44781718963165E-5</v>
      </c>
      <c r="CM148" s="51">
        <v>4.4508867667121414E-5</v>
      </c>
    </row>
    <row r="149" spans="1:91" s="50" customFormat="1" x14ac:dyDescent="0.25">
      <c r="A149" s="50" t="s">
        <v>1</v>
      </c>
      <c r="B149" s="4">
        <v>0</v>
      </c>
      <c r="C149" s="4">
        <v>0</v>
      </c>
      <c r="D149" s="4">
        <v>0</v>
      </c>
      <c r="E149" s="4">
        <v>0</v>
      </c>
      <c r="F149" s="4">
        <v>0</v>
      </c>
      <c r="G149" s="4">
        <v>0</v>
      </c>
      <c r="H149" s="4">
        <v>0</v>
      </c>
      <c r="I149" s="4">
        <v>0</v>
      </c>
      <c r="J149" s="4">
        <v>0</v>
      </c>
      <c r="K149" s="4">
        <v>0</v>
      </c>
      <c r="L149" s="4">
        <v>0</v>
      </c>
      <c r="M149" s="4">
        <v>0</v>
      </c>
      <c r="N149" s="4">
        <v>0</v>
      </c>
      <c r="O149" s="4">
        <v>0</v>
      </c>
      <c r="P149" s="4">
        <v>0</v>
      </c>
      <c r="Q149" s="4">
        <v>0</v>
      </c>
      <c r="R149" s="4">
        <v>0</v>
      </c>
      <c r="S149" s="4">
        <v>0</v>
      </c>
      <c r="T149" s="4">
        <v>0</v>
      </c>
      <c r="U149" s="4">
        <v>0</v>
      </c>
      <c r="V149" s="4">
        <v>0</v>
      </c>
      <c r="W149" s="4">
        <v>0</v>
      </c>
      <c r="X149" s="4">
        <v>0</v>
      </c>
      <c r="Y149" s="4">
        <v>0</v>
      </c>
      <c r="Z149" s="4">
        <v>0</v>
      </c>
      <c r="AA149" s="4">
        <v>0</v>
      </c>
      <c r="AB149" s="4">
        <v>0</v>
      </c>
      <c r="AC149" s="4">
        <v>0</v>
      </c>
      <c r="AD149" s="4">
        <v>0</v>
      </c>
      <c r="AE149" s="4">
        <v>0</v>
      </c>
      <c r="AF149" s="51">
        <v>3.0520059435364039E-5</v>
      </c>
      <c r="AG149" s="51">
        <v>3.0645269935611687E-5</v>
      </c>
      <c r="AH149" s="51">
        <v>3.0770480435859334E-5</v>
      </c>
      <c r="AI149" s="51">
        <v>3.0895690936106982E-5</v>
      </c>
      <c r="AJ149" s="51">
        <v>3.1020901436354629E-5</v>
      </c>
      <c r="AK149" s="51">
        <v>3.1146111936602277E-5</v>
      </c>
      <c r="AL149" s="51">
        <v>3.1271322436849924E-5</v>
      </c>
      <c r="AM149" s="51">
        <v>3.1396532937097572E-5</v>
      </c>
      <c r="AN149" s="51">
        <v>3.1521743437345219E-5</v>
      </c>
      <c r="AO149" s="51">
        <v>3.1646953937592867E-5</v>
      </c>
      <c r="AP149" s="51">
        <v>3.1772164437840514E-5</v>
      </c>
      <c r="AQ149" s="51">
        <v>3.1897374938088162E-5</v>
      </c>
      <c r="AR149" s="51">
        <v>3.2022585438335809E-5</v>
      </c>
      <c r="AS149" s="51">
        <v>3.2147795938583457E-5</v>
      </c>
      <c r="AT149" s="51">
        <v>3.2273006438831104E-5</v>
      </c>
      <c r="AU149" s="51">
        <v>3.2398216939078752E-5</v>
      </c>
      <c r="AV149" s="51">
        <v>3.2308238936785393E-5</v>
      </c>
      <c r="AW149" s="51">
        <v>3.221826093449204E-5</v>
      </c>
      <c r="AX149" s="51">
        <v>3.2128282932198681E-5</v>
      </c>
      <c r="AY149" s="51">
        <v>3.2038304929905328E-5</v>
      </c>
      <c r="AZ149" s="51">
        <v>3.1948326927611969E-5</v>
      </c>
      <c r="BA149" s="51">
        <v>3.1858348925318616E-5</v>
      </c>
      <c r="BB149" s="51">
        <v>3.1768370923025257E-5</v>
      </c>
      <c r="BC149" s="51">
        <v>3.1678392920731898E-5</v>
      </c>
      <c r="BD149" s="51">
        <v>3.1588414918438545E-5</v>
      </c>
      <c r="BE149" s="51">
        <v>3.1498436916145186E-5</v>
      </c>
      <c r="BF149" s="51">
        <v>3.1408458913851834E-5</v>
      </c>
      <c r="BG149" s="51">
        <v>3.1318480911558474E-5</v>
      </c>
      <c r="BH149" s="51">
        <v>3.1228502909265122E-5</v>
      </c>
      <c r="BI149" s="51">
        <v>3.1138524906971762E-5</v>
      </c>
      <c r="BJ149" s="51">
        <v>3.104854690467841E-5</v>
      </c>
      <c r="BK149" s="51">
        <v>3.0958568902385051E-5</v>
      </c>
      <c r="BL149" s="51">
        <v>3.0868590900091691E-5</v>
      </c>
      <c r="BM149" s="51">
        <v>3.0778612897798339E-5</v>
      </c>
      <c r="BN149" s="51">
        <v>3.0688634895504979E-5</v>
      </c>
      <c r="BO149" s="51">
        <v>3.0598656893211627E-5</v>
      </c>
      <c r="BP149" s="51">
        <v>3.0508678890918268E-5</v>
      </c>
      <c r="BQ149" s="51">
        <v>3.0418700888624912E-5</v>
      </c>
      <c r="BR149" s="51">
        <v>3.0328722886331556E-5</v>
      </c>
      <c r="BS149" s="51">
        <v>3.02387448840382E-5</v>
      </c>
      <c r="BT149" s="51">
        <v>3.0259890859481585E-5</v>
      </c>
      <c r="BU149" s="51">
        <v>3.0281036834924966E-5</v>
      </c>
      <c r="BV149" s="51">
        <v>3.030218281036835E-5</v>
      </c>
      <c r="BW149" s="51">
        <v>3.0323328785811735E-5</v>
      </c>
      <c r="BX149" s="51">
        <v>3.0344474761255116E-5</v>
      </c>
      <c r="BY149" s="51">
        <v>3.0365620736698501E-5</v>
      </c>
      <c r="BZ149" s="51">
        <v>3.0386766712141885E-5</v>
      </c>
      <c r="CA149" s="51">
        <v>3.0407912687585267E-5</v>
      </c>
      <c r="CB149" s="51">
        <v>3.0429058663028651E-5</v>
      </c>
      <c r="CC149" s="51">
        <v>3.0450204638472036E-5</v>
      </c>
      <c r="CD149" s="51">
        <v>3.0471350613915417E-5</v>
      </c>
      <c r="CE149" s="51">
        <v>3.0492496589358802E-5</v>
      </c>
      <c r="CF149" s="51">
        <v>3.0513642564802183E-5</v>
      </c>
      <c r="CG149" s="51">
        <v>3.0534788540245567E-5</v>
      </c>
      <c r="CH149" s="51">
        <v>3.0555934515688949E-5</v>
      </c>
      <c r="CI149" s="51">
        <v>3.0577080491132337E-5</v>
      </c>
      <c r="CJ149" s="51">
        <v>3.0598226466575718E-5</v>
      </c>
      <c r="CK149" s="51">
        <v>3.0619372442019099E-5</v>
      </c>
      <c r="CL149" s="51">
        <v>3.0640518417462487E-5</v>
      </c>
      <c r="CM149" s="51">
        <v>3.0661664392905868E-5</v>
      </c>
    </row>
    <row r="150" spans="1:91" s="50" customFormat="1" x14ac:dyDescent="0.25">
      <c r="A150" s="50" t="s">
        <v>1</v>
      </c>
      <c r="B150" s="4">
        <v>0</v>
      </c>
      <c r="C150" s="4">
        <v>0</v>
      </c>
      <c r="D150" s="4">
        <v>0</v>
      </c>
      <c r="E150" s="4">
        <v>0</v>
      </c>
      <c r="F150" s="4">
        <v>0</v>
      </c>
      <c r="G150" s="4">
        <v>0</v>
      </c>
      <c r="H150" s="4">
        <v>0</v>
      </c>
      <c r="I150" s="4">
        <v>0</v>
      </c>
      <c r="J150" s="4">
        <v>0</v>
      </c>
      <c r="K150" s="4">
        <v>0</v>
      </c>
      <c r="L150" s="4">
        <v>0</v>
      </c>
      <c r="M150" s="4">
        <v>0</v>
      </c>
      <c r="N150" s="4">
        <v>0</v>
      </c>
      <c r="O150" s="4">
        <v>0</v>
      </c>
      <c r="P150" s="4">
        <v>0</v>
      </c>
      <c r="Q150" s="4">
        <v>0</v>
      </c>
      <c r="R150" s="4">
        <v>0</v>
      </c>
      <c r="S150" s="4">
        <v>0</v>
      </c>
      <c r="T150" s="4">
        <v>0</v>
      </c>
      <c r="U150" s="4">
        <v>0</v>
      </c>
      <c r="V150" s="4">
        <v>0</v>
      </c>
      <c r="W150" s="4">
        <v>0</v>
      </c>
      <c r="X150" s="4">
        <v>0</v>
      </c>
      <c r="Y150" s="4">
        <v>0</v>
      </c>
      <c r="Z150" s="4">
        <v>0</v>
      </c>
      <c r="AA150" s="4">
        <v>0</v>
      </c>
      <c r="AB150" s="4">
        <v>0</v>
      </c>
      <c r="AC150" s="4">
        <v>0</v>
      </c>
      <c r="AD150" s="4">
        <v>0</v>
      </c>
      <c r="AE150" s="4">
        <v>0</v>
      </c>
      <c r="AF150" s="51">
        <v>2.665676077265973E-5</v>
      </c>
      <c r="AG150" s="51">
        <v>2.6766121842496281E-5</v>
      </c>
      <c r="AH150" s="51">
        <v>2.6875482912332836E-5</v>
      </c>
      <c r="AI150" s="51">
        <v>2.6984843982169387E-5</v>
      </c>
      <c r="AJ150" s="51">
        <v>2.7094205052005942E-5</v>
      </c>
      <c r="AK150" s="51">
        <v>2.7203566121842493E-5</v>
      </c>
      <c r="AL150" s="51">
        <v>2.7312927191679048E-5</v>
      </c>
      <c r="AM150" s="51">
        <v>2.7422288261515599E-5</v>
      </c>
      <c r="AN150" s="51">
        <v>2.7531649331352153E-5</v>
      </c>
      <c r="AO150" s="51">
        <v>2.7641010401188705E-5</v>
      </c>
      <c r="AP150" s="51">
        <v>2.7750371471025259E-5</v>
      </c>
      <c r="AQ150" s="51">
        <v>2.785973254086181E-5</v>
      </c>
      <c r="AR150" s="51">
        <v>2.7969093610698365E-5</v>
      </c>
      <c r="AS150" s="51">
        <v>2.8078454680534916E-5</v>
      </c>
      <c r="AT150" s="51">
        <v>2.8187815750371467E-5</v>
      </c>
      <c r="AU150" s="51">
        <v>2.8297176820208022E-5</v>
      </c>
      <c r="AV150" s="51">
        <v>2.8410590268979481E-5</v>
      </c>
      <c r="AW150" s="51">
        <v>2.852400371775094E-5</v>
      </c>
      <c r="AX150" s="51">
        <v>2.8637417166522399E-5</v>
      </c>
      <c r="AY150" s="51">
        <v>2.8750830615293862E-5</v>
      </c>
      <c r="AZ150" s="51">
        <v>2.8864244064065321E-5</v>
      </c>
      <c r="BA150" s="51">
        <v>2.897765751283678E-5</v>
      </c>
      <c r="BB150" s="51">
        <v>2.9091070961608239E-5</v>
      </c>
      <c r="BC150" s="51">
        <v>2.9204484410379698E-5</v>
      </c>
      <c r="BD150" s="51">
        <v>2.9317897859151161E-5</v>
      </c>
      <c r="BE150" s="51">
        <v>2.943131130792262E-5</v>
      </c>
      <c r="BF150" s="51">
        <v>2.9544724756694079E-5</v>
      </c>
      <c r="BG150" s="51">
        <v>2.9658138205465538E-5</v>
      </c>
      <c r="BH150" s="51">
        <v>2.9771551654236997E-5</v>
      </c>
      <c r="BI150" s="51">
        <v>2.9884965103008456E-5</v>
      </c>
      <c r="BJ150" s="51">
        <v>2.9998378551779915E-5</v>
      </c>
      <c r="BK150" s="51">
        <v>3.0111792000551378E-5</v>
      </c>
      <c r="BL150" s="51">
        <v>3.0225205449322837E-5</v>
      </c>
      <c r="BM150" s="51">
        <v>3.0338618898094296E-5</v>
      </c>
      <c r="BN150" s="51">
        <v>3.0452032346865755E-5</v>
      </c>
      <c r="BO150" s="51">
        <v>3.0565445795637218E-5</v>
      </c>
      <c r="BP150" s="51">
        <v>3.0678859244408677E-5</v>
      </c>
      <c r="BQ150" s="51">
        <v>3.0792272693180136E-5</v>
      </c>
      <c r="BR150" s="51">
        <v>3.0905686141951595E-5</v>
      </c>
      <c r="BS150" s="51">
        <v>3.1019099590723054E-5</v>
      </c>
      <c r="BT150" s="51">
        <v>3.1040791268758524E-5</v>
      </c>
      <c r="BU150" s="51">
        <v>3.1062482946793994E-5</v>
      </c>
      <c r="BV150" s="51">
        <v>3.1084174624829465E-5</v>
      </c>
      <c r="BW150" s="51">
        <v>3.1105866302864935E-5</v>
      </c>
      <c r="BX150" s="51">
        <v>3.1127557980900405E-5</v>
      </c>
      <c r="BY150" s="51">
        <v>3.1149249658935882E-5</v>
      </c>
      <c r="BZ150" s="51">
        <v>3.1170941336971352E-5</v>
      </c>
      <c r="CA150" s="51">
        <v>3.1192633015006822E-5</v>
      </c>
      <c r="CB150" s="51">
        <v>3.1214324693042292E-5</v>
      </c>
      <c r="CC150" s="51">
        <v>3.1236016371077763E-5</v>
      </c>
      <c r="CD150" s="51">
        <v>3.1257708049113233E-5</v>
      </c>
      <c r="CE150" s="51">
        <v>3.1279399727148703E-5</v>
      </c>
      <c r="CF150" s="51">
        <v>3.1301091405184173E-5</v>
      </c>
      <c r="CG150" s="51">
        <v>3.1322783083219643E-5</v>
      </c>
      <c r="CH150" s="51">
        <v>3.134447476125512E-5</v>
      </c>
      <c r="CI150" s="51">
        <v>3.136616643929059E-5</v>
      </c>
      <c r="CJ150" s="51">
        <v>3.138785811732606E-5</v>
      </c>
      <c r="CK150" s="51">
        <v>3.1409549795361531E-5</v>
      </c>
      <c r="CL150" s="51">
        <v>3.1431241473397001E-5</v>
      </c>
      <c r="CM150" s="51">
        <v>3.1452933151432471E-5</v>
      </c>
    </row>
    <row r="151" spans="1:91" s="50" customFormat="1" x14ac:dyDescent="0.25">
      <c r="A151" s="50" t="s">
        <v>1</v>
      </c>
      <c r="B151" s="4">
        <v>0</v>
      </c>
      <c r="C151" s="4">
        <v>0</v>
      </c>
      <c r="D151" s="4">
        <v>0</v>
      </c>
      <c r="E151" s="4">
        <v>0</v>
      </c>
      <c r="F151" s="4">
        <v>0</v>
      </c>
      <c r="G151" s="4">
        <v>0</v>
      </c>
      <c r="H151" s="4">
        <v>0</v>
      </c>
      <c r="I151" s="4">
        <v>0</v>
      </c>
      <c r="J151" s="4">
        <v>0</v>
      </c>
      <c r="K151" s="4">
        <v>0</v>
      </c>
      <c r="L151" s="4">
        <v>0</v>
      </c>
      <c r="M151" s="4">
        <v>0</v>
      </c>
      <c r="N151" s="4">
        <v>0</v>
      </c>
      <c r="O151" s="4">
        <v>0</v>
      </c>
      <c r="P151" s="4">
        <v>0</v>
      </c>
      <c r="Q151" s="4">
        <v>0</v>
      </c>
      <c r="R151" s="4">
        <v>0</v>
      </c>
      <c r="S151" s="4">
        <v>0</v>
      </c>
      <c r="T151" s="4">
        <v>0</v>
      </c>
      <c r="U151" s="4">
        <v>0</v>
      </c>
      <c r="V151" s="4">
        <v>0</v>
      </c>
      <c r="W151" s="4">
        <v>0</v>
      </c>
      <c r="X151" s="4">
        <v>0</v>
      </c>
      <c r="Y151" s="4">
        <v>0</v>
      </c>
      <c r="Z151" s="4">
        <v>0</v>
      </c>
      <c r="AA151" s="4">
        <v>0</v>
      </c>
      <c r="AB151" s="4">
        <v>0</v>
      </c>
      <c r="AC151" s="4">
        <v>0</v>
      </c>
      <c r="AD151" s="4">
        <v>0</v>
      </c>
      <c r="AE151" s="4">
        <v>0</v>
      </c>
      <c r="AF151" s="51">
        <v>1.2E-5</v>
      </c>
      <c r="AG151" s="51">
        <v>1.2106666666666667E-5</v>
      </c>
      <c r="AH151" s="51">
        <v>1.2213333333333334E-5</v>
      </c>
      <c r="AI151" s="51">
        <v>1.2320000000000001E-5</v>
      </c>
      <c r="AJ151" s="51">
        <v>1.2426666666666667E-5</v>
      </c>
      <c r="AK151" s="51">
        <v>1.2533333333333334E-5</v>
      </c>
      <c r="AL151" s="51">
        <v>1.2640000000000001E-5</v>
      </c>
      <c r="AM151" s="51">
        <v>1.2746666666666668E-5</v>
      </c>
      <c r="AN151" s="51">
        <v>1.2853333333333333E-5</v>
      </c>
      <c r="AO151" s="51">
        <v>1.296E-5</v>
      </c>
      <c r="AP151" s="51">
        <v>1.3066666666666666E-5</v>
      </c>
      <c r="AQ151" s="51">
        <v>1.3173333333333333E-5</v>
      </c>
      <c r="AR151" s="51">
        <v>1.328E-5</v>
      </c>
      <c r="AS151" s="51">
        <v>1.3386666666666667E-5</v>
      </c>
      <c r="AT151" s="51">
        <v>1.3493333333333333E-5</v>
      </c>
      <c r="AU151" s="51">
        <v>1.36E-5</v>
      </c>
      <c r="AV151" s="51">
        <v>1.3679166666666668E-5</v>
      </c>
      <c r="AW151" s="51">
        <v>1.3758333333333333E-5</v>
      </c>
      <c r="AX151" s="51">
        <v>1.3837500000000001E-5</v>
      </c>
      <c r="AY151" s="51">
        <v>1.3916666666666667E-5</v>
      </c>
      <c r="AZ151" s="51">
        <v>1.3995833333333334E-5</v>
      </c>
      <c r="BA151" s="51">
        <v>1.4075E-5</v>
      </c>
      <c r="BB151" s="51">
        <v>1.4154166666666667E-5</v>
      </c>
      <c r="BC151" s="51">
        <v>1.4233333333333333E-5</v>
      </c>
      <c r="BD151" s="51">
        <v>1.4312500000000001E-5</v>
      </c>
      <c r="BE151" s="51">
        <v>1.4391666666666666E-5</v>
      </c>
      <c r="BF151" s="51">
        <v>1.4470833333333334E-5</v>
      </c>
      <c r="BG151" s="51">
        <v>1.4550000000000001E-5</v>
      </c>
      <c r="BH151" s="51">
        <v>1.4629166666666667E-5</v>
      </c>
      <c r="BI151" s="51">
        <v>1.4708333333333333E-5</v>
      </c>
      <c r="BJ151" s="51">
        <v>1.47875E-5</v>
      </c>
      <c r="BK151" s="51">
        <v>1.4866666666666668E-5</v>
      </c>
      <c r="BL151" s="51">
        <v>1.4945833333333334E-5</v>
      </c>
      <c r="BM151" s="51">
        <v>1.5025000000000001E-5</v>
      </c>
      <c r="BN151" s="51">
        <v>1.5104166666666667E-5</v>
      </c>
      <c r="BO151" s="51">
        <v>1.5183333333333334E-5</v>
      </c>
      <c r="BP151" s="51">
        <v>1.5262500000000002E-5</v>
      </c>
      <c r="BQ151" s="51">
        <v>1.5341666666666666E-5</v>
      </c>
      <c r="BR151" s="51">
        <v>1.5420833333333333E-5</v>
      </c>
      <c r="BS151" s="51">
        <v>1.5500000000000001E-5</v>
      </c>
      <c r="BT151" s="51">
        <v>1.5545000000000001E-5</v>
      </c>
      <c r="BU151" s="51">
        <v>1.5590000000000002E-5</v>
      </c>
      <c r="BV151" s="51">
        <v>1.5635000000000002E-5</v>
      </c>
      <c r="BW151" s="51">
        <v>1.5679999999999999E-5</v>
      </c>
      <c r="BX151" s="51">
        <v>1.5724999999999999E-5</v>
      </c>
      <c r="BY151" s="51">
        <v>1.577E-5</v>
      </c>
      <c r="BZ151" s="51">
        <v>1.5815E-5</v>
      </c>
      <c r="CA151" s="51">
        <v>1.5860000000000001E-5</v>
      </c>
      <c r="CB151" s="51">
        <v>1.5905000000000001E-5</v>
      </c>
      <c r="CC151" s="51">
        <v>1.5950000000000001E-5</v>
      </c>
      <c r="CD151" s="51">
        <v>1.5994999999999998E-5</v>
      </c>
      <c r="CE151" s="51">
        <v>1.6039999999999999E-5</v>
      </c>
      <c r="CF151" s="51">
        <v>1.6084999999999999E-5</v>
      </c>
      <c r="CG151" s="51">
        <v>1.613E-5</v>
      </c>
      <c r="CH151" s="51">
        <v>1.6175E-5</v>
      </c>
      <c r="CI151" s="51">
        <v>1.6220000000000001E-5</v>
      </c>
      <c r="CJ151" s="51">
        <v>1.6264999999999998E-5</v>
      </c>
      <c r="CK151" s="51">
        <v>1.6309999999999998E-5</v>
      </c>
      <c r="CL151" s="51">
        <v>1.6354999999999998E-5</v>
      </c>
      <c r="CM151" s="51">
        <v>1.6399999999999999E-5</v>
      </c>
    </row>
    <row r="152" spans="1:91" s="50" customFormat="1" x14ac:dyDescent="0.25">
      <c r="A152" s="50" t="s">
        <v>1</v>
      </c>
      <c r="B152" s="4">
        <v>0</v>
      </c>
      <c r="C152" s="4">
        <v>0</v>
      </c>
      <c r="D152" s="4">
        <v>0</v>
      </c>
      <c r="E152" s="4">
        <v>0</v>
      </c>
      <c r="F152" s="4">
        <v>0</v>
      </c>
      <c r="G152" s="4">
        <v>0</v>
      </c>
      <c r="H152" s="4">
        <v>0</v>
      </c>
      <c r="I152" s="4">
        <v>0</v>
      </c>
      <c r="J152" s="4">
        <v>0</v>
      </c>
      <c r="K152" s="4">
        <v>0</v>
      </c>
      <c r="L152" s="4">
        <v>0</v>
      </c>
      <c r="M152" s="4">
        <v>0</v>
      </c>
      <c r="N152" s="4">
        <v>0</v>
      </c>
      <c r="O152" s="4">
        <v>0</v>
      </c>
      <c r="P152" s="4">
        <v>0</v>
      </c>
      <c r="Q152" s="4">
        <v>0</v>
      </c>
      <c r="R152" s="4">
        <v>0</v>
      </c>
      <c r="S152" s="4">
        <v>0</v>
      </c>
      <c r="T152" s="4">
        <v>0</v>
      </c>
      <c r="U152" s="4">
        <v>0</v>
      </c>
      <c r="V152" s="4">
        <v>0</v>
      </c>
      <c r="W152" s="4">
        <v>0</v>
      </c>
      <c r="X152" s="4">
        <v>0</v>
      </c>
      <c r="Y152" s="4">
        <v>0</v>
      </c>
      <c r="Z152" s="4">
        <v>0</v>
      </c>
      <c r="AA152" s="4">
        <v>0</v>
      </c>
      <c r="AB152" s="4">
        <v>0</v>
      </c>
      <c r="AC152" s="4">
        <v>0</v>
      </c>
      <c r="AD152" s="4">
        <v>0</v>
      </c>
      <c r="AE152" s="4">
        <v>0</v>
      </c>
      <c r="AF152" s="51">
        <v>4.3999999999999999E-5</v>
      </c>
      <c r="AG152" s="51">
        <v>4.3866666666666665E-5</v>
      </c>
      <c r="AH152" s="51">
        <v>4.373333333333333E-5</v>
      </c>
      <c r="AI152" s="51">
        <v>4.3599999999999996E-5</v>
      </c>
      <c r="AJ152" s="51">
        <v>4.3466666666666668E-5</v>
      </c>
      <c r="AK152" s="51">
        <v>4.3333333333333334E-5</v>
      </c>
      <c r="AL152" s="51">
        <v>4.32E-5</v>
      </c>
      <c r="AM152" s="51">
        <v>4.3066666666666665E-5</v>
      </c>
      <c r="AN152" s="51">
        <v>4.2933333333333331E-5</v>
      </c>
      <c r="AO152" s="51">
        <v>4.2799999999999997E-5</v>
      </c>
      <c r="AP152" s="51">
        <v>4.2666666666666662E-5</v>
      </c>
      <c r="AQ152" s="51">
        <v>4.2533333333333328E-5</v>
      </c>
      <c r="AR152" s="51">
        <v>4.2400000000000001E-5</v>
      </c>
      <c r="AS152" s="51">
        <v>4.2266666666666666E-5</v>
      </c>
      <c r="AT152" s="51">
        <v>4.2133333333333332E-5</v>
      </c>
      <c r="AU152" s="51">
        <v>4.1999999999999998E-5</v>
      </c>
      <c r="AV152" s="51">
        <v>4.1999999999999998E-5</v>
      </c>
      <c r="AW152" s="51">
        <v>4.1999999999999998E-5</v>
      </c>
      <c r="AX152" s="51">
        <v>4.1999999999999998E-5</v>
      </c>
      <c r="AY152" s="51">
        <v>4.1999999999999998E-5</v>
      </c>
      <c r="AZ152" s="51">
        <v>4.1999999999999998E-5</v>
      </c>
      <c r="BA152" s="51">
        <v>4.1999999999999998E-5</v>
      </c>
      <c r="BB152" s="51">
        <v>4.1999999999999998E-5</v>
      </c>
      <c r="BC152" s="51">
        <v>4.1999999999999998E-5</v>
      </c>
      <c r="BD152" s="51">
        <v>4.1999999999999998E-5</v>
      </c>
      <c r="BE152" s="51">
        <v>4.1999999999999998E-5</v>
      </c>
      <c r="BF152" s="51">
        <v>4.1999999999999998E-5</v>
      </c>
      <c r="BG152" s="51">
        <v>4.1999999999999998E-5</v>
      </c>
      <c r="BH152" s="51">
        <v>4.1999999999999998E-5</v>
      </c>
      <c r="BI152" s="51">
        <v>4.1999999999999998E-5</v>
      </c>
      <c r="BJ152" s="51">
        <v>4.1999999999999998E-5</v>
      </c>
      <c r="BK152" s="51">
        <v>4.1999999999999998E-5</v>
      </c>
      <c r="BL152" s="51">
        <v>4.1999999999999998E-5</v>
      </c>
      <c r="BM152" s="51">
        <v>4.1999999999999998E-5</v>
      </c>
      <c r="BN152" s="51">
        <v>4.1999999999999998E-5</v>
      </c>
      <c r="BO152" s="51">
        <v>4.1999999999999998E-5</v>
      </c>
      <c r="BP152" s="51">
        <v>4.1999999999999998E-5</v>
      </c>
      <c r="BQ152" s="51">
        <v>4.1999999999999998E-5</v>
      </c>
      <c r="BR152" s="51">
        <v>4.1999999999999998E-5</v>
      </c>
      <c r="BS152" s="51">
        <v>4.1999999999999998E-5</v>
      </c>
      <c r="BT152" s="51">
        <v>4.1949999999999996E-5</v>
      </c>
      <c r="BU152" s="51">
        <v>4.1899999999999995E-5</v>
      </c>
      <c r="BV152" s="51">
        <v>4.1850000000000001E-5</v>
      </c>
      <c r="BW152" s="51">
        <v>4.18E-5</v>
      </c>
      <c r="BX152" s="51">
        <v>4.1749999999999998E-5</v>
      </c>
      <c r="BY152" s="51">
        <v>4.1699999999999997E-5</v>
      </c>
      <c r="BZ152" s="51">
        <v>4.1649999999999996E-5</v>
      </c>
      <c r="CA152" s="51">
        <v>4.1600000000000002E-5</v>
      </c>
      <c r="CB152" s="51">
        <v>4.155E-5</v>
      </c>
      <c r="CC152" s="51">
        <v>4.1499999999999999E-5</v>
      </c>
      <c r="CD152" s="51">
        <v>4.1449999999999998E-5</v>
      </c>
      <c r="CE152" s="51">
        <v>4.1399999999999997E-5</v>
      </c>
      <c r="CF152" s="51">
        <v>4.1350000000000002E-5</v>
      </c>
      <c r="CG152" s="51">
        <v>4.1300000000000001E-5</v>
      </c>
      <c r="CH152" s="51">
        <v>4.125E-5</v>
      </c>
      <c r="CI152" s="51">
        <v>4.1199999999999999E-5</v>
      </c>
      <c r="CJ152" s="51">
        <v>4.1149999999999997E-5</v>
      </c>
      <c r="CK152" s="51">
        <v>4.1100000000000003E-5</v>
      </c>
      <c r="CL152" s="51">
        <v>4.1050000000000002E-5</v>
      </c>
      <c r="CM152" s="51">
        <v>4.1E-5</v>
      </c>
    </row>
    <row r="153" spans="1:91" s="50" customFormat="1" x14ac:dyDescent="0.25">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91" s="50" customFormat="1" x14ac:dyDescent="0.25">
      <c r="A154" s="50" t="s">
        <v>224</v>
      </c>
      <c r="B154" s="4">
        <v>0</v>
      </c>
      <c r="C154" s="4">
        <v>0</v>
      </c>
      <c r="D154" s="4">
        <v>0</v>
      </c>
      <c r="E154" s="4">
        <v>0</v>
      </c>
      <c r="F154" s="4">
        <v>0</v>
      </c>
      <c r="G154" s="4">
        <v>0</v>
      </c>
      <c r="H154" s="4">
        <v>0</v>
      </c>
      <c r="I154" s="4">
        <v>0</v>
      </c>
      <c r="J154" s="4">
        <v>0</v>
      </c>
      <c r="K154" s="4">
        <v>0</v>
      </c>
      <c r="L154" s="4">
        <v>0</v>
      </c>
      <c r="M154" s="4">
        <v>0</v>
      </c>
      <c r="N154" s="4">
        <v>0</v>
      </c>
      <c r="O154" s="4">
        <v>0</v>
      </c>
      <c r="P154" s="4">
        <v>0</v>
      </c>
      <c r="Q154" s="4">
        <v>0</v>
      </c>
      <c r="R154" s="4">
        <v>0</v>
      </c>
      <c r="S154" s="4">
        <v>0</v>
      </c>
      <c r="T154" s="4">
        <v>0</v>
      </c>
      <c r="U154" s="4">
        <v>0</v>
      </c>
      <c r="V154" s="4">
        <v>0</v>
      </c>
      <c r="W154" s="4">
        <v>0</v>
      </c>
      <c r="X154" s="4">
        <v>0</v>
      </c>
      <c r="Y154" s="4">
        <v>0</v>
      </c>
      <c r="Z154" s="4">
        <v>0</v>
      </c>
      <c r="AA154" s="4">
        <v>0</v>
      </c>
      <c r="AB154" s="4">
        <v>0</v>
      </c>
      <c r="AC154" s="4">
        <v>0</v>
      </c>
      <c r="AD154" s="4">
        <v>0</v>
      </c>
      <c r="AE154" s="4">
        <v>0</v>
      </c>
      <c r="AF154" s="51">
        <v>7.4499999999999995E-5</v>
      </c>
      <c r="AG154" s="51">
        <v>7.4486666666666659E-5</v>
      </c>
      <c r="AH154" s="51">
        <v>7.4473333333333324E-5</v>
      </c>
      <c r="AI154" s="51">
        <v>7.4460000000000002E-5</v>
      </c>
      <c r="AJ154" s="51">
        <v>7.4446666666666667E-5</v>
      </c>
      <c r="AK154" s="51">
        <v>7.4433333333333331E-5</v>
      </c>
      <c r="AL154" s="51">
        <v>7.4419999999999996E-5</v>
      </c>
      <c r="AM154" s="51">
        <v>7.440666666666666E-5</v>
      </c>
      <c r="AN154" s="51">
        <v>7.4393333333333338E-5</v>
      </c>
      <c r="AO154" s="51">
        <v>7.4380000000000003E-5</v>
      </c>
      <c r="AP154" s="51">
        <v>7.4366666666666667E-5</v>
      </c>
      <c r="AQ154" s="51">
        <v>7.4353333333333332E-5</v>
      </c>
      <c r="AR154" s="51">
        <v>7.4339999999999996E-5</v>
      </c>
      <c r="AS154" s="51">
        <v>7.4326666666666674E-5</v>
      </c>
      <c r="AT154" s="51">
        <v>7.4313333333333339E-5</v>
      </c>
      <c r="AU154" s="51">
        <v>7.4300000000000004E-5</v>
      </c>
      <c r="AV154" s="51">
        <v>7.4304545454545462E-5</v>
      </c>
      <c r="AW154" s="51">
        <v>7.4309090909090907E-5</v>
      </c>
      <c r="AX154" s="51">
        <v>7.4313636363636365E-5</v>
      </c>
      <c r="AY154" s="51">
        <v>7.4318181818181823E-5</v>
      </c>
      <c r="AZ154" s="51">
        <v>7.4322727272727282E-5</v>
      </c>
      <c r="BA154" s="51">
        <v>7.4327272727272727E-5</v>
      </c>
      <c r="BB154" s="51">
        <v>7.4331818181818185E-5</v>
      </c>
      <c r="BC154" s="51">
        <v>7.4336363636363643E-5</v>
      </c>
      <c r="BD154" s="51">
        <v>7.4340909090909088E-5</v>
      </c>
      <c r="BE154" s="51">
        <v>7.4345454545454546E-5</v>
      </c>
      <c r="BF154" s="51">
        <v>7.4350000000000005E-5</v>
      </c>
      <c r="BG154" s="51">
        <v>7.435454545454545E-5</v>
      </c>
      <c r="BH154" s="51">
        <v>7.4359090909090908E-5</v>
      </c>
      <c r="BI154" s="51">
        <v>7.4363636363636366E-5</v>
      </c>
      <c r="BJ154" s="51">
        <v>7.4368181818181825E-5</v>
      </c>
      <c r="BK154" s="51">
        <v>7.4372727272727269E-5</v>
      </c>
      <c r="BL154" s="51">
        <v>7.4377272727272728E-5</v>
      </c>
      <c r="BM154" s="51">
        <v>7.4381818181818186E-5</v>
      </c>
      <c r="BN154" s="51">
        <v>7.4386363636363631E-5</v>
      </c>
      <c r="BO154" s="51">
        <v>7.4390909090909089E-5</v>
      </c>
      <c r="BP154" s="51">
        <v>7.4395454545454548E-5</v>
      </c>
      <c r="BQ154" s="51">
        <v>7.4399999999999992E-5</v>
      </c>
      <c r="BR154" s="51">
        <v>7.4404545454545451E-5</v>
      </c>
      <c r="BS154" s="51">
        <v>7.3999999999999996E-5</v>
      </c>
      <c r="BT154" s="51">
        <v>7.4024999999999997E-5</v>
      </c>
      <c r="BU154" s="51">
        <v>7.4049999999999997E-5</v>
      </c>
      <c r="BV154" s="51">
        <v>7.4074999999999998E-5</v>
      </c>
      <c r="BW154" s="51">
        <v>7.4099999999999999E-5</v>
      </c>
      <c r="BX154" s="51">
        <v>7.4124999999999999E-5</v>
      </c>
      <c r="BY154" s="51">
        <v>7.415E-5</v>
      </c>
      <c r="BZ154" s="51">
        <v>7.4175E-5</v>
      </c>
      <c r="CA154" s="51">
        <v>7.4200000000000001E-5</v>
      </c>
      <c r="CB154" s="51">
        <v>7.4225000000000002E-5</v>
      </c>
      <c r="CC154" s="51">
        <v>7.4249999999999989E-5</v>
      </c>
      <c r="CD154" s="51">
        <v>7.4274999999999989E-5</v>
      </c>
      <c r="CE154" s="51">
        <v>7.429999999999999E-5</v>
      </c>
      <c r="CF154" s="51">
        <v>7.4324999999999991E-5</v>
      </c>
      <c r="CG154" s="51">
        <v>7.4349999999999991E-5</v>
      </c>
      <c r="CH154" s="51">
        <v>7.4374999999999992E-5</v>
      </c>
      <c r="CI154" s="51">
        <v>7.4399999999999992E-5</v>
      </c>
      <c r="CJ154" s="51">
        <v>7.4424999999999993E-5</v>
      </c>
      <c r="CK154" s="51">
        <v>7.4449999999999994E-5</v>
      </c>
      <c r="CL154" s="51">
        <v>7.4474999999999994E-5</v>
      </c>
      <c r="CM154" s="51">
        <v>7.4499999999999995E-5</v>
      </c>
    </row>
    <row r="155" spans="1:91" s="50" customFormat="1" x14ac:dyDescent="0.2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91" x14ac:dyDescent="0.25">
      <c r="A156" s="7" t="s">
        <v>225</v>
      </c>
      <c r="B156" s="4">
        <v>0</v>
      </c>
      <c r="C156" s="4">
        <v>0</v>
      </c>
      <c r="D156" s="4">
        <v>0</v>
      </c>
      <c r="E156" s="4">
        <v>0</v>
      </c>
      <c r="F156" s="4">
        <v>0</v>
      </c>
      <c r="G156" s="4">
        <v>0</v>
      </c>
      <c r="H156" s="4">
        <v>0</v>
      </c>
      <c r="I156" s="4">
        <v>0</v>
      </c>
      <c r="J156" s="4">
        <v>0</v>
      </c>
      <c r="K156" s="4">
        <v>0</v>
      </c>
      <c r="L156" s="4">
        <v>0</v>
      </c>
      <c r="M156" s="4">
        <v>0</v>
      </c>
      <c r="N156" s="4">
        <v>0</v>
      </c>
      <c r="O156" s="4">
        <v>0</v>
      </c>
      <c r="P156" s="4">
        <v>0</v>
      </c>
      <c r="Q156" s="4">
        <v>0</v>
      </c>
      <c r="R156" s="4">
        <v>0</v>
      </c>
      <c r="S156" s="4">
        <v>0</v>
      </c>
      <c r="T156" s="4">
        <v>0</v>
      </c>
      <c r="U156" s="4">
        <v>0</v>
      </c>
      <c r="V156" s="4">
        <v>0</v>
      </c>
      <c r="W156" s="4">
        <v>0</v>
      </c>
      <c r="X156" s="4">
        <v>0</v>
      </c>
      <c r="Y156" s="4">
        <v>0</v>
      </c>
      <c r="Z156" s="4">
        <v>0</v>
      </c>
      <c r="AA156" s="4">
        <v>0</v>
      </c>
      <c r="AB156" s="4">
        <v>0</v>
      </c>
      <c r="AC156" s="4">
        <v>0</v>
      </c>
      <c r="AD156" s="4">
        <v>0</v>
      </c>
      <c r="AE156" s="4">
        <v>0</v>
      </c>
      <c r="AF156" s="8">
        <v>1.4576020775705699E-5</v>
      </c>
      <c r="AG156" s="8">
        <v>1.4744344075930342E-5</v>
      </c>
      <c r="AH156" s="8">
        <v>1.491461116683932E-5</v>
      </c>
      <c r="AI156" s="8">
        <v>1.5086844495249086E-5</v>
      </c>
      <c r="AJ156" s="8">
        <v>1.5261066767191021E-5</v>
      </c>
      <c r="AK156" s="8">
        <v>1.5437300950904844E-5</v>
      </c>
      <c r="AL156" s="8">
        <v>1.5615570279866575E-5</v>
      </c>
      <c r="AM156" s="8">
        <v>1.5795898255851482E-5</v>
      </c>
      <c r="AN156" s="8">
        <v>1.5978308652032388E-5</v>
      </c>
      <c r="AO156" s="8">
        <v>1.6162825516113752E-5</v>
      </c>
      <c r="AP156" s="8">
        <v>1.6349473173501959E-5</v>
      </c>
      <c r="AQ156" s="8">
        <v>1.6538276230512205E-5</v>
      </c>
      <c r="AR156" s="8">
        <v>1.6729259577612421E-5</v>
      </c>
      <c r="AS156" s="8">
        <v>1.6922448392704658E-5</v>
      </c>
      <c r="AT156" s="8">
        <v>1.7117868144444366E-5</v>
      </c>
      <c r="AU156" s="8">
        <v>1.7315544595598001E-5</v>
      </c>
      <c r="AV156" s="8">
        <v>1.7415409204547775E-5</v>
      </c>
      <c r="AW156" s="8">
        <v>1.7515849766512809E-5</v>
      </c>
      <c r="AX156" s="8">
        <v>1.7616869603209166E-5</v>
      </c>
      <c r="AY156" s="8">
        <v>1.7718472055510372E-5</v>
      </c>
      <c r="AZ156" s="8">
        <v>1.78206604835579E-5</v>
      </c>
      <c r="BA156" s="8">
        <v>1.7923438266872302E-5</v>
      </c>
      <c r="BB156" s="8">
        <v>1.8026808804464961E-5</v>
      </c>
      <c r="BC156" s="8">
        <v>1.8130775514950517E-5</v>
      </c>
      <c r="BD156" s="8">
        <v>1.8235341836659911E-5</v>
      </c>
      <c r="BE156" s="8">
        <v>1.834051122775411E-5</v>
      </c>
      <c r="BF156" s="8">
        <v>1.8446287166338464E-5</v>
      </c>
      <c r="BG156" s="8">
        <v>1.8552673150577734E-5</v>
      </c>
      <c r="BH156" s="8">
        <v>1.8659672698811777E-5</v>
      </c>
      <c r="BI156" s="8">
        <v>1.8767289349671913E-5</v>
      </c>
      <c r="BJ156" s="8">
        <v>1.8875526662197948E-5</v>
      </c>
      <c r="BK156" s="8">
        <v>1.8984388215955872E-5</v>
      </c>
      <c r="BL156" s="8">
        <v>1.9093877611156248E-5</v>
      </c>
      <c r="BM156" s="8">
        <v>1.9203998468773267E-5</v>
      </c>
      <c r="BN156" s="8">
        <v>1.9314754430664504E-5</v>
      </c>
      <c r="BO156" s="8">
        <v>1.942614915969137E-5</v>
      </c>
      <c r="BP156" s="8">
        <v>1.9538186339840227E-5</v>
      </c>
      <c r="BQ156" s="8">
        <v>1.9650869676344238E-5</v>
      </c>
      <c r="BR156" s="8">
        <v>1.9764202895805899E-5</v>
      </c>
      <c r="BS156" s="8">
        <v>1.9878189746320288E-5</v>
      </c>
      <c r="BT156" s="8">
        <v>1.9992833997599013E-5</v>
      </c>
      <c r="BU156" s="8">
        <v>2.0108139441094886E-5</v>
      </c>
      <c r="BV156" s="8">
        <v>2.022410989012731E-5</v>
      </c>
      <c r="BW156" s="8">
        <v>2.0340749180008397E-5</v>
      </c>
      <c r="BX156" s="8">
        <v>2.0458061168169796E-5</v>
      </c>
      <c r="BY156" s="8">
        <v>2.0576049734290275E-5</v>
      </c>
      <c r="BZ156" s="8">
        <v>2.0694718780424024E-5</v>
      </c>
      <c r="CA156" s="8">
        <v>2.0814072231129699E-5</v>
      </c>
      <c r="CB156" s="8">
        <v>2.093411403360021E-5</v>
      </c>
      <c r="CC156" s="8">
        <v>2.1054848157793275E-5</v>
      </c>
      <c r="CD156" s="8">
        <v>2.1176278596562695E-5</v>
      </c>
      <c r="CE156" s="8">
        <v>2.129840936579041E-5</v>
      </c>
      <c r="CF156" s="8">
        <v>2.1421244504519316E-5</v>
      </c>
      <c r="CG156" s="8">
        <v>2.1544788075086836E-5</v>
      </c>
      <c r="CH156" s="8">
        <v>2.1669044163259267E-5</v>
      </c>
      <c r="CI156" s="8">
        <v>2.1794016878366904E-5</v>
      </c>
      <c r="CJ156" s="8">
        <v>2.1919710353439944E-5</v>
      </c>
      <c r="CK156" s="8">
        <v>2.2046128745345164E-5</v>
      </c>
      <c r="CL156" s="8">
        <v>2.21732762349234E-5</v>
      </c>
      <c r="CM156" s="8">
        <v>2.2301157027127814E-5</v>
      </c>
    </row>
    <row r="157" spans="1:91" x14ac:dyDescent="0.25">
      <c r="A157" s="7" t="s">
        <v>1</v>
      </c>
      <c r="B157" s="4">
        <v>0</v>
      </c>
      <c r="C157" s="4">
        <v>0</v>
      </c>
      <c r="D157" s="4">
        <v>0</v>
      </c>
      <c r="E157" s="4">
        <v>0</v>
      </c>
      <c r="F157" s="4">
        <v>0</v>
      </c>
      <c r="G157" s="4">
        <v>0</v>
      </c>
      <c r="H157" s="4">
        <v>0</v>
      </c>
      <c r="I157" s="4">
        <v>0</v>
      </c>
      <c r="J157" s="4">
        <v>0</v>
      </c>
      <c r="K157" s="4">
        <v>0</v>
      </c>
      <c r="L157" s="4">
        <v>0</v>
      </c>
      <c r="M157" s="4">
        <v>0</v>
      </c>
      <c r="N157" s="4">
        <v>0</v>
      </c>
      <c r="O157" s="4">
        <v>0</v>
      </c>
      <c r="P157" s="4">
        <v>0</v>
      </c>
      <c r="Q157" s="4">
        <v>0</v>
      </c>
      <c r="R157" s="4">
        <v>0</v>
      </c>
      <c r="S157" s="4">
        <v>0</v>
      </c>
      <c r="T157" s="4">
        <v>0</v>
      </c>
      <c r="U157" s="4">
        <v>0</v>
      </c>
      <c r="V157" s="4">
        <v>0</v>
      </c>
      <c r="W157" s="4">
        <v>0</v>
      </c>
      <c r="X157" s="4">
        <v>0</v>
      </c>
      <c r="Y157" s="4">
        <v>0</v>
      </c>
      <c r="Z157" s="4">
        <v>0</v>
      </c>
      <c r="AA157" s="4">
        <v>0</v>
      </c>
      <c r="AB157" s="4">
        <v>0</v>
      </c>
      <c r="AC157" s="4">
        <v>0</v>
      </c>
      <c r="AD157" s="4">
        <v>0</v>
      </c>
      <c r="AE157" s="4">
        <v>0</v>
      </c>
      <c r="AF157" s="9">
        <v>9.3999999999999994E-5</v>
      </c>
      <c r="AG157" s="9">
        <v>9.5133333333333333E-5</v>
      </c>
      <c r="AH157" s="9">
        <v>9.6266666666666658E-5</v>
      </c>
      <c r="AI157" s="9">
        <v>9.7399999999999996E-5</v>
      </c>
      <c r="AJ157" s="9">
        <v>9.8533333333333334E-5</v>
      </c>
      <c r="AK157" s="9">
        <v>9.9666666666666659E-5</v>
      </c>
      <c r="AL157" s="9">
        <v>1.008E-4</v>
      </c>
      <c r="AM157" s="9">
        <v>1.0193333333333334E-4</v>
      </c>
      <c r="AN157" s="9">
        <v>1.0306666666666666E-4</v>
      </c>
      <c r="AO157" s="9">
        <v>1.042E-4</v>
      </c>
      <c r="AP157" s="9">
        <v>1.0533333333333334E-4</v>
      </c>
      <c r="AQ157" s="9">
        <v>1.0646666666666666E-4</v>
      </c>
      <c r="AR157" s="9">
        <v>1.076E-4</v>
      </c>
      <c r="AS157" s="9">
        <v>1.0873333333333334E-4</v>
      </c>
      <c r="AT157" s="9">
        <v>1.0986666666666666E-4</v>
      </c>
      <c r="AU157" s="9">
        <v>1.11E-4</v>
      </c>
      <c r="AV157" s="9">
        <v>1.1170833333333333E-4</v>
      </c>
      <c r="AW157" s="9">
        <v>1.1241666666666667E-4</v>
      </c>
      <c r="AX157" s="9">
        <v>1.13125E-4</v>
      </c>
      <c r="AY157" s="9">
        <v>1.1383333333333333E-4</v>
      </c>
      <c r="AZ157" s="9">
        <v>1.1454166666666667E-4</v>
      </c>
      <c r="BA157" s="9">
        <v>1.1525E-4</v>
      </c>
      <c r="BB157" s="9">
        <v>1.1595833333333334E-4</v>
      </c>
      <c r="BC157" s="9">
        <v>1.1666666666666667E-4</v>
      </c>
      <c r="BD157" s="9">
        <v>1.1737499999999999E-4</v>
      </c>
      <c r="BE157" s="9">
        <v>1.1808333333333333E-4</v>
      </c>
      <c r="BF157" s="9">
        <v>1.1879166666666666E-4</v>
      </c>
      <c r="BG157" s="9">
        <v>1.195E-4</v>
      </c>
      <c r="BH157" s="9">
        <v>1.2020833333333333E-4</v>
      </c>
      <c r="BI157" s="9">
        <v>1.2091666666666666E-4</v>
      </c>
      <c r="BJ157" s="9">
        <v>1.21625E-4</v>
      </c>
      <c r="BK157" s="9">
        <v>1.2233333333333334E-4</v>
      </c>
      <c r="BL157" s="9">
        <v>1.2304166666666667E-4</v>
      </c>
      <c r="BM157" s="9">
        <v>1.2375E-4</v>
      </c>
      <c r="BN157" s="9">
        <v>1.2445833333333333E-4</v>
      </c>
      <c r="BO157" s="9">
        <v>1.2516666666666666E-4</v>
      </c>
      <c r="BP157" s="9">
        <v>1.2587499999999998E-4</v>
      </c>
      <c r="BQ157" s="9">
        <v>1.2658333333333334E-4</v>
      </c>
      <c r="BR157" s="9">
        <v>1.2729166666666667E-4</v>
      </c>
      <c r="BS157" s="9">
        <v>1.2799999999999999E-4</v>
      </c>
      <c r="BT157" s="9">
        <v>1.2855000000000001E-4</v>
      </c>
      <c r="BU157" s="9">
        <v>1.2909999999999999E-4</v>
      </c>
      <c r="BV157" s="9">
        <v>1.2964999999999998E-4</v>
      </c>
      <c r="BW157" s="9">
        <v>1.3019999999999999E-4</v>
      </c>
      <c r="BX157" s="9">
        <v>1.3075000000000001E-4</v>
      </c>
      <c r="BY157" s="9">
        <v>1.3129999999999999E-4</v>
      </c>
      <c r="BZ157" s="9">
        <v>1.3184999999999998E-4</v>
      </c>
      <c r="CA157" s="9">
        <v>1.3239999999999999E-4</v>
      </c>
      <c r="CB157" s="9">
        <v>1.3295000000000001E-4</v>
      </c>
      <c r="CC157" s="9">
        <v>1.3349999999999999E-4</v>
      </c>
      <c r="CD157" s="9">
        <v>1.3404999999999998E-4</v>
      </c>
      <c r="CE157" s="9">
        <v>1.3459999999999999E-4</v>
      </c>
      <c r="CF157" s="9">
        <v>1.3515000000000001E-4</v>
      </c>
      <c r="CG157" s="9">
        <v>1.3569999999999999E-4</v>
      </c>
      <c r="CH157" s="9">
        <v>1.3624999999999998E-4</v>
      </c>
      <c r="CI157" s="9">
        <v>1.3679999999999999E-4</v>
      </c>
      <c r="CJ157" s="9">
        <v>1.3735E-4</v>
      </c>
      <c r="CK157" s="9">
        <v>1.3789999999999999E-4</v>
      </c>
      <c r="CL157" s="9">
        <v>1.3844999999999998E-4</v>
      </c>
      <c r="CM157" s="9">
        <v>1.3899999999999999E-4</v>
      </c>
    </row>
    <row r="158" spans="1:91" x14ac:dyDescent="0.25">
      <c r="A158" s="7" t="s">
        <v>2</v>
      </c>
      <c r="B158" s="4">
        <v>0</v>
      </c>
      <c r="C158" s="4">
        <v>0</v>
      </c>
      <c r="D158" s="4">
        <v>0</v>
      </c>
      <c r="E158" s="4">
        <v>0</v>
      </c>
      <c r="F158" s="4">
        <v>0</v>
      </c>
      <c r="G158" s="4">
        <v>0</v>
      </c>
      <c r="H158" s="4">
        <v>0</v>
      </c>
      <c r="I158" s="4">
        <v>0</v>
      </c>
      <c r="J158" s="4">
        <v>0</v>
      </c>
      <c r="K158" s="4">
        <v>0</v>
      </c>
      <c r="L158" s="4">
        <v>0</v>
      </c>
      <c r="M158" s="4">
        <v>0</v>
      </c>
      <c r="N158" s="4">
        <v>0</v>
      </c>
      <c r="O158" s="4">
        <v>0</v>
      </c>
      <c r="P158" s="4">
        <v>0</v>
      </c>
      <c r="Q158" s="4">
        <v>0</v>
      </c>
      <c r="R158" s="4">
        <v>0</v>
      </c>
      <c r="S158" s="4">
        <v>0</v>
      </c>
      <c r="T158" s="4">
        <v>0</v>
      </c>
      <c r="U158" s="4">
        <v>0</v>
      </c>
      <c r="V158" s="4">
        <v>0</v>
      </c>
      <c r="W158" s="4">
        <v>0</v>
      </c>
      <c r="X158" s="4">
        <v>0</v>
      </c>
      <c r="Y158" s="4">
        <v>0</v>
      </c>
      <c r="Z158" s="4">
        <v>0</v>
      </c>
      <c r="AA158" s="4">
        <v>0</v>
      </c>
      <c r="AB158" s="4">
        <v>0</v>
      </c>
      <c r="AC158" s="4">
        <v>0</v>
      </c>
      <c r="AD158" s="4">
        <v>0</v>
      </c>
      <c r="AE158" s="4">
        <v>0</v>
      </c>
      <c r="AF158" s="8">
        <v>2.2657361086823666E-5</v>
      </c>
      <c r="AG158" s="8">
        <v>2.281708065138335E-5</v>
      </c>
      <c r="AH158" s="8">
        <v>2.2977926134323617E-5</v>
      </c>
      <c r="AI158" s="8">
        <v>2.313990547263204E-5</v>
      </c>
      <c r="AJ158" s="8">
        <v>2.3303026659246768E-5</v>
      </c>
      <c r="AK158" s="8">
        <v>2.3467297743450924E-5</v>
      </c>
      <c r="AL158" s="8">
        <v>2.3632726831269813E-5</v>
      </c>
      <c r="AM158" s="8">
        <v>2.379932208587091E-5</v>
      </c>
      <c r="AN158" s="8">
        <v>2.3967091727966676E-5</v>
      </c>
      <c r="AO158" s="8">
        <v>2.4136044036220217E-5</v>
      </c>
      <c r="AP158" s="8">
        <v>2.4306187347653793E-5</v>
      </c>
      <c r="AQ158" s="8">
        <v>2.4477530058060215E-5</v>
      </c>
      <c r="AR158" s="8">
        <v>2.4650080622417135E-5</v>
      </c>
      <c r="AS158" s="8">
        <v>2.4823847555304266E-5</v>
      </c>
      <c r="AT158" s="8">
        <v>2.4998839431323531E-5</v>
      </c>
      <c r="AU158" s="8">
        <v>2.5175064885522186E-5</v>
      </c>
      <c r="AV158" s="8">
        <v>2.5376465404606362E-5</v>
      </c>
      <c r="AW158" s="8">
        <v>2.5579477127843213E-5</v>
      </c>
      <c r="AX158" s="8">
        <v>2.578411294486596E-5</v>
      </c>
      <c r="AY158" s="8">
        <v>2.5990385848424887E-5</v>
      </c>
      <c r="AZ158" s="8">
        <v>2.6198308935212287E-5</v>
      </c>
      <c r="BA158" s="8">
        <v>2.6407895406693984E-5</v>
      </c>
      <c r="BB158" s="8">
        <v>2.6619158569947534E-5</v>
      </c>
      <c r="BC158" s="8">
        <v>2.6832111838507114E-5</v>
      </c>
      <c r="BD158" s="8">
        <v>2.7046768733215171E-5</v>
      </c>
      <c r="BE158" s="8">
        <v>2.7263142883080892E-5</v>
      </c>
      <c r="BF158" s="8">
        <v>2.7481248026145541E-5</v>
      </c>
      <c r="BG158" s="8">
        <v>2.7701098010354706E-5</v>
      </c>
      <c r="BH158" s="8">
        <v>2.7922706794437544E-5</v>
      </c>
      <c r="BI158" s="8">
        <v>2.8146088448793043E-5</v>
      </c>
      <c r="BJ158" s="8">
        <v>2.8371257156383386E-5</v>
      </c>
      <c r="BK158" s="8">
        <v>2.8598227213634453E-5</v>
      </c>
      <c r="BL158" s="8">
        <v>2.8827013031343528E-5</v>
      </c>
      <c r="BM158" s="8">
        <v>2.9057629135594278E-5</v>
      </c>
      <c r="BN158" s="8">
        <v>2.9290090168679031E-5</v>
      </c>
      <c r="BO158" s="8">
        <v>2.9524410890028464E-5</v>
      </c>
      <c r="BP158" s="8">
        <v>2.9760606177148692E-5</v>
      </c>
      <c r="BQ158" s="8">
        <v>2.9998691026565881E-5</v>
      </c>
      <c r="BR158" s="8">
        <v>3.0238680554778409E-5</v>
      </c>
      <c r="BS158" s="8">
        <v>3.0480589999216637E-5</v>
      </c>
      <c r="BT158" s="8">
        <v>3.0724434719210369E-5</v>
      </c>
      <c r="BU158" s="8">
        <v>3.0970230196964053E-5</v>
      </c>
      <c r="BV158" s="8">
        <v>3.1217992038539765E-5</v>
      </c>
      <c r="BW158" s="8">
        <v>3.1467735974848084E-5</v>
      </c>
      <c r="BX158" s="8">
        <v>3.1719477862646865E-5</v>
      </c>
      <c r="BY158" s="8">
        <v>3.1973233685548038E-5</v>
      </c>
      <c r="BZ158" s="8">
        <v>3.2229019555032424E-5</v>
      </c>
      <c r="CA158" s="8">
        <v>3.2486851711472685E-5</v>
      </c>
      <c r="CB158" s="8">
        <v>3.2746746525164468E-5</v>
      </c>
      <c r="CC158" s="8">
        <v>3.3008720497365782E-5</v>
      </c>
      <c r="CD158" s="8">
        <v>3.3272790261344708E-5</v>
      </c>
      <c r="CE158" s="8">
        <v>3.3538972583435463E-5</v>
      </c>
      <c r="CF158" s="8">
        <v>3.3807284364102947E-5</v>
      </c>
      <c r="CG158" s="8">
        <v>3.4077742639015773E-5</v>
      </c>
      <c r="CH158" s="8">
        <v>3.4350364580127896E-5</v>
      </c>
      <c r="CI158" s="8">
        <v>3.4625167496768918E-5</v>
      </c>
      <c r="CJ158" s="8">
        <v>3.4902168836743067E-5</v>
      </c>
      <c r="CK158" s="8">
        <v>3.5181386187437011E-5</v>
      </c>
      <c r="CL158" s="8">
        <v>3.5462837276936504E-5</v>
      </c>
      <c r="CM158" s="8">
        <v>3.5746539975151994E-5</v>
      </c>
    </row>
    <row r="159" spans="1:91" x14ac:dyDescent="0.25">
      <c r="A159" s="7" t="s">
        <v>2</v>
      </c>
      <c r="B159" s="4">
        <v>0</v>
      </c>
      <c r="C159" s="4">
        <v>0</v>
      </c>
      <c r="D159" s="4">
        <v>0</v>
      </c>
      <c r="E159" s="4">
        <v>0</v>
      </c>
      <c r="F159" s="4">
        <v>0</v>
      </c>
      <c r="G159" s="4">
        <v>0</v>
      </c>
      <c r="H159" s="4">
        <v>0</v>
      </c>
      <c r="I159" s="4">
        <v>0</v>
      </c>
      <c r="J159" s="4">
        <v>0</v>
      </c>
      <c r="K159" s="4">
        <v>0</v>
      </c>
      <c r="L159" s="4">
        <v>0</v>
      </c>
      <c r="M159" s="4">
        <v>0</v>
      </c>
      <c r="N159" s="4">
        <v>0</v>
      </c>
      <c r="O159" s="4">
        <v>0</v>
      </c>
      <c r="P159" s="4">
        <v>0</v>
      </c>
      <c r="Q159" s="4">
        <v>0</v>
      </c>
      <c r="R159" s="4">
        <v>0</v>
      </c>
      <c r="S159" s="4">
        <v>0</v>
      </c>
      <c r="T159" s="4">
        <v>0</v>
      </c>
      <c r="U159" s="4">
        <v>0</v>
      </c>
      <c r="V159" s="4">
        <v>0</v>
      </c>
      <c r="W159" s="4">
        <v>0</v>
      </c>
      <c r="X159" s="4">
        <v>0</v>
      </c>
      <c r="Y159" s="4">
        <v>0</v>
      </c>
      <c r="Z159" s="4">
        <v>0</v>
      </c>
      <c r="AA159" s="4">
        <v>0</v>
      </c>
      <c r="AB159" s="4">
        <v>0</v>
      </c>
      <c r="AC159" s="4">
        <v>0</v>
      </c>
      <c r="AD159" s="4">
        <v>0</v>
      </c>
      <c r="AE159" s="4">
        <v>0</v>
      </c>
      <c r="AF159" s="8">
        <v>9.1330900353755179E-6</v>
      </c>
      <c r="AG159" s="8">
        <v>9.5734696387584037E-6</v>
      </c>
      <c r="AH159" s="8">
        <v>1.0035083478782394E-5</v>
      </c>
      <c r="AI159" s="8">
        <v>1.0518955428493074E-5</v>
      </c>
      <c r="AJ159" s="8">
        <v>1.1026158730076598E-5</v>
      </c>
      <c r="AK159" s="8">
        <v>1.1557818375342346E-5</v>
      </c>
      <c r="AL159" s="8">
        <v>1.2115113600987785E-5</v>
      </c>
      <c r="AM159" s="8">
        <v>1.2699280504180067E-5</v>
      </c>
      <c r="AN159" s="8">
        <v>1.3311614784255835E-5</v>
      </c>
      <c r="AO159" s="8">
        <v>1.3953474616620372E-5</v>
      </c>
      <c r="AP159" s="8">
        <v>1.4626283665220514E-5</v>
      </c>
      <c r="AQ159" s="8">
        <v>1.5331534240273076E-5</v>
      </c>
      <c r="AR159" s="8">
        <v>1.6070790608252701E-5</v>
      </c>
      <c r="AS159" s="8">
        <v>1.6845692461480817E-5</v>
      </c>
      <c r="AT159" s="8">
        <v>1.765795855501134E-5</v>
      </c>
      <c r="AU159" s="8">
        <v>1.8509390518879812E-5</v>
      </c>
      <c r="AV159" s="8">
        <v>1.8750012595625248E-5</v>
      </c>
      <c r="AW159" s="8">
        <v>1.8993762759368378E-5</v>
      </c>
      <c r="AX159" s="8">
        <v>1.9240681675240166E-5</v>
      </c>
      <c r="AY159" s="8">
        <v>1.9490810537018289E-5</v>
      </c>
      <c r="AZ159" s="8">
        <v>1.9744191073999528E-5</v>
      </c>
      <c r="BA159" s="8">
        <v>2.0000865557961522E-5</v>
      </c>
      <c r="BB159" s="8">
        <v>2.0260876810215022E-5</v>
      </c>
      <c r="BC159" s="8">
        <v>2.0524268208747819E-5</v>
      </c>
      <c r="BD159" s="8">
        <v>2.0791083695461539E-5</v>
      </c>
      <c r="BE159" s="8">
        <v>2.106136778350254E-5</v>
      </c>
      <c r="BF159" s="8">
        <v>2.1335165564688073E-5</v>
      </c>
      <c r="BG159" s="8">
        <v>2.161252271702902E-5</v>
      </c>
      <c r="BH159" s="8">
        <v>2.1893485512350398E-5</v>
      </c>
      <c r="BI159" s="8">
        <v>2.2178100824010951E-5</v>
      </c>
      <c r="BJ159" s="8">
        <v>2.2466416134723093E-5</v>
      </c>
      <c r="BK159" s="8">
        <v>2.2758479544474495E-5</v>
      </c>
      <c r="BL159" s="8">
        <v>2.3054339778552662E-5</v>
      </c>
      <c r="BM159" s="8">
        <v>2.3354046195673846E-5</v>
      </c>
      <c r="BN159" s="8">
        <v>2.3657648796217608E-5</v>
      </c>
      <c r="BO159" s="8">
        <v>2.3965198230568436E-5</v>
      </c>
      <c r="BP159" s="8">
        <v>2.4276745807565827E-5</v>
      </c>
      <c r="BQ159" s="8">
        <v>2.4592343503064183E-5</v>
      </c>
      <c r="BR159" s="8">
        <v>2.4912043968604017E-5</v>
      </c>
      <c r="BS159" s="8">
        <v>2.5235900540195869E-5</v>
      </c>
      <c r="BT159" s="8">
        <v>2.5563967247218415E-5</v>
      </c>
      <c r="BU159" s="8">
        <v>2.5896298821432253E-5</v>
      </c>
      <c r="BV159" s="8">
        <v>2.6232950706110874E-5</v>
      </c>
      <c r="BW159" s="8">
        <v>2.6573979065290315E-5</v>
      </c>
      <c r="BX159" s="8">
        <v>2.6919440793139088E-5</v>
      </c>
      <c r="BY159" s="8">
        <v>2.7269393523449896E-5</v>
      </c>
      <c r="BZ159" s="8">
        <v>2.7623895639254743E-5</v>
      </c>
      <c r="CA159" s="8">
        <v>2.7983006282565054E-5</v>
      </c>
      <c r="CB159" s="8">
        <v>2.8346785364238401E-5</v>
      </c>
      <c r="CC159" s="8">
        <v>2.87152935739735E-5</v>
      </c>
      <c r="CD159" s="8">
        <v>2.9088592390435154E-5</v>
      </c>
      <c r="CE159" s="8">
        <v>2.9466744091510811E-5</v>
      </c>
      <c r="CF159" s="8">
        <v>2.984981176470045E-5</v>
      </c>
      <c r="CG159" s="8">
        <v>3.0237859317641555E-5</v>
      </c>
      <c r="CH159" s="8">
        <v>3.0630951488770894E-5</v>
      </c>
      <c r="CI159" s="8">
        <v>3.1029153858124914E-5</v>
      </c>
      <c r="CJ159" s="8">
        <v>3.1432532858280537E-5</v>
      </c>
      <c r="CK159" s="8">
        <v>3.1841155785438181E-5</v>
      </c>
      <c r="CL159" s="8">
        <v>3.2255090810648879E-5</v>
      </c>
      <c r="CM159" s="8">
        <v>3.2674406991187313E-5</v>
      </c>
    </row>
    <row r="161" spans="1:91" x14ac:dyDescent="0.25">
      <c r="A161" s="7" t="s">
        <v>226</v>
      </c>
      <c r="B161" s="4">
        <v>0</v>
      </c>
      <c r="C161" s="4">
        <v>0</v>
      </c>
      <c r="D161" s="4">
        <v>0</v>
      </c>
      <c r="E161" s="4">
        <v>0</v>
      </c>
      <c r="F161" s="4">
        <v>0</v>
      </c>
      <c r="G161" s="4">
        <v>0</v>
      </c>
      <c r="H161" s="4">
        <v>0</v>
      </c>
      <c r="I161" s="4">
        <v>0</v>
      </c>
      <c r="J161" s="4">
        <v>0</v>
      </c>
      <c r="K161" s="4">
        <v>0</v>
      </c>
      <c r="L161" s="4">
        <v>0</v>
      </c>
      <c r="M161" s="4">
        <v>0</v>
      </c>
      <c r="N161" s="4">
        <v>0</v>
      </c>
      <c r="O161" s="4">
        <v>0</v>
      </c>
      <c r="P161" s="4">
        <v>0</v>
      </c>
      <c r="Q161" s="4">
        <v>0</v>
      </c>
      <c r="R161" s="4">
        <v>0</v>
      </c>
      <c r="S161" s="4">
        <v>0</v>
      </c>
      <c r="T161" s="4">
        <v>0</v>
      </c>
      <c r="U161" s="4">
        <v>0</v>
      </c>
      <c r="V161" s="4">
        <v>0</v>
      </c>
      <c r="W161" s="4">
        <v>0</v>
      </c>
      <c r="X161" s="4">
        <v>0</v>
      </c>
      <c r="Y161" s="4">
        <v>0</v>
      </c>
      <c r="Z161" s="4">
        <v>0</v>
      </c>
      <c r="AA161" s="4">
        <v>0</v>
      </c>
      <c r="AB161" s="4">
        <v>0</v>
      </c>
      <c r="AC161" s="4">
        <v>0</v>
      </c>
      <c r="AD161" s="4">
        <v>0</v>
      </c>
      <c r="AE161" s="4">
        <v>0</v>
      </c>
      <c r="AF161" s="8">
        <v>2.9940564635958392E-5</v>
      </c>
      <c r="AG161" s="9">
        <v>3.0063397721644376E-5</v>
      </c>
      <c r="AH161" s="9">
        <v>3.0186230807330359E-5</v>
      </c>
      <c r="AI161" s="9">
        <v>3.0309063893016343E-5</v>
      </c>
      <c r="AJ161" s="9">
        <v>3.0431896978702323E-5</v>
      </c>
      <c r="AK161" s="9">
        <v>3.055473006438831E-5</v>
      </c>
      <c r="AL161" s="9">
        <v>3.0677563150074294E-5</v>
      </c>
      <c r="AM161" s="9">
        <v>3.0800396235760277E-5</v>
      </c>
      <c r="AN161" s="9">
        <v>3.0923229321446254E-5</v>
      </c>
      <c r="AO161" s="9">
        <v>3.1046062407132238E-5</v>
      </c>
      <c r="AP161" s="9">
        <v>3.1168895492818221E-5</v>
      </c>
      <c r="AQ161" s="9">
        <v>3.1291728578504205E-5</v>
      </c>
      <c r="AR161" s="9">
        <v>3.1414561664190188E-5</v>
      </c>
      <c r="AS161" s="9">
        <v>3.1537394749876172E-5</v>
      </c>
      <c r="AT161" s="9">
        <v>3.1660227835562155E-5</v>
      </c>
      <c r="AU161" s="8">
        <v>3.1783060921248139E-5</v>
      </c>
      <c r="AV161" s="9">
        <v>3.2035733519288448E-5</v>
      </c>
      <c r="AW161" s="9">
        <v>3.2288406117328758E-5</v>
      </c>
      <c r="AX161" s="9">
        <v>3.2541078715369068E-5</v>
      </c>
      <c r="AY161" s="9">
        <v>3.2793751313409377E-5</v>
      </c>
      <c r="AZ161" s="9">
        <v>3.3046423911449687E-5</v>
      </c>
      <c r="BA161" s="9">
        <v>3.3299096509489996E-5</v>
      </c>
      <c r="BB161" s="9">
        <v>3.3551769107530299E-5</v>
      </c>
      <c r="BC161" s="9">
        <v>3.3804441705570608E-5</v>
      </c>
      <c r="BD161" s="9">
        <v>3.4057114303610918E-5</v>
      </c>
      <c r="BE161" s="9">
        <v>3.4309786901651227E-5</v>
      </c>
      <c r="BF161" s="9">
        <v>3.4562459499691537E-5</v>
      </c>
      <c r="BG161" s="9">
        <v>3.4815132097731846E-5</v>
      </c>
      <c r="BH161" s="9">
        <v>3.5067804695772156E-5</v>
      </c>
      <c r="BI161" s="9">
        <v>3.5320477293812465E-5</v>
      </c>
      <c r="BJ161" s="9">
        <v>3.5573149891852775E-5</v>
      </c>
      <c r="BK161" s="9">
        <v>3.5825822489893084E-5</v>
      </c>
      <c r="BL161" s="9">
        <v>3.6078495087933394E-5</v>
      </c>
      <c r="BM161" s="9">
        <v>3.6331167685973697E-5</v>
      </c>
      <c r="BN161" s="9">
        <v>3.6583840284014006E-5</v>
      </c>
      <c r="BO161" s="9">
        <v>3.6836512882054316E-5</v>
      </c>
      <c r="BP161" s="9">
        <v>3.7089185480094625E-5</v>
      </c>
      <c r="BQ161" s="9">
        <v>3.7341858078134935E-5</v>
      </c>
      <c r="BR161" s="9">
        <v>3.7594530676175244E-5</v>
      </c>
      <c r="BS161" s="8">
        <v>3.7847203274215554E-5</v>
      </c>
      <c r="BT161" s="9">
        <v>3.787366984993179E-5</v>
      </c>
      <c r="BU161" s="9">
        <v>3.790013642564802E-5</v>
      </c>
      <c r="BV161" s="9">
        <v>3.7926603001364257E-5</v>
      </c>
      <c r="BW161" s="9">
        <v>3.7953069577080494E-5</v>
      </c>
      <c r="BX161" s="9">
        <v>3.797953615279673E-5</v>
      </c>
      <c r="BY161" s="9">
        <v>3.800600272851296E-5</v>
      </c>
      <c r="BZ161" s="9">
        <v>3.8032469304229197E-5</v>
      </c>
      <c r="CA161" s="9">
        <v>3.8058935879945434E-5</v>
      </c>
      <c r="CB161" s="9">
        <v>3.8085402455661664E-5</v>
      </c>
      <c r="CC161" s="9">
        <v>3.81118690313779E-5</v>
      </c>
      <c r="CD161" s="9">
        <v>3.8138335607094137E-5</v>
      </c>
      <c r="CE161" s="9">
        <v>3.8164802182810367E-5</v>
      </c>
      <c r="CF161" s="9">
        <v>3.8191268758526604E-5</v>
      </c>
      <c r="CG161" s="9">
        <v>3.8217735334242841E-5</v>
      </c>
      <c r="CH161" s="9">
        <v>3.8244201909959071E-5</v>
      </c>
      <c r="CI161" s="9">
        <v>3.8270668485675307E-5</v>
      </c>
      <c r="CJ161" s="9">
        <v>3.8297135061391544E-5</v>
      </c>
      <c r="CK161" s="9">
        <v>3.8323601637107781E-5</v>
      </c>
      <c r="CL161" s="9">
        <v>3.8350068212824011E-5</v>
      </c>
      <c r="CM161" s="8">
        <v>3.8376534788540247E-5</v>
      </c>
    </row>
    <row r="162" spans="1:91" x14ac:dyDescent="0.25">
      <c r="A162" s="7" t="s">
        <v>1</v>
      </c>
      <c r="B162" s="4">
        <v>0</v>
      </c>
      <c r="C162" s="4">
        <v>0</v>
      </c>
      <c r="D162" s="4">
        <v>0</v>
      </c>
      <c r="E162" s="4">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c r="X162" s="4">
        <v>0</v>
      </c>
      <c r="Y162" s="4">
        <v>0</v>
      </c>
      <c r="Z162" s="4">
        <v>0</v>
      </c>
      <c r="AA162" s="4">
        <v>0</v>
      </c>
      <c r="AB162" s="4">
        <v>0</v>
      </c>
      <c r="AC162" s="4">
        <v>0</v>
      </c>
      <c r="AD162" s="4">
        <v>0</v>
      </c>
      <c r="AE162" s="4">
        <v>0</v>
      </c>
      <c r="AF162" s="8">
        <v>4.2882615156017827E-5</v>
      </c>
      <c r="AG162" s="9">
        <v>4.3058543833580979E-5</v>
      </c>
      <c r="AH162" s="9">
        <v>4.323447251114413E-5</v>
      </c>
      <c r="AI162" s="9">
        <v>4.3410401188707275E-5</v>
      </c>
      <c r="AJ162" s="9">
        <v>4.3586329866270427E-5</v>
      </c>
      <c r="AK162" s="9">
        <v>4.3762258543833578E-5</v>
      </c>
      <c r="AL162" s="9">
        <v>4.393818722139673E-5</v>
      </c>
      <c r="AM162" s="9">
        <v>4.4114115898959881E-5</v>
      </c>
      <c r="AN162" s="9">
        <v>4.4290044576523026E-5</v>
      </c>
      <c r="AO162" s="9">
        <v>4.4465973254086178E-5</v>
      </c>
      <c r="AP162" s="9">
        <v>4.4641901931649329E-5</v>
      </c>
      <c r="AQ162" s="9">
        <v>4.4817830609212481E-5</v>
      </c>
      <c r="AR162" s="9">
        <v>4.4993759286775632E-5</v>
      </c>
      <c r="AS162" s="9">
        <v>4.5169687964338777E-5</v>
      </c>
      <c r="AT162" s="9">
        <v>4.5345616641901929E-5</v>
      </c>
      <c r="AU162" s="8">
        <v>4.552154531946508E-5</v>
      </c>
      <c r="AV162" s="9">
        <v>4.545377060828E-5</v>
      </c>
      <c r="AW162" s="9">
        <v>4.5385995897094921E-5</v>
      </c>
      <c r="AX162" s="9">
        <v>4.5318221185909841E-5</v>
      </c>
      <c r="AY162" s="9">
        <v>4.5250446474724767E-5</v>
      </c>
      <c r="AZ162" s="9">
        <v>4.5182671763539687E-5</v>
      </c>
      <c r="BA162" s="9">
        <v>4.5114897052354608E-5</v>
      </c>
      <c r="BB162" s="9">
        <v>4.5047122341169528E-5</v>
      </c>
      <c r="BC162" s="9">
        <v>4.4979347629984448E-5</v>
      </c>
      <c r="BD162" s="9">
        <v>4.4911572918799374E-5</v>
      </c>
      <c r="BE162" s="9">
        <v>4.4843798207614294E-5</v>
      </c>
      <c r="BF162" s="9">
        <v>4.4776023496429215E-5</v>
      </c>
      <c r="BG162" s="9">
        <v>4.4708248785244135E-5</v>
      </c>
      <c r="BH162" s="9">
        <v>4.4640474074059055E-5</v>
      </c>
      <c r="BI162" s="9">
        <v>4.4572699362873975E-5</v>
      </c>
      <c r="BJ162" s="9">
        <v>4.4504924651688895E-5</v>
      </c>
      <c r="BK162" s="9">
        <v>4.4437149940503822E-5</v>
      </c>
      <c r="BL162" s="9">
        <v>4.4369375229318742E-5</v>
      </c>
      <c r="BM162" s="9">
        <v>4.4301600518133662E-5</v>
      </c>
      <c r="BN162" s="9">
        <v>4.4233825806948582E-5</v>
      </c>
      <c r="BO162" s="9">
        <v>4.4166051095763502E-5</v>
      </c>
      <c r="BP162" s="9">
        <v>4.4098276384578429E-5</v>
      </c>
      <c r="BQ162" s="9">
        <v>4.4030501673393349E-5</v>
      </c>
      <c r="BR162" s="9">
        <v>4.3962726962208269E-5</v>
      </c>
      <c r="BS162" s="8">
        <v>4.3894952251023189E-5</v>
      </c>
      <c r="BT162" s="9">
        <v>4.3925648021828103E-5</v>
      </c>
      <c r="BU162" s="9">
        <v>4.3956343792633011E-5</v>
      </c>
      <c r="BV162" s="9">
        <v>4.3987039563437925E-5</v>
      </c>
      <c r="BW162" s="9">
        <v>4.4017735334242833E-5</v>
      </c>
      <c r="BX162" s="9">
        <v>4.4048431105047747E-5</v>
      </c>
      <c r="BY162" s="9">
        <v>4.4079126875852654E-5</v>
      </c>
      <c r="BZ162" s="9">
        <v>4.4109822646657569E-5</v>
      </c>
      <c r="CA162" s="9">
        <v>4.4140518417462476E-5</v>
      </c>
      <c r="CB162" s="9">
        <v>4.4171214188267391E-5</v>
      </c>
      <c r="CC162" s="9">
        <v>4.4201909959072305E-5</v>
      </c>
      <c r="CD162" s="9">
        <v>4.4232605729877212E-5</v>
      </c>
      <c r="CE162" s="9">
        <v>4.4263301500682127E-5</v>
      </c>
      <c r="CF162" s="9">
        <v>4.4293997271487034E-5</v>
      </c>
      <c r="CG162" s="9">
        <v>4.4324693042291949E-5</v>
      </c>
      <c r="CH162" s="9">
        <v>4.4355388813096856E-5</v>
      </c>
      <c r="CI162" s="9">
        <v>4.4386084583901771E-5</v>
      </c>
      <c r="CJ162" s="9">
        <v>4.4416780354706678E-5</v>
      </c>
      <c r="CK162" s="9">
        <v>4.4447476125511592E-5</v>
      </c>
      <c r="CL162" s="9">
        <v>4.44781718963165E-5</v>
      </c>
      <c r="CM162" s="8">
        <v>4.4508867667121414E-5</v>
      </c>
    </row>
    <row r="163" spans="1:91" x14ac:dyDescent="0.25">
      <c r="A163" s="7" t="s">
        <v>1</v>
      </c>
      <c r="B163" s="4">
        <v>0</v>
      </c>
      <c r="C163" s="4">
        <v>0</v>
      </c>
      <c r="D163" s="4">
        <v>0</v>
      </c>
      <c r="E163" s="4">
        <v>0</v>
      </c>
      <c r="F163" s="4">
        <v>0</v>
      </c>
      <c r="G163" s="4">
        <v>0</v>
      </c>
      <c r="H163" s="4">
        <v>0</v>
      </c>
      <c r="I163" s="4">
        <v>0</v>
      </c>
      <c r="J163" s="4">
        <v>0</v>
      </c>
      <c r="K163" s="4">
        <v>0</v>
      </c>
      <c r="L163" s="4">
        <v>0</v>
      </c>
      <c r="M163" s="4">
        <v>0</v>
      </c>
      <c r="N163" s="4">
        <v>0</v>
      </c>
      <c r="O163" s="4">
        <v>0</v>
      </c>
      <c r="P163" s="4">
        <v>0</v>
      </c>
      <c r="Q163" s="4">
        <v>0</v>
      </c>
      <c r="R163" s="4">
        <v>0</v>
      </c>
      <c r="S163" s="4">
        <v>0</v>
      </c>
      <c r="T163" s="4">
        <v>0</v>
      </c>
      <c r="U163" s="4">
        <v>0</v>
      </c>
      <c r="V163" s="4">
        <v>0</v>
      </c>
      <c r="W163" s="4">
        <v>0</v>
      </c>
      <c r="X163" s="4">
        <v>0</v>
      </c>
      <c r="Y163" s="4">
        <v>0</v>
      </c>
      <c r="Z163" s="4">
        <v>0</v>
      </c>
      <c r="AA163" s="4">
        <v>0</v>
      </c>
      <c r="AB163" s="4">
        <v>0</v>
      </c>
      <c r="AC163" s="4">
        <v>0</v>
      </c>
      <c r="AD163" s="4">
        <v>0</v>
      </c>
      <c r="AE163" s="4">
        <v>0</v>
      </c>
      <c r="AF163" s="8">
        <v>3.0520059435364039E-5</v>
      </c>
      <c r="AG163" s="9">
        <v>3.0645269935611687E-5</v>
      </c>
      <c r="AH163" s="9">
        <v>3.0770480435859334E-5</v>
      </c>
      <c r="AI163" s="9">
        <v>3.0895690936106982E-5</v>
      </c>
      <c r="AJ163" s="9">
        <v>3.1020901436354629E-5</v>
      </c>
      <c r="AK163" s="9">
        <v>3.1146111936602277E-5</v>
      </c>
      <c r="AL163" s="9">
        <v>3.1271322436849924E-5</v>
      </c>
      <c r="AM163" s="9">
        <v>3.1396532937097572E-5</v>
      </c>
      <c r="AN163" s="9">
        <v>3.1521743437345219E-5</v>
      </c>
      <c r="AO163" s="9">
        <v>3.1646953937592867E-5</v>
      </c>
      <c r="AP163" s="9">
        <v>3.1772164437840514E-5</v>
      </c>
      <c r="AQ163" s="9">
        <v>3.1897374938088162E-5</v>
      </c>
      <c r="AR163" s="9">
        <v>3.2022585438335809E-5</v>
      </c>
      <c r="AS163" s="9">
        <v>3.2147795938583457E-5</v>
      </c>
      <c r="AT163" s="9">
        <v>3.2273006438831104E-5</v>
      </c>
      <c r="AU163" s="8">
        <v>3.2398216939078752E-5</v>
      </c>
      <c r="AV163" s="9">
        <v>3.2308238936785393E-5</v>
      </c>
      <c r="AW163" s="9">
        <v>3.221826093449204E-5</v>
      </c>
      <c r="AX163" s="9">
        <v>3.2128282932198681E-5</v>
      </c>
      <c r="AY163" s="9">
        <v>3.2038304929905328E-5</v>
      </c>
      <c r="AZ163" s="9">
        <v>3.1948326927611969E-5</v>
      </c>
      <c r="BA163" s="9">
        <v>3.1858348925318616E-5</v>
      </c>
      <c r="BB163" s="9">
        <v>3.1768370923025257E-5</v>
      </c>
      <c r="BC163" s="9">
        <v>3.1678392920731898E-5</v>
      </c>
      <c r="BD163" s="9">
        <v>3.1588414918438545E-5</v>
      </c>
      <c r="BE163" s="9">
        <v>3.1498436916145186E-5</v>
      </c>
      <c r="BF163" s="9">
        <v>3.1408458913851834E-5</v>
      </c>
      <c r="BG163" s="9">
        <v>3.1318480911558474E-5</v>
      </c>
      <c r="BH163" s="9">
        <v>3.1228502909265122E-5</v>
      </c>
      <c r="BI163" s="9">
        <v>3.1138524906971762E-5</v>
      </c>
      <c r="BJ163" s="9">
        <v>3.104854690467841E-5</v>
      </c>
      <c r="BK163" s="9">
        <v>3.0958568902385051E-5</v>
      </c>
      <c r="BL163" s="9">
        <v>3.0868590900091691E-5</v>
      </c>
      <c r="BM163" s="9">
        <v>3.0778612897798339E-5</v>
      </c>
      <c r="BN163" s="9">
        <v>3.0688634895504979E-5</v>
      </c>
      <c r="BO163" s="9">
        <v>3.0598656893211627E-5</v>
      </c>
      <c r="BP163" s="9">
        <v>3.0508678890918268E-5</v>
      </c>
      <c r="BQ163" s="9">
        <v>3.0418700888624912E-5</v>
      </c>
      <c r="BR163" s="9">
        <v>3.0328722886331556E-5</v>
      </c>
      <c r="BS163" s="8">
        <v>3.02387448840382E-5</v>
      </c>
      <c r="BT163" s="9">
        <v>3.0259890859481585E-5</v>
      </c>
      <c r="BU163" s="9">
        <v>3.0281036834924966E-5</v>
      </c>
      <c r="BV163" s="9">
        <v>3.030218281036835E-5</v>
      </c>
      <c r="BW163" s="9">
        <v>3.0323328785811735E-5</v>
      </c>
      <c r="BX163" s="9">
        <v>3.0344474761255116E-5</v>
      </c>
      <c r="BY163" s="9">
        <v>3.0365620736698501E-5</v>
      </c>
      <c r="BZ163" s="9">
        <v>3.0386766712141885E-5</v>
      </c>
      <c r="CA163" s="9">
        <v>3.0407912687585267E-5</v>
      </c>
      <c r="CB163" s="9">
        <v>3.0429058663028651E-5</v>
      </c>
      <c r="CC163" s="9">
        <v>3.0450204638472036E-5</v>
      </c>
      <c r="CD163" s="9">
        <v>3.0471350613915417E-5</v>
      </c>
      <c r="CE163" s="9">
        <v>3.0492496589358802E-5</v>
      </c>
      <c r="CF163" s="9">
        <v>3.0513642564802183E-5</v>
      </c>
      <c r="CG163" s="9">
        <v>3.0534788540245567E-5</v>
      </c>
      <c r="CH163" s="9">
        <v>3.0555934515688949E-5</v>
      </c>
      <c r="CI163" s="9">
        <v>3.0577080491132337E-5</v>
      </c>
      <c r="CJ163" s="9">
        <v>3.0598226466575718E-5</v>
      </c>
      <c r="CK163" s="9">
        <v>3.0619372442019099E-5</v>
      </c>
      <c r="CL163" s="9">
        <v>3.0640518417462487E-5</v>
      </c>
      <c r="CM163" s="8">
        <v>3.0661664392905868E-5</v>
      </c>
    </row>
    <row r="164" spans="1:91" x14ac:dyDescent="0.25">
      <c r="A164" s="7" t="s">
        <v>1</v>
      </c>
      <c r="B164" s="4">
        <v>0</v>
      </c>
      <c r="C164" s="4">
        <v>0</v>
      </c>
      <c r="D164" s="4">
        <v>0</v>
      </c>
      <c r="E164" s="4">
        <v>0</v>
      </c>
      <c r="F164" s="4">
        <v>0</v>
      </c>
      <c r="G164" s="4">
        <v>0</v>
      </c>
      <c r="H164" s="4">
        <v>0</v>
      </c>
      <c r="I164" s="4">
        <v>0</v>
      </c>
      <c r="J164" s="4">
        <v>0</v>
      </c>
      <c r="K164" s="4">
        <v>0</v>
      </c>
      <c r="L164" s="4">
        <v>0</v>
      </c>
      <c r="M164" s="4">
        <v>0</v>
      </c>
      <c r="N164" s="4">
        <v>0</v>
      </c>
      <c r="O164" s="4">
        <v>0</v>
      </c>
      <c r="P164" s="4">
        <v>0</v>
      </c>
      <c r="Q164" s="4">
        <v>0</v>
      </c>
      <c r="R164" s="4">
        <v>0</v>
      </c>
      <c r="S164" s="4">
        <v>0</v>
      </c>
      <c r="T164" s="4">
        <v>0</v>
      </c>
      <c r="U164" s="4">
        <v>0</v>
      </c>
      <c r="V164" s="4">
        <v>0</v>
      </c>
      <c r="W164" s="4">
        <v>0</v>
      </c>
      <c r="X164" s="4">
        <v>0</v>
      </c>
      <c r="Y164" s="4">
        <v>0</v>
      </c>
      <c r="Z164" s="4">
        <v>0</v>
      </c>
      <c r="AA164" s="4">
        <v>0</v>
      </c>
      <c r="AB164" s="4">
        <v>0</v>
      </c>
      <c r="AC164" s="4">
        <v>0</v>
      </c>
      <c r="AD164" s="4">
        <v>0</v>
      </c>
      <c r="AE164" s="4">
        <v>0</v>
      </c>
      <c r="AF164" s="8">
        <v>2.665676077265973E-5</v>
      </c>
      <c r="AG164" s="9">
        <v>2.6766121842496281E-5</v>
      </c>
      <c r="AH164" s="9">
        <v>2.6875482912332836E-5</v>
      </c>
      <c r="AI164" s="9">
        <v>2.6984843982169387E-5</v>
      </c>
      <c r="AJ164" s="9">
        <v>2.7094205052005942E-5</v>
      </c>
      <c r="AK164" s="9">
        <v>2.7203566121842493E-5</v>
      </c>
      <c r="AL164" s="9">
        <v>2.7312927191679048E-5</v>
      </c>
      <c r="AM164" s="9">
        <v>2.7422288261515599E-5</v>
      </c>
      <c r="AN164" s="9">
        <v>2.7531649331352153E-5</v>
      </c>
      <c r="AO164" s="9">
        <v>2.7641010401188705E-5</v>
      </c>
      <c r="AP164" s="9">
        <v>2.7750371471025259E-5</v>
      </c>
      <c r="AQ164" s="9">
        <v>2.785973254086181E-5</v>
      </c>
      <c r="AR164" s="9">
        <v>2.7969093610698365E-5</v>
      </c>
      <c r="AS164" s="9">
        <v>2.8078454680534916E-5</v>
      </c>
      <c r="AT164" s="9">
        <v>2.8187815750371467E-5</v>
      </c>
      <c r="AU164" s="8">
        <v>2.8297176820208022E-5</v>
      </c>
      <c r="AV164" s="9">
        <v>2.8410590268979481E-5</v>
      </c>
      <c r="AW164" s="9">
        <v>2.852400371775094E-5</v>
      </c>
      <c r="AX164" s="9">
        <v>2.8637417166522399E-5</v>
      </c>
      <c r="AY164" s="9">
        <v>2.8750830615293862E-5</v>
      </c>
      <c r="AZ164" s="9">
        <v>2.8864244064065321E-5</v>
      </c>
      <c r="BA164" s="9">
        <v>2.897765751283678E-5</v>
      </c>
      <c r="BB164" s="9">
        <v>2.9091070961608239E-5</v>
      </c>
      <c r="BC164" s="9">
        <v>2.9204484410379698E-5</v>
      </c>
      <c r="BD164" s="9">
        <v>2.9317897859151161E-5</v>
      </c>
      <c r="BE164" s="9">
        <v>2.943131130792262E-5</v>
      </c>
      <c r="BF164" s="9">
        <v>2.9544724756694079E-5</v>
      </c>
      <c r="BG164" s="9">
        <v>2.9658138205465538E-5</v>
      </c>
      <c r="BH164" s="9">
        <v>2.9771551654236997E-5</v>
      </c>
      <c r="BI164" s="9">
        <v>2.9884965103008456E-5</v>
      </c>
      <c r="BJ164" s="9">
        <v>2.9998378551779915E-5</v>
      </c>
      <c r="BK164" s="9">
        <v>3.0111792000551378E-5</v>
      </c>
      <c r="BL164" s="9">
        <v>3.0225205449322837E-5</v>
      </c>
      <c r="BM164" s="9">
        <v>3.0338618898094296E-5</v>
      </c>
      <c r="BN164" s="9">
        <v>3.0452032346865755E-5</v>
      </c>
      <c r="BO164" s="9">
        <v>3.0565445795637218E-5</v>
      </c>
      <c r="BP164" s="9">
        <v>3.0678859244408677E-5</v>
      </c>
      <c r="BQ164" s="9">
        <v>3.0792272693180136E-5</v>
      </c>
      <c r="BR164" s="9">
        <v>3.0905686141951595E-5</v>
      </c>
      <c r="BS164" s="8">
        <v>3.1019099590723054E-5</v>
      </c>
      <c r="BT164" s="9">
        <v>3.1040791268758524E-5</v>
      </c>
      <c r="BU164" s="9">
        <v>3.1062482946793994E-5</v>
      </c>
      <c r="BV164" s="9">
        <v>3.1084174624829465E-5</v>
      </c>
      <c r="BW164" s="9">
        <v>3.1105866302864935E-5</v>
      </c>
      <c r="BX164" s="9">
        <v>3.1127557980900405E-5</v>
      </c>
      <c r="BY164" s="9">
        <v>3.1149249658935882E-5</v>
      </c>
      <c r="BZ164" s="9">
        <v>3.1170941336971352E-5</v>
      </c>
      <c r="CA164" s="9">
        <v>3.1192633015006822E-5</v>
      </c>
      <c r="CB164" s="9">
        <v>3.1214324693042292E-5</v>
      </c>
      <c r="CC164" s="9">
        <v>3.1236016371077763E-5</v>
      </c>
      <c r="CD164" s="9">
        <v>3.1257708049113233E-5</v>
      </c>
      <c r="CE164" s="9">
        <v>3.1279399727148703E-5</v>
      </c>
      <c r="CF164" s="9">
        <v>3.1301091405184173E-5</v>
      </c>
      <c r="CG164" s="9">
        <v>3.1322783083219643E-5</v>
      </c>
      <c r="CH164" s="9">
        <v>3.134447476125512E-5</v>
      </c>
      <c r="CI164" s="9">
        <v>3.136616643929059E-5</v>
      </c>
      <c r="CJ164" s="9">
        <v>3.138785811732606E-5</v>
      </c>
      <c r="CK164" s="9">
        <v>3.1409549795361531E-5</v>
      </c>
      <c r="CL164" s="9">
        <v>3.1431241473397001E-5</v>
      </c>
      <c r="CM164" s="8">
        <v>3.1452933151432471E-5</v>
      </c>
    </row>
    <row r="165" spans="1:91" x14ac:dyDescent="0.25">
      <c r="A165" s="7" t="s">
        <v>1</v>
      </c>
      <c r="B165" s="4">
        <v>0</v>
      </c>
      <c r="C165" s="4">
        <v>0</v>
      </c>
      <c r="D165" s="4">
        <v>0</v>
      </c>
      <c r="E165" s="4">
        <v>0</v>
      </c>
      <c r="F165" s="4">
        <v>0</v>
      </c>
      <c r="G165" s="4">
        <v>0</v>
      </c>
      <c r="H165" s="4">
        <v>0</v>
      </c>
      <c r="I165" s="4">
        <v>0</v>
      </c>
      <c r="J165" s="4">
        <v>0</v>
      </c>
      <c r="K165" s="4">
        <v>0</v>
      </c>
      <c r="L165" s="4">
        <v>0</v>
      </c>
      <c r="M165" s="4">
        <v>0</v>
      </c>
      <c r="N165" s="4">
        <v>0</v>
      </c>
      <c r="O165" s="4">
        <v>0</v>
      </c>
      <c r="P165" s="4">
        <v>0</v>
      </c>
      <c r="Q165" s="4">
        <v>0</v>
      </c>
      <c r="R165" s="4">
        <v>0</v>
      </c>
      <c r="S165" s="4">
        <v>0</v>
      </c>
      <c r="T165" s="4">
        <v>0</v>
      </c>
      <c r="U165" s="4">
        <v>0</v>
      </c>
      <c r="V165" s="4">
        <v>0</v>
      </c>
      <c r="W165" s="4">
        <v>0</v>
      </c>
      <c r="X165" s="4">
        <v>0</v>
      </c>
      <c r="Y165" s="4">
        <v>0</v>
      </c>
      <c r="Z165" s="4">
        <v>0</v>
      </c>
      <c r="AA165" s="4">
        <v>0</v>
      </c>
      <c r="AB165" s="4">
        <v>0</v>
      </c>
      <c r="AC165" s="4">
        <v>0</v>
      </c>
      <c r="AD165" s="4">
        <v>0</v>
      </c>
      <c r="AE165" s="4">
        <v>0</v>
      </c>
      <c r="AF165" s="8">
        <v>1.2E-5</v>
      </c>
      <c r="AG165" s="9">
        <v>1.2106666666666667E-5</v>
      </c>
      <c r="AH165" s="9">
        <v>1.2213333333333334E-5</v>
      </c>
      <c r="AI165" s="9">
        <v>1.2320000000000001E-5</v>
      </c>
      <c r="AJ165" s="9">
        <v>1.2426666666666667E-5</v>
      </c>
      <c r="AK165" s="9">
        <v>1.2533333333333334E-5</v>
      </c>
      <c r="AL165" s="9">
        <v>1.2640000000000001E-5</v>
      </c>
      <c r="AM165" s="9">
        <v>1.2746666666666668E-5</v>
      </c>
      <c r="AN165" s="9">
        <v>1.2853333333333333E-5</v>
      </c>
      <c r="AO165" s="9">
        <v>1.296E-5</v>
      </c>
      <c r="AP165" s="9">
        <v>1.3066666666666666E-5</v>
      </c>
      <c r="AQ165" s="9">
        <v>1.3173333333333333E-5</v>
      </c>
      <c r="AR165" s="9">
        <v>1.328E-5</v>
      </c>
      <c r="AS165" s="9">
        <v>1.3386666666666667E-5</v>
      </c>
      <c r="AT165" s="9">
        <v>1.3493333333333333E-5</v>
      </c>
      <c r="AU165" s="8">
        <v>1.36E-5</v>
      </c>
      <c r="AV165" s="9">
        <v>1.3679166666666668E-5</v>
      </c>
      <c r="AW165" s="9">
        <v>1.3758333333333333E-5</v>
      </c>
      <c r="AX165" s="9">
        <v>1.3837500000000001E-5</v>
      </c>
      <c r="AY165" s="9">
        <v>1.3916666666666667E-5</v>
      </c>
      <c r="AZ165" s="9">
        <v>1.3995833333333334E-5</v>
      </c>
      <c r="BA165" s="9">
        <v>1.4075E-5</v>
      </c>
      <c r="BB165" s="9">
        <v>1.4154166666666667E-5</v>
      </c>
      <c r="BC165" s="9">
        <v>1.4233333333333333E-5</v>
      </c>
      <c r="BD165" s="9">
        <v>1.4312500000000001E-5</v>
      </c>
      <c r="BE165" s="9">
        <v>1.4391666666666666E-5</v>
      </c>
      <c r="BF165" s="9">
        <v>1.4470833333333334E-5</v>
      </c>
      <c r="BG165" s="9">
        <v>1.4550000000000001E-5</v>
      </c>
      <c r="BH165" s="9">
        <v>1.4629166666666667E-5</v>
      </c>
      <c r="BI165" s="9">
        <v>1.4708333333333333E-5</v>
      </c>
      <c r="BJ165" s="9">
        <v>1.47875E-5</v>
      </c>
      <c r="BK165" s="9">
        <v>1.4866666666666668E-5</v>
      </c>
      <c r="BL165" s="9">
        <v>1.4945833333333334E-5</v>
      </c>
      <c r="BM165" s="9">
        <v>1.5025000000000001E-5</v>
      </c>
      <c r="BN165" s="9">
        <v>1.5104166666666667E-5</v>
      </c>
      <c r="BO165" s="9">
        <v>1.5183333333333334E-5</v>
      </c>
      <c r="BP165" s="9">
        <v>1.5262500000000002E-5</v>
      </c>
      <c r="BQ165" s="9">
        <v>1.5341666666666666E-5</v>
      </c>
      <c r="BR165" s="9">
        <v>1.5420833333333333E-5</v>
      </c>
      <c r="BS165" s="8">
        <v>1.5500000000000001E-5</v>
      </c>
      <c r="BT165" s="9">
        <v>1.5545000000000001E-5</v>
      </c>
      <c r="BU165" s="9">
        <v>1.5590000000000002E-5</v>
      </c>
      <c r="BV165" s="9">
        <v>1.5635000000000002E-5</v>
      </c>
      <c r="BW165" s="9">
        <v>1.5679999999999999E-5</v>
      </c>
      <c r="BX165" s="9">
        <v>1.5724999999999999E-5</v>
      </c>
      <c r="BY165" s="9">
        <v>1.577E-5</v>
      </c>
      <c r="BZ165" s="9">
        <v>1.5815E-5</v>
      </c>
      <c r="CA165" s="9">
        <v>1.5860000000000001E-5</v>
      </c>
      <c r="CB165" s="9">
        <v>1.5905000000000001E-5</v>
      </c>
      <c r="CC165" s="9">
        <v>1.5950000000000001E-5</v>
      </c>
      <c r="CD165" s="9">
        <v>1.5994999999999998E-5</v>
      </c>
      <c r="CE165" s="9">
        <v>1.6039999999999999E-5</v>
      </c>
      <c r="CF165" s="9">
        <v>1.6084999999999999E-5</v>
      </c>
      <c r="CG165" s="9">
        <v>1.613E-5</v>
      </c>
      <c r="CH165" s="9">
        <v>1.6175E-5</v>
      </c>
      <c r="CI165" s="9">
        <v>1.6220000000000001E-5</v>
      </c>
      <c r="CJ165" s="9">
        <v>1.6264999999999998E-5</v>
      </c>
      <c r="CK165" s="9">
        <v>1.6309999999999998E-5</v>
      </c>
      <c r="CL165" s="9">
        <v>1.6354999999999998E-5</v>
      </c>
      <c r="CM165" s="8">
        <v>1.6399999999999999E-5</v>
      </c>
    </row>
    <row r="166" spans="1:91" x14ac:dyDescent="0.25">
      <c r="A166" s="7" t="s">
        <v>1</v>
      </c>
      <c r="B166" s="4">
        <v>0</v>
      </c>
      <c r="C166" s="4">
        <v>0</v>
      </c>
      <c r="D166" s="4">
        <v>0</v>
      </c>
      <c r="E166" s="4">
        <v>0</v>
      </c>
      <c r="F166" s="4">
        <v>0</v>
      </c>
      <c r="G166" s="4">
        <v>0</v>
      </c>
      <c r="H166" s="4">
        <v>0</v>
      </c>
      <c r="I166" s="4">
        <v>0</v>
      </c>
      <c r="J166" s="4">
        <v>0</v>
      </c>
      <c r="K166" s="4">
        <v>0</v>
      </c>
      <c r="L166" s="4">
        <v>0</v>
      </c>
      <c r="M166" s="4">
        <v>0</v>
      </c>
      <c r="N166" s="4">
        <v>0</v>
      </c>
      <c r="O166" s="4">
        <v>0</v>
      </c>
      <c r="P166" s="4">
        <v>0</v>
      </c>
      <c r="Q166" s="4">
        <v>0</v>
      </c>
      <c r="R166" s="4">
        <v>0</v>
      </c>
      <c r="S166" s="4">
        <v>0</v>
      </c>
      <c r="T166" s="4">
        <v>0</v>
      </c>
      <c r="U166" s="4">
        <v>0</v>
      </c>
      <c r="V166" s="4">
        <v>0</v>
      </c>
      <c r="W166" s="4">
        <v>0</v>
      </c>
      <c r="X166" s="4">
        <v>0</v>
      </c>
      <c r="Y166" s="4">
        <v>0</v>
      </c>
      <c r="Z166" s="4">
        <v>0</v>
      </c>
      <c r="AA166" s="4">
        <v>0</v>
      </c>
      <c r="AB166" s="4">
        <v>0</v>
      </c>
      <c r="AC166" s="4">
        <v>0</v>
      </c>
      <c r="AD166" s="4">
        <v>0</v>
      </c>
      <c r="AE166" s="4">
        <v>0</v>
      </c>
      <c r="AF166" s="8">
        <v>4.3999999999999999E-5</v>
      </c>
      <c r="AG166" s="9">
        <v>4.3866666666666665E-5</v>
      </c>
      <c r="AH166" s="9">
        <v>4.373333333333333E-5</v>
      </c>
      <c r="AI166" s="9">
        <v>4.3599999999999996E-5</v>
      </c>
      <c r="AJ166" s="9">
        <v>4.3466666666666668E-5</v>
      </c>
      <c r="AK166" s="9">
        <v>4.3333333333333334E-5</v>
      </c>
      <c r="AL166" s="9">
        <v>4.32E-5</v>
      </c>
      <c r="AM166" s="9">
        <v>4.3066666666666665E-5</v>
      </c>
      <c r="AN166" s="9">
        <v>4.2933333333333331E-5</v>
      </c>
      <c r="AO166" s="9">
        <v>4.2799999999999997E-5</v>
      </c>
      <c r="AP166" s="9">
        <v>4.2666666666666662E-5</v>
      </c>
      <c r="AQ166" s="9">
        <v>4.2533333333333328E-5</v>
      </c>
      <c r="AR166" s="9">
        <v>4.2400000000000001E-5</v>
      </c>
      <c r="AS166" s="9">
        <v>4.2266666666666666E-5</v>
      </c>
      <c r="AT166" s="9">
        <v>4.2133333333333332E-5</v>
      </c>
      <c r="AU166" s="8">
        <v>4.1999999999999998E-5</v>
      </c>
      <c r="AV166" s="9">
        <v>4.1999999999999998E-5</v>
      </c>
      <c r="AW166" s="9">
        <v>4.1999999999999998E-5</v>
      </c>
      <c r="AX166" s="9">
        <v>4.1999999999999998E-5</v>
      </c>
      <c r="AY166" s="9">
        <v>4.1999999999999998E-5</v>
      </c>
      <c r="AZ166" s="9">
        <v>4.1999999999999998E-5</v>
      </c>
      <c r="BA166" s="9">
        <v>4.1999999999999998E-5</v>
      </c>
      <c r="BB166" s="9">
        <v>4.1999999999999998E-5</v>
      </c>
      <c r="BC166" s="9">
        <v>4.1999999999999998E-5</v>
      </c>
      <c r="BD166" s="9">
        <v>4.1999999999999998E-5</v>
      </c>
      <c r="BE166" s="9">
        <v>4.1999999999999998E-5</v>
      </c>
      <c r="BF166" s="9">
        <v>4.1999999999999998E-5</v>
      </c>
      <c r="BG166" s="9">
        <v>4.1999999999999998E-5</v>
      </c>
      <c r="BH166" s="9">
        <v>4.1999999999999998E-5</v>
      </c>
      <c r="BI166" s="9">
        <v>4.1999999999999998E-5</v>
      </c>
      <c r="BJ166" s="9">
        <v>4.1999999999999998E-5</v>
      </c>
      <c r="BK166" s="9">
        <v>4.1999999999999998E-5</v>
      </c>
      <c r="BL166" s="9">
        <v>4.1999999999999998E-5</v>
      </c>
      <c r="BM166" s="9">
        <v>4.1999999999999998E-5</v>
      </c>
      <c r="BN166" s="9">
        <v>4.1999999999999998E-5</v>
      </c>
      <c r="BO166" s="9">
        <v>4.1999999999999998E-5</v>
      </c>
      <c r="BP166" s="9">
        <v>4.1999999999999998E-5</v>
      </c>
      <c r="BQ166" s="9">
        <v>4.1999999999999998E-5</v>
      </c>
      <c r="BR166" s="9">
        <v>4.1999999999999998E-5</v>
      </c>
      <c r="BS166" s="8">
        <v>4.1999999999999998E-5</v>
      </c>
      <c r="BT166" s="9">
        <v>4.1949999999999996E-5</v>
      </c>
      <c r="BU166" s="9">
        <v>4.1899999999999995E-5</v>
      </c>
      <c r="BV166" s="9">
        <v>4.1850000000000001E-5</v>
      </c>
      <c r="BW166" s="9">
        <v>4.18E-5</v>
      </c>
      <c r="BX166" s="9">
        <v>4.1749999999999998E-5</v>
      </c>
      <c r="BY166" s="9">
        <v>4.1699999999999997E-5</v>
      </c>
      <c r="BZ166" s="9">
        <v>4.1649999999999996E-5</v>
      </c>
      <c r="CA166" s="9">
        <v>4.1600000000000002E-5</v>
      </c>
      <c r="CB166" s="9">
        <v>4.155E-5</v>
      </c>
      <c r="CC166" s="9">
        <v>4.1499999999999999E-5</v>
      </c>
      <c r="CD166" s="9">
        <v>4.1449999999999998E-5</v>
      </c>
      <c r="CE166" s="9">
        <v>4.1399999999999997E-5</v>
      </c>
      <c r="CF166" s="9">
        <v>4.1350000000000002E-5</v>
      </c>
      <c r="CG166" s="9">
        <v>4.1300000000000001E-5</v>
      </c>
      <c r="CH166" s="9">
        <v>4.125E-5</v>
      </c>
      <c r="CI166" s="9">
        <v>4.1199999999999999E-5</v>
      </c>
      <c r="CJ166" s="9">
        <v>4.1149999999999997E-5</v>
      </c>
      <c r="CK166" s="9">
        <v>4.1100000000000003E-5</v>
      </c>
      <c r="CL166" s="9">
        <v>4.1050000000000002E-5</v>
      </c>
      <c r="CM166" s="8">
        <v>4.1E-5</v>
      </c>
    </row>
    <row r="168" spans="1:91" x14ac:dyDescent="0.25">
      <c r="A168" s="7" t="s">
        <v>227</v>
      </c>
      <c r="B168" s="4">
        <v>0</v>
      </c>
      <c r="C168" s="4">
        <v>0</v>
      </c>
      <c r="D168" s="4">
        <v>0</v>
      </c>
      <c r="E168" s="4">
        <v>0</v>
      </c>
      <c r="F168" s="4">
        <v>0</v>
      </c>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c r="X168" s="4">
        <v>0</v>
      </c>
      <c r="Y168" s="4">
        <v>0</v>
      </c>
      <c r="Z168" s="4">
        <v>0</v>
      </c>
      <c r="AA168" s="4">
        <v>0</v>
      </c>
      <c r="AB168" s="4">
        <v>0</v>
      </c>
      <c r="AC168" s="4">
        <v>0</v>
      </c>
      <c r="AD168" s="4">
        <v>0</v>
      </c>
      <c r="AE168" s="4">
        <v>0</v>
      </c>
      <c r="AF168" s="8">
        <v>7.4499999999999995E-5</v>
      </c>
      <c r="AG168" s="9">
        <v>7.4486666666666659E-5</v>
      </c>
      <c r="AH168" s="9">
        <v>7.4473333333333324E-5</v>
      </c>
      <c r="AI168" s="9">
        <v>7.4460000000000002E-5</v>
      </c>
      <c r="AJ168" s="9">
        <v>7.4446666666666667E-5</v>
      </c>
      <c r="AK168" s="9">
        <v>7.4433333333333331E-5</v>
      </c>
      <c r="AL168" s="9">
        <v>7.4419999999999996E-5</v>
      </c>
      <c r="AM168" s="9">
        <v>7.440666666666666E-5</v>
      </c>
      <c r="AN168" s="9">
        <v>7.4393333333333338E-5</v>
      </c>
      <c r="AO168" s="9">
        <v>7.4380000000000003E-5</v>
      </c>
      <c r="AP168" s="9">
        <v>7.4366666666666667E-5</v>
      </c>
      <c r="AQ168" s="9">
        <v>7.4353333333333332E-5</v>
      </c>
      <c r="AR168" s="9">
        <v>7.4339999999999996E-5</v>
      </c>
      <c r="AS168" s="9">
        <v>7.4326666666666674E-5</v>
      </c>
      <c r="AT168" s="9">
        <v>7.4313333333333339E-5</v>
      </c>
      <c r="AU168" s="8">
        <v>7.4300000000000004E-5</v>
      </c>
      <c r="AV168" s="9">
        <v>7.4304545454545462E-5</v>
      </c>
      <c r="AW168" s="9">
        <v>7.4309090909090907E-5</v>
      </c>
      <c r="AX168" s="9">
        <v>7.4313636363636365E-5</v>
      </c>
      <c r="AY168" s="9">
        <v>7.4318181818181823E-5</v>
      </c>
      <c r="AZ168" s="9">
        <v>7.4322727272727282E-5</v>
      </c>
      <c r="BA168" s="9">
        <v>7.4327272727272727E-5</v>
      </c>
      <c r="BB168" s="9">
        <v>7.4331818181818185E-5</v>
      </c>
      <c r="BC168" s="9">
        <v>7.4336363636363643E-5</v>
      </c>
      <c r="BD168" s="9">
        <v>7.4340909090909088E-5</v>
      </c>
      <c r="BE168" s="9">
        <v>7.4345454545454546E-5</v>
      </c>
      <c r="BF168" s="9">
        <v>7.4350000000000005E-5</v>
      </c>
      <c r="BG168" s="9">
        <v>7.435454545454545E-5</v>
      </c>
      <c r="BH168" s="9">
        <v>7.4359090909090908E-5</v>
      </c>
      <c r="BI168" s="9">
        <v>7.4363636363636366E-5</v>
      </c>
      <c r="BJ168" s="9">
        <v>7.4368181818181825E-5</v>
      </c>
      <c r="BK168" s="9">
        <v>7.4372727272727269E-5</v>
      </c>
      <c r="BL168" s="9">
        <v>7.4377272727272728E-5</v>
      </c>
      <c r="BM168" s="9">
        <v>7.4381818181818186E-5</v>
      </c>
      <c r="BN168" s="9">
        <v>7.4386363636363631E-5</v>
      </c>
      <c r="BO168" s="9">
        <v>7.4390909090909089E-5</v>
      </c>
      <c r="BP168" s="9">
        <v>7.4395454545454548E-5</v>
      </c>
      <c r="BQ168" s="9">
        <v>7.4399999999999992E-5</v>
      </c>
      <c r="BR168" s="9">
        <v>7.4404545454545451E-5</v>
      </c>
      <c r="BS168" s="8">
        <v>7.3999999999999996E-5</v>
      </c>
      <c r="BT168" s="9">
        <v>7.4024999999999997E-5</v>
      </c>
      <c r="BU168" s="9">
        <v>7.4049999999999997E-5</v>
      </c>
      <c r="BV168" s="9">
        <v>7.4074999999999998E-5</v>
      </c>
      <c r="BW168" s="9">
        <v>7.4099999999999999E-5</v>
      </c>
      <c r="BX168" s="9">
        <v>7.4124999999999999E-5</v>
      </c>
      <c r="BY168" s="9">
        <v>7.415E-5</v>
      </c>
      <c r="BZ168" s="9">
        <v>7.4175E-5</v>
      </c>
      <c r="CA168" s="9">
        <v>7.4200000000000001E-5</v>
      </c>
      <c r="CB168" s="9">
        <v>7.4225000000000002E-5</v>
      </c>
      <c r="CC168" s="9">
        <v>7.4249999999999989E-5</v>
      </c>
      <c r="CD168" s="9">
        <v>7.4274999999999989E-5</v>
      </c>
      <c r="CE168" s="9">
        <v>7.429999999999999E-5</v>
      </c>
      <c r="CF168" s="9">
        <v>7.4324999999999991E-5</v>
      </c>
      <c r="CG168" s="9">
        <v>7.4349999999999991E-5</v>
      </c>
      <c r="CH168" s="9">
        <v>7.4374999999999992E-5</v>
      </c>
      <c r="CI168" s="9">
        <v>7.4399999999999992E-5</v>
      </c>
      <c r="CJ168" s="9">
        <v>7.4424999999999993E-5</v>
      </c>
      <c r="CK168" s="9">
        <v>7.4449999999999994E-5</v>
      </c>
      <c r="CL168" s="9">
        <v>7.4474999999999994E-5</v>
      </c>
      <c r="CM168" s="8">
        <v>7.4499999999999995E-5</v>
      </c>
    </row>
    <row r="170" spans="1:91" x14ac:dyDescent="0.25">
      <c r="A170" s="50" t="s">
        <v>228</v>
      </c>
      <c r="B170" s="4">
        <v>0</v>
      </c>
      <c r="C170" s="4">
        <v>0</v>
      </c>
      <c r="D170" s="4">
        <v>0</v>
      </c>
      <c r="E170" s="4">
        <v>0</v>
      </c>
      <c r="F170" s="4">
        <v>0</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c r="AA170" s="4">
        <v>0</v>
      </c>
      <c r="AB170" s="4">
        <v>0</v>
      </c>
      <c r="AC170" s="4">
        <v>0</v>
      </c>
      <c r="AD170" s="4">
        <v>0</v>
      </c>
      <c r="AE170" s="4">
        <v>0</v>
      </c>
      <c r="AF170" s="6">
        <v>1.4576020775705699E-5</v>
      </c>
      <c r="AG170" s="6">
        <v>1.4744344075930342E-5</v>
      </c>
      <c r="AH170" s="6">
        <v>1.491461116683932E-5</v>
      </c>
      <c r="AI170" s="6">
        <v>1.5086844495249086E-5</v>
      </c>
      <c r="AJ170" s="6">
        <v>1.5261066767191021E-5</v>
      </c>
      <c r="AK170" s="6">
        <v>1.5437300950904844E-5</v>
      </c>
      <c r="AL170" s="6">
        <v>1.5615570279866575E-5</v>
      </c>
      <c r="AM170" s="6">
        <v>1.5795898255851482E-5</v>
      </c>
      <c r="AN170" s="6">
        <v>1.5978308652032388E-5</v>
      </c>
      <c r="AO170" s="6">
        <v>1.6162825516113752E-5</v>
      </c>
      <c r="AP170" s="6">
        <v>1.6349473173501959E-5</v>
      </c>
      <c r="AQ170" s="6">
        <v>1.6538276230512205E-5</v>
      </c>
      <c r="AR170" s="6">
        <v>1.6729259577612421E-5</v>
      </c>
      <c r="AS170" s="6">
        <v>1.6922448392704658E-5</v>
      </c>
      <c r="AT170" s="6">
        <v>1.7117868144444366E-5</v>
      </c>
      <c r="AU170" s="6">
        <v>1.7315544595598001E-5</v>
      </c>
      <c r="AV170" s="6">
        <v>1.7415409204547775E-5</v>
      </c>
      <c r="AW170" s="6">
        <v>1.7515849766512809E-5</v>
      </c>
      <c r="AX170" s="6">
        <v>1.7616869603209166E-5</v>
      </c>
      <c r="AY170" s="6">
        <v>1.7718472055510372E-5</v>
      </c>
      <c r="AZ170" s="6">
        <v>1.78206604835579E-5</v>
      </c>
      <c r="BA170" s="6">
        <v>1.7923438266872302E-5</v>
      </c>
      <c r="BB170" s="6">
        <v>1.8026808804464961E-5</v>
      </c>
      <c r="BC170" s="6">
        <v>1.8130775514950517E-5</v>
      </c>
      <c r="BD170" s="6">
        <v>1.8235341836659911E-5</v>
      </c>
      <c r="BE170" s="6">
        <v>1.834051122775411E-5</v>
      </c>
      <c r="BF170" s="6">
        <v>1.8446287166338464E-5</v>
      </c>
      <c r="BG170" s="6">
        <v>1.8552673150577734E-5</v>
      </c>
      <c r="BH170" s="6">
        <v>1.8659672698811777E-5</v>
      </c>
      <c r="BI170" s="6">
        <v>1.8767289349671913E-5</v>
      </c>
      <c r="BJ170" s="6">
        <v>1.8875526662197948E-5</v>
      </c>
      <c r="BK170" s="6">
        <v>1.8984388215955872E-5</v>
      </c>
      <c r="BL170" s="6">
        <v>1.9093877611156248E-5</v>
      </c>
      <c r="BM170" s="6">
        <v>1.9203998468773267E-5</v>
      </c>
      <c r="BN170" s="6">
        <v>1.9314754430664504E-5</v>
      </c>
      <c r="BO170" s="6">
        <v>1.942614915969137E-5</v>
      </c>
      <c r="BP170" s="6">
        <v>1.9538186339840227E-5</v>
      </c>
      <c r="BQ170" s="6">
        <v>1.9650869676344238E-5</v>
      </c>
      <c r="BR170" s="6">
        <v>1.9764202895805899E-5</v>
      </c>
      <c r="BS170" s="6">
        <v>1.9878189746320288E-5</v>
      </c>
      <c r="BT170" s="6">
        <v>1.9992833997599013E-5</v>
      </c>
      <c r="BU170" s="6">
        <v>2.0108139441094886E-5</v>
      </c>
      <c r="BV170" s="6">
        <v>2.022410989012731E-5</v>
      </c>
      <c r="BW170" s="6">
        <v>2.0340749180008397E-5</v>
      </c>
      <c r="BX170" s="6">
        <v>2.0458061168169796E-5</v>
      </c>
      <c r="BY170" s="6">
        <v>2.0576049734290275E-5</v>
      </c>
      <c r="BZ170" s="6">
        <v>2.0694718780424024E-5</v>
      </c>
      <c r="CA170" s="6">
        <v>2.0814072231129699E-5</v>
      </c>
      <c r="CB170" s="6">
        <v>2.093411403360021E-5</v>
      </c>
      <c r="CC170" s="6">
        <v>2.1054848157793275E-5</v>
      </c>
      <c r="CD170" s="6">
        <v>2.1176278596562695E-5</v>
      </c>
      <c r="CE170" s="6">
        <v>2.129840936579041E-5</v>
      </c>
      <c r="CF170" s="6">
        <v>2.1421244504519316E-5</v>
      </c>
      <c r="CG170" s="6">
        <v>2.1544788075086836E-5</v>
      </c>
      <c r="CH170" s="6">
        <v>2.1669044163259267E-5</v>
      </c>
      <c r="CI170" s="6">
        <v>2.1794016878366904E-5</v>
      </c>
      <c r="CJ170" s="6">
        <v>2.1919710353439944E-5</v>
      </c>
      <c r="CK170" s="6">
        <v>2.2046128745345164E-5</v>
      </c>
      <c r="CL170" s="6">
        <v>2.21732762349234E-5</v>
      </c>
      <c r="CM170" s="6">
        <v>2.2301157027127814E-5</v>
      </c>
    </row>
    <row r="171" spans="1:91" x14ac:dyDescent="0.25">
      <c r="A171" s="50" t="s">
        <v>1</v>
      </c>
      <c r="B171" s="4">
        <v>0</v>
      </c>
      <c r="C171" s="4">
        <v>0</v>
      </c>
      <c r="D171" s="4">
        <v>0</v>
      </c>
      <c r="E171" s="4">
        <v>0</v>
      </c>
      <c r="F171" s="4">
        <v>0</v>
      </c>
      <c r="G171" s="4">
        <v>0</v>
      </c>
      <c r="H171" s="4">
        <v>0</v>
      </c>
      <c r="I171" s="4">
        <v>0</v>
      </c>
      <c r="J171" s="4">
        <v>0</v>
      </c>
      <c r="K171" s="4">
        <v>0</v>
      </c>
      <c r="L171" s="4">
        <v>0</v>
      </c>
      <c r="M171" s="4">
        <v>0</v>
      </c>
      <c r="N171" s="4">
        <v>0</v>
      </c>
      <c r="O171" s="4">
        <v>0</v>
      </c>
      <c r="P171" s="4">
        <v>0</v>
      </c>
      <c r="Q171" s="4">
        <v>0</v>
      </c>
      <c r="R171" s="4">
        <v>0</v>
      </c>
      <c r="S171" s="4">
        <v>0</v>
      </c>
      <c r="T171" s="4">
        <v>0</v>
      </c>
      <c r="U171" s="4">
        <v>0</v>
      </c>
      <c r="V171" s="4">
        <v>0</v>
      </c>
      <c r="W171" s="4">
        <v>0</v>
      </c>
      <c r="X171" s="4">
        <v>0</v>
      </c>
      <c r="Y171" s="4">
        <v>0</v>
      </c>
      <c r="Z171" s="4">
        <v>0</v>
      </c>
      <c r="AA171" s="4">
        <v>0</v>
      </c>
      <c r="AB171" s="4">
        <v>0</v>
      </c>
      <c r="AC171" s="4">
        <v>0</v>
      </c>
      <c r="AD171" s="4">
        <v>0</v>
      </c>
      <c r="AE171" s="4">
        <v>0</v>
      </c>
      <c r="AF171" s="6">
        <v>9.3999999999999994E-5</v>
      </c>
      <c r="AG171" s="6">
        <v>9.5133333333333333E-5</v>
      </c>
      <c r="AH171" s="6">
        <v>9.6266666666666658E-5</v>
      </c>
      <c r="AI171" s="6">
        <v>9.7399999999999996E-5</v>
      </c>
      <c r="AJ171" s="6">
        <v>9.8533333333333334E-5</v>
      </c>
      <c r="AK171" s="6">
        <v>9.9666666666666659E-5</v>
      </c>
      <c r="AL171" s="6">
        <v>1.008E-4</v>
      </c>
      <c r="AM171" s="6">
        <v>1.0193333333333334E-4</v>
      </c>
      <c r="AN171" s="6">
        <v>1.0306666666666666E-4</v>
      </c>
      <c r="AO171" s="6">
        <v>1.042E-4</v>
      </c>
      <c r="AP171" s="6">
        <v>1.0533333333333334E-4</v>
      </c>
      <c r="AQ171" s="6">
        <v>1.0646666666666666E-4</v>
      </c>
      <c r="AR171" s="6">
        <v>1.076E-4</v>
      </c>
      <c r="AS171" s="6">
        <v>1.0873333333333334E-4</v>
      </c>
      <c r="AT171" s="6">
        <v>1.0986666666666666E-4</v>
      </c>
      <c r="AU171" s="6">
        <v>1.11E-4</v>
      </c>
      <c r="AV171" s="6">
        <v>1.1170833333333333E-4</v>
      </c>
      <c r="AW171" s="6">
        <v>1.1241666666666667E-4</v>
      </c>
      <c r="AX171" s="6">
        <v>1.13125E-4</v>
      </c>
      <c r="AY171" s="6">
        <v>1.1383333333333333E-4</v>
      </c>
      <c r="AZ171" s="6">
        <v>1.1454166666666667E-4</v>
      </c>
      <c r="BA171" s="6">
        <v>1.1525E-4</v>
      </c>
      <c r="BB171" s="6">
        <v>1.1595833333333334E-4</v>
      </c>
      <c r="BC171" s="6">
        <v>1.1666666666666667E-4</v>
      </c>
      <c r="BD171" s="6">
        <v>1.1737499999999999E-4</v>
      </c>
      <c r="BE171" s="6">
        <v>1.1808333333333333E-4</v>
      </c>
      <c r="BF171" s="6">
        <v>1.1879166666666666E-4</v>
      </c>
      <c r="BG171" s="6">
        <v>1.195E-4</v>
      </c>
      <c r="BH171" s="6">
        <v>1.2020833333333333E-4</v>
      </c>
      <c r="BI171" s="6">
        <v>1.2091666666666666E-4</v>
      </c>
      <c r="BJ171" s="6">
        <v>1.21625E-4</v>
      </c>
      <c r="BK171" s="6">
        <v>1.2233333333333334E-4</v>
      </c>
      <c r="BL171" s="6">
        <v>1.2304166666666667E-4</v>
      </c>
      <c r="BM171" s="6">
        <v>1.2375E-4</v>
      </c>
      <c r="BN171" s="6">
        <v>1.2445833333333333E-4</v>
      </c>
      <c r="BO171" s="6">
        <v>1.2516666666666666E-4</v>
      </c>
      <c r="BP171" s="6">
        <v>1.2587499999999998E-4</v>
      </c>
      <c r="BQ171" s="6">
        <v>1.2658333333333334E-4</v>
      </c>
      <c r="BR171" s="6">
        <v>1.2729166666666667E-4</v>
      </c>
      <c r="BS171" s="6">
        <v>1.2799999999999999E-4</v>
      </c>
      <c r="BT171" s="6">
        <v>1.2855000000000001E-4</v>
      </c>
      <c r="BU171" s="6">
        <v>1.2909999999999999E-4</v>
      </c>
      <c r="BV171" s="6">
        <v>1.2964999999999998E-4</v>
      </c>
      <c r="BW171" s="6">
        <v>1.3019999999999999E-4</v>
      </c>
      <c r="BX171" s="6">
        <v>1.3075000000000001E-4</v>
      </c>
      <c r="BY171" s="6">
        <v>1.3129999999999999E-4</v>
      </c>
      <c r="BZ171" s="6">
        <v>1.3184999999999998E-4</v>
      </c>
      <c r="CA171" s="6">
        <v>1.3239999999999999E-4</v>
      </c>
      <c r="CB171" s="6">
        <v>1.3295000000000001E-4</v>
      </c>
      <c r="CC171" s="6">
        <v>1.3349999999999999E-4</v>
      </c>
      <c r="CD171" s="6">
        <v>1.3404999999999998E-4</v>
      </c>
      <c r="CE171" s="6">
        <v>1.3459999999999999E-4</v>
      </c>
      <c r="CF171" s="6">
        <v>1.3515000000000001E-4</v>
      </c>
      <c r="CG171" s="6">
        <v>1.3569999999999999E-4</v>
      </c>
      <c r="CH171" s="6">
        <v>1.3624999999999998E-4</v>
      </c>
      <c r="CI171" s="6">
        <v>1.3679999999999999E-4</v>
      </c>
      <c r="CJ171" s="6">
        <v>1.3735E-4</v>
      </c>
      <c r="CK171" s="6">
        <v>1.3789999999999999E-4</v>
      </c>
      <c r="CL171" s="6">
        <v>1.3844999999999998E-4</v>
      </c>
      <c r="CM171" s="6">
        <v>1.3899999999999999E-4</v>
      </c>
    </row>
    <row r="172" spans="1:91" x14ac:dyDescent="0.25">
      <c r="A172" s="50" t="s">
        <v>2</v>
      </c>
      <c r="B172" s="4">
        <v>0</v>
      </c>
      <c r="C172" s="4">
        <v>0</v>
      </c>
      <c r="D172" s="4">
        <v>0</v>
      </c>
      <c r="E172" s="4">
        <v>0</v>
      </c>
      <c r="F172" s="4">
        <v>0</v>
      </c>
      <c r="G172" s="4">
        <v>0</v>
      </c>
      <c r="H172" s="4">
        <v>0</v>
      </c>
      <c r="I172" s="4">
        <v>0</v>
      </c>
      <c r="J172" s="4">
        <v>0</v>
      </c>
      <c r="K172" s="4">
        <v>0</v>
      </c>
      <c r="L172" s="4">
        <v>0</v>
      </c>
      <c r="M172" s="4">
        <v>0</v>
      </c>
      <c r="N172" s="4">
        <v>0</v>
      </c>
      <c r="O172" s="4">
        <v>0</v>
      </c>
      <c r="P172" s="4">
        <v>0</v>
      </c>
      <c r="Q172" s="4">
        <v>0</v>
      </c>
      <c r="R172" s="4">
        <v>0</v>
      </c>
      <c r="S172" s="4">
        <v>0</v>
      </c>
      <c r="T172" s="4">
        <v>0</v>
      </c>
      <c r="U172" s="4">
        <v>0</v>
      </c>
      <c r="V172" s="4">
        <v>0</v>
      </c>
      <c r="W172" s="4">
        <v>0</v>
      </c>
      <c r="X172" s="4">
        <v>0</v>
      </c>
      <c r="Y172" s="4">
        <v>0</v>
      </c>
      <c r="Z172" s="4">
        <v>0</v>
      </c>
      <c r="AA172" s="4">
        <v>0</v>
      </c>
      <c r="AB172" s="4">
        <v>0</v>
      </c>
      <c r="AC172" s="4">
        <v>0</v>
      </c>
      <c r="AD172" s="4">
        <v>0</v>
      </c>
      <c r="AE172" s="4">
        <v>0</v>
      </c>
      <c r="AF172" s="6">
        <v>2.2657361086823666E-5</v>
      </c>
      <c r="AG172" s="6">
        <v>2.281708065138335E-5</v>
      </c>
      <c r="AH172" s="6">
        <v>2.2977926134323617E-5</v>
      </c>
      <c r="AI172" s="6">
        <v>2.313990547263204E-5</v>
      </c>
      <c r="AJ172" s="6">
        <v>2.3303026659246768E-5</v>
      </c>
      <c r="AK172" s="6">
        <v>2.3467297743450924E-5</v>
      </c>
      <c r="AL172" s="6">
        <v>2.3632726831269813E-5</v>
      </c>
      <c r="AM172" s="6">
        <v>2.379932208587091E-5</v>
      </c>
      <c r="AN172" s="6">
        <v>2.3967091727966676E-5</v>
      </c>
      <c r="AO172" s="6">
        <v>2.4136044036220217E-5</v>
      </c>
      <c r="AP172" s="6">
        <v>2.4306187347653793E-5</v>
      </c>
      <c r="AQ172" s="6">
        <v>2.4477530058060215E-5</v>
      </c>
      <c r="AR172" s="6">
        <v>2.4650080622417135E-5</v>
      </c>
      <c r="AS172" s="6">
        <v>2.4823847555304266E-5</v>
      </c>
      <c r="AT172" s="6">
        <v>2.4998839431323531E-5</v>
      </c>
      <c r="AU172" s="6">
        <v>2.5175064885522186E-5</v>
      </c>
      <c r="AV172" s="6">
        <v>2.5376465404606362E-5</v>
      </c>
      <c r="AW172" s="6">
        <v>2.5579477127843213E-5</v>
      </c>
      <c r="AX172" s="6">
        <v>2.578411294486596E-5</v>
      </c>
      <c r="AY172" s="6">
        <v>2.5990385848424887E-5</v>
      </c>
      <c r="AZ172" s="6">
        <v>2.6198308935212287E-5</v>
      </c>
      <c r="BA172" s="6">
        <v>2.6407895406693984E-5</v>
      </c>
      <c r="BB172" s="6">
        <v>2.6619158569947534E-5</v>
      </c>
      <c r="BC172" s="6">
        <v>2.6832111838507114E-5</v>
      </c>
      <c r="BD172" s="6">
        <v>2.7046768733215171E-5</v>
      </c>
      <c r="BE172" s="6">
        <v>2.7263142883080892E-5</v>
      </c>
      <c r="BF172" s="6">
        <v>2.7481248026145541E-5</v>
      </c>
      <c r="BG172" s="6">
        <v>2.7701098010354706E-5</v>
      </c>
      <c r="BH172" s="6">
        <v>2.7922706794437544E-5</v>
      </c>
      <c r="BI172" s="6">
        <v>2.8146088448793043E-5</v>
      </c>
      <c r="BJ172" s="6">
        <v>2.8371257156383386E-5</v>
      </c>
      <c r="BK172" s="6">
        <v>2.8598227213634453E-5</v>
      </c>
      <c r="BL172" s="6">
        <v>2.8827013031343528E-5</v>
      </c>
      <c r="BM172" s="6">
        <v>2.9057629135594278E-5</v>
      </c>
      <c r="BN172" s="6">
        <v>2.9290090168679031E-5</v>
      </c>
      <c r="BO172" s="6">
        <v>2.9524410890028464E-5</v>
      </c>
      <c r="BP172" s="6">
        <v>2.9760606177148692E-5</v>
      </c>
      <c r="BQ172" s="6">
        <v>2.9998691026565881E-5</v>
      </c>
      <c r="BR172" s="6">
        <v>3.0238680554778409E-5</v>
      </c>
      <c r="BS172" s="6">
        <v>3.0480589999216637E-5</v>
      </c>
      <c r="BT172" s="6">
        <v>3.0724434719210369E-5</v>
      </c>
      <c r="BU172" s="6">
        <v>3.0970230196964053E-5</v>
      </c>
      <c r="BV172" s="6">
        <v>3.1217992038539765E-5</v>
      </c>
      <c r="BW172" s="6">
        <v>3.1467735974848084E-5</v>
      </c>
      <c r="BX172" s="6">
        <v>3.1719477862646865E-5</v>
      </c>
      <c r="BY172" s="6">
        <v>3.1973233685548038E-5</v>
      </c>
      <c r="BZ172" s="6">
        <v>3.2229019555032424E-5</v>
      </c>
      <c r="CA172" s="6">
        <v>3.2486851711472685E-5</v>
      </c>
      <c r="CB172" s="6">
        <v>3.2746746525164468E-5</v>
      </c>
      <c r="CC172" s="6">
        <v>3.3008720497365782E-5</v>
      </c>
      <c r="CD172" s="6">
        <v>3.3272790261344708E-5</v>
      </c>
      <c r="CE172" s="6">
        <v>3.3538972583435463E-5</v>
      </c>
      <c r="CF172" s="6">
        <v>3.3807284364102947E-5</v>
      </c>
      <c r="CG172" s="6">
        <v>3.4077742639015773E-5</v>
      </c>
      <c r="CH172" s="6">
        <v>3.4350364580127896E-5</v>
      </c>
      <c r="CI172" s="6">
        <v>3.4625167496768918E-5</v>
      </c>
      <c r="CJ172" s="6">
        <v>3.4902168836743067E-5</v>
      </c>
      <c r="CK172" s="6">
        <v>3.5181386187437011E-5</v>
      </c>
      <c r="CL172" s="6">
        <v>3.5462837276936504E-5</v>
      </c>
      <c r="CM172" s="6">
        <v>3.5746539975151994E-5</v>
      </c>
    </row>
    <row r="173" spans="1:91" x14ac:dyDescent="0.25">
      <c r="A173" s="50" t="s">
        <v>2</v>
      </c>
      <c r="B173" s="4">
        <v>0</v>
      </c>
      <c r="C173" s="4">
        <v>0</v>
      </c>
      <c r="D173" s="4">
        <v>0</v>
      </c>
      <c r="E173" s="4">
        <v>0</v>
      </c>
      <c r="F173" s="4">
        <v>0</v>
      </c>
      <c r="G173" s="4">
        <v>0</v>
      </c>
      <c r="H173" s="4">
        <v>0</v>
      </c>
      <c r="I173" s="4">
        <v>0</v>
      </c>
      <c r="J173" s="4">
        <v>0</v>
      </c>
      <c r="K173" s="4">
        <v>0</v>
      </c>
      <c r="L173" s="4">
        <v>0</v>
      </c>
      <c r="M173" s="4">
        <v>0</v>
      </c>
      <c r="N173" s="4">
        <v>0</v>
      </c>
      <c r="O173" s="4">
        <v>0</v>
      </c>
      <c r="P173" s="4">
        <v>0</v>
      </c>
      <c r="Q173" s="4">
        <v>0</v>
      </c>
      <c r="R173" s="4">
        <v>0</v>
      </c>
      <c r="S173" s="4">
        <v>0</v>
      </c>
      <c r="T173" s="4">
        <v>0</v>
      </c>
      <c r="U173" s="4">
        <v>0</v>
      </c>
      <c r="V173" s="4">
        <v>0</v>
      </c>
      <c r="W173" s="4">
        <v>0</v>
      </c>
      <c r="X173" s="4">
        <v>0</v>
      </c>
      <c r="Y173" s="4">
        <v>0</v>
      </c>
      <c r="Z173" s="4">
        <v>0</v>
      </c>
      <c r="AA173" s="4">
        <v>0</v>
      </c>
      <c r="AB173" s="4">
        <v>0</v>
      </c>
      <c r="AC173" s="4">
        <v>0</v>
      </c>
      <c r="AD173" s="4">
        <v>0</v>
      </c>
      <c r="AE173" s="4">
        <v>0</v>
      </c>
      <c r="AF173" s="6">
        <v>9.1330900353755179E-6</v>
      </c>
      <c r="AG173" s="6">
        <v>9.5734696387584037E-6</v>
      </c>
      <c r="AH173" s="6">
        <v>1.0035083478782394E-5</v>
      </c>
      <c r="AI173" s="6">
        <v>1.0518955428493074E-5</v>
      </c>
      <c r="AJ173" s="6">
        <v>1.1026158730076598E-5</v>
      </c>
      <c r="AK173" s="6">
        <v>1.1557818375342346E-5</v>
      </c>
      <c r="AL173" s="6">
        <v>1.2115113600987785E-5</v>
      </c>
      <c r="AM173" s="6">
        <v>1.2699280504180067E-5</v>
      </c>
      <c r="AN173" s="6">
        <v>1.3311614784255835E-5</v>
      </c>
      <c r="AO173" s="6">
        <v>1.3953474616620372E-5</v>
      </c>
      <c r="AP173" s="6">
        <v>1.4626283665220514E-5</v>
      </c>
      <c r="AQ173" s="6">
        <v>1.5331534240273076E-5</v>
      </c>
      <c r="AR173" s="6">
        <v>1.6070790608252701E-5</v>
      </c>
      <c r="AS173" s="6">
        <v>1.6845692461480817E-5</v>
      </c>
      <c r="AT173" s="6">
        <v>1.765795855501134E-5</v>
      </c>
      <c r="AU173" s="6">
        <v>1.8509390518879812E-5</v>
      </c>
      <c r="AV173" s="6">
        <v>1.8750012595625248E-5</v>
      </c>
      <c r="AW173" s="6">
        <v>1.8993762759368378E-5</v>
      </c>
      <c r="AX173" s="6">
        <v>1.9240681675240166E-5</v>
      </c>
      <c r="AY173" s="6">
        <v>1.9490810537018289E-5</v>
      </c>
      <c r="AZ173" s="6">
        <v>1.9744191073999528E-5</v>
      </c>
      <c r="BA173" s="6">
        <v>2.0000865557961522E-5</v>
      </c>
      <c r="BB173" s="6">
        <v>2.0260876810215022E-5</v>
      </c>
      <c r="BC173" s="6">
        <v>2.0524268208747819E-5</v>
      </c>
      <c r="BD173" s="6">
        <v>2.0791083695461539E-5</v>
      </c>
      <c r="BE173" s="6">
        <v>2.106136778350254E-5</v>
      </c>
      <c r="BF173" s="6">
        <v>2.1335165564688073E-5</v>
      </c>
      <c r="BG173" s="6">
        <v>2.161252271702902E-5</v>
      </c>
      <c r="BH173" s="6">
        <v>2.1893485512350398E-5</v>
      </c>
      <c r="BI173" s="6">
        <v>2.2178100824010951E-5</v>
      </c>
      <c r="BJ173" s="6">
        <v>2.2466416134723093E-5</v>
      </c>
      <c r="BK173" s="6">
        <v>2.2758479544474495E-5</v>
      </c>
      <c r="BL173" s="6">
        <v>2.3054339778552662E-5</v>
      </c>
      <c r="BM173" s="6">
        <v>2.3354046195673846E-5</v>
      </c>
      <c r="BN173" s="6">
        <v>2.3657648796217608E-5</v>
      </c>
      <c r="BO173" s="6">
        <v>2.3965198230568436E-5</v>
      </c>
      <c r="BP173" s="6">
        <v>2.4276745807565827E-5</v>
      </c>
      <c r="BQ173" s="6">
        <v>2.4592343503064183E-5</v>
      </c>
      <c r="BR173" s="6">
        <v>2.4912043968604017E-5</v>
      </c>
      <c r="BS173" s="6">
        <v>2.5235900540195869E-5</v>
      </c>
      <c r="BT173" s="6">
        <v>2.5563967247218415E-5</v>
      </c>
      <c r="BU173" s="6">
        <v>2.5896298821432253E-5</v>
      </c>
      <c r="BV173" s="6">
        <v>2.6232950706110874E-5</v>
      </c>
      <c r="BW173" s="6">
        <v>2.6573979065290315E-5</v>
      </c>
      <c r="BX173" s="6">
        <v>2.6919440793139088E-5</v>
      </c>
      <c r="BY173" s="6">
        <v>2.7269393523449896E-5</v>
      </c>
      <c r="BZ173" s="6">
        <v>2.7623895639254743E-5</v>
      </c>
      <c r="CA173" s="6">
        <v>2.7983006282565054E-5</v>
      </c>
      <c r="CB173" s="6">
        <v>2.8346785364238401E-5</v>
      </c>
      <c r="CC173" s="6">
        <v>2.87152935739735E-5</v>
      </c>
      <c r="CD173" s="6">
        <v>2.9088592390435154E-5</v>
      </c>
      <c r="CE173" s="6">
        <v>2.9466744091510811E-5</v>
      </c>
      <c r="CF173" s="6">
        <v>2.984981176470045E-5</v>
      </c>
      <c r="CG173" s="6">
        <v>3.0237859317641555E-5</v>
      </c>
      <c r="CH173" s="6">
        <v>3.0630951488770894E-5</v>
      </c>
      <c r="CI173" s="6">
        <v>3.1029153858124914E-5</v>
      </c>
      <c r="CJ173" s="6">
        <v>3.1432532858280537E-5</v>
      </c>
      <c r="CK173" s="6">
        <v>3.1841155785438181E-5</v>
      </c>
      <c r="CL173" s="6">
        <v>3.2255090810648879E-5</v>
      </c>
      <c r="CM173" s="6">
        <v>3.2674406991187313E-5</v>
      </c>
    </row>
    <row r="174" spans="1:91" x14ac:dyDescent="0.25">
      <c r="A174" s="50"/>
    </row>
    <row r="175" spans="1:91" x14ac:dyDescent="0.25">
      <c r="A175" s="50" t="s">
        <v>229</v>
      </c>
      <c r="B175" s="4">
        <v>0</v>
      </c>
      <c r="C175" s="4">
        <v>0</v>
      </c>
      <c r="D175" s="4">
        <v>0</v>
      </c>
      <c r="E175" s="4">
        <v>0</v>
      </c>
      <c r="F175" s="4">
        <v>0</v>
      </c>
      <c r="G175" s="4">
        <v>0</v>
      </c>
      <c r="H175" s="4">
        <v>0</v>
      </c>
      <c r="I175" s="4">
        <v>0</v>
      </c>
      <c r="J175" s="4">
        <v>0</v>
      </c>
      <c r="K175" s="4">
        <v>0</v>
      </c>
      <c r="L175" s="4">
        <v>0</v>
      </c>
      <c r="M175" s="4">
        <v>0</v>
      </c>
      <c r="N175" s="4">
        <v>0</v>
      </c>
      <c r="O175" s="4">
        <v>0</v>
      </c>
      <c r="P175" s="4">
        <v>0</v>
      </c>
      <c r="Q175" s="4">
        <v>0</v>
      </c>
      <c r="R175" s="4">
        <v>0</v>
      </c>
      <c r="S175" s="4">
        <v>0</v>
      </c>
      <c r="T175" s="4">
        <v>0</v>
      </c>
      <c r="U175" s="4">
        <v>0</v>
      </c>
      <c r="V175" s="4">
        <v>0</v>
      </c>
      <c r="W175" s="4">
        <v>0</v>
      </c>
      <c r="X175" s="4">
        <v>0</v>
      </c>
      <c r="Y175" s="4">
        <v>0</v>
      </c>
      <c r="Z175" s="4">
        <v>0</v>
      </c>
      <c r="AA175" s="4">
        <v>0</v>
      </c>
      <c r="AB175" s="4">
        <v>0</v>
      </c>
      <c r="AC175" s="4">
        <v>0</v>
      </c>
      <c r="AD175" s="4">
        <v>0</v>
      </c>
      <c r="AE175" s="4">
        <v>0</v>
      </c>
      <c r="AF175" s="6">
        <v>2.9940564635958392E-5</v>
      </c>
      <c r="AG175" s="6">
        <v>3.0063397721644376E-5</v>
      </c>
      <c r="AH175" s="6">
        <v>3.0186230807330359E-5</v>
      </c>
      <c r="AI175" s="6">
        <v>3.0309063893016343E-5</v>
      </c>
      <c r="AJ175" s="6">
        <v>3.0431896978702323E-5</v>
      </c>
      <c r="AK175" s="6">
        <v>3.055473006438831E-5</v>
      </c>
      <c r="AL175" s="6">
        <v>3.0677563150074294E-5</v>
      </c>
      <c r="AM175" s="6">
        <v>3.0800396235760277E-5</v>
      </c>
      <c r="AN175" s="6">
        <v>3.0923229321446254E-5</v>
      </c>
      <c r="AO175" s="6">
        <v>3.1046062407132238E-5</v>
      </c>
      <c r="AP175" s="6">
        <v>3.1168895492818221E-5</v>
      </c>
      <c r="AQ175" s="6">
        <v>3.1291728578504205E-5</v>
      </c>
      <c r="AR175" s="6">
        <v>3.1414561664190188E-5</v>
      </c>
      <c r="AS175" s="6">
        <v>3.1537394749876172E-5</v>
      </c>
      <c r="AT175" s="6">
        <v>3.1660227835562155E-5</v>
      </c>
      <c r="AU175" s="6">
        <v>3.1783060921248139E-5</v>
      </c>
      <c r="AV175" s="6">
        <v>3.2035733519288448E-5</v>
      </c>
      <c r="AW175" s="6">
        <v>3.2288406117328758E-5</v>
      </c>
      <c r="AX175" s="6">
        <v>3.2541078715369068E-5</v>
      </c>
      <c r="AY175" s="6">
        <v>3.2793751313409377E-5</v>
      </c>
      <c r="AZ175" s="6">
        <v>3.3046423911449687E-5</v>
      </c>
      <c r="BA175" s="6">
        <v>3.3299096509489996E-5</v>
      </c>
      <c r="BB175" s="6">
        <v>3.3551769107530299E-5</v>
      </c>
      <c r="BC175" s="6">
        <v>3.3804441705570608E-5</v>
      </c>
      <c r="BD175" s="6">
        <v>3.4057114303610918E-5</v>
      </c>
      <c r="BE175" s="6">
        <v>3.4309786901651227E-5</v>
      </c>
      <c r="BF175" s="6">
        <v>3.4562459499691537E-5</v>
      </c>
      <c r="BG175" s="6">
        <v>3.4815132097731846E-5</v>
      </c>
      <c r="BH175" s="6">
        <v>3.5067804695772156E-5</v>
      </c>
      <c r="BI175" s="6">
        <v>3.5320477293812465E-5</v>
      </c>
      <c r="BJ175" s="6">
        <v>3.5573149891852775E-5</v>
      </c>
      <c r="BK175" s="6">
        <v>3.5825822489893084E-5</v>
      </c>
      <c r="BL175" s="6">
        <v>3.6078495087933394E-5</v>
      </c>
      <c r="BM175" s="6">
        <v>3.6331167685973697E-5</v>
      </c>
      <c r="BN175" s="6">
        <v>3.6583840284014006E-5</v>
      </c>
      <c r="BO175" s="6">
        <v>3.6836512882054316E-5</v>
      </c>
      <c r="BP175" s="6">
        <v>3.7089185480094625E-5</v>
      </c>
      <c r="BQ175" s="6">
        <v>3.7341858078134935E-5</v>
      </c>
      <c r="BR175" s="6">
        <v>3.7594530676175244E-5</v>
      </c>
      <c r="BS175" s="6">
        <v>3.7847203274215554E-5</v>
      </c>
      <c r="BT175" s="6">
        <v>3.787366984993179E-5</v>
      </c>
      <c r="BU175" s="6">
        <v>3.790013642564802E-5</v>
      </c>
      <c r="BV175" s="6">
        <v>3.7926603001364257E-5</v>
      </c>
      <c r="BW175" s="6">
        <v>3.7953069577080494E-5</v>
      </c>
      <c r="BX175" s="6">
        <v>3.797953615279673E-5</v>
      </c>
      <c r="BY175" s="6">
        <v>3.800600272851296E-5</v>
      </c>
      <c r="BZ175" s="6">
        <v>3.8032469304229197E-5</v>
      </c>
      <c r="CA175" s="6">
        <v>3.8058935879945434E-5</v>
      </c>
      <c r="CB175" s="6">
        <v>3.8085402455661664E-5</v>
      </c>
      <c r="CC175" s="6">
        <v>3.81118690313779E-5</v>
      </c>
      <c r="CD175" s="6">
        <v>3.8138335607094137E-5</v>
      </c>
      <c r="CE175" s="6">
        <v>3.8164802182810367E-5</v>
      </c>
      <c r="CF175" s="6">
        <v>3.8191268758526604E-5</v>
      </c>
      <c r="CG175" s="6">
        <v>3.8217735334242841E-5</v>
      </c>
      <c r="CH175" s="6">
        <v>3.8244201909959071E-5</v>
      </c>
      <c r="CI175" s="6">
        <v>3.8270668485675307E-5</v>
      </c>
      <c r="CJ175" s="6">
        <v>3.8297135061391544E-5</v>
      </c>
      <c r="CK175" s="6">
        <v>3.8323601637107781E-5</v>
      </c>
      <c r="CL175" s="6">
        <v>3.8350068212824011E-5</v>
      </c>
      <c r="CM175" s="6">
        <v>3.8376534788540247E-5</v>
      </c>
    </row>
    <row r="176" spans="1:91" x14ac:dyDescent="0.25">
      <c r="A176" s="50" t="s">
        <v>1</v>
      </c>
      <c r="B176" s="4">
        <v>0</v>
      </c>
      <c r="C176" s="4">
        <v>0</v>
      </c>
      <c r="D176" s="4">
        <v>0</v>
      </c>
      <c r="E176" s="4">
        <v>0</v>
      </c>
      <c r="F176" s="4">
        <v>0</v>
      </c>
      <c r="G176" s="4">
        <v>0</v>
      </c>
      <c r="H176" s="4">
        <v>0</v>
      </c>
      <c r="I176" s="4">
        <v>0</v>
      </c>
      <c r="J176" s="4">
        <v>0</v>
      </c>
      <c r="K176" s="4">
        <v>0</v>
      </c>
      <c r="L176" s="4">
        <v>0</v>
      </c>
      <c r="M176" s="4">
        <v>0</v>
      </c>
      <c r="N176" s="4">
        <v>0</v>
      </c>
      <c r="O176" s="4">
        <v>0</v>
      </c>
      <c r="P176" s="4">
        <v>0</v>
      </c>
      <c r="Q176" s="4">
        <v>0</v>
      </c>
      <c r="R176" s="4">
        <v>0</v>
      </c>
      <c r="S176" s="4">
        <v>0</v>
      </c>
      <c r="T176" s="4">
        <v>0</v>
      </c>
      <c r="U176" s="4">
        <v>0</v>
      </c>
      <c r="V176" s="4">
        <v>0</v>
      </c>
      <c r="W176" s="4">
        <v>0</v>
      </c>
      <c r="X176" s="4">
        <v>0</v>
      </c>
      <c r="Y176" s="4">
        <v>0</v>
      </c>
      <c r="Z176" s="4">
        <v>0</v>
      </c>
      <c r="AA176" s="4">
        <v>0</v>
      </c>
      <c r="AB176" s="4">
        <v>0</v>
      </c>
      <c r="AC176" s="4">
        <v>0</v>
      </c>
      <c r="AD176" s="4">
        <v>0</v>
      </c>
      <c r="AE176" s="4">
        <v>0</v>
      </c>
      <c r="AF176" s="6">
        <v>4.2882615156017827E-5</v>
      </c>
      <c r="AG176" s="6">
        <v>4.3058543833580979E-5</v>
      </c>
      <c r="AH176" s="6">
        <v>4.323447251114413E-5</v>
      </c>
      <c r="AI176" s="6">
        <v>4.3410401188707275E-5</v>
      </c>
      <c r="AJ176" s="6">
        <v>4.3586329866270427E-5</v>
      </c>
      <c r="AK176" s="6">
        <v>4.3762258543833578E-5</v>
      </c>
      <c r="AL176" s="6">
        <v>4.393818722139673E-5</v>
      </c>
      <c r="AM176" s="6">
        <v>4.4114115898959881E-5</v>
      </c>
      <c r="AN176" s="6">
        <v>4.4290044576523026E-5</v>
      </c>
      <c r="AO176" s="6">
        <v>4.4465973254086178E-5</v>
      </c>
      <c r="AP176" s="6">
        <v>4.4641901931649329E-5</v>
      </c>
      <c r="AQ176" s="6">
        <v>4.4817830609212481E-5</v>
      </c>
      <c r="AR176" s="6">
        <v>4.4993759286775632E-5</v>
      </c>
      <c r="AS176" s="6">
        <v>4.5169687964338777E-5</v>
      </c>
      <c r="AT176" s="6">
        <v>4.5345616641901929E-5</v>
      </c>
      <c r="AU176" s="6">
        <v>4.552154531946508E-5</v>
      </c>
      <c r="AV176" s="6">
        <v>4.545377060828E-5</v>
      </c>
      <c r="AW176" s="6">
        <v>4.5385995897094921E-5</v>
      </c>
      <c r="AX176" s="6">
        <v>4.5318221185909841E-5</v>
      </c>
      <c r="AY176" s="6">
        <v>4.5250446474724767E-5</v>
      </c>
      <c r="AZ176" s="6">
        <v>4.5182671763539687E-5</v>
      </c>
      <c r="BA176" s="6">
        <v>4.5114897052354608E-5</v>
      </c>
      <c r="BB176" s="6">
        <v>4.5047122341169528E-5</v>
      </c>
      <c r="BC176" s="6">
        <v>4.4979347629984448E-5</v>
      </c>
      <c r="BD176" s="6">
        <v>4.4911572918799374E-5</v>
      </c>
      <c r="BE176" s="6">
        <v>4.4843798207614294E-5</v>
      </c>
      <c r="BF176" s="6">
        <v>4.4776023496429215E-5</v>
      </c>
      <c r="BG176" s="6">
        <v>4.4708248785244135E-5</v>
      </c>
      <c r="BH176" s="6">
        <v>4.4640474074059055E-5</v>
      </c>
      <c r="BI176" s="6">
        <v>4.4572699362873975E-5</v>
      </c>
      <c r="BJ176" s="6">
        <v>4.4504924651688895E-5</v>
      </c>
      <c r="BK176" s="6">
        <v>4.4437149940503822E-5</v>
      </c>
      <c r="BL176" s="6">
        <v>4.4369375229318742E-5</v>
      </c>
      <c r="BM176" s="6">
        <v>4.4301600518133662E-5</v>
      </c>
      <c r="BN176" s="6">
        <v>4.4233825806948582E-5</v>
      </c>
      <c r="BO176" s="6">
        <v>4.4166051095763502E-5</v>
      </c>
      <c r="BP176" s="6">
        <v>4.4098276384578429E-5</v>
      </c>
      <c r="BQ176" s="6">
        <v>4.4030501673393349E-5</v>
      </c>
      <c r="BR176" s="6">
        <v>4.3962726962208269E-5</v>
      </c>
      <c r="BS176" s="6">
        <v>4.3894952251023189E-5</v>
      </c>
      <c r="BT176" s="6">
        <v>4.3925648021828103E-5</v>
      </c>
      <c r="BU176" s="6">
        <v>4.3956343792633011E-5</v>
      </c>
      <c r="BV176" s="6">
        <v>4.3987039563437925E-5</v>
      </c>
      <c r="BW176" s="6">
        <v>4.4017735334242833E-5</v>
      </c>
      <c r="BX176" s="6">
        <v>4.4048431105047747E-5</v>
      </c>
      <c r="BY176" s="6">
        <v>4.4079126875852654E-5</v>
      </c>
      <c r="BZ176" s="6">
        <v>4.4109822646657569E-5</v>
      </c>
      <c r="CA176" s="6">
        <v>4.4140518417462476E-5</v>
      </c>
      <c r="CB176" s="6">
        <v>4.4171214188267391E-5</v>
      </c>
      <c r="CC176" s="6">
        <v>4.4201909959072305E-5</v>
      </c>
      <c r="CD176" s="6">
        <v>4.4232605729877212E-5</v>
      </c>
      <c r="CE176" s="6">
        <v>4.4263301500682127E-5</v>
      </c>
      <c r="CF176" s="6">
        <v>4.4293997271487034E-5</v>
      </c>
      <c r="CG176" s="6">
        <v>4.4324693042291949E-5</v>
      </c>
      <c r="CH176" s="6">
        <v>4.4355388813096856E-5</v>
      </c>
      <c r="CI176" s="6">
        <v>4.4386084583901771E-5</v>
      </c>
      <c r="CJ176" s="6">
        <v>4.4416780354706678E-5</v>
      </c>
      <c r="CK176" s="6">
        <v>4.4447476125511592E-5</v>
      </c>
      <c r="CL176" s="6">
        <v>4.44781718963165E-5</v>
      </c>
      <c r="CM176" s="6">
        <v>4.4508867667121414E-5</v>
      </c>
    </row>
    <row r="177" spans="1:91" x14ac:dyDescent="0.25">
      <c r="A177" s="50" t="s">
        <v>1</v>
      </c>
      <c r="B177" s="4">
        <v>0</v>
      </c>
      <c r="C177" s="4">
        <v>0</v>
      </c>
      <c r="D177" s="4">
        <v>0</v>
      </c>
      <c r="E177" s="4">
        <v>0</v>
      </c>
      <c r="F177" s="4">
        <v>0</v>
      </c>
      <c r="G177" s="4">
        <v>0</v>
      </c>
      <c r="H177" s="4">
        <v>0</v>
      </c>
      <c r="I177" s="4">
        <v>0</v>
      </c>
      <c r="J177" s="4">
        <v>0</v>
      </c>
      <c r="K177" s="4">
        <v>0</v>
      </c>
      <c r="L177" s="4">
        <v>0</v>
      </c>
      <c r="M177" s="4">
        <v>0</v>
      </c>
      <c r="N177" s="4">
        <v>0</v>
      </c>
      <c r="O177" s="4">
        <v>0</v>
      </c>
      <c r="P177" s="4">
        <v>0</v>
      </c>
      <c r="Q177" s="4">
        <v>0</v>
      </c>
      <c r="R177" s="4">
        <v>0</v>
      </c>
      <c r="S177" s="4">
        <v>0</v>
      </c>
      <c r="T177" s="4">
        <v>0</v>
      </c>
      <c r="U177" s="4">
        <v>0</v>
      </c>
      <c r="V177" s="4">
        <v>0</v>
      </c>
      <c r="W177" s="4">
        <v>0</v>
      </c>
      <c r="X177" s="4">
        <v>0</v>
      </c>
      <c r="Y177" s="4">
        <v>0</v>
      </c>
      <c r="Z177" s="4">
        <v>0</v>
      </c>
      <c r="AA177" s="4">
        <v>0</v>
      </c>
      <c r="AB177" s="4">
        <v>0</v>
      </c>
      <c r="AC177" s="4">
        <v>0</v>
      </c>
      <c r="AD177" s="4">
        <v>0</v>
      </c>
      <c r="AE177" s="4">
        <v>0</v>
      </c>
      <c r="AF177" s="6">
        <v>3.0520059435364039E-5</v>
      </c>
      <c r="AG177" s="6">
        <v>3.0645269935611687E-5</v>
      </c>
      <c r="AH177" s="6">
        <v>3.0770480435859334E-5</v>
      </c>
      <c r="AI177" s="6">
        <v>3.0895690936106982E-5</v>
      </c>
      <c r="AJ177" s="6">
        <v>3.1020901436354629E-5</v>
      </c>
      <c r="AK177" s="6">
        <v>3.1146111936602277E-5</v>
      </c>
      <c r="AL177" s="6">
        <v>3.1271322436849924E-5</v>
      </c>
      <c r="AM177" s="6">
        <v>3.1396532937097572E-5</v>
      </c>
      <c r="AN177" s="6">
        <v>3.1521743437345219E-5</v>
      </c>
      <c r="AO177" s="6">
        <v>3.1646953937592867E-5</v>
      </c>
      <c r="AP177" s="6">
        <v>3.1772164437840514E-5</v>
      </c>
      <c r="AQ177" s="6">
        <v>3.1897374938088162E-5</v>
      </c>
      <c r="AR177" s="6">
        <v>3.2022585438335809E-5</v>
      </c>
      <c r="AS177" s="6">
        <v>3.2147795938583457E-5</v>
      </c>
      <c r="AT177" s="6">
        <v>3.2273006438831104E-5</v>
      </c>
      <c r="AU177" s="6">
        <v>3.2398216939078752E-5</v>
      </c>
      <c r="AV177" s="6">
        <v>3.2308238936785393E-5</v>
      </c>
      <c r="AW177" s="6">
        <v>3.221826093449204E-5</v>
      </c>
      <c r="AX177" s="6">
        <v>3.2128282932198681E-5</v>
      </c>
      <c r="AY177" s="6">
        <v>3.2038304929905328E-5</v>
      </c>
      <c r="AZ177" s="6">
        <v>3.1948326927611969E-5</v>
      </c>
      <c r="BA177" s="6">
        <v>3.1858348925318616E-5</v>
      </c>
      <c r="BB177" s="6">
        <v>3.1768370923025257E-5</v>
      </c>
      <c r="BC177" s="6">
        <v>3.1678392920731898E-5</v>
      </c>
      <c r="BD177" s="6">
        <v>3.1588414918438545E-5</v>
      </c>
      <c r="BE177" s="6">
        <v>3.1498436916145186E-5</v>
      </c>
      <c r="BF177" s="6">
        <v>3.1408458913851834E-5</v>
      </c>
      <c r="BG177" s="6">
        <v>3.1318480911558474E-5</v>
      </c>
      <c r="BH177" s="6">
        <v>3.1228502909265122E-5</v>
      </c>
      <c r="BI177" s="6">
        <v>3.1138524906971762E-5</v>
      </c>
      <c r="BJ177" s="6">
        <v>3.104854690467841E-5</v>
      </c>
      <c r="BK177" s="6">
        <v>3.0958568902385051E-5</v>
      </c>
      <c r="BL177" s="6">
        <v>3.0868590900091691E-5</v>
      </c>
      <c r="BM177" s="6">
        <v>3.0778612897798339E-5</v>
      </c>
      <c r="BN177" s="6">
        <v>3.0688634895504979E-5</v>
      </c>
      <c r="BO177" s="6">
        <v>3.0598656893211627E-5</v>
      </c>
      <c r="BP177" s="6">
        <v>3.0508678890918268E-5</v>
      </c>
      <c r="BQ177" s="6">
        <v>3.0418700888624912E-5</v>
      </c>
      <c r="BR177" s="6">
        <v>3.0328722886331556E-5</v>
      </c>
      <c r="BS177" s="6">
        <v>3.02387448840382E-5</v>
      </c>
      <c r="BT177" s="6">
        <v>3.0259890859481585E-5</v>
      </c>
      <c r="BU177" s="6">
        <v>3.0281036834924966E-5</v>
      </c>
      <c r="BV177" s="6">
        <v>3.030218281036835E-5</v>
      </c>
      <c r="BW177" s="6">
        <v>3.0323328785811735E-5</v>
      </c>
      <c r="BX177" s="6">
        <v>3.0344474761255116E-5</v>
      </c>
      <c r="BY177" s="6">
        <v>3.0365620736698501E-5</v>
      </c>
      <c r="BZ177" s="6">
        <v>3.0386766712141885E-5</v>
      </c>
      <c r="CA177" s="6">
        <v>3.0407912687585267E-5</v>
      </c>
      <c r="CB177" s="6">
        <v>3.0429058663028651E-5</v>
      </c>
      <c r="CC177" s="6">
        <v>3.0450204638472036E-5</v>
      </c>
      <c r="CD177" s="6">
        <v>3.0471350613915417E-5</v>
      </c>
      <c r="CE177" s="6">
        <v>3.0492496589358802E-5</v>
      </c>
      <c r="CF177" s="6">
        <v>3.0513642564802183E-5</v>
      </c>
      <c r="CG177" s="6">
        <v>3.0534788540245567E-5</v>
      </c>
      <c r="CH177" s="6">
        <v>3.0555934515688949E-5</v>
      </c>
      <c r="CI177" s="6">
        <v>3.0577080491132337E-5</v>
      </c>
      <c r="CJ177" s="6">
        <v>3.0598226466575718E-5</v>
      </c>
      <c r="CK177" s="6">
        <v>3.0619372442019099E-5</v>
      </c>
      <c r="CL177" s="6">
        <v>3.0640518417462487E-5</v>
      </c>
      <c r="CM177" s="6">
        <v>3.0661664392905868E-5</v>
      </c>
    </row>
    <row r="178" spans="1:91" x14ac:dyDescent="0.25">
      <c r="A178" s="50" t="s">
        <v>1</v>
      </c>
      <c r="B178" s="4">
        <v>0</v>
      </c>
      <c r="C178" s="4">
        <v>0</v>
      </c>
      <c r="D178" s="4">
        <v>0</v>
      </c>
      <c r="E178" s="4">
        <v>0</v>
      </c>
      <c r="F178" s="4">
        <v>0</v>
      </c>
      <c r="G178" s="4">
        <v>0</v>
      </c>
      <c r="H178" s="4">
        <v>0</v>
      </c>
      <c r="I178" s="4">
        <v>0</v>
      </c>
      <c r="J178" s="4">
        <v>0</v>
      </c>
      <c r="K178" s="4">
        <v>0</v>
      </c>
      <c r="L178" s="4">
        <v>0</v>
      </c>
      <c r="M178" s="4">
        <v>0</v>
      </c>
      <c r="N178" s="4">
        <v>0</v>
      </c>
      <c r="O178" s="4">
        <v>0</v>
      </c>
      <c r="P178" s="4">
        <v>0</v>
      </c>
      <c r="Q178" s="4">
        <v>0</v>
      </c>
      <c r="R178" s="4">
        <v>0</v>
      </c>
      <c r="S178" s="4">
        <v>0</v>
      </c>
      <c r="T178" s="4">
        <v>0</v>
      </c>
      <c r="U178" s="4">
        <v>0</v>
      </c>
      <c r="V178" s="4">
        <v>0</v>
      </c>
      <c r="W178" s="4">
        <v>0</v>
      </c>
      <c r="X178" s="4">
        <v>0</v>
      </c>
      <c r="Y178" s="4">
        <v>0</v>
      </c>
      <c r="Z178" s="4">
        <v>0</v>
      </c>
      <c r="AA178" s="4">
        <v>0</v>
      </c>
      <c r="AB178" s="4">
        <v>0</v>
      </c>
      <c r="AC178" s="4">
        <v>0</v>
      </c>
      <c r="AD178" s="4">
        <v>0</v>
      </c>
      <c r="AE178" s="4">
        <v>0</v>
      </c>
      <c r="AF178" s="6">
        <v>2.665676077265973E-5</v>
      </c>
      <c r="AG178" s="6">
        <v>2.6766121842496281E-5</v>
      </c>
      <c r="AH178" s="6">
        <v>2.6875482912332836E-5</v>
      </c>
      <c r="AI178" s="6">
        <v>2.6984843982169387E-5</v>
      </c>
      <c r="AJ178" s="6">
        <v>2.7094205052005942E-5</v>
      </c>
      <c r="AK178" s="6">
        <v>2.7203566121842493E-5</v>
      </c>
      <c r="AL178" s="6">
        <v>2.7312927191679048E-5</v>
      </c>
      <c r="AM178" s="6">
        <v>2.7422288261515599E-5</v>
      </c>
      <c r="AN178" s="6">
        <v>2.7531649331352153E-5</v>
      </c>
      <c r="AO178" s="6">
        <v>2.7641010401188705E-5</v>
      </c>
      <c r="AP178" s="6">
        <v>2.7750371471025259E-5</v>
      </c>
      <c r="AQ178" s="6">
        <v>2.785973254086181E-5</v>
      </c>
      <c r="AR178" s="6">
        <v>2.7969093610698365E-5</v>
      </c>
      <c r="AS178" s="6">
        <v>2.8078454680534916E-5</v>
      </c>
      <c r="AT178" s="6">
        <v>2.8187815750371467E-5</v>
      </c>
      <c r="AU178" s="6">
        <v>2.8297176820208022E-5</v>
      </c>
      <c r="AV178" s="6">
        <v>2.8410590268979481E-5</v>
      </c>
      <c r="AW178" s="6">
        <v>2.852400371775094E-5</v>
      </c>
      <c r="AX178" s="6">
        <v>2.8637417166522399E-5</v>
      </c>
      <c r="AY178" s="6">
        <v>2.8750830615293862E-5</v>
      </c>
      <c r="AZ178" s="6">
        <v>2.8864244064065321E-5</v>
      </c>
      <c r="BA178" s="6">
        <v>2.897765751283678E-5</v>
      </c>
      <c r="BB178" s="6">
        <v>2.9091070961608239E-5</v>
      </c>
      <c r="BC178" s="6">
        <v>2.9204484410379698E-5</v>
      </c>
      <c r="BD178" s="6">
        <v>2.9317897859151161E-5</v>
      </c>
      <c r="BE178" s="6">
        <v>2.943131130792262E-5</v>
      </c>
      <c r="BF178" s="6">
        <v>2.9544724756694079E-5</v>
      </c>
      <c r="BG178" s="6">
        <v>2.9658138205465538E-5</v>
      </c>
      <c r="BH178" s="6">
        <v>2.9771551654236997E-5</v>
      </c>
      <c r="BI178" s="6">
        <v>2.9884965103008456E-5</v>
      </c>
      <c r="BJ178" s="6">
        <v>2.9998378551779915E-5</v>
      </c>
      <c r="BK178" s="6">
        <v>3.0111792000551378E-5</v>
      </c>
      <c r="BL178" s="6">
        <v>3.0225205449322837E-5</v>
      </c>
      <c r="BM178" s="6">
        <v>3.0338618898094296E-5</v>
      </c>
      <c r="BN178" s="6">
        <v>3.0452032346865755E-5</v>
      </c>
      <c r="BO178" s="6">
        <v>3.0565445795637218E-5</v>
      </c>
      <c r="BP178" s="6">
        <v>3.0678859244408677E-5</v>
      </c>
      <c r="BQ178" s="6">
        <v>3.0792272693180136E-5</v>
      </c>
      <c r="BR178" s="6">
        <v>3.0905686141951595E-5</v>
      </c>
      <c r="BS178" s="6">
        <v>3.1019099590723054E-5</v>
      </c>
      <c r="BT178" s="6">
        <v>3.1040791268758524E-5</v>
      </c>
      <c r="BU178" s="6">
        <v>3.1062482946793994E-5</v>
      </c>
      <c r="BV178" s="6">
        <v>3.1084174624829465E-5</v>
      </c>
      <c r="BW178" s="6">
        <v>3.1105866302864935E-5</v>
      </c>
      <c r="BX178" s="6">
        <v>3.1127557980900405E-5</v>
      </c>
      <c r="BY178" s="6">
        <v>3.1149249658935882E-5</v>
      </c>
      <c r="BZ178" s="6">
        <v>3.1170941336971352E-5</v>
      </c>
      <c r="CA178" s="6">
        <v>3.1192633015006822E-5</v>
      </c>
      <c r="CB178" s="6">
        <v>3.1214324693042292E-5</v>
      </c>
      <c r="CC178" s="6">
        <v>3.1236016371077763E-5</v>
      </c>
      <c r="CD178" s="6">
        <v>3.1257708049113233E-5</v>
      </c>
      <c r="CE178" s="6">
        <v>3.1279399727148703E-5</v>
      </c>
      <c r="CF178" s="6">
        <v>3.1301091405184173E-5</v>
      </c>
      <c r="CG178" s="6">
        <v>3.1322783083219643E-5</v>
      </c>
      <c r="CH178" s="6">
        <v>3.134447476125512E-5</v>
      </c>
      <c r="CI178" s="6">
        <v>3.136616643929059E-5</v>
      </c>
      <c r="CJ178" s="6">
        <v>3.138785811732606E-5</v>
      </c>
      <c r="CK178" s="6">
        <v>3.1409549795361531E-5</v>
      </c>
      <c r="CL178" s="6">
        <v>3.1431241473397001E-5</v>
      </c>
      <c r="CM178" s="6">
        <v>3.1452933151432471E-5</v>
      </c>
    </row>
    <row r="179" spans="1:91" x14ac:dyDescent="0.25">
      <c r="A179" s="50" t="s">
        <v>1</v>
      </c>
      <c r="B179" s="4">
        <v>0</v>
      </c>
      <c r="C179" s="4">
        <v>0</v>
      </c>
      <c r="D179" s="4">
        <v>0</v>
      </c>
      <c r="E179" s="4">
        <v>0</v>
      </c>
      <c r="F179" s="4">
        <v>0</v>
      </c>
      <c r="G179" s="4">
        <v>0</v>
      </c>
      <c r="H179" s="4">
        <v>0</v>
      </c>
      <c r="I179" s="4">
        <v>0</v>
      </c>
      <c r="J179" s="4">
        <v>0</v>
      </c>
      <c r="K179" s="4">
        <v>0</v>
      </c>
      <c r="L179" s="4">
        <v>0</v>
      </c>
      <c r="M179" s="4">
        <v>0</v>
      </c>
      <c r="N179" s="4">
        <v>0</v>
      </c>
      <c r="O179" s="4">
        <v>0</v>
      </c>
      <c r="P179" s="4">
        <v>0</v>
      </c>
      <c r="Q179" s="4">
        <v>0</v>
      </c>
      <c r="R179" s="4">
        <v>0</v>
      </c>
      <c r="S179" s="4">
        <v>0</v>
      </c>
      <c r="T179" s="4">
        <v>0</v>
      </c>
      <c r="U179" s="4">
        <v>0</v>
      </c>
      <c r="V179" s="4">
        <v>0</v>
      </c>
      <c r="W179" s="4">
        <v>0</v>
      </c>
      <c r="X179" s="4">
        <v>0</v>
      </c>
      <c r="Y179" s="4">
        <v>0</v>
      </c>
      <c r="Z179" s="4">
        <v>0</v>
      </c>
      <c r="AA179" s="4">
        <v>0</v>
      </c>
      <c r="AB179" s="4">
        <v>0</v>
      </c>
      <c r="AC179" s="4">
        <v>0</v>
      </c>
      <c r="AD179" s="4">
        <v>0</v>
      </c>
      <c r="AE179" s="4">
        <v>0</v>
      </c>
      <c r="AF179" s="6">
        <v>1.2E-5</v>
      </c>
      <c r="AG179" s="6">
        <v>1.2106666666666667E-5</v>
      </c>
      <c r="AH179" s="6">
        <v>1.2213333333333334E-5</v>
      </c>
      <c r="AI179" s="6">
        <v>1.2320000000000001E-5</v>
      </c>
      <c r="AJ179" s="6">
        <v>1.2426666666666667E-5</v>
      </c>
      <c r="AK179" s="6">
        <v>1.2533333333333334E-5</v>
      </c>
      <c r="AL179" s="6">
        <v>1.2640000000000001E-5</v>
      </c>
      <c r="AM179" s="6">
        <v>1.2746666666666668E-5</v>
      </c>
      <c r="AN179" s="6">
        <v>1.2853333333333333E-5</v>
      </c>
      <c r="AO179" s="6">
        <v>1.296E-5</v>
      </c>
      <c r="AP179" s="6">
        <v>1.3066666666666666E-5</v>
      </c>
      <c r="AQ179" s="6">
        <v>1.3173333333333333E-5</v>
      </c>
      <c r="AR179" s="6">
        <v>1.328E-5</v>
      </c>
      <c r="AS179" s="6">
        <v>1.3386666666666667E-5</v>
      </c>
      <c r="AT179" s="6">
        <v>1.3493333333333333E-5</v>
      </c>
      <c r="AU179" s="6">
        <v>1.36E-5</v>
      </c>
      <c r="AV179" s="6">
        <v>1.3679166666666668E-5</v>
      </c>
      <c r="AW179" s="6">
        <v>1.3758333333333333E-5</v>
      </c>
      <c r="AX179" s="6">
        <v>1.3837500000000001E-5</v>
      </c>
      <c r="AY179" s="6">
        <v>1.3916666666666667E-5</v>
      </c>
      <c r="AZ179" s="6">
        <v>1.3995833333333334E-5</v>
      </c>
      <c r="BA179" s="6">
        <v>1.4075E-5</v>
      </c>
      <c r="BB179" s="6">
        <v>1.4154166666666667E-5</v>
      </c>
      <c r="BC179" s="6">
        <v>1.4233333333333333E-5</v>
      </c>
      <c r="BD179" s="6">
        <v>1.4312500000000001E-5</v>
      </c>
      <c r="BE179" s="6">
        <v>1.4391666666666666E-5</v>
      </c>
      <c r="BF179" s="6">
        <v>1.4470833333333334E-5</v>
      </c>
      <c r="BG179" s="6">
        <v>1.4550000000000001E-5</v>
      </c>
      <c r="BH179" s="6">
        <v>1.4629166666666667E-5</v>
      </c>
      <c r="BI179" s="6">
        <v>1.4708333333333333E-5</v>
      </c>
      <c r="BJ179" s="6">
        <v>1.47875E-5</v>
      </c>
      <c r="BK179" s="6">
        <v>1.4866666666666668E-5</v>
      </c>
      <c r="BL179" s="6">
        <v>1.4945833333333334E-5</v>
      </c>
      <c r="BM179" s="6">
        <v>1.5025000000000001E-5</v>
      </c>
      <c r="BN179" s="6">
        <v>1.5104166666666667E-5</v>
      </c>
      <c r="BO179" s="6">
        <v>1.5183333333333334E-5</v>
      </c>
      <c r="BP179" s="6">
        <v>1.5262500000000002E-5</v>
      </c>
      <c r="BQ179" s="6">
        <v>1.5341666666666666E-5</v>
      </c>
      <c r="BR179" s="6">
        <v>1.5420833333333333E-5</v>
      </c>
      <c r="BS179" s="6">
        <v>1.5500000000000001E-5</v>
      </c>
      <c r="BT179" s="6">
        <v>1.5545000000000001E-5</v>
      </c>
      <c r="BU179" s="6">
        <v>1.5590000000000002E-5</v>
      </c>
      <c r="BV179" s="6">
        <v>1.5635000000000002E-5</v>
      </c>
      <c r="BW179" s="6">
        <v>1.5679999999999999E-5</v>
      </c>
      <c r="BX179" s="6">
        <v>1.5724999999999999E-5</v>
      </c>
      <c r="BY179" s="6">
        <v>1.577E-5</v>
      </c>
      <c r="BZ179" s="6">
        <v>1.5815E-5</v>
      </c>
      <c r="CA179" s="6">
        <v>1.5860000000000001E-5</v>
      </c>
      <c r="CB179" s="6">
        <v>1.5905000000000001E-5</v>
      </c>
      <c r="CC179" s="6">
        <v>1.5950000000000001E-5</v>
      </c>
      <c r="CD179" s="6">
        <v>1.5994999999999998E-5</v>
      </c>
      <c r="CE179" s="6">
        <v>1.6039999999999999E-5</v>
      </c>
      <c r="CF179" s="6">
        <v>1.6084999999999999E-5</v>
      </c>
      <c r="CG179" s="6">
        <v>1.613E-5</v>
      </c>
      <c r="CH179" s="6">
        <v>1.6175E-5</v>
      </c>
      <c r="CI179" s="6">
        <v>1.6220000000000001E-5</v>
      </c>
      <c r="CJ179" s="6">
        <v>1.6264999999999998E-5</v>
      </c>
      <c r="CK179" s="6">
        <v>1.6309999999999998E-5</v>
      </c>
      <c r="CL179" s="6">
        <v>1.6354999999999998E-5</v>
      </c>
      <c r="CM179" s="6">
        <v>1.6399999999999999E-5</v>
      </c>
    </row>
    <row r="180" spans="1:91" x14ac:dyDescent="0.25">
      <c r="A180" s="50" t="s">
        <v>1</v>
      </c>
      <c r="B180" s="4">
        <v>0</v>
      </c>
      <c r="C180" s="4">
        <v>0</v>
      </c>
      <c r="D180" s="4">
        <v>0</v>
      </c>
      <c r="E180" s="4">
        <v>0</v>
      </c>
      <c r="F180" s="4">
        <v>0</v>
      </c>
      <c r="G180" s="4">
        <v>0</v>
      </c>
      <c r="H180" s="4">
        <v>0</v>
      </c>
      <c r="I180" s="4">
        <v>0</v>
      </c>
      <c r="J180" s="4">
        <v>0</v>
      </c>
      <c r="K180" s="4">
        <v>0</v>
      </c>
      <c r="L180" s="4">
        <v>0</v>
      </c>
      <c r="M180" s="4">
        <v>0</v>
      </c>
      <c r="N180" s="4">
        <v>0</v>
      </c>
      <c r="O180" s="4">
        <v>0</v>
      </c>
      <c r="P180" s="4">
        <v>0</v>
      </c>
      <c r="Q180" s="4">
        <v>0</v>
      </c>
      <c r="R180" s="4">
        <v>0</v>
      </c>
      <c r="S180" s="4">
        <v>0</v>
      </c>
      <c r="T180" s="4">
        <v>0</v>
      </c>
      <c r="U180" s="4">
        <v>0</v>
      </c>
      <c r="V180" s="4">
        <v>0</v>
      </c>
      <c r="W180" s="4">
        <v>0</v>
      </c>
      <c r="X180" s="4">
        <v>0</v>
      </c>
      <c r="Y180" s="4">
        <v>0</v>
      </c>
      <c r="Z180" s="4">
        <v>0</v>
      </c>
      <c r="AA180" s="4">
        <v>0</v>
      </c>
      <c r="AB180" s="4">
        <v>0</v>
      </c>
      <c r="AC180" s="4">
        <v>0</v>
      </c>
      <c r="AD180" s="4">
        <v>0</v>
      </c>
      <c r="AE180" s="4">
        <v>0</v>
      </c>
      <c r="AF180" s="6">
        <v>4.3999999999999999E-5</v>
      </c>
      <c r="AG180" s="6">
        <v>4.3866666666666665E-5</v>
      </c>
      <c r="AH180" s="6">
        <v>4.373333333333333E-5</v>
      </c>
      <c r="AI180" s="6">
        <v>4.3599999999999996E-5</v>
      </c>
      <c r="AJ180" s="6">
        <v>4.3466666666666668E-5</v>
      </c>
      <c r="AK180" s="6">
        <v>4.3333333333333334E-5</v>
      </c>
      <c r="AL180" s="6">
        <v>4.32E-5</v>
      </c>
      <c r="AM180" s="6">
        <v>4.3066666666666665E-5</v>
      </c>
      <c r="AN180" s="6">
        <v>4.2933333333333331E-5</v>
      </c>
      <c r="AO180" s="6">
        <v>4.2799999999999997E-5</v>
      </c>
      <c r="AP180" s="6">
        <v>4.2666666666666662E-5</v>
      </c>
      <c r="AQ180" s="6">
        <v>4.2533333333333328E-5</v>
      </c>
      <c r="AR180" s="6">
        <v>4.2400000000000001E-5</v>
      </c>
      <c r="AS180" s="6">
        <v>4.2266666666666666E-5</v>
      </c>
      <c r="AT180" s="6">
        <v>4.2133333333333332E-5</v>
      </c>
      <c r="AU180" s="6">
        <v>4.1999999999999998E-5</v>
      </c>
      <c r="AV180" s="6">
        <v>4.1999999999999998E-5</v>
      </c>
      <c r="AW180" s="6">
        <v>4.1999999999999998E-5</v>
      </c>
      <c r="AX180" s="6">
        <v>4.1999999999999998E-5</v>
      </c>
      <c r="AY180" s="6">
        <v>4.1999999999999998E-5</v>
      </c>
      <c r="AZ180" s="6">
        <v>4.1999999999999998E-5</v>
      </c>
      <c r="BA180" s="6">
        <v>4.1999999999999998E-5</v>
      </c>
      <c r="BB180" s="6">
        <v>4.1999999999999998E-5</v>
      </c>
      <c r="BC180" s="6">
        <v>4.1999999999999998E-5</v>
      </c>
      <c r="BD180" s="6">
        <v>4.1999999999999998E-5</v>
      </c>
      <c r="BE180" s="6">
        <v>4.1999999999999998E-5</v>
      </c>
      <c r="BF180" s="6">
        <v>4.1999999999999998E-5</v>
      </c>
      <c r="BG180" s="6">
        <v>4.1999999999999998E-5</v>
      </c>
      <c r="BH180" s="6">
        <v>4.1999999999999998E-5</v>
      </c>
      <c r="BI180" s="6">
        <v>4.1999999999999998E-5</v>
      </c>
      <c r="BJ180" s="6">
        <v>4.1999999999999998E-5</v>
      </c>
      <c r="BK180" s="6">
        <v>4.1999999999999998E-5</v>
      </c>
      <c r="BL180" s="6">
        <v>4.1999999999999998E-5</v>
      </c>
      <c r="BM180" s="6">
        <v>4.1999999999999998E-5</v>
      </c>
      <c r="BN180" s="6">
        <v>4.1999999999999998E-5</v>
      </c>
      <c r="BO180" s="6">
        <v>4.1999999999999998E-5</v>
      </c>
      <c r="BP180" s="6">
        <v>4.1999999999999998E-5</v>
      </c>
      <c r="BQ180" s="6">
        <v>4.1999999999999998E-5</v>
      </c>
      <c r="BR180" s="6">
        <v>4.1999999999999998E-5</v>
      </c>
      <c r="BS180" s="6">
        <v>4.1999999999999998E-5</v>
      </c>
      <c r="BT180" s="6">
        <v>4.1949999999999996E-5</v>
      </c>
      <c r="BU180" s="6">
        <v>4.1899999999999995E-5</v>
      </c>
      <c r="BV180" s="6">
        <v>4.1850000000000001E-5</v>
      </c>
      <c r="BW180" s="6">
        <v>4.18E-5</v>
      </c>
      <c r="BX180" s="6">
        <v>4.1749999999999998E-5</v>
      </c>
      <c r="BY180" s="6">
        <v>4.1699999999999997E-5</v>
      </c>
      <c r="BZ180" s="6">
        <v>4.1649999999999996E-5</v>
      </c>
      <c r="CA180" s="6">
        <v>4.1600000000000002E-5</v>
      </c>
      <c r="CB180" s="6">
        <v>4.155E-5</v>
      </c>
      <c r="CC180" s="6">
        <v>4.1499999999999999E-5</v>
      </c>
      <c r="CD180" s="6">
        <v>4.1449999999999998E-5</v>
      </c>
      <c r="CE180" s="6">
        <v>4.1399999999999997E-5</v>
      </c>
      <c r="CF180" s="6">
        <v>4.1350000000000002E-5</v>
      </c>
      <c r="CG180" s="6">
        <v>4.1300000000000001E-5</v>
      </c>
      <c r="CH180" s="6">
        <v>4.125E-5</v>
      </c>
      <c r="CI180" s="6">
        <v>4.1199999999999999E-5</v>
      </c>
      <c r="CJ180" s="6">
        <v>4.1149999999999997E-5</v>
      </c>
      <c r="CK180" s="6">
        <v>4.1100000000000003E-5</v>
      </c>
      <c r="CL180" s="6">
        <v>4.1050000000000002E-5</v>
      </c>
      <c r="CM180" s="6">
        <v>4.1E-5</v>
      </c>
    </row>
    <row r="181" spans="1:91" x14ac:dyDescent="0.25">
      <c r="A181" s="50"/>
    </row>
    <row r="182" spans="1:91" x14ac:dyDescent="0.25">
      <c r="A182" s="50" t="s">
        <v>230</v>
      </c>
      <c r="B182" s="4">
        <v>0</v>
      </c>
      <c r="C182" s="4">
        <v>0</v>
      </c>
      <c r="D182" s="4">
        <v>0</v>
      </c>
      <c r="E182" s="4">
        <v>0</v>
      </c>
      <c r="F182" s="4">
        <v>0</v>
      </c>
      <c r="G182" s="4">
        <v>0</v>
      </c>
      <c r="H182" s="4">
        <v>0</v>
      </c>
      <c r="I182" s="4">
        <v>0</v>
      </c>
      <c r="J182" s="4">
        <v>0</v>
      </c>
      <c r="K182" s="4">
        <v>0</v>
      </c>
      <c r="L182" s="4">
        <v>0</v>
      </c>
      <c r="M182" s="4">
        <v>0</v>
      </c>
      <c r="N182" s="4">
        <v>0</v>
      </c>
      <c r="O182" s="4">
        <v>0</v>
      </c>
      <c r="P182" s="4">
        <v>0</v>
      </c>
      <c r="Q182" s="4">
        <v>0</v>
      </c>
      <c r="R182" s="4">
        <v>0</v>
      </c>
      <c r="S182" s="4">
        <v>0</v>
      </c>
      <c r="T182" s="4">
        <v>0</v>
      </c>
      <c r="U182" s="4">
        <v>0</v>
      </c>
      <c r="V182" s="4">
        <v>0</v>
      </c>
      <c r="W182" s="4">
        <v>0</v>
      </c>
      <c r="X182" s="4">
        <v>0</v>
      </c>
      <c r="Y182" s="4">
        <v>0</v>
      </c>
      <c r="Z182" s="4">
        <v>0</v>
      </c>
      <c r="AA182" s="4">
        <v>0</v>
      </c>
      <c r="AB182" s="4">
        <v>0</v>
      </c>
      <c r="AC182" s="4">
        <v>0</v>
      </c>
      <c r="AD182" s="4">
        <v>0</v>
      </c>
      <c r="AE182" s="4">
        <v>0</v>
      </c>
      <c r="AF182" s="6">
        <v>7.4499999999999995E-5</v>
      </c>
      <c r="AG182" s="6">
        <v>7.4486666666666659E-5</v>
      </c>
      <c r="AH182" s="6">
        <v>7.4473333333333324E-5</v>
      </c>
      <c r="AI182" s="6">
        <v>7.4460000000000002E-5</v>
      </c>
      <c r="AJ182" s="6">
        <v>7.4446666666666667E-5</v>
      </c>
      <c r="AK182" s="6">
        <v>7.4433333333333331E-5</v>
      </c>
      <c r="AL182" s="6">
        <v>7.4419999999999996E-5</v>
      </c>
      <c r="AM182" s="6">
        <v>7.440666666666666E-5</v>
      </c>
      <c r="AN182" s="6">
        <v>7.4393333333333338E-5</v>
      </c>
      <c r="AO182" s="6">
        <v>7.4380000000000003E-5</v>
      </c>
      <c r="AP182" s="6">
        <v>7.4366666666666667E-5</v>
      </c>
      <c r="AQ182" s="6">
        <v>7.4353333333333332E-5</v>
      </c>
      <c r="AR182" s="6">
        <v>7.4339999999999996E-5</v>
      </c>
      <c r="AS182" s="6">
        <v>7.4326666666666674E-5</v>
      </c>
      <c r="AT182" s="6">
        <v>7.4313333333333339E-5</v>
      </c>
      <c r="AU182" s="6">
        <v>7.4300000000000004E-5</v>
      </c>
      <c r="AV182" s="6">
        <v>7.4304545454545462E-5</v>
      </c>
      <c r="AW182" s="6">
        <v>7.4309090909090907E-5</v>
      </c>
      <c r="AX182" s="6">
        <v>7.4313636363636365E-5</v>
      </c>
      <c r="AY182" s="6">
        <v>7.4318181818181823E-5</v>
      </c>
      <c r="AZ182" s="6">
        <v>7.4322727272727282E-5</v>
      </c>
      <c r="BA182" s="6">
        <v>7.4327272727272727E-5</v>
      </c>
      <c r="BB182" s="6">
        <v>7.4331818181818185E-5</v>
      </c>
      <c r="BC182" s="6">
        <v>7.4336363636363643E-5</v>
      </c>
      <c r="BD182" s="6">
        <v>7.4340909090909088E-5</v>
      </c>
      <c r="BE182" s="6">
        <v>7.4345454545454546E-5</v>
      </c>
      <c r="BF182" s="6">
        <v>7.4350000000000005E-5</v>
      </c>
      <c r="BG182" s="6">
        <v>7.435454545454545E-5</v>
      </c>
      <c r="BH182" s="6">
        <v>7.4359090909090908E-5</v>
      </c>
      <c r="BI182" s="6">
        <v>7.4363636363636366E-5</v>
      </c>
      <c r="BJ182" s="6">
        <v>7.4368181818181825E-5</v>
      </c>
      <c r="BK182" s="6">
        <v>7.4372727272727269E-5</v>
      </c>
      <c r="BL182" s="6">
        <v>7.4377272727272728E-5</v>
      </c>
      <c r="BM182" s="6">
        <v>7.4381818181818186E-5</v>
      </c>
      <c r="BN182" s="6">
        <v>7.4386363636363631E-5</v>
      </c>
      <c r="BO182" s="6">
        <v>7.4390909090909089E-5</v>
      </c>
      <c r="BP182" s="6">
        <v>7.4395454545454548E-5</v>
      </c>
      <c r="BQ182" s="6">
        <v>7.4399999999999992E-5</v>
      </c>
      <c r="BR182" s="6">
        <v>7.4404545454545451E-5</v>
      </c>
      <c r="BS182" s="6">
        <v>7.3999999999999996E-5</v>
      </c>
      <c r="BT182" s="6">
        <v>7.4024999999999997E-5</v>
      </c>
      <c r="BU182" s="6">
        <v>7.4049999999999997E-5</v>
      </c>
      <c r="BV182" s="6">
        <v>7.4074999999999998E-5</v>
      </c>
      <c r="BW182" s="6">
        <v>7.4099999999999999E-5</v>
      </c>
      <c r="BX182" s="6">
        <v>7.4124999999999999E-5</v>
      </c>
      <c r="BY182" s="6">
        <v>7.415E-5</v>
      </c>
      <c r="BZ182" s="6">
        <v>7.4175E-5</v>
      </c>
      <c r="CA182" s="6">
        <v>7.4200000000000001E-5</v>
      </c>
      <c r="CB182" s="6">
        <v>7.4225000000000002E-5</v>
      </c>
      <c r="CC182" s="6">
        <v>7.4249999999999989E-5</v>
      </c>
      <c r="CD182" s="6">
        <v>7.4274999999999989E-5</v>
      </c>
      <c r="CE182" s="6">
        <v>7.429999999999999E-5</v>
      </c>
      <c r="CF182" s="6">
        <v>7.4324999999999991E-5</v>
      </c>
      <c r="CG182" s="6">
        <v>7.4349999999999991E-5</v>
      </c>
      <c r="CH182" s="6">
        <v>7.4374999999999992E-5</v>
      </c>
      <c r="CI182" s="6">
        <v>7.4399999999999992E-5</v>
      </c>
      <c r="CJ182" s="6">
        <v>7.4424999999999993E-5</v>
      </c>
      <c r="CK182" s="6">
        <v>7.4449999999999994E-5</v>
      </c>
      <c r="CL182" s="6">
        <v>7.4474999999999994E-5</v>
      </c>
      <c r="CM182" s="6">
        <v>7.4499999999999995E-5</v>
      </c>
    </row>
    <row r="184" spans="1:91" s="50" customFormat="1" x14ac:dyDescent="0.25">
      <c r="A184" s="50" t="s">
        <v>231</v>
      </c>
      <c r="B184" s="4">
        <v>0</v>
      </c>
      <c r="C184" s="4">
        <v>0</v>
      </c>
      <c r="D184" s="4">
        <v>0</v>
      </c>
      <c r="E184" s="4">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c r="X184" s="4">
        <v>0</v>
      </c>
      <c r="Y184" s="4">
        <v>0</v>
      </c>
      <c r="Z184" s="4">
        <v>0</v>
      </c>
      <c r="AA184" s="4">
        <v>0</v>
      </c>
      <c r="AB184" s="4">
        <v>0</v>
      </c>
      <c r="AC184" s="4">
        <v>0</v>
      </c>
      <c r="AD184" s="4">
        <v>0</v>
      </c>
      <c r="AE184" s="4">
        <v>0</v>
      </c>
      <c r="AF184" s="51">
        <v>1.0539223515949156E-6</v>
      </c>
      <c r="AG184" s="51">
        <v>1.0659217087913867E-6</v>
      </c>
      <c r="AH184" s="51">
        <v>1.078057683806913E-6</v>
      </c>
      <c r="AI184" s="51">
        <v>1.0903318320938559E-6</v>
      </c>
      <c r="AJ184" s="51">
        <v>1.1027457268140674E-6</v>
      </c>
      <c r="AK184" s="51">
        <v>1.1153009590405209E-6</v>
      </c>
      <c r="AL184" s="51">
        <v>1.1279991379612369E-6</v>
      </c>
      <c r="AM184" s="51">
        <v>1.1408418910855304E-6</v>
      </c>
      <c r="AN184" s="51">
        <v>1.1538308644526068E-6</v>
      </c>
      <c r="AO184" s="51">
        <v>1.1669677228425325E-6</v>
      </c>
      <c r="AP184" s="51">
        <v>1.1802541499896076E-6</v>
      </c>
      <c r="AQ184" s="51">
        <v>1.1936918487981684E-6</v>
      </c>
      <c r="AR184" s="51">
        <v>1.2072825415608461E-6</v>
      </c>
      <c r="AS184" s="51">
        <v>1.2210279701793106E-6</v>
      </c>
      <c r="AT184" s="51">
        <v>1.2349298963875282E-6</v>
      </c>
      <c r="AU184" s="51">
        <v>1.2489901019775607E-6</v>
      </c>
      <c r="AV184" s="51">
        <v>1.2578503784137278E-6</v>
      </c>
      <c r="AW184" s="51">
        <v>1.2667735092299263E-6</v>
      </c>
      <c r="AX184" s="51">
        <v>1.2757599403121417E-6</v>
      </c>
      <c r="AY184" s="51">
        <v>1.2848101207094532E-6</v>
      </c>
      <c r="AZ184" s="51">
        <v>1.2939245026564731E-6</v>
      </c>
      <c r="BA184" s="51">
        <v>1.3031035415959443E-6</v>
      </c>
      <c r="BB184" s="51">
        <v>1.3123476962014991E-6</v>
      </c>
      <c r="BC184" s="51">
        <v>1.3216574284005785E-6</v>
      </c>
      <c r="BD184" s="51">
        <v>1.3310332033975152E-6</v>
      </c>
      <c r="BE184" s="51">
        <v>1.3404754896967791E-6</v>
      </c>
      <c r="BF184" s="51">
        <v>1.3499847591263884E-6</v>
      </c>
      <c r="BG184" s="51">
        <v>1.3595614868614868E-6</v>
      </c>
      <c r="BH184" s="51">
        <v>1.3692061514480884E-6</v>
      </c>
      <c r="BI184" s="51">
        <v>1.3789192348269895E-6</v>
      </c>
      <c r="BJ184" s="51">
        <v>1.3887012223578519E-6</v>
      </c>
      <c r="BK184" s="51">
        <v>1.3985526028434551E-6</v>
      </c>
      <c r="BL184" s="51">
        <v>1.4084738685541233E-6</v>
      </c>
      <c r="BM184" s="51">
        <v>1.418465515252322E-6</v>
      </c>
      <c r="BN184" s="51">
        <v>1.4285280422174328E-6</v>
      </c>
      <c r="BO184" s="51">
        <v>1.4386619522707009E-6</v>
      </c>
      <c r="BP184" s="51">
        <v>1.4488677518003621E-6</v>
      </c>
      <c r="BQ184" s="51">
        <v>1.4591459507869459E-6</v>
      </c>
      <c r="BR184" s="51">
        <v>1.4694970628287595E-6</v>
      </c>
      <c r="BS184" s="51">
        <v>1.4799216051675524E-6</v>
      </c>
      <c r="BT184" s="51">
        <v>1.490420098714362E-6</v>
      </c>
      <c r="BU184" s="51">
        <v>1.5009930680755441E-6</v>
      </c>
      <c r="BV184" s="51">
        <v>1.511641041578987E-6</v>
      </c>
      <c r="BW184" s="51">
        <v>1.5223645513005123E-6</v>
      </c>
      <c r="BX184" s="51">
        <v>1.5331641330904616E-6</v>
      </c>
      <c r="BY184" s="51">
        <v>1.5440403266004739E-6</v>
      </c>
      <c r="BZ184" s="51">
        <v>1.5549936753104507E-6</v>
      </c>
      <c r="CA184" s="51">
        <v>1.5660247265557146E-6</v>
      </c>
      <c r="CB184" s="51">
        <v>1.5771340315543587E-6</v>
      </c>
      <c r="CC184" s="51">
        <v>1.5883221454347914E-6</v>
      </c>
      <c r="CD184" s="51">
        <v>1.5995896272634752E-6</v>
      </c>
      <c r="CE184" s="51">
        <v>1.6109370400728637E-6</v>
      </c>
      <c r="CF184" s="51">
        <v>1.622364950889536E-6</v>
      </c>
      <c r="CG184" s="51">
        <v>1.6338739307625311E-6</v>
      </c>
      <c r="CH184" s="51">
        <v>1.6454645547918821E-6</v>
      </c>
      <c r="CI184" s="51">
        <v>1.6571374021573549E-6</v>
      </c>
      <c r="CJ184" s="51">
        <v>1.6688930561473891E-6</v>
      </c>
      <c r="CK184" s="51">
        <v>1.6807321041882447E-6</v>
      </c>
      <c r="CL184" s="51">
        <v>1.6926551378733555E-6</v>
      </c>
      <c r="CM184" s="51">
        <v>1.7046627529928911E-6</v>
      </c>
    </row>
    <row r="185" spans="1:91" s="50" customFormat="1" x14ac:dyDescent="0.25">
      <c r="A185" s="50" t="s">
        <v>1</v>
      </c>
      <c r="B185" s="4">
        <v>0</v>
      </c>
      <c r="C185" s="4">
        <v>0</v>
      </c>
      <c r="D185" s="4">
        <v>0</v>
      </c>
      <c r="E185" s="4">
        <v>0</v>
      </c>
      <c r="F185" s="4">
        <v>0</v>
      </c>
      <c r="G185" s="4">
        <v>0</v>
      </c>
      <c r="H185" s="4">
        <v>0</v>
      </c>
      <c r="I185" s="4">
        <v>0</v>
      </c>
      <c r="J185" s="4">
        <v>0</v>
      </c>
      <c r="K185" s="4">
        <v>0</v>
      </c>
      <c r="L185" s="4">
        <v>0</v>
      </c>
      <c r="M185" s="4">
        <v>0</v>
      </c>
      <c r="N185" s="4">
        <v>0</v>
      </c>
      <c r="O185" s="4">
        <v>0</v>
      </c>
      <c r="P185" s="4">
        <v>0</v>
      </c>
      <c r="Q185" s="4">
        <v>0</v>
      </c>
      <c r="R185" s="4">
        <v>0</v>
      </c>
      <c r="S185" s="4">
        <v>0</v>
      </c>
      <c r="T185" s="4">
        <v>0</v>
      </c>
      <c r="U185" s="4">
        <v>0</v>
      </c>
      <c r="V185" s="4">
        <v>0</v>
      </c>
      <c r="W185" s="4">
        <v>0</v>
      </c>
      <c r="X185" s="4">
        <v>0</v>
      </c>
      <c r="Y185" s="4">
        <v>0</v>
      </c>
      <c r="Z185" s="4">
        <v>0</v>
      </c>
      <c r="AA185" s="4">
        <v>0</v>
      </c>
      <c r="AB185" s="4">
        <v>0</v>
      </c>
      <c r="AC185" s="4">
        <v>0</v>
      </c>
      <c r="AD185" s="4">
        <v>0</v>
      </c>
      <c r="AE185" s="4">
        <v>0</v>
      </c>
      <c r="AF185" s="51">
        <v>5.3999999999999998E-5</v>
      </c>
      <c r="AG185" s="51">
        <v>5.5133333333333329E-5</v>
      </c>
      <c r="AH185" s="51">
        <v>5.6266666666666668E-5</v>
      </c>
      <c r="AI185" s="51">
        <v>5.7399999999999999E-5</v>
      </c>
      <c r="AJ185" s="51">
        <v>5.8533333333333331E-5</v>
      </c>
      <c r="AK185" s="51">
        <v>5.9666666666666669E-5</v>
      </c>
      <c r="AL185" s="51">
        <v>6.0800000000000001E-5</v>
      </c>
      <c r="AM185" s="51">
        <v>6.1933333333333339E-5</v>
      </c>
      <c r="AN185" s="51">
        <v>6.3066666666666664E-5</v>
      </c>
      <c r="AO185" s="51">
        <v>6.4200000000000002E-5</v>
      </c>
      <c r="AP185" s="51">
        <v>6.533333333333334E-5</v>
      </c>
      <c r="AQ185" s="51">
        <v>6.6466666666666665E-5</v>
      </c>
      <c r="AR185" s="51">
        <v>6.7600000000000003E-5</v>
      </c>
      <c r="AS185" s="51">
        <v>6.8733333333333342E-5</v>
      </c>
      <c r="AT185" s="51">
        <v>6.9866666666666666E-5</v>
      </c>
      <c r="AU185" s="51">
        <v>7.1000000000000005E-5</v>
      </c>
      <c r="AV185" s="51">
        <v>7.1958333333333339E-5</v>
      </c>
      <c r="AW185" s="51">
        <v>7.2916666666666673E-5</v>
      </c>
      <c r="AX185" s="51">
        <v>7.3875000000000007E-5</v>
      </c>
      <c r="AY185" s="51">
        <v>7.4833333333333341E-5</v>
      </c>
      <c r="AZ185" s="51">
        <v>7.5791666666666675E-5</v>
      </c>
      <c r="BA185" s="51">
        <v>7.6749999999999995E-5</v>
      </c>
      <c r="BB185" s="51">
        <v>7.7708333333333329E-5</v>
      </c>
      <c r="BC185" s="51">
        <v>7.8666666666666663E-5</v>
      </c>
      <c r="BD185" s="51">
        <v>7.9624999999999997E-5</v>
      </c>
      <c r="BE185" s="51">
        <v>8.0583333333333331E-5</v>
      </c>
      <c r="BF185" s="51">
        <v>8.1541666666666666E-5</v>
      </c>
      <c r="BG185" s="51">
        <v>8.25E-5</v>
      </c>
      <c r="BH185" s="51">
        <v>8.3458333333333334E-5</v>
      </c>
      <c r="BI185" s="51">
        <v>8.4416666666666668E-5</v>
      </c>
      <c r="BJ185" s="51">
        <v>8.5375000000000002E-5</v>
      </c>
      <c r="BK185" s="51">
        <v>8.6333333333333336E-5</v>
      </c>
      <c r="BL185" s="51">
        <v>8.729166666666667E-5</v>
      </c>
      <c r="BM185" s="51">
        <v>8.8250000000000004E-5</v>
      </c>
      <c r="BN185" s="51">
        <v>8.9208333333333338E-5</v>
      </c>
      <c r="BO185" s="51">
        <v>9.0166666666666672E-5</v>
      </c>
      <c r="BP185" s="51">
        <v>9.1124999999999992E-5</v>
      </c>
      <c r="BQ185" s="51">
        <v>9.2083333333333326E-5</v>
      </c>
      <c r="BR185" s="51">
        <v>9.304166666666666E-5</v>
      </c>
      <c r="BS185" s="51">
        <v>9.3999999999999994E-5</v>
      </c>
      <c r="BT185" s="51">
        <v>9.5099999999999994E-5</v>
      </c>
      <c r="BU185" s="51">
        <v>9.6199999999999994E-5</v>
      </c>
      <c r="BV185" s="51">
        <v>9.7299999999999993E-5</v>
      </c>
      <c r="BW185" s="51">
        <v>9.8399999999999993E-5</v>
      </c>
      <c r="BX185" s="51">
        <v>9.9499999999999993E-5</v>
      </c>
      <c r="BY185" s="51">
        <v>1.0059999999999999E-4</v>
      </c>
      <c r="BZ185" s="51">
        <v>1.0169999999999999E-4</v>
      </c>
      <c r="CA185" s="51">
        <v>1.0279999999999999E-4</v>
      </c>
      <c r="CB185" s="51">
        <v>1.0389999999999999E-4</v>
      </c>
      <c r="CC185" s="51">
        <v>1.05E-4</v>
      </c>
      <c r="CD185" s="51">
        <v>1.061E-4</v>
      </c>
      <c r="CE185" s="51">
        <v>1.072E-4</v>
      </c>
      <c r="CF185" s="51">
        <v>1.083E-4</v>
      </c>
      <c r="CG185" s="51">
        <v>1.094E-4</v>
      </c>
      <c r="CH185" s="51">
        <v>1.105E-4</v>
      </c>
      <c r="CI185" s="51">
        <v>1.116E-4</v>
      </c>
      <c r="CJ185" s="51">
        <v>1.127E-4</v>
      </c>
      <c r="CK185" s="51">
        <v>1.138E-4</v>
      </c>
      <c r="CL185" s="51">
        <v>1.149E-4</v>
      </c>
      <c r="CM185" s="51">
        <v>1.16E-4</v>
      </c>
    </row>
    <row r="186" spans="1:91" s="50" customFormat="1" x14ac:dyDescent="0.25">
      <c r="A186" s="50" t="s">
        <v>2</v>
      </c>
      <c r="B186" s="4">
        <v>0</v>
      </c>
      <c r="C186" s="4">
        <v>0</v>
      </c>
      <c r="D186" s="4">
        <v>0</v>
      </c>
      <c r="E186" s="4">
        <v>0</v>
      </c>
      <c r="F186" s="4">
        <v>0</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c r="X186" s="4">
        <v>0</v>
      </c>
      <c r="Y186" s="4">
        <v>0</v>
      </c>
      <c r="Z186" s="4">
        <v>0</v>
      </c>
      <c r="AA186" s="4">
        <v>0</v>
      </c>
      <c r="AB186" s="4">
        <v>0</v>
      </c>
      <c r="AC186" s="4">
        <v>0</v>
      </c>
      <c r="AD186" s="4">
        <v>0</v>
      </c>
      <c r="AE186" s="4">
        <v>0</v>
      </c>
      <c r="AF186" s="51">
        <v>1.2044424235258871E-6</v>
      </c>
      <c r="AG186" s="51">
        <v>1.2378647723801511E-6</v>
      </c>
      <c r="AH186" s="51">
        <v>1.272214565652776E-6</v>
      </c>
      <c r="AI186" s="51">
        <v>1.3075175392114861E-6</v>
      </c>
      <c r="AJ186" s="51">
        <v>1.3438001430744975E-6</v>
      </c>
      <c r="AK186" s="51">
        <v>1.3810895612276438E-6</v>
      </c>
      <c r="AL186" s="51">
        <v>1.4194137319914119E-6</v>
      </c>
      <c r="AM186" s="51">
        <v>1.4588013689531469E-6</v>
      </c>
      <c r="AN186" s="51">
        <v>1.4992819824801098E-6</v>
      </c>
      <c r="AO186" s="51">
        <v>1.5408859018295065E-6</v>
      </c>
      <c r="AP186" s="51">
        <v>1.5836442978720518E-6</v>
      </c>
      <c r="AQ186" s="51">
        <v>1.6275892064460964E-6</v>
      </c>
      <c r="AR186" s="51">
        <v>1.6727535523598113E-6</v>
      </c>
      <c r="AS186" s="51">
        <v>1.7191711740594156E-6</v>
      </c>
      <c r="AT186" s="51">
        <v>1.7668768489819277E-6</v>
      </c>
      <c r="AU186" s="51">
        <v>1.8159063196114365E-6</v>
      </c>
      <c r="AV186" s="51">
        <v>1.830433570168328E-6</v>
      </c>
      <c r="AW186" s="51">
        <v>1.8450770387296747E-6</v>
      </c>
      <c r="AX186" s="51">
        <v>1.859837655039512E-6</v>
      </c>
      <c r="AY186" s="51">
        <v>1.8747163562798282E-6</v>
      </c>
      <c r="AZ186" s="51">
        <v>1.8897140871300668E-6</v>
      </c>
      <c r="BA186" s="51">
        <v>1.9048317998271073E-6</v>
      </c>
      <c r="BB186" s="51">
        <v>1.9200704542257243E-6</v>
      </c>
      <c r="BC186" s="51">
        <v>1.93543101785953E-6</v>
      </c>
      <c r="BD186" s="51">
        <v>1.9509144660024064E-6</v>
      </c>
      <c r="BE186" s="51">
        <v>1.9665217817304256E-6</v>
      </c>
      <c r="BF186" s="51">
        <v>1.9822539559842688E-6</v>
      </c>
      <c r="BG186" s="51">
        <v>1.9981119876321428E-6</v>
      </c>
      <c r="BH186" s="51">
        <v>2.0140968835331998E-6</v>
      </c>
      <c r="BI186" s="51">
        <v>2.0302096586014655E-6</v>
      </c>
      <c r="BJ186" s="51">
        <v>2.0464513358702772E-6</v>
      </c>
      <c r="BK186" s="51">
        <v>2.0628229465572392E-6</v>
      </c>
      <c r="BL186" s="51">
        <v>2.0793255301296971E-6</v>
      </c>
      <c r="BM186" s="51">
        <v>2.0959601343707348E-6</v>
      </c>
      <c r="BN186" s="51">
        <v>2.1127278154457006E-6</v>
      </c>
      <c r="BO186" s="51">
        <v>2.1296296379692663E-6</v>
      </c>
      <c r="BP186" s="51">
        <v>2.1466666750730206E-6</v>
      </c>
      <c r="BQ186" s="51">
        <v>2.1638400084736047E-6</v>
      </c>
      <c r="BR186" s="51">
        <v>2.1811507285413934E-6</v>
      </c>
      <c r="BS186" s="51">
        <v>2.1985999343697244E-6</v>
      </c>
      <c r="BT186" s="51">
        <v>2.2161887338446822E-6</v>
      </c>
      <c r="BU186" s="51">
        <v>2.2339182437154397E-6</v>
      </c>
      <c r="BV186" s="51">
        <v>2.2517895896651631E-6</v>
      </c>
      <c r="BW186" s="51">
        <v>2.2698039063824843E-6</v>
      </c>
      <c r="BX186" s="51">
        <v>2.2879623376335442E-6</v>
      </c>
      <c r="BY186" s="51">
        <v>2.3062660363346126E-6</v>
      </c>
      <c r="BZ186" s="51">
        <v>2.3247161646252896E-6</v>
      </c>
      <c r="CA186" s="51">
        <v>2.3433138939422919E-6</v>
      </c>
      <c r="CB186" s="51">
        <v>2.3620604050938301E-6</v>
      </c>
      <c r="CC186" s="51">
        <v>2.3809568883345806E-6</v>
      </c>
      <c r="CD186" s="51">
        <v>2.4000045434412571E-6</v>
      </c>
      <c r="CE186" s="51">
        <v>2.419204579788787E-6</v>
      </c>
      <c r="CF186" s="51">
        <v>2.4385582164270972E-6</v>
      </c>
      <c r="CG186" s="51">
        <v>2.458066682158514E-6</v>
      </c>
      <c r="CH186" s="51">
        <v>2.4777312156157822E-6</v>
      </c>
      <c r="CI186" s="51">
        <v>2.4975530653407083E-6</v>
      </c>
      <c r="CJ186" s="51">
        <v>2.5175334898634339E-6</v>
      </c>
      <c r="CK186" s="51">
        <v>2.5376737577823415E-6</v>
      </c>
      <c r="CL186" s="51">
        <v>2.5579751478446003E-6</v>
      </c>
      <c r="CM186" s="51">
        <v>2.5784389490273569E-6</v>
      </c>
    </row>
    <row r="187" spans="1:91" s="50" customFormat="1" x14ac:dyDescent="0.25">
      <c r="A187" s="50" t="s">
        <v>2</v>
      </c>
      <c r="B187" s="4">
        <v>0</v>
      </c>
      <c r="C187" s="4">
        <v>0</v>
      </c>
      <c r="D187" s="4">
        <v>0</v>
      </c>
      <c r="E187" s="4">
        <v>0</v>
      </c>
      <c r="F187" s="4">
        <v>0</v>
      </c>
      <c r="G187" s="4">
        <v>0</v>
      </c>
      <c r="H187" s="4">
        <v>0</v>
      </c>
      <c r="I187" s="4">
        <v>0</v>
      </c>
      <c r="J187" s="4">
        <v>0</v>
      </c>
      <c r="K187" s="4">
        <v>0</v>
      </c>
      <c r="L187" s="4">
        <v>0</v>
      </c>
      <c r="M187" s="4">
        <v>0</v>
      </c>
      <c r="N187" s="4">
        <v>0</v>
      </c>
      <c r="O187" s="4">
        <v>0</v>
      </c>
      <c r="P187" s="4">
        <v>0</v>
      </c>
      <c r="Q187" s="4">
        <v>0</v>
      </c>
      <c r="R187" s="4">
        <v>0</v>
      </c>
      <c r="S187" s="4">
        <v>0</v>
      </c>
      <c r="T187" s="4">
        <v>0</v>
      </c>
      <c r="U187" s="4">
        <v>0</v>
      </c>
      <c r="V187" s="4">
        <v>0</v>
      </c>
      <c r="W187" s="4">
        <v>0</v>
      </c>
      <c r="X187" s="4">
        <v>0</v>
      </c>
      <c r="Y187" s="4">
        <v>0</v>
      </c>
      <c r="Z187" s="4">
        <v>0</v>
      </c>
      <c r="AA187" s="4">
        <v>0</v>
      </c>
      <c r="AB187" s="4">
        <v>0</v>
      </c>
      <c r="AC187" s="4">
        <v>0</v>
      </c>
      <c r="AD187" s="4">
        <v>0</v>
      </c>
      <c r="AE187" s="4">
        <v>0</v>
      </c>
      <c r="AF187" s="51">
        <v>7.014514157487943E-7</v>
      </c>
      <c r="AG187" s="51">
        <v>7.3220398303631971E-7</v>
      </c>
      <c r="AH187" s="51">
        <v>7.6430478396275546E-7</v>
      </c>
      <c r="AI187" s="51">
        <v>7.9781292689222903E-7</v>
      </c>
      <c r="AJ187" s="51">
        <v>8.3279011157852712E-7</v>
      </c>
      <c r="AK187" s="51">
        <v>8.6930074277508049E-7</v>
      </c>
      <c r="AL187" s="51">
        <v>9.0741204882576254E-7</v>
      </c>
      <c r="AM187" s="51">
        <v>9.4719420545486692E-7</v>
      </c>
      <c r="AN187" s="51">
        <v>9.8872046498420344E-7</v>
      </c>
      <c r="AO187" s="51">
        <v>1.0320672912152436E-6</v>
      </c>
      <c r="AP187" s="51">
        <v>1.0773145002246803E-6</v>
      </c>
      <c r="AQ187" s="51">
        <v>1.1245454073326517E-6</v>
      </c>
      <c r="AR187" s="51">
        <v>1.1738469805142503E-6</v>
      </c>
      <c r="AS187" s="51">
        <v>1.2253100005367957E-6</v>
      </c>
      <c r="AT187" s="51">
        <v>1.2790292281177409E-6</v>
      </c>
      <c r="AU187" s="51">
        <v>1.335103578411003E-6</v>
      </c>
      <c r="AV187" s="51">
        <v>1.3764917893417442E-6</v>
      </c>
      <c r="AW187" s="51">
        <v>1.4191630348113382E-6</v>
      </c>
      <c r="AX187" s="51">
        <v>1.4631570888904898E-6</v>
      </c>
      <c r="AY187" s="51">
        <v>1.508514958646095E-6</v>
      </c>
      <c r="AZ187" s="51">
        <v>1.5552789223641239E-6</v>
      </c>
      <c r="BA187" s="51">
        <v>1.6034925689574118E-6</v>
      </c>
      <c r="BB187" s="51">
        <v>1.6532008385950917E-6</v>
      </c>
      <c r="BC187" s="51">
        <v>1.7044500645915395E-6</v>
      </c>
      <c r="BD187" s="51">
        <v>1.7572880165938773E-6</v>
      </c>
      <c r="BE187" s="51">
        <v>1.8117639451082876E-6</v>
      </c>
      <c r="BF187" s="51">
        <v>1.8679286274066446E-6</v>
      </c>
      <c r="BG187" s="51">
        <v>1.9258344148562507E-6</v>
      </c>
      <c r="BH187" s="51">
        <v>1.9855352817167947E-6</v>
      </c>
      <c r="BI187" s="51">
        <v>2.0470868754500153E-6</v>
      </c>
      <c r="BJ187" s="51">
        <v>2.1105465685889656E-6</v>
      </c>
      <c r="BK187" s="51">
        <v>2.1759735122152235E-6</v>
      </c>
      <c r="BL187" s="51">
        <v>2.2434286910938953E-6</v>
      </c>
      <c r="BM187" s="51">
        <v>2.3129749805178061E-6</v>
      </c>
      <c r="BN187" s="51">
        <v>2.384677204913858E-6</v>
      </c>
      <c r="BO187" s="51">
        <v>2.4586021982661875E-6</v>
      </c>
      <c r="BP187" s="51">
        <v>2.5348188664124393E-6</v>
      </c>
      <c r="BQ187" s="51">
        <v>2.613398251271225E-6</v>
      </c>
      <c r="BR187" s="51">
        <v>2.6944135970606328E-6</v>
      </c>
      <c r="BS187" s="51">
        <v>2.7779404185695123E-6</v>
      </c>
      <c r="BT187" s="51">
        <v>2.8640565715451673E-6</v>
      </c>
      <c r="BU187" s="51">
        <v>2.9528423252630673E-6</v>
      </c>
      <c r="BV187" s="51">
        <v>3.0443804373462223E-6</v>
      </c>
      <c r="BW187" s="51">
        <v>3.138756230903955E-6</v>
      </c>
      <c r="BX187" s="51">
        <v>3.2360576740619776E-6</v>
      </c>
      <c r="BY187" s="51">
        <v>3.3363754619578987E-6</v>
      </c>
      <c r="BZ187" s="51">
        <v>3.4398031012785936E-6</v>
      </c>
      <c r="CA187" s="51">
        <v>3.54643699741823E-6</v>
      </c>
      <c r="CB187" s="51">
        <v>3.6563765443381951E-6</v>
      </c>
      <c r="CC187" s="51">
        <v>3.7697242172126791E-6</v>
      </c>
      <c r="CD187" s="51">
        <v>3.8865856679462721E-6</v>
      </c>
      <c r="CE187" s="51">
        <v>4.0070698236526063E-6</v>
      </c>
      <c r="CF187" s="51">
        <v>4.1312889881858374E-6</v>
      </c>
      <c r="CG187" s="51">
        <v>4.2593589468195986E-6</v>
      </c>
      <c r="CH187" s="51">
        <v>4.3913990741710065E-6</v>
      </c>
      <c r="CI187" s="51">
        <v>4.5275324454703075E-6</v>
      </c>
      <c r="CJ187" s="51">
        <v>4.667885951279887E-6</v>
      </c>
      <c r="CK187" s="51">
        <v>4.8125904157695633E-6</v>
      </c>
      <c r="CL187" s="51">
        <v>4.9617807186584201E-6</v>
      </c>
      <c r="CM187" s="51">
        <v>5.1155959209368314E-6</v>
      </c>
    </row>
    <row r="188" spans="1:91" s="50" customFormat="1" x14ac:dyDescent="0.25">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91" s="50" customFormat="1" x14ac:dyDescent="0.25">
      <c r="A189" s="50" t="s">
        <v>232</v>
      </c>
      <c r="B189" s="4">
        <v>0</v>
      </c>
      <c r="C189" s="4">
        <v>0</v>
      </c>
      <c r="D189" s="4">
        <v>0</v>
      </c>
      <c r="E189" s="4">
        <v>0</v>
      </c>
      <c r="F189" s="4">
        <v>0</v>
      </c>
      <c r="G189" s="4">
        <v>0</v>
      </c>
      <c r="H189" s="4">
        <v>0</v>
      </c>
      <c r="I189" s="4">
        <v>0</v>
      </c>
      <c r="J189" s="4">
        <v>0</v>
      </c>
      <c r="K189" s="4">
        <v>0</v>
      </c>
      <c r="L189" s="4">
        <v>0</v>
      </c>
      <c r="M189" s="4">
        <v>0</v>
      </c>
      <c r="N189" s="4">
        <v>0</v>
      </c>
      <c r="O189" s="4">
        <v>0</v>
      </c>
      <c r="P189" s="4">
        <v>0</v>
      </c>
      <c r="Q189" s="4">
        <v>0</v>
      </c>
      <c r="R189" s="4">
        <v>0</v>
      </c>
      <c r="S189" s="4">
        <v>0</v>
      </c>
      <c r="T189" s="4">
        <v>0</v>
      </c>
      <c r="U189" s="4">
        <v>0</v>
      </c>
      <c r="V189" s="4">
        <v>0</v>
      </c>
      <c r="W189" s="4">
        <v>0</v>
      </c>
      <c r="X189" s="4">
        <v>0</v>
      </c>
      <c r="Y189" s="4">
        <v>0</v>
      </c>
      <c r="Z189" s="4">
        <v>0</v>
      </c>
      <c r="AA189" s="4">
        <v>0</v>
      </c>
      <c r="AB189" s="4">
        <v>0</v>
      </c>
      <c r="AC189" s="4">
        <v>0</v>
      </c>
      <c r="AD189" s="4">
        <v>0</v>
      </c>
      <c r="AE189" s="4">
        <v>0</v>
      </c>
      <c r="AF189" s="51">
        <v>3.7080237741456164E-5</v>
      </c>
      <c r="AG189" s="51">
        <v>3.6942050520059435E-5</v>
      </c>
      <c r="AH189" s="51">
        <v>3.68038632986627E-5</v>
      </c>
      <c r="AI189" s="51">
        <v>3.6665676077265971E-5</v>
      </c>
      <c r="AJ189" s="51">
        <v>3.6527488855869242E-5</v>
      </c>
      <c r="AK189" s="51">
        <v>3.6389301634472513E-5</v>
      </c>
      <c r="AL189" s="51">
        <v>3.6251114413075777E-5</v>
      </c>
      <c r="AM189" s="51">
        <v>3.6112927191679048E-5</v>
      </c>
      <c r="AN189" s="51">
        <v>3.5974739970282319E-5</v>
      </c>
      <c r="AO189" s="51">
        <v>3.583655274888559E-5</v>
      </c>
      <c r="AP189" s="51">
        <v>3.5698365527488854E-5</v>
      </c>
      <c r="AQ189" s="51">
        <v>3.5560178306092125E-5</v>
      </c>
      <c r="AR189" s="51">
        <v>3.5421991084695396E-5</v>
      </c>
      <c r="AS189" s="51">
        <v>3.5283803863298667E-5</v>
      </c>
      <c r="AT189" s="51">
        <v>3.5145616641901932E-5</v>
      </c>
      <c r="AU189" s="51">
        <v>3.5007429420505203E-5</v>
      </c>
      <c r="AV189" s="51">
        <v>3.528014168942117E-5</v>
      </c>
      <c r="AW189" s="51">
        <v>3.5552853958337137E-5</v>
      </c>
      <c r="AX189" s="51">
        <v>3.5825566227253104E-5</v>
      </c>
      <c r="AY189" s="51">
        <v>3.6098278496169071E-5</v>
      </c>
      <c r="AZ189" s="51">
        <v>3.6370990765085038E-5</v>
      </c>
      <c r="BA189" s="51">
        <v>3.6643703034001005E-5</v>
      </c>
      <c r="BB189" s="51">
        <v>3.6916415302916972E-5</v>
      </c>
      <c r="BC189" s="51">
        <v>3.7189127571832939E-5</v>
      </c>
      <c r="BD189" s="51">
        <v>3.7461839840748906E-5</v>
      </c>
      <c r="BE189" s="51">
        <v>3.7734552109664873E-5</v>
      </c>
      <c r="BF189" s="51">
        <v>3.800726437858084E-5</v>
      </c>
      <c r="BG189" s="51">
        <v>3.8279976647496807E-5</v>
      </c>
      <c r="BH189" s="51">
        <v>3.8552688916412774E-5</v>
      </c>
      <c r="BI189" s="51">
        <v>3.8825401185328741E-5</v>
      </c>
      <c r="BJ189" s="51">
        <v>3.9098113454244701E-5</v>
      </c>
      <c r="BK189" s="51">
        <v>3.9370825723160668E-5</v>
      </c>
      <c r="BL189" s="51">
        <v>3.9643537992076635E-5</v>
      </c>
      <c r="BM189" s="51">
        <v>3.9916250260992602E-5</v>
      </c>
      <c r="BN189" s="51">
        <v>4.0188962529908569E-5</v>
      </c>
      <c r="BO189" s="51">
        <v>4.0461674798824536E-5</v>
      </c>
      <c r="BP189" s="51">
        <v>4.0734387067740503E-5</v>
      </c>
      <c r="BQ189" s="51">
        <v>4.100709933665647E-5</v>
      </c>
      <c r="BR189" s="51">
        <v>4.1279811605572437E-5</v>
      </c>
      <c r="BS189" s="51">
        <v>4.1552523874488404E-5</v>
      </c>
      <c r="BT189" s="51">
        <v>4.1512824010914052E-5</v>
      </c>
      <c r="BU189" s="51">
        <v>4.1473124147339701E-5</v>
      </c>
      <c r="BV189" s="51">
        <v>4.1433424283765349E-5</v>
      </c>
      <c r="BW189" s="51">
        <v>4.1393724420190997E-5</v>
      </c>
      <c r="BX189" s="51">
        <v>4.1354024556616646E-5</v>
      </c>
      <c r="BY189" s="51">
        <v>4.1314324693042294E-5</v>
      </c>
      <c r="BZ189" s="51">
        <v>4.1274624829467942E-5</v>
      </c>
      <c r="CA189" s="51">
        <v>4.123492496589359E-5</v>
      </c>
      <c r="CB189" s="51">
        <v>4.1195225102319239E-5</v>
      </c>
      <c r="CC189" s="51">
        <v>4.115552523874488E-5</v>
      </c>
      <c r="CD189" s="51">
        <v>4.1115825375170529E-5</v>
      </c>
      <c r="CE189" s="51">
        <v>4.1076125511596177E-5</v>
      </c>
      <c r="CF189" s="51">
        <v>4.1036425648021825E-5</v>
      </c>
      <c r="CG189" s="51">
        <v>4.0996725784447473E-5</v>
      </c>
      <c r="CH189" s="51">
        <v>4.0957025920873122E-5</v>
      </c>
      <c r="CI189" s="51">
        <v>4.091732605729877E-5</v>
      </c>
      <c r="CJ189" s="51">
        <v>4.0877626193724418E-5</v>
      </c>
      <c r="CK189" s="51">
        <v>4.0837926330150067E-5</v>
      </c>
      <c r="CL189" s="51">
        <v>4.0798226466575715E-5</v>
      </c>
      <c r="CM189" s="51">
        <v>4.0758526603001363E-5</v>
      </c>
    </row>
    <row r="190" spans="1:91" s="50" customFormat="1" x14ac:dyDescent="0.25">
      <c r="A190" s="50" t="s">
        <v>1</v>
      </c>
      <c r="B190" s="4">
        <v>0</v>
      </c>
      <c r="C190" s="4">
        <v>0</v>
      </c>
      <c r="D190" s="4">
        <v>0</v>
      </c>
      <c r="E190" s="4">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c r="X190" s="4">
        <v>0</v>
      </c>
      <c r="Y190" s="4">
        <v>0</v>
      </c>
      <c r="Z190" s="4">
        <v>0</v>
      </c>
      <c r="AA190" s="4">
        <v>0</v>
      </c>
      <c r="AB190" s="4">
        <v>0</v>
      </c>
      <c r="AC190" s="4">
        <v>0</v>
      </c>
      <c r="AD190" s="4">
        <v>0</v>
      </c>
      <c r="AE190" s="4">
        <v>0</v>
      </c>
      <c r="AF190" s="51">
        <v>5.3108469539375934E-5</v>
      </c>
      <c r="AG190" s="51">
        <v>5.2910549777117393E-5</v>
      </c>
      <c r="AH190" s="51">
        <v>5.2712630014858845E-5</v>
      </c>
      <c r="AI190" s="51">
        <v>5.2514710252600303E-5</v>
      </c>
      <c r="AJ190" s="51">
        <v>5.2316790490341755E-5</v>
      </c>
      <c r="AK190" s="51">
        <v>5.2118870728083214E-5</v>
      </c>
      <c r="AL190" s="51">
        <v>5.1920950965824673E-5</v>
      </c>
      <c r="AM190" s="51">
        <v>5.1723031203566125E-5</v>
      </c>
      <c r="AN190" s="51">
        <v>5.1525111441307583E-5</v>
      </c>
      <c r="AO190" s="51">
        <v>5.1327191679049035E-5</v>
      </c>
      <c r="AP190" s="51">
        <v>5.1129271916790494E-5</v>
      </c>
      <c r="AQ190" s="51">
        <v>5.0931352154531953E-5</v>
      </c>
      <c r="AR190" s="51">
        <v>5.0733432392273405E-5</v>
      </c>
      <c r="AS190" s="51">
        <v>5.0535512630014863E-5</v>
      </c>
      <c r="AT190" s="51">
        <v>5.0337592867756315E-5</v>
      </c>
      <c r="AU190" s="51">
        <v>5.0139673105497774E-5</v>
      </c>
      <c r="AV190" s="51">
        <v>5.0058535066256649E-5</v>
      </c>
      <c r="AW190" s="51">
        <v>4.9977397027015525E-5</v>
      </c>
      <c r="AX190" s="51">
        <v>4.9896258987774401E-5</v>
      </c>
      <c r="AY190" s="51">
        <v>4.9815120948533276E-5</v>
      </c>
      <c r="AZ190" s="51">
        <v>4.9733982909292152E-5</v>
      </c>
      <c r="BA190" s="51">
        <v>4.9652844870051027E-5</v>
      </c>
      <c r="BB190" s="51">
        <v>4.9571706830809896E-5</v>
      </c>
      <c r="BC190" s="51">
        <v>4.9490568791568772E-5</v>
      </c>
      <c r="BD190" s="51">
        <v>4.9409430752327647E-5</v>
      </c>
      <c r="BE190" s="51">
        <v>4.9328292713086523E-5</v>
      </c>
      <c r="BF190" s="51">
        <v>4.9247154673845398E-5</v>
      </c>
      <c r="BG190" s="51">
        <v>4.9166016634604274E-5</v>
      </c>
      <c r="BH190" s="51">
        <v>4.908487859536315E-5</v>
      </c>
      <c r="BI190" s="51">
        <v>4.9003740556122025E-5</v>
      </c>
      <c r="BJ190" s="51">
        <v>4.8922602516880901E-5</v>
      </c>
      <c r="BK190" s="51">
        <v>4.8841464477639776E-5</v>
      </c>
      <c r="BL190" s="51">
        <v>4.8760326438398652E-5</v>
      </c>
      <c r="BM190" s="51">
        <v>4.8679188399157521E-5</v>
      </c>
      <c r="BN190" s="51">
        <v>4.8598050359916396E-5</v>
      </c>
      <c r="BO190" s="51">
        <v>4.8516912320675272E-5</v>
      </c>
      <c r="BP190" s="51">
        <v>4.8435774281434147E-5</v>
      </c>
      <c r="BQ190" s="51">
        <v>4.8354636242193023E-5</v>
      </c>
      <c r="BR190" s="51">
        <v>4.8273498202951899E-5</v>
      </c>
      <c r="BS190" s="51">
        <v>4.8192360163710774E-5</v>
      </c>
      <c r="BT190" s="51">
        <v>4.8146316507503409E-5</v>
      </c>
      <c r="BU190" s="51">
        <v>4.8100272851296038E-5</v>
      </c>
      <c r="BV190" s="51">
        <v>4.8054229195088673E-5</v>
      </c>
      <c r="BW190" s="51">
        <v>4.8008185538881309E-5</v>
      </c>
      <c r="BX190" s="51">
        <v>4.7962141882673937E-5</v>
      </c>
      <c r="BY190" s="51">
        <v>4.7916098226466572E-5</v>
      </c>
      <c r="BZ190" s="51">
        <v>4.7870054570259208E-5</v>
      </c>
      <c r="CA190" s="51">
        <v>4.7824010914051836E-5</v>
      </c>
      <c r="CB190" s="51">
        <v>4.7777967257844471E-5</v>
      </c>
      <c r="CC190" s="51">
        <v>4.77319236016371E-5</v>
      </c>
      <c r="CD190" s="51">
        <v>4.7685879945429735E-5</v>
      </c>
      <c r="CE190" s="51">
        <v>4.7639836289222371E-5</v>
      </c>
      <c r="CF190" s="51">
        <v>4.7593792633014999E-5</v>
      </c>
      <c r="CG190" s="51">
        <v>4.7547748976807634E-5</v>
      </c>
      <c r="CH190" s="51">
        <v>4.750170532060027E-5</v>
      </c>
      <c r="CI190" s="51">
        <v>4.7455661664392898E-5</v>
      </c>
      <c r="CJ190" s="51">
        <v>4.7409618008185533E-5</v>
      </c>
      <c r="CK190" s="51">
        <v>4.7363574351978169E-5</v>
      </c>
      <c r="CL190" s="51">
        <v>4.7317530695770797E-5</v>
      </c>
      <c r="CM190" s="51">
        <v>4.7271487039563433E-5</v>
      </c>
    </row>
    <row r="191" spans="1:91" s="50" customFormat="1" x14ac:dyDescent="0.25">
      <c r="A191" s="50" t="s">
        <v>1</v>
      </c>
      <c r="B191" s="4">
        <v>0</v>
      </c>
      <c r="C191" s="4">
        <v>0</v>
      </c>
      <c r="D191" s="4">
        <v>0</v>
      </c>
      <c r="E191" s="4">
        <v>0</v>
      </c>
      <c r="F191" s="4">
        <v>0</v>
      </c>
      <c r="G191" s="4">
        <v>0</v>
      </c>
      <c r="H191" s="4">
        <v>0</v>
      </c>
      <c r="I191" s="4">
        <v>0</v>
      </c>
      <c r="J191" s="4">
        <v>0</v>
      </c>
      <c r="K191" s="4">
        <v>0</v>
      </c>
      <c r="L191" s="4">
        <v>0</v>
      </c>
      <c r="M191" s="4">
        <v>0</v>
      </c>
      <c r="N191" s="4">
        <v>0</v>
      </c>
      <c r="O191" s="4">
        <v>0</v>
      </c>
      <c r="P191" s="4">
        <v>0</v>
      </c>
      <c r="Q191" s="4">
        <v>0</v>
      </c>
      <c r="R191" s="4">
        <v>0</v>
      </c>
      <c r="S191" s="4">
        <v>0</v>
      </c>
      <c r="T191" s="4">
        <v>0</v>
      </c>
      <c r="U191" s="4">
        <v>0</v>
      </c>
      <c r="V191" s="4">
        <v>0</v>
      </c>
      <c r="W191" s="4">
        <v>0</v>
      </c>
      <c r="X191" s="4">
        <v>0</v>
      </c>
      <c r="Y191" s="4">
        <v>0</v>
      </c>
      <c r="Z191" s="4">
        <v>0</v>
      </c>
      <c r="AA191" s="4">
        <v>0</v>
      </c>
      <c r="AB191" s="4">
        <v>0</v>
      </c>
      <c r="AC191" s="4">
        <v>0</v>
      </c>
      <c r="AD191" s="4">
        <v>0</v>
      </c>
      <c r="AE191" s="4">
        <v>0</v>
      </c>
      <c r="AF191" s="51">
        <v>3.7797919762258547E-5</v>
      </c>
      <c r="AG191" s="51">
        <v>3.7657057949479947E-5</v>
      </c>
      <c r="AH191" s="51">
        <v>3.751619613670134E-5</v>
      </c>
      <c r="AI191" s="51">
        <v>3.737533432392274E-5</v>
      </c>
      <c r="AJ191" s="51">
        <v>3.7234472511144133E-5</v>
      </c>
      <c r="AK191" s="51">
        <v>3.7093610698365533E-5</v>
      </c>
      <c r="AL191" s="51">
        <v>3.6952748885586927E-5</v>
      </c>
      <c r="AM191" s="51">
        <v>3.6811887072808326E-5</v>
      </c>
      <c r="AN191" s="51">
        <v>3.667102526002972E-5</v>
      </c>
      <c r="AO191" s="51">
        <v>3.653016344725112E-5</v>
      </c>
      <c r="AP191" s="51">
        <v>3.6389301634472513E-5</v>
      </c>
      <c r="AQ191" s="51">
        <v>3.6248439821693913E-5</v>
      </c>
      <c r="AR191" s="51">
        <v>3.6107578008915306E-5</v>
      </c>
      <c r="AS191" s="51">
        <v>3.5966716196136706E-5</v>
      </c>
      <c r="AT191" s="51">
        <v>3.5825854383358106E-5</v>
      </c>
      <c r="AU191" s="51">
        <v>3.5684992570579499E-5</v>
      </c>
      <c r="AV191" s="51">
        <v>3.5581417107060016E-5</v>
      </c>
      <c r="AW191" s="51">
        <v>3.5477841643540532E-5</v>
      </c>
      <c r="AX191" s="51">
        <v>3.5374266180021042E-5</v>
      </c>
      <c r="AY191" s="51">
        <v>3.5270690716501559E-5</v>
      </c>
      <c r="AZ191" s="51">
        <v>3.5167115252982075E-5</v>
      </c>
      <c r="BA191" s="51">
        <v>3.5063539789462592E-5</v>
      </c>
      <c r="BB191" s="51">
        <v>3.4959964325943108E-5</v>
      </c>
      <c r="BC191" s="51">
        <v>3.4856388862423618E-5</v>
      </c>
      <c r="BD191" s="51">
        <v>3.4752813398904135E-5</v>
      </c>
      <c r="BE191" s="51">
        <v>3.4649237935384652E-5</v>
      </c>
      <c r="BF191" s="51">
        <v>3.4545662471865168E-5</v>
      </c>
      <c r="BG191" s="51">
        <v>3.4442087008345685E-5</v>
      </c>
      <c r="BH191" s="51">
        <v>3.4338511544826195E-5</v>
      </c>
      <c r="BI191" s="51">
        <v>3.4234936081306711E-5</v>
      </c>
      <c r="BJ191" s="51">
        <v>3.4131360617787228E-5</v>
      </c>
      <c r="BK191" s="51">
        <v>3.4027785154267744E-5</v>
      </c>
      <c r="BL191" s="51">
        <v>3.3924209690748254E-5</v>
      </c>
      <c r="BM191" s="51">
        <v>3.3820634227228771E-5</v>
      </c>
      <c r="BN191" s="51">
        <v>3.3717058763709287E-5</v>
      </c>
      <c r="BO191" s="51">
        <v>3.3613483300189804E-5</v>
      </c>
      <c r="BP191" s="51">
        <v>3.3509907836670321E-5</v>
      </c>
      <c r="BQ191" s="51">
        <v>3.3406332373150831E-5</v>
      </c>
      <c r="BR191" s="51">
        <v>3.3302756909631347E-5</v>
      </c>
      <c r="BS191" s="51">
        <v>3.3199181446111864E-5</v>
      </c>
      <c r="BT191" s="51">
        <v>3.3167462482946792E-5</v>
      </c>
      <c r="BU191" s="51">
        <v>3.3135743519781713E-5</v>
      </c>
      <c r="BV191" s="51">
        <v>3.3104024556616642E-5</v>
      </c>
      <c r="BW191" s="51">
        <v>3.3072305593451563E-5</v>
      </c>
      <c r="BX191" s="51">
        <v>3.3040586630286491E-5</v>
      </c>
      <c r="BY191" s="51">
        <v>3.3008867667121413E-5</v>
      </c>
      <c r="BZ191" s="51">
        <v>3.2977148703956341E-5</v>
      </c>
      <c r="CA191" s="51">
        <v>3.2945429740791262E-5</v>
      </c>
      <c r="CB191" s="51">
        <v>3.291371077762619E-5</v>
      </c>
      <c r="CC191" s="51">
        <v>3.2881991814461112E-5</v>
      </c>
      <c r="CD191" s="51">
        <v>3.285027285129604E-5</v>
      </c>
      <c r="CE191" s="51">
        <v>3.2818553888130968E-5</v>
      </c>
      <c r="CF191" s="51">
        <v>3.278683492496589E-5</v>
      </c>
      <c r="CG191" s="51">
        <v>3.2755115961800818E-5</v>
      </c>
      <c r="CH191" s="51">
        <v>3.2723396998635739E-5</v>
      </c>
      <c r="CI191" s="51">
        <v>3.2691678035470667E-5</v>
      </c>
      <c r="CJ191" s="51">
        <v>3.2659959072305589E-5</v>
      </c>
      <c r="CK191" s="51">
        <v>3.2628240109140517E-5</v>
      </c>
      <c r="CL191" s="51">
        <v>3.2596521145975438E-5</v>
      </c>
      <c r="CM191" s="51">
        <v>3.2564802182810367E-5</v>
      </c>
    </row>
    <row r="192" spans="1:91" s="50" customFormat="1" x14ac:dyDescent="0.25">
      <c r="A192" s="50" t="s">
        <v>1</v>
      </c>
      <c r="B192" s="4">
        <v>0</v>
      </c>
      <c r="C192" s="4">
        <v>0</v>
      </c>
      <c r="D192" s="4">
        <v>0</v>
      </c>
      <c r="E192" s="4">
        <v>0</v>
      </c>
      <c r="F192" s="4">
        <v>0</v>
      </c>
      <c r="G192" s="4">
        <v>0</v>
      </c>
      <c r="H192" s="4">
        <v>0</v>
      </c>
      <c r="I192" s="4">
        <v>0</v>
      </c>
      <c r="J192" s="4">
        <v>0</v>
      </c>
      <c r="K192" s="4">
        <v>0</v>
      </c>
      <c r="L192" s="4">
        <v>0</v>
      </c>
      <c r="M192" s="4">
        <v>0</v>
      </c>
      <c r="N192" s="4">
        <v>0</v>
      </c>
      <c r="O192" s="4">
        <v>0</v>
      </c>
      <c r="P192" s="4">
        <v>0</v>
      </c>
      <c r="Q192" s="4">
        <v>0</v>
      </c>
      <c r="R192" s="4">
        <v>0</v>
      </c>
      <c r="S192" s="4">
        <v>0</v>
      </c>
      <c r="T192" s="4">
        <v>0</v>
      </c>
      <c r="U192" s="4">
        <v>0</v>
      </c>
      <c r="V192" s="4">
        <v>0</v>
      </c>
      <c r="W192" s="4">
        <v>0</v>
      </c>
      <c r="X192" s="4">
        <v>0</v>
      </c>
      <c r="Y192" s="4">
        <v>0</v>
      </c>
      <c r="Z192" s="4">
        <v>0</v>
      </c>
      <c r="AA192" s="4">
        <v>0</v>
      </c>
      <c r="AB192" s="4">
        <v>0</v>
      </c>
      <c r="AC192" s="4">
        <v>0</v>
      </c>
      <c r="AD192" s="4">
        <v>0</v>
      </c>
      <c r="AE192" s="4">
        <v>0</v>
      </c>
      <c r="AF192" s="51">
        <v>3.3013372956909365E-5</v>
      </c>
      <c r="AG192" s="51">
        <v>3.2890341753343241E-5</v>
      </c>
      <c r="AH192" s="51">
        <v>3.2767310549777124E-5</v>
      </c>
      <c r="AI192" s="51">
        <v>3.2644279346211E-5</v>
      </c>
      <c r="AJ192" s="51">
        <v>3.2521248142644876E-5</v>
      </c>
      <c r="AK192" s="51">
        <v>3.2398216939078752E-5</v>
      </c>
      <c r="AL192" s="51">
        <v>3.2275185735512635E-5</v>
      </c>
      <c r="AM192" s="51">
        <v>3.2152154531946511E-5</v>
      </c>
      <c r="AN192" s="51">
        <v>3.2029123328380387E-5</v>
      </c>
      <c r="AO192" s="51">
        <v>3.1906092124814263E-5</v>
      </c>
      <c r="AP192" s="51">
        <v>3.1783060921248146E-5</v>
      </c>
      <c r="AQ192" s="51">
        <v>3.1660029717682022E-5</v>
      </c>
      <c r="AR192" s="51">
        <v>3.1536998514115898E-5</v>
      </c>
      <c r="AS192" s="51">
        <v>3.1413967310549774E-5</v>
      </c>
      <c r="AT192" s="51">
        <v>3.1290936106983657E-5</v>
      </c>
      <c r="AU192" s="51">
        <v>3.1167904903417533E-5</v>
      </c>
      <c r="AV192" s="51">
        <v>3.128823947059551E-5</v>
      </c>
      <c r="AW192" s="51">
        <v>3.1408574037773487E-5</v>
      </c>
      <c r="AX192" s="51">
        <v>3.1528908604951457E-5</v>
      </c>
      <c r="AY192" s="51">
        <v>3.1649243172129434E-5</v>
      </c>
      <c r="AZ192" s="51">
        <v>3.1769577739307411E-5</v>
      </c>
      <c r="BA192" s="51">
        <v>3.1889912306485388E-5</v>
      </c>
      <c r="BB192" s="51">
        <v>3.2010246873663365E-5</v>
      </c>
      <c r="BC192" s="51">
        <v>3.2130581440841335E-5</v>
      </c>
      <c r="BD192" s="51">
        <v>3.2250916008019312E-5</v>
      </c>
      <c r="BE192" s="51">
        <v>3.2371250575197289E-5</v>
      </c>
      <c r="BF192" s="51">
        <v>3.2491585142375266E-5</v>
      </c>
      <c r="BG192" s="51">
        <v>3.2611919709553243E-5</v>
      </c>
      <c r="BH192" s="51">
        <v>3.2732254276731213E-5</v>
      </c>
      <c r="BI192" s="51">
        <v>3.285258884390919E-5</v>
      </c>
      <c r="BJ192" s="51">
        <v>3.2972923411087167E-5</v>
      </c>
      <c r="BK192" s="51">
        <v>3.3093257978265144E-5</v>
      </c>
      <c r="BL192" s="51">
        <v>3.3213592545443114E-5</v>
      </c>
      <c r="BM192" s="51">
        <v>3.3333927112621091E-5</v>
      </c>
      <c r="BN192" s="51">
        <v>3.3454261679799068E-5</v>
      </c>
      <c r="BO192" s="51">
        <v>3.3574596246977045E-5</v>
      </c>
      <c r="BP192" s="51">
        <v>3.3694930814155022E-5</v>
      </c>
      <c r="BQ192" s="51">
        <v>3.3815265381332992E-5</v>
      </c>
      <c r="BR192" s="51">
        <v>3.3935599948510969E-5</v>
      </c>
      <c r="BS192" s="51">
        <v>3.4055934515688946E-5</v>
      </c>
      <c r="BT192" s="51">
        <v>3.4023396998635737E-5</v>
      </c>
      <c r="BU192" s="51">
        <v>3.3990859481582535E-5</v>
      </c>
      <c r="BV192" s="51">
        <v>3.3958321964529326E-5</v>
      </c>
      <c r="BW192" s="51">
        <v>3.3925784447476125E-5</v>
      </c>
      <c r="BX192" s="51">
        <v>3.3893246930422916E-5</v>
      </c>
      <c r="BY192" s="51">
        <v>3.3860709413369707E-5</v>
      </c>
      <c r="BZ192" s="51">
        <v>3.3828171896316505E-5</v>
      </c>
      <c r="CA192" s="51">
        <v>3.3795634379263297E-5</v>
      </c>
      <c r="CB192" s="51">
        <v>3.3763096862210095E-5</v>
      </c>
      <c r="CC192" s="51">
        <v>3.3730559345156886E-5</v>
      </c>
      <c r="CD192" s="51">
        <v>3.3698021828103678E-5</v>
      </c>
      <c r="CE192" s="51">
        <v>3.3665484311050476E-5</v>
      </c>
      <c r="CF192" s="51">
        <v>3.3632946793997267E-5</v>
      </c>
      <c r="CG192" s="51">
        <v>3.3600409276944065E-5</v>
      </c>
      <c r="CH192" s="51">
        <v>3.3567871759890857E-5</v>
      </c>
      <c r="CI192" s="51">
        <v>3.3535334242837648E-5</v>
      </c>
      <c r="CJ192" s="51">
        <v>3.3502796725784446E-5</v>
      </c>
      <c r="CK192" s="51">
        <v>3.3470259208731237E-5</v>
      </c>
      <c r="CL192" s="51">
        <v>3.3437721691678036E-5</v>
      </c>
      <c r="CM192" s="51">
        <v>3.3405184174624827E-5</v>
      </c>
    </row>
    <row r="193" spans="1:91" s="50" customFormat="1" x14ac:dyDescent="0.25">
      <c r="A193" s="50" t="s">
        <v>1</v>
      </c>
      <c r="B193" s="4">
        <v>0</v>
      </c>
      <c r="C193" s="4">
        <v>0</v>
      </c>
      <c r="D193" s="4">
        <v>0</v>
      </c>
      <c r="E193" s="4">
        <v>0</v>
      </c>
      <c r="F193" s="4">
        <v>0</v>
      </c>
      <c r="G193" s="4">
        <v>0</v>
      </c>
      <c r="H193" s="4">
        <v>0</v>
      </c>
      <c r="I193" s="4">
        <v>0</v>
      </c>
      <c r="J193" s="4">
        <v>0</v>
      </c>
      <c r="K193" s="4">
        <v>0</v>
      </c>
      <c r="L193" s="4">
        <v>0</v>
      </c>
      <c r="M193" s="4">
        <v>0</v>
      </c>
      <c r="N193" s="4">
        <v>0</v>
      </c>
      <c r="O193" s="4">
        <v>0</v>
      </c>
      <c r="P193" s="4">
        <v>0</v>
      </c>
      <c r="Q193" s="4">
        <v>0</v>
      </c>
      <c r="R193" s="4">
        <v>0</v>
      </c>
      <c r="S193" s="4">
        <v>0</v>
      </c>
      <c r="T193" s="4">
        <v>0</v>
      </c>
      <c r="U193" s="4">
        <v>0</v>
      </c>
      <c r="V193" s="4">
        <v>0</v>
      </c>
      <c r="W193" s="4">
        <v>0</v>
      </c>
      <c r="X193" s="4">
        <v>0</v>
      </c>
      <c r="Y193" s="4">
        <v>0</v>
      </c>
      <c r="Z193" s="4">
        <v>0</v>
      </c>
      <c r="AA193" s="4">
        <v>0</v>
      </c>
      <c r="AB193" s="4">
        <v>0</v>
      </c>
      <c r="AC193" s="4">
        <v>0</v>
      </c>
      <c r="AD193" s="4">
        <v>0</v>
      </c>
      <c r="AE193" s="4">
        <v>0</v>
      </c>
      <c r="AF193" s="51">
        <v>7.0999999999999998E-6</v>
      </c>
      <c r="AG193" s="51">
        <v>7.2199999999999995E-6</v>
      </c>
      <c r="AH193" s="51">
        <v>7.34E-6</v>
      </c>
      <c r="AI193" s="51">
        <v>7.4599999999999997E-6</v>
      </c>
      <c r="AJ193" s="51">
        <v>7.5800000000000003E-6</v>
      </c>
      <c r="AK193" s="51">
        <v>7.7000000000000008E-6</v>
      </c>
      <c r="AL193" s="51">
        <v>7.8199999999999997E-6</v>
      </c>
      <c r="AM193" s="51">
        <v>7.9400000000000002E-6</v>
      </c>
      <c r="AN193" s="51">
        <v>8.0600000000000008E-6</v>
      </c>
      <c r="AO193" s="51">
        <v>8.1800000000000013E-6</v>
      </c>
      <c r="AP193" s="51">
        <v>8.3000000000000002E-6</v>
      </c>
      <c r="AQ193" s="51">
        <v>8.4200000000000007E-6</v>
      </c>
      <c r="AR193" s="51">
        <v>8.5400000000000012E-6</v>
      </c>
      <c r="AS193" s="51">
        <v>8.6600000000000018E-6</v>
      </c>
      <c r="AT193" s="51">
        <v>8.7800000000000006E-6</v>
      </c>
      <c r="AU193" s="51">
        <v>8.9000000000000012E-6</v>
      </c>
      <c r="AV193" s="51">
        <v>9.0458333333333341E-6</v>
      </c>
      <c r="AW193" s="51">
        <v>9.191666666666667E-6</v>
      </c>
      <c r="AX193" s="51">
        <v>9.3375000000000017E-6</v>
      </c>
      <c r="AY193" s="51">
        <v>9.4833333333333346E-6</v>
      </c>
      <c r="AZ193" s="51">
        <v>9.6291666666666675E-6</v>
      </c>
      <c r="BA193" s="51">
        <v>9.7750000000000004E-6</v>
      </c>
      <c r="BB193" s="51">
        <v>9.9208333333333334E-6</v>
      </c>
      <c r="BC193" s="51">
        <v>1.0066666666666668E-5</v>
      </c>
      <c r="BD193" s="51">
        <v>1.0212500000000001E-5</v>
      </c>
      <c r="BE193" s="51">
        <v>1.0358333333333334E-5</v>
      </c>
      <c r="BF193" s="51">
        <v>1.0504166666666667E-5</v>
      </c>
      <c r="BG193" s="51">
        <v>1.0650000000000001E-5</v>
      </c>
      <c r="BH193" s="51">
        <v>1.0795833333333334E-5</v>
      </c>
      <c r="BI193" s="51">
        <v>1.0941666666666667E-5</v>
      </c>
      <c r="BJ193" s="51">
        <v>1.10875E-5</v>
      </c>
      <c r="BK193" s="51">
        <v>1.1233333333333333E-5</v>
      </c>
      <c r="BL193" s="51">
        <v>1.1379166666666668E-5</v>
      </c>
      <c r="BM193" s="51">
        <v>1.1525000000000001E-5</v>
      </c>
      <c r="BN193" s="51">
        <v>1.1670833333333334E-5</v>
      </c>
      <c r="BO193" s="51">
        <v>1.1816666666666666E-5</v>
      </c>
      <c r="BP193" s="51">
        <v>1.1962499999999999E-5</v>
      </c>
      <c r="BQ193" s="51">
        <v>1.2108333333333334E-5</v>
      </c>
      <c r="BR193" s="51">
        <v>1.2254166666666667E-5</v>
      </c>
      <c r="BS193" s="51">
        <v>1.24E-5</v>
      </c>
      <c r="BT193" s="51">
        <v>1.2615E-5</v>
      </c>
      <c r="BU193" s="51">
        <v>1.2829999999999999E-5</v>
      </c>
      <c r="BV193" s="51">
        <v>1.3045E-5</v>
      </c>
      <c r="BW193" s="51">
        <v>1.326E-5</v>
      </c>
      <c r="BX193" s="51">
        <v>1.3474999999999999E-5</v>
      </c>
      <c r="BY193" s="51">
        <v>1.3689999999999999E-5</v>
      </c>
      <c r="BZ193" s="51">
        <v>1.3905E-5</v>
      </c>
      <c r="CA193" s="51">
        <v>1.412E-5</v>
      </c>
      <c r="CB193" s="51">
        <v>1.4334999999999999E-5</v>
      </c>
      <c r="CC193" s="51">
        <v>1.455E-5</v>
      </c>
      <c r="CD193" s="51">
        <v>1.4765E-5</v>
      </c>
      <c r="CE193" s="51">
        <v>1.4979999999999999E-5</v>
      </c>
      <c r="CF193" s="51">
        <v>1.5194999999999999E-5</v>
      </c>
      <c r="CG193" s="51">
        <v>1.541E-5</v>
      </c>
      <c r="CH193" s="51">
        <v>1.5625E-5</v>
      </c>
      <c r="CI193" s="51">
        <v>1.5840000000000001E-5</v>
      </c>
      <c r="CJ193" s="51">
        <v>1.6055000000000001E-5</v>
      </c>
      <c r="CK193" s="51">
        <v>1.6269999999999998E-5</v>
      </c>
      <c r="CL193" s="51">
        <v>1.6484999999999999E-5</v>
      </c>
      <c r="CM193" s="51">
        <v>1.6699999999999999E-5</v>
      </c>
    </row>
    <row r="194" spans="1:91" s="50" customFormat="1" x14ac:dyDescent="0.25">
      <c r="A194" s="50" t="s">
        <v>1</v>
      </c>
      <c r="B194" s="4">
        <v>0</v>
      </c>
      <c r="C194" s="4">
        <v>0</v>
      </c>
      <c r="D194" s="4">
        <v>0</v>
      </c>
      <c r="E194" s="4">
        <v>0</v>
      </c>
      <c r="F194" s="4">
        <v>0</v>
      </c>
      <c r="G194" s="4">
        <v>0</v>
      </c>
      <c r="H194" s="4">
        <v>0</v>
      </c>
      <c r="I194" s="4">
        <v>0</v>
      </c>
      <c r="J194" s="4">
        <v>0</v>
      </c>
      <c r="K194" s="4">
        <v>0</v>
      </c>
      <c r="L194" s="4">
        <v>0</v>
      </c>
      <c r="M194" s="4">
        <v>0</v>
      </c>
      <c r="N194" s="4">
        <v>0</v>
      </c>
      <c r="O194" s="4">
        <v>0</v>
      </c>
      <c r="P194" s="4">
        <v>0</v>
      </c>
      <c r="Q194" s="4">
        <v>0</v>
      </c>
      <c r="R194" s="4">
        <v>0</v>
      </c>
      <c r="S194" s="4">
        <v>0</v>
      </c>
      <c r="T194" s="4">
        <v>0</v>
      </c>
      <c r="U194" s="4">
        <v>0</v>
      </c>
      <c r="V194" s="4">
        <v>0</v>
      </c>
      <c r="W194" s="4">
        <v>0</v>
      </c>
      <c r="X194" s="4">
        <v>0</v>
      </c>
      <c r="Y194" s="4">
        <v>0</v>
      </c>
      <c r="Z194" s="4">
        <v>0</v>
      </c>
      <c r="AA194" s="4">
        <v>0</v>
      </c>
      <c r="AB194" s="4">
        <v>0</v>
      </c>
      <c r="AC194" s="4">
        <v>0</v>
      </c>
      <c r="AD194" s="4">
        <v>0</v>
      </c>
      <c r="AE194" s="4">
        <v>0</v>
      </c>
      <c r="AF194" s="51">
        <v>2.0600000000000003E-5</v>
      </c>
      <c r="AG194" s="51">
        <v>2.0500000000000004E-5</v>
      </c>
      <c r="AH194" s="51">
        <v>2.0400000000000001E-5</v>
      </c>
      <c r="AI194" s="51">
        <v>2.0300000000000002E-5</v>
      </c>
      <c r="AJ194" s="51">
        <v>2.0200000000000003E-5</v>
      </c>
      <c r="AK194" s="51">
        <v>2.0100000000000001E-5</v>
      </c>
      <c r="AL194" s="51">
        <v>2.0000000000000002E-5</v>
      </c>
      <c r="AM194" s="51">
        <v>1.9900000000000003E-5</v>
      </c>
      <c r="AN194" s="51">
        <v>1.98E-5</v>
      </c>
      <c r="AO194" s="51">
        <v>1.9700000000000001E-5</v>
      </c>
      <c r="AP194" s="51">
        <v>1.9600000000000002E-5</v>
      </c>
      <c r="AQ194" s="51">
        <v>1.95E-5</v>
      </c>
      <c r="AR194" s="51">
        <v>1.9400000000000001E-5</v>
      </c>
      <c r="AS194" s="51">
        <v>1.9300000000000002E-5</v>
      </c>
      <c r="AT194" s="51">
        <v>1.9199999999999999E-5</v>
      </c>
      <c r="AU194" s="51">
        <v>1.91E-5</v>
      </c>
      <c r="AV194" s="51">
        <v>1.9291666666666667E-5</v>
      </c>
      <c r="AW194" s="51">
        <v>1.9483333333333334E-5</v>
      </c>
      <c r="AX194" s="51">
        <v>1.9675000000000001E-5</v>
      </c>
      <c r="AY194" s="51">
        <v>1.9866666666666667E-5</v>
      </c>
      <c r="AZ194" s="51">
        <v>2.0058333333333334E-5</v>
      </c>
      <c r="BA194" s="51">
        <v>2.0250000000000001E-5</v>
      </c>
      <c r="BB194" s="51">
        <v>2.0441666666666668E-5</v>
      </c>
      <c r="BC194" s="51">
        <v>2.0633333333333335E-5</v>
      </c>
      <c r="BD194" s="51">
        <v>2.0825000000000001E-5</v>
      </c>
      <c r="BE194" s="51">
        <v>2.1016666666666668E-5</v>
      </c>
      <c r="BF194" s="51">
        <v>2.1208333333333335E-5</v>
      </c>
      <c r="BG194" s="51">
        <v>2.1399999999999998E-5</v>
      </c>
      <c r="BH194" s="51">
        <v>2.1591666666666665E-5</v>
      </c>
      <c r="BI194" s="51">
        <v>2.1783333333333332E-5</v>
      </c>
      <c r="BJ194" s="51">
        <v>2.1974999999999999E-5</v>
      </c>
      <c r="BK194" s="51">
        <v>2.2166666666666666E-5</v>
      </c>
      <c r="BL194" s="51">
        <v>2.2358333333333332E-5</v>
      </c>
      <c r="BM194" s="51">
        <v>2.2549999999999999E-5</v>
      </c>
      <c r="BN194" s="51">
        <v>2.2741666666666666E-5</v>
      </c>
      <c r="BO194" s="51">
        <v>2.2933333333333333E-5</v>
      </c>
      <c r="BP194" s="51">
        <v>2.3125E-5</v>
      </c>
      <c r="BQ194" s="51">
        <v>2.3316666666666666E-5</v>
      </c>
      <c r="BR194" s="51">
        <v>2.3508333333333333E-5</v>
      </c>
      <c r="BS194" s="51">
        <v>2.37E-5</v>
      </c>
      <c r="BT194" s="51">
        <v>2.3924999999999999E-5</v>
      </c>
      <c r="BU194" s="51">
        <v>2.4150000000000001E-5</v>
      </c>
      <c r="BV194" s="51">
        <v>2.4375E-5</v>
      </c>
      <c r="BW194" s="51">
        <v>2.4599999999999998E-5</v>
      </c>
      <c r="BX194" s="51">
        <v>2.4825E-5</v>
      </c>
      <c r="BY194" s="51">
        <v>2.5049999999999999E-5</v>
      </c>
      <c r="BZ194" s="51">
        <v>2.5274999999999998E-5</v>
      </c>
      <c r="CA194" s="51">
        <v>2.55E-5</v>
      </c>
      <c r="CB194" s="51">
        <v>2.5724999999999998E-5</v>
      </c>
      <c r="CC194" s="51">
        <v>2.5950000000000001E-5</v>
      </c>
      <c r="CD194" s="51">
        <v>2.6174999999999999E-5</v>
      </c>
      <c r="CE194" s="51">
        <v>2.6399999999999998E-5</v>
      </c>
      <c r="CF194" s="51">
        <v>2.6625E-5</v>
      </c>
      <c r="CG194" s="51">
        <v>2.6849999999999999E-5</v>
      </c>
      <c r="CH194" s="51">
        <v>2.7074999999999997E-5</v>
      </c>
      <c r="CI194" s="51">
        <v>2.73E-5</v>
      </c>
      <c r="CJ194" s="51">
        <v>2.7524999999999998E-5</v>
      </c>
      <c r="CK194" s="51">
        <v>2.7749999999999997E-5</v>
      </c>
      <c r="CL194" s="51">
        <v>2.7974999999999999E-5</v>
      </c>
      <c r="CM194" s="51">
        <v>2.8199999999999998E-5</v>
      </c>
    </row>
    <row r="195" spans="1:91" s="50" customFormat="1" x14ac:dyDescent="0.2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91" s="50" customFormat="1" x14ac:dyDescent="0.25">
      <c r="A196" s="50" t="s">
        <v>233</v>
      </c>
      <c r="B196" s="4">
        <v>0</v>
      </c>
      <c r="C196" s="4">
        <v>0</v>
      </c>
      <c r="D196" s="4">
        <v>0</v>
      </c>
      <c r="E196" s="4">
        <v>0</v>
      </c>
      <c r="F196" s="4">
        <v>0</v>
      </c>
      <c r="G196" s="4">
        <v>0</v>
      </c>
      <c r="H196" s="4">
        <v>0</v>
      </c>
      <c r="I196" s="4">
        <v>0</v>
      </c>
      <c r="J196" s="4">
        <v>0</v>
      </c>
      <c r="K196" s="4">
        <v>0</v>
      </c>
      <c r="L196" s="4">
        <v>0</v>
      </c>
      <c r="M196" s="4">
        <v>0</v>
      </c>
      <c r="N196" s="4">
        <v>0</v>
      </c>
      <c r="O196" s="4">
        <v>0</v>
      </c>
      <c r="P196" s="4">
        <v>0</v>
      </c>
      <c r="Q196" s="4">
        <v>0</v>
      </c>
      <c r="R196" s="4">
        <v>0</v>
      </c>
      <c r="S196" s="4">
        <v>0</v>
      </c>
      <c r="T196" s="4">
        <v>0</v>
      </c>
      <c r="U196" s="4">
        <v>0</v>
      </c>
      <c r="V196" s="4">
        <v>0</v>
      </c>
      <c r="W196" s="4">
        <v>0</v>
      </c>
      <c r="X196" s="4">
        <v>0</v>
      </c>
      <c r="Y196" s="4">
        <v>0</v>
      </c>
      <c r="Z196" s="4">
        <v>0</v>
      </c>
      <c r="AA196" s="4">
        <v>0</v>
      </c>
      <c r="AB196" s="4">
        <v>0</v>
      </c>
      <c r="AC196" s="4">
        <v>0</v>
      </c>
      <c r="AD196" s="4">
        <v>0</v>
      </c>
      <c r="AE196" s="4">
        <v>0</v>
      </c>
      <c r="AF196" s="51">
        <v>3.0000000000000001E-5</v>
      </c>
      <c r="AG196" s="51">
        <v>3.0353333333333333E-5</v>
      </c>
      <c r="AH196" s="51">
        <v>3.0706666666666669E-5</v>
      </c>
      <c r="AI196" s="51">
        <v>3.1060000000000004E-5</v>
      </c>
      <c r="AJ196" s="51">
        <v>3.1413333333333333E-5</v>
      </c>
      <c r="AK196" s="51">
        <v>3.1766666666666669E-5</v>
      </c>
      <c r="AL196" s="51">
        <v>3.2120000000000004E-5</v>
      </c>
      <c r="AM196" s="51">
        <v>3.2473333333333333E-5</v>
      </c>
      <c r="AN196" s="51">
        <v>3.2826666666666669E-5</v>
      </c>
      <c r="AO196" s="51">
        <v>3.3180000000000004E-5</v>
      </c>
      <c r="AP196" s="51">
        <v>3.353333333333334E-5</v>
      </c>
      <c r="AQ196" s="51">
        <v>3.3886666666666669E-5</v>
      </c>
      <c r="AR196" s="51">
        <v>3.4240000000000004E-5</v>
      </c>
      <c r="AS196" s="51">
        <v>3.459333333333334E-5</v>
      </c>
      <c r="AT196" s="51">
        <v>3.4946666666666669E-5</v>
      </c>
      <c r="AU196" s="51">
        <v>3.5300000000000004E-5</v>
      </c>
      <c r="AV196" s="51">
        <v>3.5568181818181823E-5</v>
      </c>
      <c r="AW196" s="51">
        <v>3.5836363636363643E-5</v>
      </c>
      <c r="AX196" s="51">
        <v>3.6104545454545462E-5</v>
      </c>
      <c r="AY196" s="51">
        <v>3.6372727272727274E-5</v>
      </c>
      <c r="AZ196" s="51">
        <v>3.6640909090909093E-5</v>
      </c>
      <c r="BA196" s="51">
        <v>3.6909090909090912E-5</v>
      </c>
      <c r="BB196" s="51">
        <v>3.7177272727272732E-5</v>
      </c>
      <c r="BC196" s="51">
        <v>3.7445454545454551E-5</v>
      </c>
      <c r="BD196" s="51">
        <v>3.771363636363637E-5</v>
      </c>
      <c r="BE196" s="51">
        <v>3.7981818181818182E-5</v>
      </c>
      <c r="BF196" s="51">
        <v>3.8250000000000001E-5</v>
      </c>
      <c r="BG196" s="51">
        <v>3.8518181818181821E-5</v>
      </c>
      <c r="BH196" s="51">
        <v>3.878636363636364E-5</v>
      </c>
      <c r="BI196" s="51">
        <v>3.9054545454545459E-5</v>
      </c>
      <c r="BJ196" s="51">
        <v>3.9322727272727278E-5</v>
      </c>
      <c r="BK196" s="51">
        <v>3.9590909090909097E-5</v>
      </c>
      <c r="BL196" s="51">
        <v>3.985909090909091E-5</v>
      </c>
      <c r="BM196" s="51">
        <v>4.0127272727272729E-5</v>
      </c>
      <c r="BN196" s="51">
        <v>4.0395454545454548E-5</v>
      </c>
      <c r="BO196" s="51">
        <v>4.0663636363636367E-5</v>
      </c>
      <c r="BP196" s="51">
        <v>4.0931818181818186E-5</v>
      </c>
      <c r="BQ196" s="51">
        <v>4.1199999999999999E-5</v>
      </c>
      <c r="BR196" s="51">
        <v>4.1468181818181818E-5</v>
      </c>
      <c r="BS196" s="51">
        <v>4.2600000000000005E-5</v>
      </c>
      <c r="BT196" s="51">
        <v>4.2825000000000004E-5</v>
      </c>
      <c r="BU196" s="51">
        <v>4.3050000000000003E-5</v>
      </c>
      <c r="BV196" s="51">
        <v>4.3275000000000002E-5</v>
      </c>
      <c r="BW196" s="51">
        <v>4.3500000000000007E-5</v>
      </c>
      <c r="BX196" s="51">
        <v>4.3725000000000006E-5</v>
      </c>
      <c r="BY196" s="51">
        <v>4.3950000000000004E-5</v>
      </c>
      <c r="BZ196" s="51">
        <v>4.4175000000000003E-5</v>
      </c>
      <c r="CA196" s="51">
        <v>4.4400000000000002E-5</v>
      </c>
      <c r="CB196" s="51">
        <v>4.4625E-5</v>
      </c>
      <c r="CC196" s="51">
        <v>4.4850000000000006E-5</v>
      </c>
      <c r="CD196" s="51">
        <v>4.5075000000000005E-5</v>
      </c>
      <c r="CE196" s="51">
        <v>4.5300000000000003E-5</v>
      </c>
      <c r="CF196" s="51">
        <v>4.5525000000000002E-5</v>
      </c>
      <c r="CG196" s="51">
        <v>4.5750000000000001E-5</v>
      </c>
      <c r="CH196" s="51">
        <v>4.5974999999999999E-5</v>
      </c>
      <c r="CI196" s="51">
        <v>4.6199999999999998E-5</v>
      </c>
      <c r="CJ196" s="51">
        <v>4.6425000000000004E-5</v>
      </c>
      <c r="CK196" s="51">
        <v>4.6650000000000002E-5</v>
      </c>
      <c r="CL196" s="51">
        <v>4.6875000000000001E-5</v>
      </c>
      <c r="CM196" s="51">
        <v>4.71E-5</v>
      </c>
    </row>
    <row r="197" spans="1:91" s="50" customFormat="1" x14ac:dyDescent="0.25">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91" s="50" customFormat="1" x14ac:dyDescent="0.25">
      <c r="A198" s="50" t="s">
        <v>234</v>
      </c>
      <c r="B198" s="4">
        <v>0</v>
      </c>
      <c r="C198" s="4">
        <v>0</v>
      </c>
      <c r="D198" s="4">
        <v>0</v>
      </c>
      <c r="E198" s="4">
        <v>0</v>
      </c>
      <c r="F198" s="4">
        <v>0</v>
      </c>
      <c r="G198" s="4">
        <v>0</v>
      </c>
      <c r="H198" s="4">
        <v>0</v>
      </c>
      <c r="I198" s="4">
        <v>0</v>
      </c>
      <c r="J198" s="4">
        <v>0</v>
      </c>
      <c r="K198" s="4">
        <v>0</v>
      </c>
      <c r="L198" s="4">
        <v>0</v>
      </c>
      <c r="M198" s="4">
        <v>0</v>
      </c>
      <c r="N198" s="4">
        <v>0</v>
      </c>
      <c r="O198" s="4">
        <v>0</v>
      </c>
      <c r="P198" s="4">
        <v>0</v>
      </c>
      <c r="Q198" s="4">
        <v>0</v>
      </c>
      <c r="R198" s="4">
        <v>0</v>
      </c>
      <c r="S198" s="4">
        <v>0</v>
      </c>
      <c r="T198" s="4">
        <v>0</v>
      </c>
      <c r="U198" s="4">
        <v>0</v>
      </c>
      <c r="V198" s="4">
        <v>0</v>
      </c>
      <c r="W198" s="4">
        <v>0</v>
      </c>
      <c r="X198" s="4">
        <v>0</v>
      </c>
      <c r="Y198" s="4">
        <v>0</v>
      </c>
      <c r="Z198" s="4">
        <v>0</v>
      </c>
      <c r="AA198" s="4">
        <v>0</v>
      </c>
      <c r="AB198" s="4">
        <v>0</v>
      </c>
      <c r="AC198" s="4">
        <v>0</v>
      </c>
      <c r="AD198" s="4">
        <v>0</v>
      </c>
      <c r="AE198" s="4">
        <v>0</v>
      </c>
      <c r="AF198" s="51">
        <v>1.0539223515949156E-6</v>
      </c>
      <c r="AG198" s="51">
        <v>1.0659217087913867E-6</v>
      </c>
      <c r="AH198" s="51">
        <v>1.078057683806913E-6</v>
      </c>
      <c r="AI198" s="51">
        <v>1.0903318320938559E-6</v>
      </c>
      <c r="AJ198" s="51">
        <v>1.1027457268140674E-6</v>
      </c>
      <c r="AK198" s="51">
        <v>1.1153009590405209E-6</v>
      </c>
      <c r="AL198" s="51">
        <v>1.1279991379612369E-6</v>
      </c>
      <c r="AM198" s="51">
        <v>1.1408418910855304E-6</v>
      </c>
      <c r="AN198" s="51">
        <v>1.1538308644526068E-6</v>
      </c>
      <c r="AO198" s="51">
        <v>1.1669677228425325E-6</v>
      </c>
      <c r="AP198" s="51">
        <v>1.1802541499896076E-6</v>
      </c>
      <c r="AQ198" s="51">
        <v>1.1936918487981684E-6</v>
      </c>
      <c r="AR198" s="51">
        <v>1.2072825415608461E-6</v>
      </c>
      <c r="AS198" s="51">
        <v>1.2210279701793106E-6</v>
      </c>
      <c r="AT198" s="51">
        <v>1.2349298963875282E-6</v>
      </c>
      <c r="AU198" s="51">
        <v>1.2489901019775607E-6</v>
      </c>
      <c r="AV198" s="51">
        <v>1.2578503784137278E-6</v>
      </c>
      <c r="AW198" s="51">
        <v>1.2667735092299263E-6</v>
      </c>
      <c r="AX198" s="51">
        <v>1.2757599403121417E-6</v>
      </c>
      <c r="AY198" s="51">
        <v>1.2848101207094532E-6</v>
      </c>
      <c r="AZ198" s="51">
        <v>1.2939245026564731E-6</v>
      </c>
      <c r="BA198" s="51">
        <v>1.3031035415959443E-6</v>
      </c>
      <c r="BB198" s="51">
        <v>1.3123476962014991E-6</v>
      </c>
      <c r="BC198" s="51">
        <v>1.3216574284005785E-6</v>
      </c>
      <c r="BD198" s="51">
        <v>1.3310332033975152E-6</v>
      </c>
      <c r="BE198" s="51">
        <v>1.3404754896967791E-6</v>
      </c>
      <c r="BF198" s="51">
        <v>1.3499847591263884E-6</v>
      </c>
      <c r="BG198" s="51">
        <v>1.3595614868614868E-6</v>
      </c>
      <c r="BH198" s="51">
        <v>1.3692061514480884E-6</v>
      </c>
      <c r="BI198" s="51">
        <v>1.3789192348269895E-6</v>
      </c>
      <c r="BJ198" s="51">
        <v>1.3887012223578519E-6</v>
      </c>
      <c r="BK198" s="51">
        <v>1.3985526028434551E-6</v>
      </c>
      <c r="BL198" s="51">
        <v>1.4084738685541233E-6</v>
      </c>
      <c r="BM198" s="51">
        <v>1.418465515252322E-6</v>
      </c>
      <c r="BN198" s="51">
        <v>1.4285280422174328E-6</v>
      </c>
      <c r="BO198" s="51">
        <v>1.4386619522707009E-6</v>
      </c>
      <c r="BP198" s="51">
        <v>1.4488677518003621E-6</v>
      </c>
      <c r="BQ198" s="51">
        <v>1.4591459507869459E-6</v>
      </c>
      <c r="BR198" s="51">
        <v>1.4694970628287595E-6</v>
      </c>
      <c r="BS198" s="51">
        <v>1.4799216051675524E-6</v>
      </c>
      <c r="BT198" s="51">
        <v>1.490420098714362E-6</v>
      </c>
      <c r="BU198" s="51">
        <v>1.5009930680755441E-6</v>
      </c>
      <c r="BV198" s="51">
        <v>1.511641041578987E-6</v>
      </c>
      <c r="BW198" s="51">
        <v>1.5223645513005123E-6</v>
      </c>
      <c r="BX198" s="51">
        <v>1.5331641330904616E-6</v>
      </c>
      <c r="BY198" s="51">
        <v>1.5440403266004739E-6</v>
      </c>
      <c r="BZ198" s="51">
        <v>1.5549936753104507E-6</v>
      </c>
      <c r="CA198" s="51">
        <v>1.5660247265557146E-6</v>
      </c>
      <c r="CB198" s="51">
        <v>1.5771340315543587E-6</v>
      </c>
      <c r="CC198" s="51">
        <v>1.5883221454347914E-6</v>
      </c>
      <c r="CD198" s="51">
        <v>1.5995896272634752E-6</v>
      </c>
      <c r="CE198" s="51">
        <v>1.6109370400728637E-6</v>
      </c>
      <c r="CF198" s="51">
        <v>1.622364950889536E-6</v>
      </c>
      <c r="CG198" s="51">
        <v>1.6338739307625311E-6</v>
      </c>
      <c r="CH198" s="51">
        <v>1.6454645547918821E-6</v>
      </c>
      <c r="CI198" s="51">
        <v>1.6571374021573549E-6</v>
      </c>
      <c r="CJ198" s="51">
        <v>1.6688930561473891E-6</v>
      </c>
      <c r="CK198" s="51">
        <v>1.6807321041882447E-6</v>
      </c>
      <c r="CL198" s="51">
        <v>1.6926551378733555E-6</v>
      </c>
      <c r="CM198" s="51">
        <v>1.7046627529928911E-6</v>
      </c>
    </row>
    <row r="199" spans="1:91" s="50" customFormat="1" x14ac:dyDescent="0.25">
      <c r="A199" s="50" t="s">
        <v>1</v>
      </c>
      <c r="B199" s="4">
        <v>0</v>
      </c>
      <c r="C199" s="4">
        <v>0</v>
      </c>
      <c r="D199" s="4">
        <v>0</v>
      </c>
      <c r="E199" s="4">
        <v>0</v>
      </c>
      <c r="F199" s="4">
        <v>0</v>
      </c>
      <c r="G199" s="4">
        <v>0</v>
      </c>
      <c r="H199" s="4">
        <v>0</v>
      </c>
      <c r="I199" s="4">
        <v>0</v>
      </c>
      <c r="J199" s="4">
        <v>0</v>
      </c>
      <c r="K199" s="4">
        <v>0</v>
      </c>
      <c r="L199" s="4">
        <v>0</v>
      </c>
      <c r="M199" s="4">
        <v>0</v>
      </c>
      <c r="N199" s="4">
        <v>0</v>
      </c>
      <c r="O199" s="4">
        <v>0</v>
      </c>
      <c r="P199" s="4">
        <v>0</v>
      </c>
      <c r="Q199" s="4">
        <v>0</v>
      </c>
      <c r="R199" s="4">
        <v>0</v>
      </c>
      <c r="S199" s="4">
        <v>0</v>
      </c>
      <c r="T199" s="4">
        <v>0</v>
      </c>
      <c r="U199" s="4">
        <v>0</v>
      </c>
      <c r="V199" s="4">
        <v>0</v>
      </c>
      <c r="W199" s="4">
        <v>0</v>
      </c>
      <c r="X199" s="4">
        <v>0</v>
      </c>
      <c r="Y199" s="4">
        <v>0</v>
      </c>
      <c r="Z199" s="4">
        <v>0</v>
      </c>
      <c r="AA199" s="4">
        <v>0</v>
      </c>
      <c r="AB199" s="4">
        <v>0</v>
      </c>
      <c r="AC199" s="4">
        <v>0</v>
      </c>
      <c r="AD199" s="4">
        <v>0</v>
      </c>
      <c r="AE199" s="4">
        <v>0</v>
      </c>
      <c r="AF199" s="51">
        <v>5.3999999999999998E-5</v>
      </c>
      <c r="AG199" s="51">
        <v>5.5133333333333329E-5</v>
      </c>
      <c r="AH199" s="51">
        <v>5.6266666666666668E-5</v>
      </c>
      <c r="AI199" s="51">
        <v>5.7399999999999999E-5</v>
      </c>
      <c r="AJ199" s="51">
        <v>5.8533333333333331E-5</v>
      </c>
      <c r="AK199" s="51">
        <v>5.9666666666666669E-5</v>
      </c>
      <c r="AL199" s="51">
        <v>6.0800000000000001E-5</v>
      </c>
      <c r="AM199" s="51">
        <v>6.1933333333333339E-5</v>
      </c>
      <c r="AN199" s="51">
        <v>6.3066666666666664E-5</v>
      </c>
      <c r="AO199" s="51">
        <v>6.4200000000000002E-5</v>
      </c>
      <c r="AP199" s="51">
        <v>6.533333333333334E-5</v>
      </c>
      <c r="AQ199" s="51">
        <v>6.6466666666666665E-5</v>
      </c>
      <c r="AR199" s="51">
        <v>6.7600000000000003E-5</v>
      </c>
      <c r="AS199" s="51">
        <v>6.8733333333333342E-5</v>
      </c>
      <c r="AT199" s="51">
        <v>6.9866666666666666E-5</v>
      </c>
      <c r="AU199" s="51">
        <v>7.1000000000000005E-5</v>
      </c>
      <c r="AV199" s="51">
        <v>7.1958333333333339E-5</v>
      </c>
      <c r="AW199" s="51">
        <v>7.2916666666666673E-5</v>
      </c>
      <c r="AX199" s="51">
        <v>7.3875000000000007E-5</v>
      </c>
      <c r="AY199" s="51">
        <v>7.4833333333333341E-5</v>
      </c>
      <c r="AZ199" s="51">
        <v>7.5791666666666675E-5</v>
      </c>
      <c r="BA199" s="51">
        <v>7.6749999999999995E-5</v>
      </c>
      <c r="BB199" s="51">
        <v>7.7708333333333329E-5</v>
      </c>
      <c r="BC199" s="51">
        <v>7.8666666666666663E-5</v>
      </c>
      <c r="BD199" s="51">
        <v>7.9624999999999997E-5</v>
      </c>
      <c r="BE199" s="51">
        <v>8.0583333333333331E-5</v>
      </c>
      <c r="BF199" s="51">
        <v>8.1541666666666666E-5</v>
      </c>
      <c r="BG199" s="51">
        <v>8.25E-5</v>
      </c>
      <c r="BH199" s="51">
        <v>8.3458333333333334E-5</v>
      </c>
      <c r="BI199" s="51">
        <v>8.4416666666666668E-5</v>
      </c>
      <c r="BJ199" s="51">
        <v>8.5375000000000002E-5</v>
      </c>
      <c r="BK199" s="51">
        <v>8.6333333333333336E-5</v>
      </c>
      <c r="BL199" s="51">
        <v>8.729166666666667E-5</v>
      </c>
      <c r="BM199" s="51">
        <v>8.8250000000000004E-5</v>
      </c>
      <c r="BN199" s="51">
        <v>8.9208333333333338E-5</v>
      </c>
      <c r="BO199" s="51">
        <v>9.0166666666666672E-5</v>
      </c>
      <c r="BP199" s="51">
        <v>9.1124999999999992E-5</v>
      </c>
      <c r="BQ199" s="51">
        <v>9.2083333333333326E-5</v>
      </c>
      <c r="BR199" s="51">
        <v>9.304166666666666E-5</v>
      </c>
      <c r="BS199" s="51">
        <v>9.3999999999999994E-5</v>
      </c>
      <c r="BT199" s="51">
        <v>9.5099999999999994E-5</v>
      </c>
      <c r="BU199" s="51">
        <v>9.6199999999999994E-5</v>
      </c>
      <c r="BV199" s="51">
        <v>9.7299999999999993E-5</v>
      </c>
      <c r="BW199" s="51">
        <v>9.8399999999999993E-5</v>
      </c>
      <c r="BX199" s="51">
        <v>9.9499999999999993E-5</v>
      </c>
      <c r="BY199" s="51">
        <v>1.0059999999999999E-4</v>
      </c>
      <c r="BZ199" s="51">
        <v>1.0169999999999999E-4</v>
      </c>
      <c r="CA199" s="51">
        <v>1.0279999999999999E-4</v>
      </c>
      <c r="CB199" s="51">
        <v>1.0389999999999999E-4</v>
      </c>
      <c r="CC199" s="51">
        <v>1.05E-4</v>
      </c>
      <c r="CD199" s="51">
        <v>1.061E-4</v>
      </c>
      <c r="CE199" s="51">
        <v>1.072E-4</v>
      </c>
      <c r="CF199" s="51">
        <v>1.083E-4</v>
      </c>
      <c r="CG199" s="51">
        <v>1.094E-4</v>
      </c>
      <c r="CH199" s="51">
        <v>1.105E-4</v>
      </c>
      <c r="CI199" s="51">
        <v>1.116E-4</v>
      </c>
      <c r="CJ199" s="51">
        <v>1.127E-4</v>
      </c>
      <c r="CK199" s="51">
        <v>1.138E-4</v>
      </c>
      <c r="CL199" s="51">
        <v>1.149E-4</v>
      </c>
      <c r="CM199" s="51">
        <v>1.16E-4</v>
      </c>
    </row>
    <row r="200" spans="1:91" s="50" customFormat="1" x14ac:dyDescent="0.25">
      <c r="A200" s="50" t="s">
        <v>2</v>
      </c>
      <c r="B200" s="4">
        <v>0</v>
      </c>
      <c r="C200" s="4">
        <v>0</v>
      </c>
      <c r="D200" s="4">
        <v>0</v>
      </c>
      <c r="E200" s="4">
        <v>0</v>
      </c>
      <c r="F200" s="4">
        <v>0</v>
      </c>
      <c r="G200" s="4">
        <v>0</v>
      </c>
      <c r="H200" s="4">
        <v>0</v>
      </c>
      <c r="I200" s="4">
        <v>0</v>
      </c>
      <c r="J200" s="4">
        <v>0</v>
      </c>
      <c r="K200" s="4">
        <v>0</v>
      </c>
      <c r="L200" s="4">
        <v>0</v>
      </c>
      <c r="M200" s="4">
        <v>0</v>
      </c>
      <c r="N200" s="4">
        <v>0</v>
      </c>
      <c r="O200" s="4">
        <v>0</v>
      </c>
      <c r="P200" s="4">
        <v>0</v>
      </c>
      <c r="Q200" s="4">
        <v>0</v>
      </c>
      <c r="R200" s="4">
        <v>0</v>
      </c>
      <c r="S200" s="4">
        <v>0</v>
      </c>
      <c r="T200" s="4">
        <v>0</v>
      </c>
      <c r="U200" s="4">
        <v>0</v>
      </c>
      <c r="V200" s="4">
        <v>0</v>
      </c>
      <c r="W200" s="4">
        <v>0</v>
      </c>
      <c r="X200" s="4">
        <v>0</v>
      </c>
      <c r="Y200" s="4">
        <v>0</v>
      </c>
      <c r="Z200" s="4">
        <v>0</v>
      </c>
      <c r="AA200" s="4">
        <v>0</v>
      </c>
      <c r="AB200" s="4">
        <v>0</v>
      </c>
      <c r="AC200" s="4">
        <v>0</v>
      </c>
      <c r="AD200" s="4">
        <v>0</v>
      </c>
      <c r="AE200" s="4">
        <v>0</v>
      </c>
      <c r="AF200" s="51">
        <v>1.2044424235258871E-6</v>
      </c>
      <c r="AG200" s="51">
        <v>1.2378647723801511E-6</v>
      </c>
      <c r="AH200" s="51">
        <v>1.272214565652776E-6</v>
      </c>
      <c r="AI200" s="51">
        <v>1.3075175392114861E-6</v>
      </c>
      <c r="AJ200" s="51">
        <v>1.3438001430744975E-6</v>
      </c>
      <c r="AK200" s="51">
        <v>1.3810895612276438E-6</v>
      </c>
      <c r="AL200" s="51">
        <v>1.4194137319914119E-6</v>
      </c>
      <c r="AM200" s="51">
        <v>1.4588013689531469E-6</v>
      </c>
      <c r="AN200" s="51">
        <v>1.4992819824801098E-6</v>
      </c>
      <c r="AO200" s="51">
        <v>1.5408859018295065E-6</v>
      </c>
      <c r="AP200" s="51">
        <v>1.5836442978720518E-6</v>
      </c>
      <c r="AQ200" s="51">
        <v>1.6275892064460964E-6</v>
      </c>
      <c r="AR200" s="51">
        <v>1.6727535523598113E-6</v>
      </c>
      <c r="AS200" s="51">
        <v>1.7191711740594156E-6</v>
      </c>
      <c r="AT200" s="51">
        <v>1.7668768489819277E-6</v>
      </c>
      <c r="AU200" s="51">
        <v>1.8159063196114365E-6</v>
      </c>
      <c r="AV200" s="51">
        <v>1.830433570168328E-6</v>
      </c>
      <c r="AW200" s="51">
        <v>1.8450770387296747E-6</v>
      </c>
      <c r="AX200" s="51">
        <v>1.859837655039512E-6</v>
      </c>
      <c r="AY200" s="51">
        <v>1.8747163562798282E-6</v>
      </c>
      <c r="AZ200" s="51">
        <v>1.8897140871300668E-6</v>
      </c>
      <c r="BA200" s="51">
        <v>1.9048317998271073E-6</v>
      </c>
      <c r="BB200" s="51">
        <v>1.9200704542257243E-6</v>
      </c>
      <c r="BC200" s="51">
        <v>1.93543101785953E-6</v>
      </c>
      <c r="BD200" s="51">
        <v>1.9509144660024064E-6</v>
      </c>
      <c r="BE200" s="51">
        <v>1.9665217817304256E-6</v>
      </c>
      <c r="BF200" s="51">
        <v>1.9822539559842688E-6</v>
      </c>
      <c r="BG200" s="51">
        <v>1.9981119876321428E-6</v>
      </c>
      <c r="BH200" s="51">
        <v>2.0140968835331998E-6</v>
      </c>
      <c r="BI200" s="51">
        <v>2.0302096586014655E-6</v>
      </c>
      <c r="BJ200" s="51">
        <v>2.0464513358702772E-6</v>
      </c>
      <c r="BK200" s="51">
        <v>2.0628229465572392E-6</v>
      </c>
      <c r="BL200" s="51">
        <v>2.0793255301296971E-6</v>
      </c>
      <c r="BM200" s="51">
        <v>2.0959601343707348E-6</v>
      </c>
      <c r="BN200" s="51">
        <v>2.1127278154457006E-6</v>
      </c>
      <c r="BO200" s="51">
        <v>2.1296296379692663E-6</v>
      </c>
      <c r="BP200" s="51">
        <v>2.1466666750730206E-6</v>
      </c>
      <c r="BQ200" s="51">
        <v>2.1638400084736047E-6</v>
      </c>
      <c r="BR200" s="51">
        <v>2.1811507285413934E-6</v>
      </c>
      <c r="BS200" s="51">
        <v>2.1985999343697244E-6</v>
      </c>
      <c r="BT200" s="51">
        <v>2.2161887338446822E-6</v>
      </c>
      <c r="BU200" s="51">
        <v>2.2339182437154397E-6</v>
      </c>
      <c r="BV200" s="51">
        <v>2.2517895896651631E-6</v>
      </c>
      <c r="BW200" s="51">
        <v>2.2698039063824843E-6</v>
      </c>
      <c r="BX200" s="51">
        <v>2.2879623376335442E-6</v>
      </c>
      <c r="BY200" s="51">
        <v>2.3062660363346126E-6</v>
      </c>
      <c r="BZ200" s="51">
        <v>2.3247161646252896E-6</v>
      </c>
      <c r="CA200" s="51">
        <v>2.3433138939422919E-6</v>
      </c>
      <c r="CB200" s="51">
        <v>2.3620604050938301E-6</v>
      </c>
      <c r="CC200" s="51">
        <v>2.3809568883345806E-6</v>
      </c>
      <c r="CD200" s="51">
        <v>2.4000045434412571E-6</v>
      </c>
      <c r="CE200" s="51">
        <v>2.419204579788787E-6</v>
      </c>
      <c r="CF200" s="51">
        <v>2.4385582164270972E-6</v>
      </c>
      <c r="CG200" s="51">
        <v>2.458066682158514E-6</v>
      </c>
      <c r="CH200" s="51">
        <v>2.4777312156157822E-6</v>
      </c>
      <c r="CI200" s="51">
        <v>2.4975530653407083E-6</v>
      </c>
      <c r="CJ200" s="51">
        <v>2.5175334898634339E-6</v>
      </c>
      <c r="CK200" s="51">
        <v>2.5376737577823415E-6</v>
      </c>
      <c r="CL200" s="51">
        <v>2.5579751478446003E-6</v>
      </c>
      <c r="CM200" s="51">
        <v>2.5784389490273569E-6</v>
      </c>
    </row>
    <row r="201" spans="1:91" s="50" customFormat="1" x14ac:dyDescent="0.25">
      <c r="A201" s="50" t="s">
        <v>2</v>
      </c>
      <c r="B201" s="4">
        <v>0</v>
      </c>
      <c r="C201" s="4">
        <v>0</v>
      </c>
      <c r="D201" s="4">
        <v>0</v>
      </c>
      <c r="E201" s="4">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c r="X201" s="4">
        <v>0</v>
      </c>
      <c r="Y201" s="4">
        <v>0</v>
      </c>
      <c r="Z201" s="4">
        <v>0</v>
      </c>
      <c r="AA201" s="4">
        <v>0</v>
      </c>
      <c r="AB201" s="4">
        <v>0</v>
      </c>
      <c r="AC201" s="4">
        <v>0</v>
      </c>
      <c r="AD201" s="4">
        <v>0</v>
      </c>
      <c r="AE201" s="4">
        <v>0</v>
      </c>
      <c r="AF201" s="51">
        <v>7.014514157487943E-7</v>
      </c>
      <c r="AG201" s="51">
        <v>7.3220398303631971E-7</v>
      </c>
      <c r="AH201" s="51">
        <v>7.6430478396275546E-7</v>
      </c>
      <c r="AI201" s="51">
        <v>7.9781292689222903E-7</v>
      </c>
      <c r="AJ201" s="51">
        <v>8.3279011157852712E-7</v>
      </c>
      <c r="AK201" s="51">
        <v>8.6930074277508049E-7</v>
      </c>
      <c r="AL201" s="51">
        <v>9.0741204882576254E-7</v>
      </c>
      <c r="AM201" s="51">
        <v>9.4719420545486692E-7</v>
      </c>
      <c r="AN201" s="51">
        <v>9.8872046498420344E-7</v>
      </c>
      <c r="AO201" s="51">
        <v>1.0320672912152436E-6</v>
      </c>
      <c r="AP201" s="51">
        <v>1.0773145002246803E-6</v>
      </c>
      <c r="AQ201" s="51">
        <v>1.1245454073326517E-6</v>
      </c>
      <c r="AR201" s="51">
        <v>1.1738469805142503E-6</v>
      </c>
      <c r="AS201" s="51">
        <v>1.2253100005367957E-6</v>
      </c>
      <c r="AT201" s="51">
        <v>1.2790292281177409E-6</v>
      </c>
      <c r="AU201" s="51">
        <v>1.335103578411003E-6</v>
      </c>
      <c r="AV201" s="51">
        <v>1.3764917893417442E-6</v>
      </c>
      <c r="AW201" s="51">
        <v>1.4191630348113382E-6</v>
      </c>
      <c r="AX201" s="51">
        <v>1.4631570888904898E-6</v>
      </c>
      <c r="AY201" s="51">
        <v>1.508514958646095E-6</v>
      </c>
      <c r="AZ201" s="51">
        <v>1.5552789223641239E-6</v>
      </c>
      <c r="BA201" s="51">
        <v>1.6034925689574118E-6</v>
      </c>
      <c r="BB201" s="51">
        <v>1.6532008385950917E-6</v>
      </c>
      <c r="BC201" s="51">
        <v>1.7044500645915395E-6</v>
      </c>
      <c r="BD201" s="51">
        <v>1.7572880165938773E-6</v>
      </c>
      <c r="BE201" s="51">
        <v>1.8117639451082876E-6</v>
      </c>
      <c r="BF201" s="51">
        <v>1.8679286274066446E-6</v>
      </c>
      <c r="BG201" s="51">
        <v>1.9258344148562507E-6</v>
      </c>
      <c r="BH201" s="51">
        <v>1.9855352817167947E-6</v>
      </c>
      <c r="BI201" s="51">
        <v>2.0470868754500153E-6</v>
      </c>
      <c r="BJ201" s="51">
        <v>2.1105465685889656E-6</v>
      </c>
      <c r="BK201" s="51">
        <v>2.1759735122152235E-6</v>
      </c>
      <c r="BL201" s="51">
        <v>2.2434286910938953E-6</v>
      </c>
      <c r="BM201" s="51">
        <v>2.3129749805178061E-6</v>
      </c>
      <c r="BN201" s="51">
        <v>2.384677204913858E-6</v>
      </c>
      <c r="BO201" s="51">
        <v>2.4586021982661875E-6</v>
      </c>
      <c r="BP201" s="51">
        <v>2.5348188664124393E-6</v>
      </c>
      <c r="BQ201" s="51">
        <v>2.613398251271225E-6</v>
      </c>
      <c r="BR201" s="51">
        <v>2.6944135970606328E-6</v>
      </c>
      <c r="BS201" s="51">
        <v>2.7779404185695123E-6</v>
      </c>
      <c r="BT201" s="51">
        <v>2.8640565715451673E-6</v>
      </c>
      <c r="BU201" s="51">
        <v>2.9528423252630673E-6</v>
      </c>
      <c r="BV201" s="51">
        <v>3.0443804373462223E-6</v>
      </c>
      <c r="BW201" s="51">
        <v>3.138756230903955E-6</v>
      </c>
      <c r="BX201" s="51">
        <v>3.2360576740619776E-6</v>
      </c>
      <c r="BY201" s="51">
        <v>3.3363754619578987E-6</v>
      </c>
      <c r="BZ201" s="51">
        <v>3.4398031012785936E-6</v>
      </c>
      <c r="CA201" s="51">
        <v>3.54643699741823E-6</v>
      </c>
      <c r="CB201" s="51">
        <v>3.6563765443381951E-6</v>
      </c>
      <c r="CC201" s="51">
        <v>3.7697242172126791E-6</v>
      </c>
      <c r="CD201" s="51">
        <v>3.8865856679462721E-6</v>
      </c>
      <c r="CE201" s="51">
        <v>4.0070698236526063E-6</v>
      </c>
      <c r="CF201" s="51">
        <v>4.1312889881858374E-6</v>
      </c>
      <c r="CG201" s="51">
        <v>4.2593589468195986E-6</v>
      </c>
      <c r="CH201" s="51">
        <v>4.3913990741710065E-6</v>
      </c>
      <c r="CI201" s="51">
        <v>4.5275324454703075E-6</v>
      </c>
      <c r="CJ201" s="51">
        <v>4.667885951279887E-6</v>
      </c>
      <c r="CK201" s="51">
        <v>4.8125904157695633E-6</v>
      </c>
      <c r="CL201" s="51">
        <v>4.9617807186584201E-6</v>
      </c>
      <c r="CM201" s="51">
        <v>5.1155959209368314E-6</v>
      </c>
    </row>
    <row r="202" spans="1:91" s="50" customFormat="1" x14ac:dyDescent="0.25">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91" s="50" customFormat="1" x14ac:dyDescent="0.25">
      <c r="A203" s="50" t="s">
        <v>235</v>
      </c>
      <c r="B203" s="4">
        <v>0</v>
      </c>
      <c r="C203" s="4">
        <v>0</v>
      </c>
      <c r="D203" s="4">
        <v>0</v>
      </c>
      <c r="E203" s="4">
        <v>0</v>
      </c>
      <c r="F203" s="4">
        <v>0</v>
      </c>
      <c r="G203" s="4">
        <v>0</v>
      </c>
      <c r="H203" s="4">
        <v>0</v>
      </c>
      <c r="I203" s="4">
        <v>0</v>
      </c>
      <c r="J203" s="4">
        <v>0</v>
      </c>
      <c r="K203" s="4">
        <v>0</v>
      </c>
      <c r="L203" s="4">
        <v>0</v>
      </c>
      <c r="M203" s="4">
        <v>0</v>
      </c>
      <c r="N203" s="4">
        <v>0</v>
      </c>
      <c r="O203" s="4">
        <v>0</v>
      </c>
      <c r="P203" s="4">
        <v>0</v>
      </c>
      <c r="Q203" s="4">
        <v>0</v>
      </c>
      <c r="R203" s="4">
        <v>0</v>
      </c>
      <c r="S203" s="4">
        <v>0</v>
      </c>
      <c r="T203" s="4">
        <v>0</v>
      </c>
      <c r="U203" s="4">
        <v>0</v>
      </c>
      <c r="V203" s="4">
        <v>0</v>
      </c>
      <c r="W203" s="4">
        <v>0</v>
      </c>
      <c r="X203" s="4">
        <v>0</v>
      </c>
      <c r="Y203" s="4">
        <v>0</v>
      </c>
      <c r="Z203" s="4">
        <v>0</v>
      </c>
      <c r="AA203" s="4">
        <v>0</v>
      </c>
      <c r="AB203" s="4">
        <v>0</v>
      </c>
      <c r="AC203" s="4">
        <v>0</v>
      </c>
      <c r="AD203" s="4">
        <v>0</v>
      </c>
      <c r="AE203" s="4">
        <v>0</v>
      </c>
      <c r="AF203" s="51">
        <v>3.7080237741456164E-5</v>
      </c>
      <c r="AG203" s="51">
        <v>3.6942050520059435E-5</v>
      </c>
      <c r="AH203" s="51">
        <v>3.68038632986627E-5</v>
      </c>
      <c r="AI203" s="51">
        <v>3.6665676077265971E-5</v>
      </c>
      <c r="AJ203" s="51">
        <v>3.6527488855869242E-5</v>
      </c>
      <c r="AK203" s="51">
        <v>3.6389301634472513E-5</v>
      </c>
      <c r="AL203" s="51">
        <v>3.6251114413075777E-5</v>
      </c>
      <c r="AM203" s="51">
        <v>3.6112927191679048E-5</v>
      </c>
      <c r="AN203" s="51">
        <v>3.5974739970282319E-5</v>
      </c>
      <c r="AO203" s="51">
        <v>3.583655274888559E-5</v>
      </c>
      <c r="AP203" s="51">
        <v>3.5698365527488854E-5</v>
      </c>
      <c r="AQ203" s="51">
        <v>3.5560178306092125E-5</v>
      </c>
      <c r="AR203" s="51">
        <v>3.5421991084695396E-5</v>
      </c>
      <c r="AS203" s="51">
        <v>3.5283803863298667E-5</v>
      </c>
      <c r="AT203" s="51">
        <v>3.5145616641901932E-5</v>
      </c>
      <c r="AU203" s="51">
        <v>3.5007429420505203E-5</v>
      </c>
      <c r="AV203" s="51">
        <v>3.528014168942117E-5</v>
      </c>
      <c r="AW203" s="51">
        <v>3.5552853958337137E-5</v>
      </c>
      <c r="AX203" s="51">
        <v>3.5825566227253104E-5</v>
      </c>
      <c r="AY203" s="51">
        <v>3.6098278496169071E-5</v>
      </c>
      <c r="AZ203" s="51">
        <v>3.6370990765085038E-5</v>
      </c>
      <c r="BA203" s="51">
        <v>3.6643703034001005E-5</v>
      </c>
      <c r="BB203" s="51">
        <v>3.6916415302916972E-5</v>
      </c>
      <c r="BC203" s="51">
        <v>3.7189127571832939E-5</v>
      </c>
      <c r="BD203" s="51">
        <v>3.7461839840748906E-5</v>
      </c>
      <c r="BE203" s="51">
        <v>3.7734552109664873E-5</v>
      </c>
      <c r="BF203" s="51">
        <v>3.800726437858084E-5</v>
      </c>
      <c r="BG203" s="51">
        <v>3.8279976647496807E-5</v>
      </c>
      <c r="BH203" s="51">
        <v>3.8552688916412774E-5</v>
      </c>
      <c r="BI203" s="51">
        <v>3.8825401185328741E-5</v>
      </c>
      <c r="BJ203" s="51">
        <v>3.9098113454244701E-5</v>
      </c>
      <c r="BK203" s="51">
        <v>3.9370825723160668E-5</v>
      </c>
      <c r="BL203" s="51">
        <v>3.9643537992076635E-5</v>
      </c>
      <c r="BM203" s="51">
        <v>3.9916250260992602E-5</v>
      </c>
      <c r="BN203" s="51">
        <v>4.0188962529908569E-5</v>
      </c>
      <c r="BO203" s="51">
        <v>4.0461674798824536E-5</v>
      </c>
      <c r="BP203" s="51">
        <v>4.0734387067740503E-5</v>
      </c>
      <c r="BQ203" s="51">
        <v>4.100709933665647E-5</v>
      </c>
      <c r="BR203" s="51">
        <v>4.1279811605572437E-5</v>
      </c>
      <c r="BS203" s="51">
        <v>4.1552523874488404E-5</v>
      </c>
      <c r="BT203" s="51">
        <v>4.1512824010914052E-5</v>
      </c>
      <c r="BU203" s="51">
        <v>4.1473124147339701E-5</v>
      </c>
      <c r="BV203" s="51">
        <v>4.1433424283765349E-5</v>
      </c>
      <c r="BW203" s="51">
        <v>4.1393724420190997E-5</v>
      </c>
      <c r="BX203" s="51">
        <v>4.1354024556616646E-5</v>
      </c>
      <c r="BY203" s="51">
        <v>4.1314324693042294E-5</v>
      </c>
      <c r="BZ203" s="51">
        <v>4.1274624829467942E-5</v>
      </c>
      <c r="CA203" s="51">
        <v>4.123492496589359E-5</v>
      </c>
      <c r="CB203" s="51">
        <v>4.1195225102319239E-5</v>
      </c>
      <c r="CC203" s="51">
        <v>4.115552523874488E-5</v>
      </c>
      <c r="CD203" s="51">
        <v>4.1115825375170529E-5</v>
      </c>
      <c r="CE203" s="51">
        <v>4.1076125511596177E-5</v>
      </c>
      <c r="CF203" s="51">
        <v>4.1036425648021825E-5</v>
      </c>
      <c r="CG203" s="51">
        <v>4.0996725784447473E-5</v>
      </c>
      <c r="CH203" s="51">
        <v>4.0957025920873122E-5</v>
      </c>
      <c r="CI203" s="51">
        <v>4.091732605729877E-5</v>
      </c>
      <c r="CJ203" s="51">
        <v>4.0877626193724418E-5</v>
      </c>
      <c r="CK203" s="51">
        <v>4.0837926330150067E-5</v>
      </c>
      <c r="CL203" s="51">
        <v>4.0798226466575715E-5</v>
      </c>
      <c r="CM203" s="51">
        <v>4.0758526603001363E-5</v>
      </c>
    </row>
    <row r="204" spans="1:91" s="50" customFormat="1" x14ac:dyDescent="0.25">
      <c r="A204" s="50" t="s">
        <v>1</v>
      </c>
      <c r="B204" s="4">
        <v>0</v>
      </c>
      <c r="C204" s="4">
        <v>0</v>
      </c>
      <c r="D204" s="4">
        <v>0</v>
      </c>
      <c r="E204" s="4">
        <v>0</v>
      </c>
      <c r="F204" s="4">
        <v>0</v>
      </c>
      <c r="G204" s="4">
        <v>0</v>
      </c>
      <c r="H204" s="4">
        <v>0</v>
      </c>
      <c r="I204" s="4">
        <v>0</v>
      </c>
      <c r="J204" s="4">
        <v>0</v>
      </c>
      <c r="K204" s="4">
        <v>0</v>
      </c>
      <c r="L204" s="4">
        <v>0</v>
      </c>
      <c r="M204" s="4">
        <v>0</v>
      </c>
      <c r="N204" s="4">
        <v>0</v>
      </c>
      <c r="O204" s="4">
        <v>0</v>
      </c>
      <c r="P204" s="4">
        <v>0</v>
      </c>
      <c r="Q204" s="4">
        <v>0</v>
      </c>
      <c r="R204" s="4">
        <v>0</v>
      </c>
      <c r="S204" s="4">
        <v>0</v>
      </c>
      <c r="T204" s="4">
        <v>0</v>
      </c>
      <c r="U204" s="4">
        <v>0</v>
      </c>
      <c r="V204" s="4">
        <v>0</v>
      </c>
      <c r="W204" s="4">
        <v>0</v>
      </c>
      <c r="X204" s="4">
        <v>0</v>
      </c>
      <c r="Y204" s="4">
        <v>0</v>
      </c>
      <c r="Z204" s="4">
        <v>0</v>
      </c>
      <c r="AA204" s="4">
        <v>0</v>
      </c>
      <c r="AB204" s="4">
        <v>0</v>
      </c>
      <c r="AC204" s="4">
        <v>0</v>
      </c>
      <c r="AD204" s="4">
        <v>0</v>
      </c>
      <c r="AE204" s="4">
        <v>0</v>
      </c>
      <c r="AF204" s="51">
        <v>5.3108469539375934E-5</v>
      </c>
      <c r="AG204" s="51">
        <v>5.2910549777117393E-5</v>
      </c>
      <c r="AH204" s="51">
        <v>5.2712630014858845E-5</v>
      </c>
      <c r="AI204" s="51">
        <v>5.2514710252600303E-5</v>
      </c>
      <c r="AJ204" s="51">
        <v>5.2316790490341755E-5</v>
      </c>
      <c r="AK204" s="51">
        <v>5.2118870728083214E-5</v>
      </c>
      <c r="AL204" s="51">
        <v>5.1920950965824673E-5</v>
      </c>
      <c r="AM204" s="51">
        <v>5.1723031203566125E-5</v>
      </c>
      <c r="AN204" s="51">
        <v>5.1525111441307583E-5</v>
      </c>
      <c r="AO204" s="51">
        <v>5.1327191679049035E-5</v>
      </c>
      <c r="AP204" s="51">
        <v>5.1129271916790494E-5</v>
      </c>
      <c r="AQ204" s="51">
        <v>5.0931352154531953E-5</v>
      </c>
      <c r="AR204" s="51">
        <v>5.0733432392273405E-5</v>
      </c>
      <c r="AS204" s="51">
        <v>5.0535512630014863E-5</v>
      </c>
      <c r="AT204" s="51">
        <v>5.0337592867756315E-5</v>
      </c>
      <c r="AU204" s="51">
        <v>5.0139673105497774E-5</v>
      </c>
      <c r="AV204" s="51">
        <v>5.0058535066256649E-5</v>
      </c>
      <c r="AW204" s="51">
        <v>4.9977397027015525E-5</v>
      </c>
      <c r="AX204" s="51">
        <v>4.9896258987774401E-5</v>
      </c>
      <c r="AY204" s="51">
        <v>4.9815120948533276E-5</v>
      </c>
      <c r="AZ204" s="51">
        <v>4.9733982909292152E-5</v>
      </c>
      <c r="BA204" s="51">
        <v>4.9652844870051027E-5</v>
      </c>
      <c r="BB204" s="51">
        <v>4.9571706830809896E-5</v>
      </c>
      <c r="BC204" s="51">
        <v>4.9490568791568772E-5</v>
      </c>
      <c r="BD204" s="51">
        <v>4.9409430752327647E-5</v>
      </c>
      <c r="BE204" s="51">
        <v>4.9328292713086523E-5</v>
      </c>
      <c r="BF204" s="51">
        <v>4.9247154673845398E-5</v>
      </c>
      <c r="BG204" s="51">
        <v>4.9166016634604274E-5</v>
      </c>
      <c r="BH204" s="51">
        <v>4.908487859536315E-5</v>
      </c>
      <c r="BI204" s="51">
        <v>4.9003740556122025E-5</v>
      </c>
      <c r="BJ204" s="51">
        <v>4.8922602516880901E-5</v>
      </c>
      <c r="BK204" s="51">
        <v>4.8841464477639776E-5</v>
      </c>
      <c r="BL204" s="51">
        <v>4.8760326438398652E-5</v>
      </c>
      <c r="BM204" s="51">
        <v>4.8679188399157521E-5</v>
      </c>
      <c r="BN204" s="51">
        <v>4.8598050359916396E-5</v>
      </c>
      <c r="BO204" s="51">
        <v>4.8516912320675272E-5</v>
      </c>
      <c r="BP204" s="51">
        <v>4.8435774281434147E-5</v>
      </c>
      <c r="BQ204" s="51">
        <v>4.8354636242193023E-5</v>
      </c>
      <c r="BR204" s="51">
        <v>4.8273498202951899E-5</v>
      </c>
      <c r="BS204" s="51">
        <v>4.8192360163710774E-5</v>
      </c>
      <c r="BT204" s="51">
        <v>4.8146316507503409E-5</v>
      </c>
      <c r="BU204" s="51">
        <v>4.8100272851296038E-5</v>
      </c>
      <c r="BV204" s="51">
        <v>4.8054229195088673E-5</v>
      </c>
      <c r="BW204" s="51">
        <v>4.8008185538881309E-5</v>
      </c>
      <c r="BX204" s="51">
        <v>4.7962141882673937E-5</v>
      </c>
      <c r="BY204" s="51">
        <v>4.7916098226466572E-5</v>
      </c>
      <c r="BZ204" s="51">
        <v>4.7870054570259208E-5</v>
      </c>
      <c r="CA204" s="51">
        <v>4.7824010914051836E-5</v>
      </c>
      <c r="CB204" s="51">
        <v>4.7777967257844471E-5</v>
      </c>
      <c r="CC204" s="51">
        <v>4.77319236016371E-5</v>
      </c>
      <c r="CD204" s="51">
        <v>4.7685879945429735E-5</v>
      </c>
      <c r="CE204" s="51">
        <v>4.7639836289222371E-5</v>
      </c>
      <c r="CF204" s="51">
        <v>4.7593792633014999E-5</v>
      </c>
      <c r="CG204" s="51">
        <v>4.7547748976807634E-5</v>
      </c>
      <c r="CH204" s="51">
        <v>4.750170532060027E-5</v>
      </c>
      <c r="CI204" s="51">
        <v>4.7455661664392898E-5</v>
      </c>
      <c r="CJ204" s="51">
        <v>4.7409618008185533E-5</v>
      </c>
      <c r="CK204" s="51">
        <v>4.7363574351978169E-5</v>
      </c>
      <c r="CL204" s="51">
        <v>4.7317530695770797E-5</v>
      </c>
      <c r="CM204" s="51">
        <v>4.7271487039563433E-5</v>
      </c>
    </row>
    <row r="205" spans="1:91" s="50" customFormat="1" x14ac:dyDescent="0.25">
      <c r="A205" s="50" t="s">
        <v>1</v>
      </c>
      <c r="B205" s="4">
        <v>0</v>
      </c>
      <c r="C205" s="4">
        <v>0</v>
      </c>
      <c r="D205" s="4">
        <v>0</v>
      </c>
      <c r="E205" s="4">
        <v>0</v>
      </c>
      <c r="F205" s="4">
        <v>0</v>
      </c>
      <c r="G205" s="4">
        <v>0</v>
      </c>
      <c r="H205" s="4">
        <v>0</v>
      </c>
      <c r="I205" s="4">
        <v>0</v>
      </c>
      <c r="J205" s="4">
        <v>0</v>
      </c>
      <c r="K205" s="4">
        <v>0</v>
      </c>
      <c r="L205" s="4">
        <v>0</v>
      </c>
      <c r="M205" s="4">
        <v>0</v>
      </c>
      <c r="N205" s="4">
        <v>0</v>
      </c>
      <c r="O205" s="4">
        <v>0</v>
      </c>
      <c r="P205" s="4">
        <v>0</v>
      </c>
      <c r="Q205" s="4">
        <v>0</v>
      </c>
      <c r="R205" s="4">
        <v>0</v>
      </c>
      <c r="S205" s="4">
        <v>0</v>
      </c>
      <c r="T205" s="4">
        <v>0</v>
      </c>
      <c r="U205" s="4">
        <v>0</v>
      </c>
      <c r="V205" s="4">
        <v>0</v>
      </c>
      <c r="W205" s="4">
        <v>0</v>
      </c>
      <c r="X205" s="4">
        <v>0</v>
      </c>
      <c r="Y205" s="4">
        <v>0</v>
      </c>
      <c r="Z205" s="4">
        <v>0</v>
      </c>
      <c r="AA205" s="4">
        <v>0</v>
      </c>
      <c r="AB205" s="4">
        <v>0</v>
      </c>
      <c r="AC205" s="4">
        <v>0</v>
      </c>
      <c r="AD205" s="4">
        <v>0</v>
      </c>
      <c r="AE205" s="4">
        <v>0</v>
      </c>
      <c r="AF205" s="51">
        <v>3.7797919762258547E-5</v>
      </c>
      <c r="AG205" s="51">
        <v>3.7657057949479947E-5</v>
      </c>
      <c r="AH205" s="51">
        <v>3.751619613670134E-5</v>
      </c>
      <c r="AI205" s="51">
        <v>3.737533432392274E-5</v>
      </c>
      <c r="AJ205" s="51">
        <v>3.7234472511144133E-5</v>
      </c>
      <c r="AK205" s="51">
        <v>3.7093610698365533E-5</v>
      </c>
      <c r="AL205" s="51">
        <v>3.6952748885586927E-5</v>
      </c>
      <c r="AM205" s="51">
        <v>3.6811887072808326E-5</v>
      </c>
      <c r="AN205" s="51">
        <v>3.667102526002972E-5</v>
      </c>
      <c r="AO205" s="51">
        <v>3.653016344725112E-5</v>
      </c>
      <c r="AP205" s="51">
        <v>3.6389301634472513E-5</v>
      </c>
      <c r="AQ205" s="51">
        <v>3.6248439821693913E-5</v>
      </c>
      <c r="AR205" s="51">
        <v>3.6107578008915306E-5</v>
      </c>
      <c r="AS205" s="51">
        <v>3.5966716196136706E-5</v>
      </c>
      <c r="AT205" s="51">
        <v>3.5825854383358106E-5</v>
      </c>
      <c r="AU205" s="51">
        <v>3.5684992570579499E-5</v>
      </c>
      <c r="AV205" s="51">
        <v>3.5581417107060016E-5</v>
      </c>
      <c r="AW205" s="51">
        <v>3.5477841643540532E-5</v>
      </c>
      <c r="AX205" s="51">
        <v>3.5374266180021042E-5</v>
      </c>
      <c r="AY205" s="51">
        <v>3.5270690716501559E-5</v>
      </c>
      <c r="AZ205" s="51">
        <v>3.5167115252982075E-5</v>
      </c>
      <c r="BA205" s="51">
        <v>3.5063539789462592E-5</v>
      </c>
      <c r="BB205" s="51">
        <v>3.4959964325943108E-5</v>
      </c>
      <c r="BC205" s="51">
        <v>3.4856388862423618E-5</v>
      </c>
      <c r="BD205" s="51">
        <v>3.4752813398904135E-5</v>
      </c>
      <c r="BE205" s="51">
        <v>3.4649237935384652E-5</v>
      </c>
      <c r="BF205" s="51">
        <v>3.4545662471865168E-5</v>
      </c>
      <c r="BG205" s="51">
        <v>3.4442087008345685E-5</v>
      </c>
      <c r="BH205" s="51">
        <v>3.4338511544826195E-5</v>
      </c>
      <c r="BI205" s="51">
        <v>3.4234936081306711E-5</v>
      </c>
      <c r="BJ205" s="51">
        <v>3.4131360617787228E-5</v>
      </c>
      <c r="BK205" s="51">
        <v>3.4027785154267744E-5</v>
      </c>
      <c r="BL205" s="51">
        <v>3.3924209690748254E-5</v>
      </c>
      <c r="BM205" s="51">
        <v>3.3820634227228771E-5</v>
      </c>
      <c r="BN205" s="51">
        <v>3.3717058763709287E-5</v>
      </c>
      <c r="BO205" s="51">
        <v>3.3613483300189804E-5</v>
      </c>
      <c r="BP205" s="51">
        <v>3.3509907836670321E-5</v>
      </c>
      <c r="BQ205" s="51">
        <v>3.3406332373150831E-5</v>
      </c>
      <c r="BR205" s="51">
        <v>3.3302756909631347E-5</v>
      </c>
      <c r="BS205" s="51">
        <v>3.3199181446111864E-5</v>
      </c>
      <c r="BT205" s="51">
        <v>3.3167462482946792E-5</v>
      </c>
      <c r="BU205" s="51">
        <v>3.3135743519781713E-5</v>
      </c>
      <c r="BV205" s="51">
        <v>3.3104024556616642E-5</v>
      </c>
      <c r="BW205" s="51">
        <v>3.3072305593451563E-5</v>
      </c>
      <c r="BX205" s="51">
        <v>3.3040586630286491E-5</v>
      </c>
      <c r="BY205" s="51">
        <v>3.3008867667121413E-5</v>
      </c>
      <c r="BZ205" s="51">
        <v>3.2977148703956341E-5</v>
      </c>
      <c r="CA205" s="51">
        <v>3.2945429740791262E-5</v>
      </c>
      <c r="CB205" s="51">
        <v>3.291371077762619E-5</v>
      </c>
      <c r="CC205" s="51">
        <v>3.2881991814461112E-5</v>
      </c>
      <c r="CD205" s="51">
        <v>3.285027285129604E-5</v>
      </c>
      <c r="CE205" s="51">
        <v>3.2818553888130968E-5</v>
      </c>
      <c r="CF205" s="51">
        <v>3.278683492496589E-5</v>
      </c>
      <c r="CG205" s="51">
        <v>3.2755115961800818E-5</v>
      </c>
      <c r="CH205" s="51">
        <v>3.2723396998635739E-5</v>
      </c>
      <c r="CI205" s="51">
        <v>3.2691678035470667E-5</v>
      </c>
      <c r="CJ205" s="51">
        <v>3.2659959072305589E-5</v>
      </c>
      <c r="CK205" s="51">
        <v>3.2628240109140517E-5</v>
      </c>
      <c r="CL205" s="51">
        <v>3.2596521145975438E-5</v>
      </c>
      <c r="CM205" s="51">
        <v>3.2564802182810367E-5</v>
      </c>
    </row>
    <row r="206" spans="1:91" s="50" customFormat="1" x14ac:dyDescent="0.25">
      <c r="A206" s="50" t="s">
        <v>1</v>
      </c>
      <c r="B206" s="4">
        <v>0</v>
      </c>
      <c r="C206" s="4">
        <v>0</v>
      </c>
      <c r="D206" s="4">
        <v>0</v>
      </c>
      <c r="E206" s="4">
        <v>0</v>
      </c>
      <c r="F206" s="4">
        <v>0</v>
      </c>
      <c r="G206" s="4">
        <v>0</v>
      </c>
      <c r="H206" s="4">
        <v>0</v>
      </c>
      <c r="I206" s="4">
        <v>0</v>
      </c>
      <c r="J206" s="4">
        <v>0</v>
      </c>
      <c r="K206" s="4">
        <v>0</v>
      </c>
      <c r="L206" s="4">
        <v>0</v>
      </c>
      <c r="M206" s="4">
        <v>0</v>
      </c>
      <c r="N206" s="4">
        <v>0</v>
      </c>
      <c r="O206" s="4">
        <v>0</v>
      </c>
      <c r="P206" s="4">
        <v>0</v>
      </c>
      <c r="Q206" s="4">
        <v>0</v>
      </c>
      <c r="R206" s="4">
        <v>0</v>
      </c>
      <c r="S206" s="4">
        <v>0</v>
      </c>
      <c r="T206" s="4">
        <v>0</v>
      </c>
      <c r="U206" s="4">
        <v>0</v>
      </c>
      <c r="V206" s="4">
        <v>0</v>
      </c>
      <c r="W206" s="4">
        <v>0</v>
      </c>
      <c r="X206" s="4">
        <v>0</v>
      </c>
      <c r="Y206" s="4">
        <v>0</v>
      </c>
      <c r="Z206" s="4">
        <v>0</v>
      </c>
      <c r="AA206" s="4">
        <v>0</v>
      </c>
      <c r="AB206" s="4">
        <v>0</v>
      </c>
      <c r="AC206" s="4">
        <v>0</v>
      </c>
      <c r="AD206" s="4">
        <v>0</v>
      </c>
      <c r="AE206" s="4">
        <v>0</v>
      </c>
      <c r="AF206" s="51">
        <v>3.3013372956909365E-5</v>
      </c>
      <c r="AG206" s="51">
        <v>3.2890341753343241E-5</v>
      </c>
      <c r="AH206" s="51">
        <v>3.2767310549777124E-5</v>
      </c>
      <c r="AI206" s="51">
        <v>3.2644279346211E-5</v>
      </c>
      <c r="AJ206" s="51">
        <v>3.2521248142644876E-5</v>
      </c>
      <c r="AK206" s="51">
        <v>3.2398216939078752E-5</v>
      </c>
      <c r="AL206" s="51">
        <v>3.2275185735512635E-5</v>
      </c>
      <c r="AM206" s="51">
        <v>3.2152154531946511E-5</v>
      </c>
      <c r="AN206" s="51">
        <v>3.2029123328380387E-5</v>
      </c>
      <c r="AO206" s="51">
        <v>3.1906092124814263E-5</v>
      </c>
      <c r="AP206" s="51">
        <v>3.1783060921248146E-5</v>
      </c>
      <c r="AQ206" s="51">
        <v>3.1660029717682022E-5</v>
      </c>
      <c r="AR206" s="51">
        <v>3.1536998514115898E-5</v>
      </c>
      <c r="AS206" s="51">
        <v>3.1413967310549774E-5</v>
      </c>
      <c r="AT206" s="51">
        <v>3.1290936106983657E-5</v>
      </c>
      <c r="AU206" s="51">
        <v>3.1167904903417533E-5</v>
      </c>
      <c r="AV206" s="51">
        <v>3.128823947059551E-5</v>
      </c>
      <c r="AW206" s="51">
        <v>3.1408574037773487E-5</v>
      </c>
      <c r="AX206" s="51">
        <v>3.1528908604951457E-5</v>
      </c>
      <c r="AY206" s="51">
        <v>3.1649243172129434E-5</v>
      </c>
      <c r="AZ206" s="51">
        <v>3.1769577739307411E-5</v>
      </c>
      <c r="BA206" s="51">
        <v>3.1889912306485388E-5</v>
      </c>
      <c r="BB206" s="51">
        <v>3.2010246873663365E-5</v>
      </c>
      <c r="BC206" s="51">
        <v>3.2130581440841335E-5</v>
      </c>
      <c r="BD206" s="51">
        <v>3.2250916008019312E-5</v>
      </c>
      <c r="BE206" s="51">
        <v>3.2371250575197289E-5</v>
      </c>
      <c r="BF206" s="51">
        <v>3.2491585142375266E-5</v>
      </c>
      <c r="BG206" s="51">
        <v>3.2611919709553243E-5</v>
      </c>
      <c r="BH206" s="51">
        <v>3.2732254276731213E-5</v>
      </c>
      <c r="BI206" s="51">
        <v>3.285258884390919E-5</v>
      </c>
      <c r="BJ206" s="51">
        <v>3.2972923411087167E-5</v>
      </c>
      <c r="BK206" s="51">
        <v>3.3093257978265144E-5</v>
      </c>
      <c r="BL206" s="51">
        <v>3.3213592545443114E-5</v>
      </c>
      <c r="BM206" s="51">
        <v>3.3333927112621091E-5</v>
      </c>
      <c r="BN206" s="51">
        <v>3.3454261679799068E-5</v>
      </c>
      <c r="BO206" s="51">
        <v>3.3574596246977045E-5</v>
      </c>
      <c r="BP206" s="51">
        <v>3.3694930814155022E-5</v>
      </c>
      <c r="BQ206" s="51">
        <v>3.3815265381332992E-5</v>
      </c>
      <c r="BR206" s="51">
        <v>3.3935599948510969E-5</v>
      </c>
      <c r="BS206" s="51">
        <v>3.4055934515688946E-5</v>
      </c>
      <c r="BT206" s="51">
        <v>3.4023396998635737E-5</v>
      </c>
      <c r="BU206" s="51">
        <v>3.3990859481582535E-5</v>
      </c>
      <c r="BV206" s="51">
        <v>3.3958321964529326E-5</v>
      </c>
      <c r="BW206" s="51">
        <v>3.3925784447476125E-5</v>
      </c>
      <c r="BX206" s="51">
        <v>3.3893246930422916E-5</v>
      </c>
      <c r="BY206" s="51">
        <v>3.3860709413369707E-5</v>
      </c>
      <c r="BZ206" s="51">
        <v>3.3828171896316505E-5</v>
      </c>
      <c r="CA206" s="51">
        <v>3.3795634379263297E-5</v>
      </c>
      <c r="CB206" s="51">
        <v>3.3763096862210095E-5</v>
      </c>
      <c r="CC206" s="51">
        <v>3.3730559345156886E-5</v>
      </c>
      <c r="CD206" s="51">
        <v>3.3698021828103678E-5</v>
      </c>
      <c r="CE206" s="51">
        <v>3.3665484311050476E-5</v>
      </c>
      <c r="CF206" s="51">
        <v>3.3632946793997267E-5</v>
      </c>
      <c r="CG206" s="51">
        <v>3.3600409276944065E-5</v>
      </c>
      <c r="CH206" s="51">
        <v>3.3567871759890857E-5</v>
      </c>
      <c r="CI206" s="51">
        <v>3.3535334242837648E-5</v>
      </c>
      <c r="CJ206" s="51">
        <v>3.3502796725784446E-5</v>
      </c>
      <c r="CK206" s="51">
        <v>3.3470259208731237E-5</v>
      </c>
      <c r="CL206" s="51">
        <v>3.3437721691678036E-5</v>
      </c>
      <c r="CM206" s="51">
        <v>3.3405184174624827E-5</v>
      </c>
    </row>
    <row r="207" spans="1:91" s="50" customFormat="1" x14ac:dyDescent="0.25">
      <c r="A207" s="50" t="s">
        <v>1</v>
      </c>
      <c r="B207" s="4">
        <v>0</v>
      </c>
      <c r="C207" s="4">
        <v>0</v>
      </c>
      <c r="D207" s="4">
        <v>0</v>
      </c>
      <c r="E207" s="4">
        <v>0</v>
      </c>
      <c r="F207" s="4">
        <v>0</v>
      </c>
      <c r="G207" s="4">
        <v>0</v>
      </c>
      <c r="H207" s="4">
        <v>0</v>
      </c>
      <c r="I207" s="4">
        <v>0</v>
      </c>
      <c r="J207" s="4">
        <v>0</v>
      </c>
      <c r="K207" s="4">
        <v>0</v>
      </c>
      <c r="L207" s="4">
        <v>0</v>
      </c>
      <c r="M207" s="4">
        <v>0</v>
      </c>
      <c r="N207" s="4">
        <v>0</v>
      </c>
      <c r="O207" s="4">
        <v>0</v>
      </c>
      <c r="P207" s="4">
        <v>0</v>
      </c>
      <c r="Q207" s="4">
        <v>0</v>
      </c>
      <c r="R207" s="4">
        <v>0</v>
      </c>
      <c r="S207" s="4">
        <v>0</v>
      </c>
      <c r="T207" s="4">
        <v>0</v>
      </c>
      <c r="U207" s="4">
        <v>0</v>
      </c>
      <c r="V207" s="4">
        <v>0</v>
      </c>
      <c r="W207" s="4">
        <v>0</v>
      </c>
      <c r="X207" s="4">
        <v>0</v>
      </c>
      <c r="Y207" s="4">
        <v>0</v>
      </c>
      <c r="Z207" s="4">
        <v>0</v>
      </c>
      <c r="AA207" s="4">
        <v>0</v>
      </c>
      <c r="AB207" s="4">
        <v>0</v>
      </c>
      <c r="AC207" s="4">
        <v>0</v>
      </c>
      <c r="AD207" s="4">
        <v>0</v>
      </c>
      <c r="AE207" s="4">
        <v>0</v>
      </c>
      <c r="AF207" s="51">
        <v>7.0999999999999998E-6</v>
      </c>
      <c r="AG207" s="51">
        <v>7.2199999999999995E-6</v>
      </c>
      <c r="AH207" s="51">
        <v>7.34E-6</v>
      </c>
      <c r="AI207" s="51">
        <v>7.4599999999999997E-6</v>
      </c>
      <c r="AJ207" s="51">
        <v>7.5800000000000003E-6</v>
      </c>
      <c r="AK207" s="51">
        <v>7.7000000000000008E-6</v>
      </c>
      <c r="AL207" s="51">
        <v>7.8199999999999997E-6</v>
      </c>
      <c r="AM207" s="51">
        <v>7.9400000000000002E-6</v>
      </c>
      <c r="AN207" s="51">
        <v>8.0600000000000008E-6</v>
      </c>
      <c r="AO207" s="51">
        <v>8.1800000000000013E-6</v>
      </c>
      <c r="AP207" s="51">
        <v>8.3000000000000002E-6</v>
      </c>
      <c r="AQ207" s="51">
        <v>8.4200000000000007E-6</v>
      </c>
      <c r="AR207" s="51">
        <v>8.5400000000000012E-6</v>
      </c>
      <c r="AS207" s="51">
        <v>8.6600000000000018E-6</v>
      </c>
      <c r="AT207" s="51">
        <v>8.7800000000000006E-6</v>
      </c>
      <c r="AU207" s="51">
        <v>8.9000000000000012E-6</v>
      </c>
      <c r="AV207" s="51">
        <v>9.0458333333333341E-6</v>
      </c>
      <c r="AW207" s="51">
        <v>9.191666666666667E-6</v>
      </c>
      <c r="AX207" s="51">
        <v>9.3375000000000017E-6</v>
      </c>
      <c r="AY207" s="51">
        <v>9.4833333333333346E-6</v>
      </c>
      <c r="AZ207" s="51">
        <v>9.6291666666666675E-6</v>
      </c>
      <c r="BA207" s="51">
        <v>9.7750000000000004E-6</v>
      </c>
      <c r="BB207" s="51">
        <v>9.9208333333333334E-6</v>
      </c>
      <c r="BC207" s="51">
        <v>1.0066666666666668E-5</v>
      </c>
      <c r="BD207" s="51">
        <v>1.0212500000000001E-5</v>
      </c>
      <c r="BE207" s="51">
        <v>1.0358333333333334E-5</v>
      </c>
      <c r="BF207" s="51">
        <v>1.0504166666666667E-5</v>
      </c>
      <c r="BG207" s="51">
        <v>1.0650000000000001E-5</v>
      </c>
      <c r="BH207" s="51">
        <v>1.0795833333333334E-5</v>
      </c>
      <c r="BI207" s="51">
        <v>1.0941666666666667E-5</v>
      </c>
      <c r="BJ207" s="51">
        <v>1.10875E-5</v>
      </c>
      <c r="BK207" s="51">
        <v>1.1233333333333333E-5</v>
      </c>
      <c r="BL207" s="51">
        <v>1.1379166666666668E-5</v>
      </c>
      <c r="BM207" s="51">
        <v>1.1525000000000001E-5</v>
      </c>
      <c r="BN207" s="51">
        <v>1.1670833333333334E-5</v>
      </c>
      <c r="BO207" s="51">
        <v>1.1816666666666666E-5</v>
      </c>
      <c r="BP207" s="51">
        <v>1.1962499999999999E-5</v>
      </c>
      <c r="BQ207" s="51">
        <v>1.2108333333333334E-5</v>
      </c>
      <c r="BR207" s="51">
        <v>1.2254166666666667E-5</v>
      </c>
      <c r="BS207" s="51">
        <v>1.24E-5</v>
      </c>
      <c r="BT207" s="51">
        <v>1.2615E-5</v>
      </c>
      <c r="BU207" s="51">
        <v>1.2829999999999999E-5</v>
      </c>
      <c r="BV207" s="51">
        <v>1.3045E-5</v>
      </c>
      <c r="BW207" s="51">
        <v>1.326E-5</v>
      </c>
      <c r="BX207" s="51">
        <v>1.3474999999999999E-5</v>
      </c>
      <c r="BY207" s="51">
        <v>1.3689999999999999E-5</v>
      </c>
      <c r="BZ207" s="51">
        <v>1.3905E-5</v>
      </c>
      <c r="CA207" s="51">
        <v>1.412E-5</v>
      </c>
      <c r="CB207" s="51">
        <v>1.4334999999999999E-5</v>
      </c>
      <c r="CC207" s="51">
        <v>1.455E-5</v>
      </c>
      <c r="CD207" s="51">
        <v>1.4765E-5</v>
      </c>
      <c r="CE207" s="51">
        <v>1.4979999999999999E-5</v>
      </c>
      <c r="CF207" s="51">
        <v>1.5194999999999999E-5</v>
      </c>
      <c r="CG207" s="51">
        <v>1.541E-5</v>
      </c>
      <c r="CH207" s="51">
        <v>1.5625E-5</v>
      </c>
      <c r="CI207" s="51">
        <v>1.5840000000000001E-5</v>
      </c>
      <c r="CJ207" s="51">
        <v>1.6055000000000001E-5</v>
      </c>
      <c r="CK207" s="51">
        <v>1.6269999999999998E-5</v>
      </c>
      <c r="CL207" s="51">
        <v>1.6484999999999999E-5</v>
      </c>
      <c r="CM207" s="51">
        <v>1.6699999999999999E-5</v>
      </c>
    </row>
    <row r="208" spans="1:91" s="50" customFormat="1" x14ac:dyDescent="0.25">
      <c r="A208" s="50" t="s">
        <v>1</v>
      </c>
      <c r="B208" s="4">
        <v>0</v>
      </c>
      <c r="C208" s="4">
        <v>0</v>
      </c>
      <c r="D208" s="4">
        <v>0</v>
      </c>
      <c r="E208" s="4">
        <v>0</v>
      </c>
      <c r="F208" s="4">
        <v>0</v>
      </c>
      <c r="G208" s="4">
        <v>0</v>
      </c>
      <c r="H208" s="4">
        <v>0</v>
      </c>
      <c r="I208" s="4">
        <v>0</v>
      </c>
      <c r="J208" s="4">
        <v>0</v>
      </c>
      <c r="K208" s="4">
        <v>0</v>
      </c>
      <c r="L208" s="4">
        <v>0</v>
      </c>
      <c r="M208" s="4">
        <v>0</v>
      </c>
      <c r="N208" s="4">
        <v>0</v>
      </c>
      <c r="O208" s="4">
        <v>0</v>
      </c>
      <c r="P208" s="4">
        <v>0</v>
      </c>
      <c r="Q208" s="4">
        <v>0</v>
      </c>
      <c r="R208" s="4">
        <v>0</v>
      </c>
      <c r="S208" s="4">
        <v>0</v>
      </c>
      <c r="T208" s="4">
        <v>0</v>
      </c>
      <c r="U208" s="4">
        <v>0</v>
      </c>
      <c r="V208" s="4">
        <v>0</v>
      </c>
      <c r="W208" s="4">
        <v>0</v>
      </c>
      <c r="X208" s="4">
        <v>0</v>
      </c>
      <c r="Y208" s="4">
        <v>0</v>
      </c>
      <c r="Z208" s="4">
        <v>0</v>
      </c>
      <c r="AA208" s="4">
        <v>0</v>
      </c>
      <c r="AB208" s="4">
        <v>0</v>
      </c>
      <c r="AC208" s="4">
        <v>0</v>
      </c>
      <c r="AD208" s="4">
        <v>0</v>
      </c>
      <c r="AE208" s="4">
        <v>0</v>
      </c>
      <c r="AF208" s="51">
        <v>2.0600000000000003E-5</v>
      </c>
      <c r="AG208" s="51">
        <v>2.0500000000000004E-5</v>
      </c>
      <c r="AH208" s="51">
        <v>2.0400000000000001E-5</v>
      </c>
      <c r="AI208" s="51">
        <v>2.0300000000000002E-5</v>
      </c>
      <c r="AJ208" s="51">
        <v>2.0200000000000003E-5</v>
      </c>
      <c r="AK208" s="51">
        <v>2.0100000000000001E-5</v>
      </c>
      <c r="AL208" s="51">
        <v>2.0000000000000002E-5</v>
      </c>
      <c r="AM208" s="51">
        <v>1.9900000000000003E-5</v>
      </c>
      <c r="AN208" s="51">
        <v>1.98E-5</v>
      </c>
      <c r="AO208" s="51">
        <v>1.9700000000000001E-5</v>
      </c>
      <c r="AP208" s="51">
        <v>1.9600000000000002E-5</v>
      </c>
      <c r="AQ208" s="51">
        <v>1.95E-5</v>
      </c>
      <c r="AR208" s="51">
        <v>1.9400000000000001E-5</v>
      </c>
      <c r="AS208" s="51">
        <v>1.9300000000000002E-5</v>
      </c>
      <c r="AT208" s="51">
        <v>1.9199999999999999E-5</v>
      </c>
      <c r="AU208" s="51">
        <v>1.91E-5</v>
      </c>
      <c r="AV208" s="51">
        <v>1.9291666666666667E-5</v>
      </c>
      <c r="AW208" s="51">
        <v>1.9483333333333334E-5</v>
      </c>
      <c r="AX208" s="51">
        <v>1.9675000000000001E-5</v>
      </c>
      <c r="AY208" s="51">
        <v>1.9866666666666667E-5</v>
      </c>
      <c r="AZ208" s="51">
        <v>2.0058333333333334E-5</v>
      </c>
      <c r="BA208" s="51">
        <v>2.0250000000000001E-5</v>
      </c>
      <c r="BB208" s="51">
        <v>2.0441666666666668E-5</v>
      </c>
      <c r="BC208" s="51">
        <v>2.0633333333333335E-5</v>
      </c>
      <c r="BD208" s="51">
        <v>2.0825000000000001E-5</v>
      </c>
      <c r="BE208" s="51">
        <v>2.1016666666666668E-5</v>
      </c>
      <c r="BF208" s="51">
        <v>2.1208333333333335E-5</v>
      </c>
      <c r="BG208" s="51">
        <v>2.1399999999999998E-5</v>
      </c>
      <c r="BH208" s="51">
        <v>2.1591666666666665E-5</v>
      </c>
      <c r="BI208" s="51">
        <v>2.1783333333333332E-5</v>
      </c>
      <c r="BJ208" s="51">
        <v>2.1974999999999999E-5</v>
      </c>
      <c r="BK208" s="51">
        <v>2.2166666666666666E-5</v>
      </c>
      <c r="BL208" s="51">
        <v>2.2358333333333332E-5</v>
      </c>
      <c r="BM208" s="51">
        <v>2.2549999999999999E-5</v>
      </c>
      <c r="BN208" s="51">
        <v>2.2741666666666666E-5</v>
      </c>
      <c r="BO208" s="51">
        <v>2.2933333333333333E-5</v>
      </c>
      <c r="BP208" s="51">
        <v>2.3125E-5</v>
      </c>
      <c r="BQ208" s="51">
        <v>2.3316666666666666E-5</v>
      </c>
      <c r="BR208" s="51">
        <v>2.3508333333333333E-5</v>
      </c>
      <c r="BS208" s="51">
        <v>2.37E-5</v>
      </c>
      <c r="BT208" s="51">
        <v>2.3924999999999999E-5</v>
      </c>
      <c r="BU208" s="51">
        <v>2.4150000000000001E-5</v>
      </c>
      <c r="BV208" s="51">
        <v>2.4375E-5</v>
      </c>
      <c r="BW208" s="51">
        <v>2.4599999999999998E-5</v>
      </c>
      <c r="BX208" s="51">
        <v>2.4825E-5</v>
      </c>
      <c r="BY208" s="51">
        <v>2.5049999999999999E-5</v>
      </c>
      <c r="BZ208" s="51">
        <v>2.5274999999999998E-5</v>
      </c>
      <c r="CA208" s="51">
        <v>2.55E-5</v>
      </c>
      <c r="CB208" s="51">
        <v>2.5724999999999998E-5</v>
      </c>
      <c r="CC208" s="51">
        <v>2.5950000000000001E-5</v>
      </c>
      <c r="CD208" s="51">
        <v>2.6174999999999999E-5</v>
      </c>
      <c r="CE208" s="51">
        <v>2.6399999999999998E-5</v>
      </c>
      <c r="CF208" s="51">
        <v>2.6625E-5</v>
      </c>
      <c r="CG208" s="51">
        <v>2.6849999999999999E-5</v>
      </c>
      <c r="CH208" s="51">
        <v>2.7074999999999997E-5</v>
      </c>
      <c r="CI208" s="51">
        <v>2.73E-5</v>
      </c>
      <c r="CJ208" s="51">
        <v>2.7524999999999998E-5</v>
      </c>
      <c r="CK208" s="51">
        <v>2.7749999999999997E-5</v>
      </c>
      <c r="CL208" s="51">
        <v>2.7974999999999999E-5</v>
      </c>
      <c r="CM208" s="51">
        <v>2.8199999999999998E-5</v>
      </c>
    </row>
    <row r="209" spans="1:91" s="50" customFormat="1" x14ac:dyDescent="0.25">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91" s="50" customFormat="1" x14ac:dyDescent="0.25">
      <c r="A210" s="50" t="s">
        <v>236</v>
      </c>
      <c r="B210" s="4">
        <v>0</v>
      </c>
      <c r="C210" s="4">
        <v>0</v>
      </c>
      <c r="D210" s="4">
        <v>0</v>
      </c>
      <c r="E210" s="4">
        <v>0</v>
      </c>
      <c r="F210" s="4">
        <v>0</v>
      </c>
      <c r="G210" s="4">
        <v>0</v>
      </c>
      <c r="H210" s="4">
        <v>0</v>
      </c>
      <c r="I210" s="4">
        <v>0</v>
      </c>
      <c r="J210" s="4">
        <v>0</v>
      </c>
      <c r="K210" s="4">
        <v>0</v>
      </c>
      <c r="L210" s="4">
        <v>0</v>
      </c>
      <c r="M210" s="4">
        <v>0</v>
      </c>
      <c r="N210" s="4">
        <v>0</v>
      </c>
      <c r="O210" s="4">
        <v>0</v>
      </c>
      <c r="P210" s="4">
        <v>0</v>
      </c>
      <c r="Q210" s="4">
        <v>0</v>
      </c>
      <c r="R210" s="4">
        <v>0</v>
      </c>
      <c r="S210" s="4">
        <v>0</v>
      </c>
      <c r="T210" s="4">
        <v>0</v>
      </c>
      <c r="U210" s="4">
        <v>0</v>
      </c>
      <c r="V210" s="4">
        <v>0</v>
      </c>
      <c r="W210" s="4">
        <v>0</v>
      </c>
      <c r="X210" s="4">
        <v>0</v>
      </c>
      <c r="Y210" s="4">
        <v>0</v>
      </c>
      <c r="Z210" s="4">
        <v>0</v>
      </c>
      <c r="AA210" s="4">
        <v>0</v>
      </c>
      <c r="AB210" s="4">
        <v>0</v>
      </c>
      <c r="AC210" s="4">
        <v>0</v>
      </c>
      <c r="AD210" s="4">
        <v>0</v>
      </c>
      <c r="AE210" s="4">
        <v>0</v>
      </c>
      <c r="AF210" s="51">
        <v>3.0000000000000001E-5</v>
      </c>
      <c r="AG210" s="51">
        <v>3.0353333333333333E-5</v>
      </c>
      <c r="AH210" s="51">
        <v>3.0706666666666669E-5</v>
      </c>
      <c r="AI210" s="51">
        <v>3.1060000000000004E-5</v>
      </c>
      <c r="AJ210" s="51">
        <v>3.1413333333333333E-5</v>
      </c>
      <c r="AK210" s="51">
        <v>3.1766666666666669E-5</v>
      </c>
      <c r="AL210" s="51">
        <v>3.2120000000000004E-5</v>
      </c>
      <c r="AM210" s="51">
        <v>3.2473333333333333E-5</v>
      </c>
      <c r="AN210" s="51">
        <v>3.2826666666666669E-5</v>
      </c>
      <c r="AO210" s="51">
        <v>3.3180000000000004E-5</v>
      </c>
      <c r="AP210" s="51">
        <v>3.353333333333334E-5</v>
      </c>
      <c r="AQ210" s="51">
        <v>3.3886666666666669E-5</v>
      </c>
      <c r="AR210" s="51">
        <v>3.4240000000000004E-5</v>
      </c>
      <c r="AS210" s="51">
        <v>3.459333333333334E-5</v>
      </c>
      <c r="AT210" s="51">
        <v>3.4946666666666669E-5</v>
      </c>
      <c r="AU210" s="51">
        <v>3.5300000000000004E-5</v>
      </c>
      <c r="AV210" s="51">
        <v>3.5568181818181823E-5</v>
      </c>
      <c r="AW210" s="51">
        <v>3.5836363636363643E-5</v>
      </c>
      <c r="AX210" s="51">
        <v>3.6104545454545462E-5</v>
      </c>
      <c r="AY210" s="51">
        <v>3.6372727272727274E-5</v>
      </c>
      <c r="AZ210" s="51">
        <v>3.6640909090909093E-5</v>
      </c>
      <c r="BA210" s="51">
        <v>3.6909090909090912E-5</v>
      </c>
      <c r="BB210" s="51">
        <v>3.7177272727272732E-5</v>
      </c>
      <c r="BC210" s="51">
        <v>3.7445454545454551E-5</v>
      </c>
      <c r="BD210" s="51">
        <v>3.771363636363637E-5</v>
      </c>
      <c r="BE210" s="51">
        <v>3.7981818181818182E-5</v>
      </c>
      <c r="BF210" s="51">
        <v>3.8250000000000001E-5</v>
      </c>
      <c r="BG210" s="51">
        <v>3.8518181818181821E-5</v>
      </c>
      <c r="BH210" s="51">
        <v>3.878636363636364E-5</v>
      </c>
      <c r="BI210" s="51">
        <v>3.9054545454545459E-5</v>
      </c>
      <c r="BJ210" s="51">
        <v>3.9322727272727278E-5</v>
      </c>
      <c r="BK210" s="51">
        <v>3.9590909090909097E-5</v>
      </c>
      <c r="BL210" s="51">
        <v>3.985909090909091E-5</v>
      </c>
      <c r="BM210" s="51">
        <v>4.0127272727272729E-5</v>
      </c>
      <c r="BN210" s="51">
        <v>4.0395454545454548E-5</v>
      </c>
      <c r="BO210" s="51">
        <v>4.0663636363636367E-5</v>
      </c>
      <c r="BP210" s="51">
        <v>4.0931818181818186E-5</v>
      </c>
      <c r="BQ210" s="51">
        <v>4.1199999999999999E-5</v>
      </c>
      <c r="BR210" s="51">
        <v>4.1468181818181818E-5</v>
      </c>
      <c r="BS210" s="51">
        <v>4.2600000000000005E-5</v>
      </c>
      <c r="BT210" s="51">
        <v>4.2825000000000004E-5</v>
      </c>
      <c r="BU210" s="51">
        <v>4.3050000000000003E-5</v>
      </c>
      <c r="BV210" s="51">
        <v>4.3275000000000002E-5</v>
      </c>
      <c r="BW210" s="51">
        <v>4.3500000000000007E-5</v>
      </c>
      <c r="BX210" s="51">
        <v>4.3725000000000006E-5</v>
      </c>
      <c r="BY210" s="51">
        <v>4.3950000000000004E-5</v>
      </c>
      <c r="BZ210" s="51">
        <v>4.4175000000000003E-5</v>
      </c>
      <c r="CA210" s="51">
        <v>4.4400000000000002E-5</v>
      </c>
      <c r="CB210" s="51">
        <v>4.4625E-5</v>
      </c>
      <c r="CC210" s="51">
        <v>4.4850000000000006E-5</v>
      </c>
      <c r="CD210" s="51">
        <v>4.5075000000000005E-5</v>
      </c>
      <c r="CE210" s="51">
        <v>4.5300000000000003E-5</v>
      </c>
      <c r="CF210" s="51">
        <v>4.5525000000000002E-5</v>
      </c>
      <c r="CG210" s="51">
        <v>4.5750000000000001E-5</v>
      </c>
      <c r="CH210" s="51">
        <v>4.5974999999999999E-5</v>
      </c>
      <c r="CI210" s="51">
        <v>4.6199999999999998E-5</v>
      </c>
      <c r="CJ210" s="51">
        <v>4.6425000000000004E-5</v>
      </c>
      <c r="CK210" s="51">
        <v>4.6650000000000002E-5</v>
      </c>
      <c r="CL210" s="51">
        <v>4.6875000000000001E-5</v>
      </c>
      <c r="CM210" s="51">
        <v>4.71E-5</v>
      </c>
    </row>
    <row r="211" spans="1:91" s="50" customFormat="1" x14ac:dyDescent="0.25">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91" s="50" customFormat="1" x14ac:dyDescent="0.25">
      <c r="A212" s="50" t="s">
        <v>237</v>
      </c>
      <c r="B212" s="4">
        <v>0</v>
      </c>
      <c r="C212" s="4">
        <v>0</v>
      </c>
      <c r="D212" s="4">
        <v>0</v>
      </c>
      <c r="E212" s="4">
        <v>0</v>
      </c>
      <c r="F212" s="4">
        <v>0</v>
      </c>
      <c r="G212" s="4">
        <v>0</v>
      </c>
      <c r="H212" s="4">
        <v>0</v>
      </c>
      <c r="I212" s="4">
        <v>0</v>
      </c>
      <c r="J212" s="4">
        <v>0</v>
      </c>
      <c r="K212" s="4">
        <v>0</v>
      </c>
      <c r="L212" s="4">
        <v>0</v>
      </c>
      <c r="M212" s="4">
        <v>0</v>
      </c>
      <c r="N212" s="4">
        <v>0</v>
      </c>
      <c r="O212" s="4">
        <v>0</v>
      </c>
      <c r="P212" s="4">
        <v>0</v>
      </c>
      <c r="Q212" s="4">
        <v>0</v>
      </c>
      <c r="R212" s="4">
        <v>0</v>
      </c>
      <c r="S212" s="4">
        <v>0</v>
      </c>
      <c r="T212" s="4">
        <v>0</v>
      </c>
      <c r="U212" s="4">
        <v>0</v>
      </c>
      <c r="V212" s="4">
        <v>0</v>
      </c>
      <c r="W212" s="4">
        <v>0</v>
      </c>
      <c r="X212" s="4">
        <v>0</v>
      </c>
      <c r="Y212" s="4">
        <v>0</v>
      </c>
      <c r="Z212" s="4">
        <v>0</v>
      </c>
      <c r="AA212" s="4">
        <v>0</v>
      </c>
      <c r="AB212" s="4">
        <v>0</v>
      </c>
      <c r="AC212" s="4">
        <v>0</v>
      </c>
      <c r="AD212" s="4">
        <v>0</v>
      </c>
      <c r="AE212" s="4">
        <v>0</v>
      </c>
      <c r="AF212" s="51">
        <v>9.84816429614663E-6</v>
      </c>
      <c r="AG212" s="51">
        <v>1.0009958324964039E-5</v>
      </c>
      <c r="AH212" s="51">
        <v>1.0174410443855271E-5</v>
      </c>
      <c r="AI212" s="51">
        <v>1.0341564322187436E-5</v>
      </c>
      <c r="AJ212" s="51">
        <v>1.0511464346765191E-5</v>
      </c>
      <c r="AK212" s="51">
        <v>1.0684155633617415E-5</v>
      </c>
      <c r="AL212" s="51">
        <v>1.0859684039977526E-5</v>
      </c>
      <c r="AM212" s="51">
        <v>1.1038096176460623E-5</v>
      </c>
      <c r="AN212" s="51">
        <v>1.1219439419440676E-5</v>
      </c>
      <c r="AO212" s="51">
        <v>1.1403761923631068E-5</v>
      </c>
      <c r="AP212" s="51">
        <v>1.1591112634871817E-5</v>
      </c>
      <c r="AQ212" s="51">
        <v>1.1781541303126881E-5</v>
      </c>
      <c r="AR212" s="51">
        <v>1.1975098495694986E-5</v>
      </c>
      <c r="AS212" s="51">
        <v>1.2171835610637502E-5</v>
      </c>
      <c r="AT212" s="51">
        <v>1.2371804890426914E-5</v>
      </c>
      <c r="AU212" s="51">
        <v>1.2575059435819531E-5</v>
      </c>
      <c r="AV212" s="51">
        <v>1.2724778690981422E-5</v>
      </c>
      <c r="AW212" s="51">
        <v>1.2876280510709358E-5</v>
      </c>
      <c r="AX212" s="51">
        <v>1.3029586118301768E-5</v>
      </c>
      <c r="AY212" s="51">
        <v>1.3184716989742672E-5</v>
      </c>
      <c r="AZ212" s="51">
        <v>1.3341694856710182E-5</v>
      </c>
      <c r="BA212" s="51">
        <v>1.3500541709620797E-5</v>
      </c>
      <c r="BB212" s="51">
        <v>1.3661279800709966E-5</v>
      </c>
      <c r="BC212" s="51">
        <v>1.3823931647149304E-5</v>
      </c>
      <c r="BD212" s="51">
        <v>1.3988520034200947E-5</v>
      </c>
      <c r="BE212" s="51">
        <v>1.4155068018409441E-5</v>
      </c>
      <c r="BF212" s="51">
        <v>1.4323598930831649E-5</v>
      </c>
      <c r="BG212" s="51">
        <v>1.4494136380305104E-5</v>
      </c>
      <c r="BH212" s="51">
        <v>1.4666704256755281E-5</v>
      </c>
      <c r="BI212" s="51">
        <v>1.4841326734542243E-5</v>
      </c>
      <c r="BJ212" s="51">
        <v>1.5018028275847132E-5</v>
      </c>
      <c r="BK212" s="51">
        <v>1.5196833634098983E-5</v>
      </c>
      <c r="BL212" s="51">
        <v>1.5377767857442332E-5</v>
      </c>
      <c r="BM212" s="51">
        <v>1.5560856292246115E-5</v>
      </c>
      <c r="BN212" s="51">
        <v>1.5746124586654335E-5</v>
      </c>
      <c r="BO212" s="51">
        <v>1.5933598694179025E-5</v>
      </c>
      <c r="BP212" s="51">
        <v>1.6123304877335964E-5</v>
      </c>
      <c r="BQ212" s="51">
        <v>1.6315269711323685E-5</v>
      </c>
      <c r="BR212" s="51">
        <v>1.6509520087746301E-5</v>
      </c>
      <c r="BS212" s="51">
        <v>1.6706083218380645E-5</v>
      </c>
      <c r="BT212" s="51">
        <v>1.6904986638988255E-5</v>
      </c>
      <c r="BU212" s="51">
        <v>1.7106258213172752E-5</v>
      </c>
      <c r="BV212" s="51">
        <v>1.7309926136283152E-5</v>
      </c>
      <c r="BW212" s="51">
        <v>1.751601893936363E-5</v>
      </c>
      <c r="BX212" s="51">
        <v>1.7724565493150331E-5</v>
      </c>
      <c r="BY212" s="51">
        <v>1.7935595012115754E-5</v>
      </c>
      <c r="BZ212" s="51">
        <v>1.81491370585613E-5</v>
      </c>
      <c r="CA212" s="51">
        <v>1.8365221546758533E-5</v>
      </c>
      <c r="CB212" s="51">
        <v>1.8583878747139756E-5</v>
      </c>
      <c r="CC212" s="51">
        <v>1.8805139290538478E-5</v>
      </c>
      <c r="CD212" s="51">
        <v>1.9029034172480364E-5</v>
      </c>
      <c r="CE212" s="51">
        <v>1.9255594757525284E-5</v>
      </c>
      <c r="CF212" s="51">
        <v>1.9484852783661048E-5</v>
      </c>
      <c r="CG212" s="51">
        <v>1.9716840366749454E-5</v>
      </c>
      <c r="CH212" s="51">
        <v>1.9951590005025277E-5</v>
      </c>
      <c r="CI212" s="51">
        <v>2.0189134583648824E-5</v>
      </c>
      <c r="CJ212" s="51">
        <v>2.0429507379312678E-5</v>
      </c>
      <c r="CK212" s="51">
        <v>2.0672742064903308E-5</v>
      </c>
      <c r="CL212" s="51">
        <v>2.0918872714218165E-5</v>
      </c>
      <c r="CM212" s="51">
        <v>2.1167933806738958E-5</v>
      </c>
    </row>
    <row r="213" spans="1:91" s="50" customFormat="1" x14ac:dyDescent="0.25">
      <c r="A213" s="50" t="s">
        <v>1</v>
      </c>
      <c r="B213" s="4">
        <v>0</v>
      </c>
      <c r="C213" s="4">
        <v>0</v>
      </c>
      <c r="D213" s="4">
        <v>0</v>
      </c>
      <c r="E213" s="4">
        <v>0</v>
      </c>
      <c r="F213" s="4">
        <v>0</v>
      </c>
      <c r="G213" s="4">
        <v>0</v>
      </c>
      <c r="H213" s="4">
        <v>0</v>
      </c>
      <c r="I213" s="4">
        <v>0</v>
      </c>
      <c r="J213" s="4">
        <v>0</v>
      </c>
      <c r="K213" s="4">
        <v>0</v>
      </c>
      <c r="L213" s="4">
        <v>0</v>
      </c>
      <c r="M213" s="4">
        <v>0</v>
      </c>
      <c r="N213" s="4">
        <v>0</v>
      </c>
      <c r="O213" s="4">
        <v>0</v>
      </c>
      <c r="P213" s="4">
        <v>0</v>
      </c>
      <c r="Q213" s="4">
        <v>0</v>
      </c>
      <c r="R213" s="4">
        <v>0</v>
      </c>
      <c r="S213" s="4">
        <v>0</v>
      </c>
      <c r="T213" s="4">
        <v>0</v>
      </c>
      <c r="U213" s="4">
        <v>0</v>
      </c>
      <c r="V213" s="4">
        <v>0</v>
      </c>
      <c r="W213" s="4">
        <v>0</v>
      </c>
      <c r="X213" s="4">
        <v>0</v>
      </c>
      <c r="Y213" s="4">
        <v>0</v>
      </c>
      <c r="Z213" s="4">
        <v>0</v>
      </c>
      <c r="AA213" s="4">
        <v>0</v>
      </c>
      <c r="AB213" s="4">
        <v>0</v>
      </c>
      <c r="AC213" s="4">
        <v>0</v>
      </c>
      <c r="AD213" s="4">
        <v>0</v>
      </c>
      <c r="AE213" s="4">
        <v>0</v>
      </c>
      <c r="AF213" s="51">
        <v>7.4000000000000003E-6</v>
      </c>
      <c r="AG213" s="51">
        <v>8.4600000000000003E-6</v>
      </c>
      <c r="AH213" s="51">
        <v>9.5200000000000003E-6</v>
      </c>
      <c r="AI213" s="51">
        <v>1.058E-5</v>
      </c>
      <c r="AJ213" s="51">
        <v>1.164E-5</v>
      </c>
      <c r="AK213" s="51">
        <v>1.27E-5</v>
      </c>
      <c r="AL213" s="51">
        <v>1.376E-5</v>
      </c>
      <c r="AM213" s="51">
        <v>1.482E-5</v>
      </c>
      <c r="AN213" s="51">
        <v>1.588E-5</v>
      </c>
      <c r="AO213" s="51">
        <v>1.694E-5</v>
      </c>
      <c r="AP213" s="51">
        <v>1.8E-5</v>
      </c>
      <c r="AQ213" s="51">
        <v>1.906E-5</v>
      </c>
      <c r="AR213" s="51">
        <v>2.012E-5</v>
      </c>
      <c r="AS213" s="51">
        <v>2.1180000000000001E-5</v>
      </c>
      <c r="AT213" s="51">
        <v>2.2240000000000001E-5</v>
      </c>
      <c r="AU213" s="51">
        <v>2.3300000000000001E-5</v>
      </c>
      <c r="AV213" s="51">
        <v>2.3770833333333333E-5</v>
      </c>
      <c r="AW213" s="51">
        <v>2.4241666666666669E-5</v>
      </c>
      <c r="AX213" s="51">
        <v>2.4712500000000001E-5</v>
      </c>
      <c r="AY213" s="51">
        <v>2.5183333333333333E-5</v>
      </c>
      <c r="AZ213" s="51">
        <v>2.5654166666666669E-5</v>
      </c>
      <c r="BA213" s="51">
        <v>2.6125000000000001E-5</v>
      </c>
      <c r="BB213" s="51">
        <v>2.6595833333333334E-5</v>
      </c>
      <c r="BC213" s="51">
        <v>2.7066666666666666E-5</v>
      </c>
      <c r="BD213" s="51">
        <v>2.7537500000000002E-5</v>
      </c>
      <c r="BE213" s="51">
        <v>2.8008333333333334E-5</v>
      </c>
      <c r="BF213" s="51">
        <v>2.8479166666666667E-5</v>
      </c>
      <c r="BG213" s="51">
        <v>2.8949999999999999E-5</v>
      </c>
      <c r="BH213" s="51">
        <v>2.9420833333333335E-5</v>
      </c>
      <c r="BI213" s="51">
        <v>2.9891666666666667E-5</v>
      </c>
      <c r="BJ213" s="51">
        <v>3.0362499999999999E-5</v>
      </c>
      <c r="BK213" s="51">
        <v>3.0833333333333335E-5</v>
      </c>
      <c r="BL213" s="51">
        <v>3.1304166666666671E-5</v>
      </c>
      <c r="BM213" s="51">
        <v>3.1775E-5</v>
      </c>
      <c r="BN213" s="51">
        <v>3.2245833333333336E-5</v>
      </c>
      <c r="BO213" s="51">
        <v>3.2716666666666671E-5</v>
      </c>
      <c r="BP213" s="51">
        <v>3.31875E-5</v>
      </c>
      <c r="BQ213" s="51">
        <v>3.3658333333333336E-5</v>
      </c>
      <c r="BR213" s="51">
        <v>3.4129166666666672E-5</v>
      </c>
      <c r="BS213" s="51">
        <v>3.4600000000000001E-5</v>
      </c>
      <c r="BT213" s="51">
        <v>3.4830000000000004E-5</v>
      </c>
      <c r="BU213" s="51">
        <v>3.506E-5</v>
      </c>
      <c r="BV213" s="51">
        <v>3.5290000000000003E-5</v>
      </c>
      <c r="BW213" s="51">
        <v>3.5519999999999999E-5</v>
      </c>
      <c r="BX213" s="51">
        <v>3.5750000000000002E-5</v>
      </c>
      <c r="BY213" s="51">
        <v>3.5980000000000004E-5</v>
      </c>
      <c r="BZ213" s="51">
        <v>3.6210000000000001E-5</v>
      </c>
      <c r="CA213" s="51">
        <v>3.6440000000000003E-5</v>
      </c>
      <c r="CB213" s="51">
        <v>3.667E-5</v>
      </c>
      <c r="CC213" s="51">
        <v>3.6900000000000002E-5</v>
      </c>
      <c r="CD213" s="51">
        <v>3.7130000000000005E-5</v>
      </c>
      <c r="CE213" s="51">
        <v>3.7360000000000001E-5</v>
      </c>
      <c r="CF213" s="51">
        <v>3.7590000000000004E-5</v>
      </c>
      <c r="CG213" s="51">
        <v>3.782E-5</v>
      </c>
      <c r="CH213" s="51">
        <v>3.8050000000000003E-5</v>
      </c>
      <c r="CI213" s="51">
        <v>3.8280000000000006E-5</v>
      </c>
      <c r="CJ213" s="51">
        <v>3.8510000000000002E-5</v>
      </c>
      <c r="CK213" s="51">
        <v>3.8740000000000005E-5</v>
      </c>
      <c r="CL213" s="51">
        <v>3.8970000000000001E-5</v>
      </c>
      <c r="CM213" s="51">
        <v>3.9200000000000004E-5</v>
      </c>
    </row>
    <row r="214" spans="1:91" s="50" customFormat="1" x14ac:dyDescent="0.25">
      <c r="A214" s="50" t="s">
        <v>2</v>
      </c>
      <c r="B214" s="4">
        <v>0</v>
      </c>
      <c r="C214" s="4">
        <v>0</v>
      </c>
      <c r="D214" s="4">
        <v>0</v>
      </c>
      <c r="E214" s="4">
        <v>0</v>
      </c>
      <c r="F214" s="4">
        <v>0</v>
      </c>
      <c r="G214" s="4">
        <v>0</v>
      </c>
      <c r="H214" s="4">
        <v>0</v>
      </c>
      <c r="I214" s="4">
        <v>0</v>
      </c>
      <c r="J214" s="4">
        <v>0</v>
      </c>
      <c r="K214" s="4">
        <v>0</v>
      </c>
      <c r="L214" s="4">
        <v>0</v>
      </c>
      <c r="M214" s="4">
        <v>0</v>
      </c>
      <c r="N214" s="4">
        <v>0</v>
      </c>
      <c r="O214" s="4">
        <v>0</v>
      </c>
      <c r="P214" s="4">
        <v>0</v>
      </c>
      <c r="Q214" s="4">
        <v>0</v>
      </c>
      <c r="R214" s="4">
        <v>0</v>
      </c>
      <c r="S214" s="4">
        <v>0</v>
      </c>
      <c r="T214" s="4">
        <v>0</v>
      </c>
      <c r="U214" s="4">
        <v>0</v>
      </c>
      <c r="V214" s="4">
        <v>0</v>
      </c>
      <c r="W214" s="4">
        <v>0</v>
      </c>
      <c r="X214" s="4">
        <v>0</v>
      </c>
      <c r="Y214" s="4">
        <v>0</v>
      </c>
      <c r="Z214" s="4">
        <v>0</v>
      </c>
      <c r="AA214" s="4">
        <v>0</v>
      </c>
      <c r="AB214" s="4">
        <v>0</v>
      </c>
      <c r="AC214" s="4">
        <v>0</v>
      </c>
      <c r="AD214" s="4">
        <v>0</v>
      </c>
      <c r="AE214" s="4">
        <v>0</v>
      </c>
      <c r="AF214" s="51">
        <v>1.1940938557522844E-5</v>
      </c>
      <c r="AG214" s="51">
        <v>1.2284916211443256E-5</v>
      </c>
      <c r="AH214" s="51">
        <v>1.2638802686670017E-5</v>
      </c>
      <c r="AI214" s="51">
        <v>1.3002883422500018E-5</v>
      </c>
      <c r="AJ214" s="51">
        <v>1.3377452080761334E-5</v>
      </c>
      <c r="AK214" s="51">
        <v>1.376281078267627E-5</v>
      </c>
      <c r="AL214" s="51">
        <v>1.4159270352547603E-5</v>
      </c>
      <c r="AM214" s="51">
        <v>1.4567150568464612E-5</v>
      </c>
      <c r="AN214" s="51">
        <v>1.4986780420231082E-5</v>
      </c>
      <c r="AO214" s="51">
        <v>1.5418498374723337E-5</v>
      </c>
      <c r="AP214" s="51">
        <v>1.5862652648892322E-5</v>
      </c>
      <c r="AQ214" s="51">
        <v>1.6319601490629962E-5</v>
      </c>
      <c r="AR214" s="51">
        <v>1.67897134677263E-5</v>
      </c>
      <c r="AS214" s="51">
        <v>1.7273367765150516E-5</v>
      </c>
      <c r="AT214" s="51">
        <v>1.7770954490895594E-5</v>
      </c>
      <c r="AU214" s="51">
        <v>1.8282874990633326E-5</v>
      </c>
      <c r="AV214" s="51">
        <v>1.8374289365586492E-5</v>
      </c>
      <c r="AW214" s="51">
        <v>1.8466160812414426E-5</v>
      </c>
      <c r="AX214" s="51">
        <v>1.8558491616476499E-5</v>
      </c>
      <c r="AY214" s="51">
        <v>1.8651284074558881E-5</v>
      </c>
      <c r="AZ214" s="51">
        <v>1.8744540494931674E-5</v>
      </c>
      <c r="BA214" s="51">
        <v>1.8838263197406332E-5</v>
      </c>
      <c r="BB214" s="51">
        <v>1.8932454513393364E-5</v>
      </c>
      <c r="BC214" s="51">
        <v>1.902711678596033E-5</v>
      </c>
      <c r="BD214" s="51">
        <v>1.912225236989013E-5</v>
      </c>
      <c r="BE214" s="51">
        <v>1.9217863631739581E-5</v>
      </c>
      <c r="BF214" s="51">
        <v>1.9313952949898279E-5</v>
      </c>
      <c r="BG214" s="51">
        <v>1.9410522714647769E-5</v>
      </c>
      <c r="BH214" s="51">
        <v>1.9507575328221009E-5</v>
      </c>
      <c r="BI214" s="51">
        <v>1.9605113204862113E-5</v>
      </c>
      <c r="BJ214" s="51">
        <v>1.9703138770886425E-5</v>
      </c>
      <c r="BK214" s="51">
        <v>1.9801654464740857E-5</v>
      </c>
      <c r="BL214" s="51">
        <v>1.9900662737064561E-5</v>
      </c>
      <c r="BM214" s="51">
        <v>2.0000166050749883E-5</v>
      </c>
      <c r="BN214" s="51">
        <v>2.0100166881003632E-5</v>
      </c>
      <c r="BO214" s="51">
        <v>2.020066771540865E-5</v>
      </c>
      <c r="BP214" s="51">
        <v>2.0301671053985692E-5</v>
      </c>
      <c r="BQ214" s="51">
        <v>2.0403179409255621E-5</v>
      </c>
      <c r="BR214" s="51">
        <v>2.0505195306301901E-5</v>
      </c>
      <c r="BS214" s="51">
        <v>2.0607721282833412E-5</v>
      </c>
      <c r="BT214" s="51">
        <v>2.0710759889247578E-5</v>
      </c>
      <c r="BU214" s="51">
        <v>2.0814313688693816E-5</v>
      </c>
      <c r="BV214" s="51">
        <v>2.0918385257137287E-5</v>
      </c>
      <c r="BW214" s="51">
        <v>2.1022977183422974E-5</v>
      </c>
      <c r="BX214" s="51">
        <v>2.1128092069340089E-5</v>
      </c>
      <c r="BY214" s="51">
        <v>2.1233732529686789E-5</v>
      </c>
      <c r="BZ214" s="51">
        <v>2.1339901192335224E-5</v>
      </c>
      <c r="CA214" s="51">
        <v>2.1446600698296902E-5</v>
      </c>
      <c r="CB214" s="51">
        <v>2.1553833701788386E-5</v>
      </c>
      <c r="CC214" s="51">
        <v>2.1661602870297329E-5</v>
      </c>
      <c r="CD214" s="51">
        <v>2.1769910884648817E-5</v>
      </c>
      <c r="CE214" s="51">
        <v>2.1878760439072059E-5</v>
      </c>
      <c r="CF214" s="51">
        <v>2.1988154241267419E-5</v>
      </c>
      <c r="CG214" s="51">
        <v>2.2098095012473757E-5</v>
      </c>
      <c r="CH214" s="51">
        <v>2.2208585487536127E-5</v>
      </c>
      <c r="CI214" s="51">
        <v>2.2319628414973806E-5</v>
      </c>
      <c r="CJ214" s="51">
        <v>2.2431226557048674E-5</v>
      </c>
      <c r="CK214" s="51">
        <v>2.2543382689833918E-5</v>
      </c>
      <c r="CL214" s="51">
        <v>2.2656099603283088E-5</v>
      </c>
      <c r="CM214" s="51">
        <v>2.2769380101299504E-5</v>
      </c>
    </row>
    <row r="215" spans="1:91" s="50" customFormat="1" x14ac:dyDescent="0.25">
      <c r="A215" s="50" t="s">
        <v>2</v>
      </c>
      <c r="B215" s="4">
        <v>0</v>
      </c>
      <c r="C215" s="4">
        <v>0</v>
      </c>
      <c r="D215" s="4">
        <v>0</v>
      </c>
      <c r="E215" s="4">
        <v>0</v>
      </c>
      <c r="F215" s="4">
        <v>0</v>
      </c>
      <c r="G215" s="4">
        <v>0</v>
      </c>
      <c r="H215" s="4">
        <v>0</v>
      </c>
      <c r="I215" s="4">
        <v>0</v>
      </c>
      <c r="J215" s="4">
        <v>0</v>
      </c>
      <c r="K215" s="4">
        <v>0</v>
      </c>
      <c r="L215" s="4">
        <v>0</v>
      </c>
      <c r="M215" s="4">
        <v>0</v>
      </c>
      <c r="N215" s="4">
        <v>0</v>
      </c>
      <c r="O215" s="4">
        <v>0</v>
      </c>
      <c r="P215" s="4">
        <v>0</v>
      </c>
      <c r="Q215" s="4">
        <v>0</v>
      </c>
      <c r="R215" s="4">
        <v>0</v>
      </c>
      <c r="S215" s="4">
        <v>0</v>
      </c>
      <c r="T215" s="4">
        <v>0</v>
      </c>
      <c r="U215" s="4">
        <v>0</v>
      </c>
      <c r="V215" s="4">
        <v>0</v>
      </c>
      <c r="W215" s="4">
        <v>0</v>
      </c>
      <c r="X215" s="4">
        <v>0</v>
      </c>
      <c r="Y215" s="4">
        <v>0</v>
      </c>
      <c r="Z215" s="4">
        <v>0</v>
      </c>
      <c r="AA215" s="4">
        <v>0</v>
      </c>
      <c r="AB215" s="4">
        <v>0</v>
      </c>
      <c r="AC215" s="4">
        <v>0</v>
      </c>
      <c r="AD215" s="4">
        <v>0</v>
      </c>
      <c r="AE215" s="4">
        <v>0</v>
      </c>
      <c r="AF215" s="51">
        <v>5.7536459922360531E-6</v>
      </c>
      <c r="AG215" s="51">
        <v>6.088514277498469E-6</v>
      </c>
      <c r="AH215" s="51">
        <v>6.4428722513211314E-6</v>
      </c>
      <c r="AI215" s="51">
        <v>6.8178542342022556E-6</v>
      </c>
      <c r="AJ215" s="51">
        <v>7.2146605652933924E-6</v>
      </c>
      <c r="AK215" s="51">
        <v>7.6345614447549131E-6</v>
      </c>
      <c r="AL215" s="51">
        <v>8.0789009997406479E-6</v>
      </c>
      <c r="AM215" s="51">
        <v>8.5491015870271414E-6</v>
      </c>
      <c r="AN215" s="51">
        <v>9.0466683460604674E-6</v>
      </c>
      <c r="AO215" s="51">
        <v>9.5731940169952031E-6</v>
      </c>
      <c r="AP215" s="51">
        <v>1.0130364039148364E-5</v>
      </c>
      <c r="AQ215" s="51">
        <v>1.0719961946188746E-5</v>
      </c>
      <c r="AR215" s="51">
        <v>1.1343875075332007E-5</v>
      </c>
      <c r="AS215" s="51">
        <v>1.2004100608816938E-5</v>
      </c>
      <c r="AT215" s="51">
        <v>1.2702751967002049E-5</v>
      </c>
      <c r="AU215" s="51">
        <v>1.3442065573547143E-5</v>
      </c>
      <c r="AV215" s="51">
        <v>1.364369655715035E-5</v>
      </c>
      <c r="AW215" s="51">
        <v>1.3848352005507605E-5</v>
      </c>
      <c r="AX215" s="51">
        <v>1.4056077285590219E-5</v>
      </c>
      <c r="AY215" s="51">
        <v>1.4266918444874072E-5</v>
      </c>
      <c r="AZ215" s="51">
        <v>1.4480922221547184E-5</v>
      </c>
      <c r="BA215" s="51">
        <v>1.4698136054870392E-5</v>
      </c>
      <c r="BB215" s="51">
        <v>1.4918608095693447E-5</v>
      </c>
      <c r="BC215" s="51">
        <v>1.514238721712885E-5</v>
      </c>
      <c r="BD215" s="51">
        <v>1.5369523025385783E-5</v>
      </c>
      <c r="BE215" s="51">
        <v>1.5600065870766571E-5</v>
      </c>
      <c r="BF215" s="51">
        <v>1.5834066858828069E-5</v>
      </c>
      <c r="BG215" s="51">
        <v>1.6071577861710491E-5</v>
      </c>
      <c r="BH215" s="51">
        <v>1.6312651529636149E-5</v>
      </c>
      <c r="BI215" s="51">
        <v>1.6557341302580691E-5</v>
      </c>
      <c r="BJ215" s="51">
        <v>1.6805701422119401E-5</v>
      </c>
      <c r="BK215" s="51">
        <v>1.7057786943451192E-5</v>
      </c>
      <c r="BL215" s="51">
        <v>1.731365374760296E-5</v>
      </c>
      <c r="BM215" s="51">
        <v>1.7573358553817004E-5</v>
      </c>
      <c r="BN215" s="51">
        <v>1.7836958932124258E-5</v>
      </c>
      <c r="BO215" s="51">
        <v>1.8104513316106121E-5</v>
      </c>
      <c r="BP215" s="51">
        <v>1.8376081015847712E-5</v>
      </c>
      <c r="BQ215" s="51">
        <v>1.8651722231085428E-5</v>
      </c>
      <c r="BR215" s="51">
        <v>1.8931498064551708E-5</v>
      </c>
      <c r="BS215" s="51">
        <v>1.9215470535519983E-5</v>
      </c>
      <c r="BT215" s="51">
        <v>1.9503702593552781E-5</v>
      </c>
      <c r="BU215" s="51">
        <v>1.9796258132456072E-5</v>
      </c>
      <c r="BV215" s="51">
        <v>2.0093202004442913E-5</v>
      </c>
      <c r="BW215" s="51">
        <v>2.0394600034509555E-5</v>
      </c>
      <c r="BX215" s="51">
        <v>2.0700519035027199E-5</v>
      </c>
      <c r="BY215" s="51">
        <v>2.1011026820552607E-5</v>
      </c>
      <c r="BZ215" s="51">
        <v>2.1326192222860898E-5</v>
      </c>
      <c r="CA215" s="51">
        <v>2.1646085106203812E-5</v>
      </c>
      <c r="CB215" s="51">
        <v>2.197077638279687E-5</v>
      </c>
      <c r="CC215" s="51">
        <v>2.2300338028538821E-5</v>
      </c>
      <c r="CD215" s="51">
        <v>2.2634843098966902E-5</v>
      </c>
      <c r="CE215" s="51">
        <v>2.2974365745451405E-5</v>
      </c>
      <c r="CF215" s="51">
        <v>2.3318981231633177E-5</v>
      </c>
      <c r="CG215" s="51">
        <v>2.3668765950107675E-5</v>
      </c>
      <c r="CH215" s="51">
        <v>2.402379743935929E-5</v>
      </c>
      <c r="CI215" s="51">
        <v>2.438415440094968E-5</v>
      </c>
      <c r="CJ215" s="51">
        <v>2.4749916716963925E-5</v>
      </c>
      <c r="CK215" s="51">
        <v>2.5121165467718383E-5</v>
      </c>
      <c r="CL215" s="51">
        <v>2.549798294973416E-5</v>
      </c>
      <c r="CM215" s="51">
        <v>2.5880452693980171E-5</v>
      </c>
    </row>
    <row r="216" spans="1:91" s="50" customFormat="1" x14ac:dyDescent="0.25">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91" s="50" customFormat="1" x14ac:dyDescent="0.25">
      <c r="A217" s="50" t="s">
        <v>238</v>
      </c>
      <c r="B217" s="4">
        <v>0</v>
      </c>
      <c r="C217" s="4">
        <v>0</v>
      </c>
      <c r="D217" s="4">
        <v>0</v>
      </c>
      <c r="E217" s="4">
        <v>0</v>
      </c>
      <c r="F217" s="4">
        <v>0</v>
      </c>
      <c r="G217" s="4">
        <v>0</v>
      </c>
      <c r="H217" s="4">
        <v>0</v>
      </c>
      <c r="I217" s="4">
        <v>0</v>
      </c>
      <c r="J217" s="4">
        <v>0</v>
      </c>
      <c r="K217" s="4">
        <v>0</v>
      </c>
      <c r="L217" s="4">
        <v>0</v>
      </c>
      <c r="M217" s="4">
        <v>0</v>
      </c>
      <c r="N217" s="4">
        <v>0</v>
      </c>
      <c r="O217" s="4">
        <v>0</v>
      </c>
      <c r="P217" s="4">
        <v>0</v>
      </c>
      <c r="Q217" s="4">
        <v>0</v>
      </c>
      <c r="R217" s="4">
        <v>0</v>
      </c>
      <c r="S217" s="4">
        <v>0</v>
      </c>
      <c r="T217" s="4">
        <v>0</v>
      </c>
      <c r="U217" s="4">
        <v>0</v>
      </c>
      <c r="V217" s="4">
        <v>0</v>
      </c>
      <c r="W217" s="4">
        <v>0</v>
      </c>
      <c r="X217" s="4">
        <v>0</v>
      </c>
      <c r="Y217" s="4">
        <v>0</v>
      </c>
      <c r="Z217" s="4">
        <v>0</v>
      </c>
      <c r="AA217" s="4">
        <v>0</v>
      </c>
      <c r="AB217" s="4">
        <v>0</v>
      </c>
      <c r="AC217" s="4">
        <v>0</v>
      </c>
      <c r="AD217" s="4">
        <v>0</v>
      </c>
      <c r="AE217" s="4">
        <v>0</v>
      </c>
      <c r="AF217" s="51">
        <v>3.961367013372957E-5</v>
      </c>
      <c r="AG217" s="51">
        <v>3.9475482912332841E-5</v>
      </c>
      <c r="AH217" s="51">
        <v>3.9337295690936105E-5</v>
      </c>
      <c r="AI217" s="51">
        <v>3.9199108469539376E-5</v>
      </c>
      <c r="AJ217" s="51">
        <v>3.9060921248142647E-5</v>
      </c>
      <c r="AK217" s="51">
        <v>3.8922734026745911E-5</v>
      </c>
      <c r="AL217" s="51">
        <v>3.8784546805349182E-5</v>
      </c>
      <c r="AM217" s="51">
        <v>3.8646359583952453E-5</v>
      </c>
      <c r="AN217" s="51">
        <v>3.8508172362555718E-5</v>
      </c>
      <c r="AO217" s="51">
        <v>3.8369985141158989E-5</v>
      </c>
      <c r="AP217" s="51">
        <v>3.823179791976226E-5</v>
      </c>
      <c r="AQ217" s="51">
        <v>3.8093610698365524E-5</v>
      </c>
      <c r="AR217" s="51">
        <v>3.7955423476968795E-5</v>
      </c>
      <c r="AS217" s="51">
        <v>3.7817236255572066E-5</v>
      </c>
      <c r="AT217" s="51">
        <v>3.767904903417533E-5</v>
      </c>
      <c r="AU217" s="51">
        <v>3.7540861812778601E-5</v>
      </c>
      <c r="AV217" s="51">
        <v>3.7763153098092002E-5</v>
      </c>
      <c r="AW217" s="51">
        <v>3.7985444383405395E-5</v>
      </c>
      <c r="AX217" s="51">
        <v>3.8207735668718796E-5</v>
      </c>
      <c r="AY217" s="51">
        <v>3.843002695403219E-5</v>
      </c>
      <c r="AZ217" s="51">
        <v>3.865231823934559E-5</v>
      </c>
      <c r="BA217" s="51">
        <v>3.8874609524658984E-5</v>
      </c>
      <c r="BB217" s="51">
        <v>3.9096900809972384E-5</v>
      </c>
      <c r="BC217" s="51">
        <v>3.9319192095285778E-5</v>
      </c>
      <c r="BD217" s="51">
        <v>3.9541483380599179E-5</v>
      </c>
      <c r="BE217" s="51">
        <v>3.9763774665912572E-5</v>
      </c>
      <c r="BF217" s="51">
        <v>3.9986065951225973E-5</v>
      </c>
      <c r="BG217" s="51">
        <v>4.0208357236539373E-5</v>
      </c>
      <c r="BH217" s="51">
        <v>4.0430648521852767E-5</v>
      </c>
      <c r="BI217" s="51">
        <v>4.0652939807166168E-5</v>
      </c>
      <c r="BJ217" s="51">
        <v>4.0875231092479561E-5</v>
      </c>
      <c r="BK217" s="51">
        <v>4.1097522377792962E-5</v>
      </c>
      <c r="BL217" s="51">
        <v>4.1319813663106356E-5</v>
      </c>
      <c r="BM217" s="51">
        <v>4.1542104948419756E-5</v>
      </c>
      <c r="BN217" s="51">
        <v>4.176439623373315E-5</v>
      </c>
      <c r="BO217" s="51">
        <v>4.198668751904655E-5</v>
      </c>
      <c r="BP217" s="51">
        <v>4.2208978804359944E-5</v>
      </c>
      <c r="BQ217" s="51">
        <v>4.2431270089673345E-5</v>
      </c>
      <c r="BR217" s="51">
        <v>4.2653561374986738E-5</v>
      </c>
      <c r="BS217" s="51">
        <v>4.2875852660300139E-5</v>
      </c>
      <c r="BT217" s="51">
        <v>4.280968622100955E-5</v>
      </c>
      <c r="BU217" s="51">
        <v>4.2743519781718962E-5</v>
      </c>
      <c r="BV217" s="51">
        <v>4.267735334242838E-5</v>
      </c>
      <c r="BW217" s="51">
        <v>4.2611186903137792E-5</v>
      </c>
      <c r="BX217" s="51">
        <v>4.2545020463847204E-5</v>
      </c>
      <c r="BY217" s="51">
        <v>4.2478854024556622E-5</v>
      </c>
      <c r="BZ217" s="51">
        <v>4.2412687585266033E-5</v>
      </c>
      <c r="CA217" s="51">
        <v>4.2346521145975445E-5</v>
      </c>
      <c r="CB217" s="51">
        <v>4.2280354706684857E-5</v>
      </c>
      <c r="CC217" s="51">
        <v>4.2214188267394268E-5</v>
      </c>
      <c r="CD217" s="51">
        <v>4.2148021828103686E-5</v>
      </c>
      <c r="CE217" s="51">
        <v>4.2081855388813098E-5</v>
      </c>
      <c r="CF217" s="51">
        <v>4.201568894952251E-5</v>
      </c>
      <c r="CG217" s="51">
        <v>4.1949522510231928E-5</v>
      </c>
      <c r="CH217" s="51">
        <v>4.188335607094134E-5</v>
      </c>
      <c r="CI217" s="51">
        <v>4.1817189631650751E-5</v>
      </c>
      <c r="CJ217" s="51">
        <v>4.1751023192360163E-5</v>
      </c>
      <c r="CK217" s="51">
        <v>4.1684856753069574E-5</v>
      </c>
      <c r="CL217" s="51">
        <v>4.1618690313778993E-5</v>
      </c>
      <c r="CM217" s="51">
        <v>4.1552523874488404E-5</v>
      </c>
    </row>
    <row r="218" spans="1:91" s="50" customFormat="1" x14ac:dyDescent="0.25">
      <c r="A218" s="50" t="s">
        <v>1</v>
      </c>
      <c r="B218" s="4">
        <v>0</v>
      </c>
      <c r="C218" s="4">
        <v>0</v>
      </c>
      <c r="D218" s="4">
        <v>0</v>
      </c>
      <c r="E218" s="4">
        <v>0</v>
      </c>
      <c r="F218" s="4">
        <v>0</v>
      </c>
      <c r="G218" s="4">
        <v>0</v>
      </c>
      <c r="H218" s="4">
        <v>0</v>
      </c>
      <c r="I218" s="4">
        <v>0</v>
      </c>
      <c r="J218" s="4">
        <v>0</v>
      </c>
      <c r="K218" s="4">
        <v>0</v>
      </c>
      <c r="L218" s="4">
        <v>0</v>
      </c>
      <c r="M218" s="4">
        <v>0</v>
      </c>
      <c r="N218" s="4">
        <v>0</v>
      </c>
      <c r="O218" s="4">
        <v>0</v>
      </c>
      <c r="P218" s="4">
        <v>0</v>
      </c>
      <c r="Q218" s="4">
        <v>0</v>
      </c>
      <c r="R218" s="4">
        <v>0</v>
      </c>
      <c r="S218" s="4">
        <v>0</v>
      </c>
      <c r="T218" s="4">
        <v>0</v>
      </c>
      <c r="U218" s="4">
        <v>0</v>
      </c>
      <c r="V218" s="4">
        <v>0</v>
      </c>
      <c r="W218" s="4">
        <v>0</v>
      </c>
      <c r="X218" s="4">
        <v>0</v>
      </c>
      <c r="Y218" s="4">
        <v>0</v>
      </c>
      <c r="Z218" s="4">
        <v>0</v>
      </c>
      <c r="AA218" s="4">
        <v>0</v>
      </c>
      <c r="AB218" s="4">
        <v>0</v>
      </c>
      <c r="AC218" s="4">
        <v>0</v>
      </c>
      <c r="AD218" s="4">
        <v>0</v>
      </c>
      <c r="AE218" s="4">
        <v>0</v>
      </c>
      <c r="AF218" s="51">
        <v>5.6736998514115901E-5</v>
      </c>
      <c r="AG218" s="51">
        <v>5.6539078751857359E-5</v>
      </c>
      <c r="AH218" s="51">
        <v>5.6341158989598811E-5</v>
      </c>
      <c r="AI218" s="51">
        <v>5.614323922734027E-5</v>
      </c>
      <c r="AJ218" s="51">
        <v>5.5945319465081722E-5</v>
      </c>
      <c r="AK218" s="51">
        <v>5.5747399702823181E-5</v>
      </c>
      <c r="AL218" s="51">
        <v>5.5549479940564639E-5</v>
      </c>
      <c r="AM218" s="51">
        <v>5.5351560178306091E-5</v>
      </c>
      <c r="AN218" s="51">
        <v>5.515364041604755E-5</v>
      </c>
      <c r="AO218" s="51">
        <v>5.4955720653789002E-5</v>
      </c>
      <c r="AP218" s="51">
        <v>5.4757800891530461E-5</v>
      </c>
      <c r="AQ218" s="51">
        <v>5.4559881129271919E-5</v>
      </c>
      <c r="AR218" s="51">
        <v>5.4361961367013371E-5</v>
      </c>
      <c r="AS218" s="51">
        <v>5.416404160475483E-5</v>
      </c>
      <c r="AT218" s="51">
        <v>5.3966121842496282E-5</v>
      </c>
      <c r="AU218" s="51">
        <v>5.3768202080237741E-5</v>
      </c>
      <c r="AV218" s="51">
        <v>5.3599824856226013E-5</v>
      </c>
      <c r="AW218" s="51">
        <v>5.3431447632214292E-5</v>
      </c>
      <c r="AX218" s="51">
        <v>5.3263070408202565E-5</v>
      </c>
      <c r="AY218" s="51">
        <v>5.3094693184190837E-5</v>
      </c>
      <c r="AZ218" s="51">
        <v>5.2926315960179117E-5</v>
      </c>
      <c r="BA218" s="51">
        <v>5.2757938736167389E-5</v>
      </c>
      <c r="BB218" s="51">
        <v>5.2589561512155668E-5</v>
      </c>
      <c r="BC218" s="51">
        <v>5.2421184288143941E-5</v>
      </c>
      <c r="BD218" s="51">
        <v>5.2252807064132213E-5</v>
      </c>
      <c r="BE218" s="51">
        <v>5.2084429840120493E-5</v>
      </c>
      <c r="BF218" s="51">
        <v>5.1916052616108765E-5</v>
      </c>
      <c r="BG218" s="51">
        <v>5.1747675392097044E-5</v>
      </c>
      <c r="BH218" s="51">
        <v>5.1579298168085317E-5</v>
      </c>
      <c r="BI218" s="51">
        <v>5.1410920944073589E-5</v>
      </c>
      <c r="BJ218" s="51">
        <v>5.1242543720061869E-5</v>
      </c>
      <c r="BK218" s="51">
        <v>5.1074166496050141E-5</v>
      </c>
      <c r="BL218" s="51">
        <v>5.0905789272038414E-5</v>
      </c>
      <c r="BM218" s="51">
        <v>5.0737412048026693E-5</v>
      </c>
      <c r="BN218" s="51">
        <v>5.0569034824014965E-5</v>
      </c>
      <c r="BO218" s="51">
        <v>5.0400657600003238E-5</v>
      </c>
      <c r="BP218" s="51">
        <v>5.0232280375991517E-5</v>
      </c>
      <c r="BQ218" s="51">
        <v>5.006390315197979E-5</v>
      </c>
      <c r="BR218" s="51">
        <v>4.9895525927968069E-5</v>
      </c>
      <c r="BS218" s="51">
        <v>4.9727148703956341E-5</v>
      </c>
      <c r="BT218" s="51">
        <v>4.9650409276944062E-5</v>
      </c>
      <c r="BU218" s="51">
        <v>4.9573669849931783E-5</v>
      </c>
      <c r="BV218" s="51">
        <v>4.9496930422919504E-5</v>
      </c>
      <c r="BW218" s="51">
        <v>4.9420190995907225E-5</v>
      </c>
      <c r="BX218" s="51">
        <v>4.9343451568894953E-5</v>
      </c>
      <c r="BY218" s="51">
        <v>4.9266712141882674E-5</v>
      </c>
      <c r="BZ218" s="51">
        <v>4.9189972714870395E-5</v>
      </c>
      <c r="CA218" s="51">
        <v>4.9113233287858116E-5</v>
      </c>
      <c r="CB218" s="51">
        <v>4.9036493860845837E-5</v>
      </c>
      <c r="CC218" s="51">
        <v>4.8959754433833558E-5</v>
      </c>
      <c r="CD218" s="51">
        <v>4.8883015006821279E-5</v>
      </c>
      <c r="CE218" s="51">
        <v>4.8806275579809E-5</v>
      </c>
      <c r="CF218" s="51">
        <v>4.8729536152796721E-5</v>
      </c>
      <c r="CG218" s="51">
        <v>4.8652796725784442E-5</v>
      </c>
      <c r="CH218" s="51">
        <v>4.8576057298772163E-5</v>
      </c>
      <c r="CI218" s="51">
        <v>4.849931787175989E-5</v>
      </c>
      <c r="CJ218" s="51">
        <v>4.8422578444747611E-5</v>
      </c>
      <c r="CK218" s="51">
        <v>4.8345839017735332E-5</v>
      </c>
      <c r="CL218" s="51">
        <v>4.8269099590723053E-5</v>
      </c>
      <c r="CM218" s="51">
        <v>4.8192360163710774E-5</v>
      </c>
    </row>
    <row r="219" spans="1:91" s="50" customFormat="1" x14ac:dyDescent="0.25">
      <c r="A219" s="50" t="s">
        <v>1</v>
      </c>
      <c r="B219" s="4">
        <v>0</v>
      </c>
      <c r="C219" s="4">
        <v>0</v>
      </c>
      <c r="D219" s="4">
        <v>0</v>
      </c>
      <c r="E219" s="4">
        <v>0</v>
      </c>
      <c r="F219" s="4">
        <v>0</v>
      </c>
      <c r="G219" s="4">
        <v>0</v>
      </c>
      <c r="H219" s="4">
        <v>0</v>
      </c>
      <c r="I219" s="4">
        <v>0</v>
      </c>
      <c r="J219" s="4">
        <v>0</v>
      </c>
      <c r="K219" s="4">
        <v>0</v>
      </c>
      <c r="L219" s="4">
        <v>0</v>
      </c>
      <c r="M219" s="4">
        <v>0</v>
      </c>
      <c r="N219" s="4">
        <v>0</v>
      </c>
      <c r="O219" s="4">
        <v>0</v>
      </c>
      <c r="P219" s="4">
        <v>0</v>
      </c>
      <c r="Q219" s="4">
        <v>0</v>
      </c>
      <c r="R219" s="4">
        <v>0</v>
      </c>
      <c r="S219" s="4">
        <v>0</v>
      </c>
      <c r="T219" s="4">
        <v>0</v>
      </c>
      <c r="U219" s="4">
        <v>0</v>
      </c>
      <c r="V219" s="4">
        <v>0</v>
      </c>
      <c r="W219" s="4">
        <v>0</v>
      </c>
      <c r="X219" s="4">
        <v>0</v>
      </c>
      <c r="Y219" s="4">
        <v>0</v>
      </c>
      <c r="Z219" s="4">
        <v>0</v>
      </c>
      <c r="AA219" s="4">
        <v>0</v>
      </c>
      <c r="AB219" s="4">
        <v>0</v>
      </c>
      <c r="AC219" s="4">
        <v>0</v>
      </c>
      <c r="AD219" s="4">
        <v>0</v>
      </c>
      <c r="AE219" s="4">
        <v>0</v>
      </c>
      <c r="AF219" s="51">
        <v>4.0380386329866274E-5</v>
      </c>
      <c r="AG219" s="51">
        <v>4.0239524517087674E-5</v>
      </c>
      <c r="AH219" s="51">
        <v>4.0098662704309067E-5</v>
      </c>
      <c r="AI219" s="51">
        <v>3.9957800891530467E-5</v>
      </c>
      <c r="AJ219" s="51">
        <v>3.981693907875186E-5</v>
      </c>
      <c r="AK219" s="51">
        <v>3.967607726597326E-5</v>
      </c>
      <c r="AL219" s="51">
        <v>3.9535215453194653E-5</v>
      </c>
      <c r="AM219" s="51">
        <v>3.9394353640416053E-5</v>
      </c>
      <c r="AN219" s="51">
        <v>3.9253491827637446E-5</v>
      </c>
      <c r="AO219" s="51">
        <v>3.9112630014858846E-5</v>
      </c>
      <c r="AP219" s="51">
        <v>3.8971768202080239E-5</v>
      </c>
      <c r="AQ219" s="51">
        <v>3.8830906389301639E-5</v>
      </c>
      <c r="AR219" s="51">
        <v>3.8690044576523032E-5</v>
      </c>
      <c r="AS219" s="51">
        <v>3.8549182763744432E-5</v>
      </c>
      <c r="AT219" s="51">
        <v>3.8408320950965825E-5</v>
      </c>
      <c r="AU219" s="51">
        <v>3.8267459138187225E-5</v>
      </c>
      <c r="AV219" s="51">
        <v>3.8100335016524468E-5</v>
      </c>
      <c r="AW219" s="51">
        <v>3.7933210894861712E-5</v>
      </c>
      <c r="AX219" s="51">
        <v>3.7766086773198955E-5</v>
      </c>
      <c r="AY219" s="51">
        <v>3.7598962651536191E-5</v>
      </c>
      <c r="AZ219" s="51">
        <v>3.7431838529873434E-5</v>
      </c>
      <c r="BA219" s="51">
        <v>3.7264714408210677E-5</v>
      </c>
      <c r="BB219" s="51">
        <v>3.709759028654792E-5</v>
      </c>
      <c r="BC219" s="51">
        <v>3.6930466164885163E-5</v>
      </c>
      <c r="BD219" s="51">
        <v>3.6763342043222406E-5</v>
      </c>
      <c r="BE219" s="51">
        <v>3.659621792155965E-5</v>
      </c>
      <c r="BF219" s="51">
        <v>3.6429093799896893E-5</v>
      </c>
      <c r="BG219" s="51">
        <v>3.6261969678234136E-5</v>
      </c>
      <c r="BH219" s="51">
        <v>3.6094845556571372E-5</v>
      </c>
      <c r="BI219" s="51">
        <v>3.5927721434908615E-5</v>
      </c>
      <c r="BJ219" s="51">
        <v>3.5760597313245858E-5</v>
      </c>
      <c r="BK219" s="51">
        <v>3.5593473191583101E-5</v>
      </c>
      <c r="BL219" s="51">
        <v>3.5426349069920344E-5</v>
      </c>
      <c r="BM219" s="51">
        <v>3.5259224948257588E-5</v>
      </c>
      <c r="BN219" s="51">
        <v>3.5092100826594831E-5</v>
      </c>
      <c r="BO219" s="51">
        <v>3.4924976704932067E-5</v>
      </c>
      <c r="BP219" s="51">
        <v>3.475785258326931E-5</v>
      </c>
      <c r="BQ219" s="51">
        <v>3.4590728461606553E-5</v>
      </c>
      <c r="BR219" s="51">
        <v>3.4423604339943796E-5</v>
      </c>
      <c r="BS219" s="51">
        <v>3.4256480218281039E-5</v>
      </c>
      <c r="BT219" s="51">
        <v>3.420361527967258E-5</v>
      </c>
      <c r="BU219" s="51">
        <v>3.415075034106412E-5</v>
      </c>
      <c r="BV219" s="51">
        <v>3.409788540245566E-5</v>
      </c>
      <c r="BW219" s="51">
        <v>3.4045020463847207E-5</v>
      </c>
      <c r="BX219" s="51">
        <v>3.3992155525238747E-5</v>
      </c>
      <c r="BY219" s="51">
        <v>3.3939290586630287E-5</v>
      </c>
      <c r="BZ219" s="51">
        <v>3.3886425648021828E-5</v>
      </c>
      <c r="CA219" s="51">
        <v>3.3833560709413368E-5</v>
      </c>
      <c r="CB219" s="51">
        <v>3.3780695770804908E-5</v>
      </c>
      <c r="CC219" s="51">
        <v>3.3727830832196455E-5</v>
      </c>
      <c r="CD219" s="51">
        <v>3.3674965893587995E-5</v>
      </c>
      <c r="CE219" s="51">
        <v>3.3622100954979535E-5</v>
      </c>
      <c r="CF219" s="51">
        <v>3.3569236016371076E-5</v>
      </c>
      <c r="CG219" s="51">
        <v>3.3516371077762616E-5</v>
      </c>
      <c r="CH219" s="51">
        <v>3.3463506139154156E-5</v>
      </c>
      <c r="CI219" s="51">
        <v>3.3410641200545696E-5</v>
      </c>
      <c r="CJ219" s="51">
        <v>3.3357776261937243E-5</v>
      </c>
      <c r="CK219" s="51">
        <v>3.3304911323328783E-5</v>
      </c>
      <c r="CL219" s="51">
        <v>3.3252046384720324E-5</v>
      </c>
      <c r="CM219" s="51">
        <v>3.3199181446111864E-5</v>
      </c>
    </row>
    <row r="220" spans="1:91" s="50" customFormat="1" x14ac:dyDescent="0.25">
      <c r="A220" s="50" t="s">
        <v>1</v>
      </c>
      <c r="B220" s="4">
        <v>0</v>
      </c>
      <c r="C220" s="4">
        <v>0</v>
      </c>
      <c r="D220" s="4">
        <v>0</v>
      </c>
      <c r="E220" s="4">
        <v>0</v>
      </c>
      <c r="F220" s="4">
        <v>0</v>
      </c>
      <c r="G220" s="4">
        <v>0</v>
      </c>
      <c r="H220" s="4">
        <v>0</v>
      </c>
      <c r="I220" s="4">
        <v>0</v>
      </c>
      <c r="J220" s="4">
        <v>0</v>
      </c>
      <c r="K220" s="4">
        <v>0</v>
      </c>
      <c r="L220" s="4">
        <v>0</v>
      </c>
      <c r="M220" s="4">
        <v>0</v>
      </c>
      <c r="N220" s="4">
        <v>0</v>
      </c>
      <c r="O220" s="4">
        <v>0</v>
      </c>
      <c r="P220" s="4">
        <v>0</v>
      </c>
      <c r="Q220" s="4">
        <v>0</v>
      </c>
      <c r="R220" s="4">
        <v>0</v>
      </c>
      <c r="S220" s="4">
        <v>0</v>
      </c>
      <c r="T220" s="4">
        <v>0</v>
      </c>
      <c r="U220" s="4">
        <v>0</v>
      </c>
      <c r="V220" s="4">
        <v>0</v>
      </c>
      <c r="W220" s="4">
        <v>0</v>
      </c>
      <c r="X220" s="4">
        <v>0</v>
      </c>
      <c r="Y220" s="4">
        <v>0</v>
      </c>
      <c r="Z220" s="4">
        <v>0</v>
      </c>
      <c r="AA220" s="4">
        <v>0</v>
      </c>
      <c r="AB220" s="4">
        <v>0</v>
      </c>
      <c r="AC220" s="4">
        <v>0</v>
      </c>
      <c r="AD220" s="4">
        <v>0</v>
      </c>
      <c r="AE220" s="4">
        <v>0</v>
      </c>
      <c r="AF220" s="51">
        <v>3.5268945022288263E-5</v>
      </c>
      <c r="AG220" s="51">
        <v>3.5145913818722139E-5</v>
      </c>
      <c r="AH220" s="51">
        <v>3.5022882615156022E-5</v>
      </c>
      <c r="AI220" s="51">
        <v>3.4899851411589898E-5</v>
      </c>
      <c r="AJ220" s="51">
        <v>3.4776820208023774E-5</v>
      </c>
      <c r="AK220" s="51">
        <v>3.465378900445765E-5</v>
      </c>
      <c r="AL220" s="51">
        <v>3.4530757800891533E-5</v>
      </c>
      <c r="AM220" s="51">
        <v>3.4407726597325409E-5</v>
      </c>
      <c r="AN220" s="51">
        <v>3.4284695393759285E-5</v>
      </c>
      <c r="AO220" s="51">
        <v>3.4161664190193161E-5</v>
      </c>
      <c r="AP220" s="51">
        <v>3.4038632986627044E-5</v>
      </c>
      <c r="AQ220" s="51">
        <v>3.391560178306092E-5</v>
      </c>
      <c r="AR220" s="51">
        <v>3.3792570579494796E-5</v>
      </c>
      <c r="AS220" s="51">
        <v>3.3669539375928672E-5</v>
      </c>
      <c r="AT220" s="51">
        <v>3.3546508172362555E-5</v>
      </c>
      <c r="AU220" s="51">
        <v>3.3423476968796431E-5</v>
      </c>
      <c r="AV220" s="51">
        <v>3.3495020362490852E-5</v>
      </c>
      <c r="AW220" s="51">
        <v>3.3566563756185266E-5</v>
      </c>
      <c r="AX220" s="51">
        <v>3.3638107149879686E-5</v>
      </c>
      <c r="AY220" s="51">
        <v>3.3709650543574107E-5</v>
      </c>
      <c r="AZ220" s="51">
        <v>3.3781193937268528E-5</v>
      </c>
      <c r="BA220" s="51">
        <v>3.3852737330962942E-5</v>
      </c>
      <c r="BB220" s="51">
        <v>3.3924280724657363E-5</v>
      </c>
      <c r="BC220" s="51">
        <v>3.3995824118351783E-5</v>
      </c>
      <c r="BD220" s="51">
        <v>3.4067367512046197E-5</v>
      </c>
      <c r="BE220" s="51">
        <v>3.4138910905740618E-5</v>
      </c>
      <c r="BF220" s="51">
        <v>3.4210454299435039E-5</v>
      </c>
      <c r="BG220" s="51">
        <v>3.4281997693129453E-5</v>
      </c>
      <c r="BH220" s="51">
        <v>3.4353541086823873E-5</v>
      </c>
      <c r="BI220" s="51">
        <v>3.4425084480518294E-5</v>
      </c>
      <c r="BJ220" s="51">
        <v>3.4496627874212715E-5</v>
      </c>
      <c r="BK220" s="51">
        <v>3.4568171267907129E-5</v>
      </c>
      <c r="BL220" s="51">
        <v>3.463971466160155E-5</v>
      </c>
      <c r="BM220" s="51">
        <v>3.471125805529597E-5</v>
      </c>
      <c r="BN220" s="51">
        <v>3.4782801448990384E-5</v>
      </c>
      <c r="BO220" s="51">
        <v>3.4854344842684805E-5</v>
      </c>
      <c r="BP220" s="51">
        <v>3.4925888236379226E-5</v>
      </c>
      <c r="BQ220" s="51">
        <v>3.4997431630073646E-5</v>
      </c>
      <c r="BR220" s="51">
        <v>3.506897502376806E-5</v>
      </c>
      <c r="BS220" s="51">
        <v>3.5140518417462481E-5</v>
      </c>
      <c r="BT220" s="51">
        <v>3.5086289222373802E-5</v>
      </c>
      <c r="BU220" s="51">
        <v>3.503206002728513E-5</v>
      </c>
      <c r="BV220" s="51">
        <v>3.4977830832196451E-5</v>
      </c>
      <c r="BW220" s="51">
        <v>3.4923601637107773E-5</v>
      </c>
      <c r="BX220" s="51">
        <v>3.4869372442019101E-5</v>
      </c>
      <c r="BY220" s="51">
        <v>3.4815143246930422E-5</v>
      </c>
      <c r="BZ220" s="51">
        <v>3.4760914051841743E-5</v>
      </c>
      <c r="CA220" s="51">
        <v>3.4706684856753064E-5</v>
      </c>
      <c r="CB220" s="51">
        <v>3.4652455661664392E-5</v>
      </c>
      <c r="CC220" s="51">
        <v>3.4598226466575713E-5</v>
      </c>
      <c r="CD220" s="51">
        <v>3.4543997271487035E-5</v>
      </c>
      <c r="CE220" s="51">
        <v>3.4489768076398362E-5</v>
      </c>
      <c r="CF220" s="51">
        <v>3.4435538881309684E-5</v>
      </c>
      <c r="CG220" s="51">
        <v>3.4381309686221005E-5</v>
      </c>
      <c r="CH220" s="51">
        <v>3.4327080491132326E-5</v>
      </c>
      <c r="CI220" s="51">
        <v>3.4272851296043654E-5</v>
      </c>
      <c r="CJ220" s="51">
        <v>3.4218622100954975E-5</v>
      </c>
      <c r="CK220" s="51">
        <v>3.4164392905866296E-5</v>
      </c>
      <c r="CL220" s="51">
        <v>3.4110163710777624E-5</v>
      </c>
      <c r="CM220" s="51">
        <v>3.4055934515688946E-5</v>
      </c>
    </row>
    <row r="221" spans="1:91" s="50" customFormat="1" x14ac:dyDescent="0.25">
      <c r="A221" s="50" t="s">
        <v>1</v>
      </c>
      <c r="B221" s="4">
        <v>0</v>
      </c>
      <c r="C221" s="4">
        <v>0</v>
      </c>
      <c r="D221" s="4">
        <v>0</v>
      </c>
      <c r="E221" s="4">
        <v>0</v>
      </c>
      <c r="F221" s="4">
        <v>0</v>
      </c>
      <c r="G221" s="4">
        <v>0</v>
      </c>
      <c r="H221" s="4">
        <v>0</v>
      </c>
      <c r="I221" s="4">
        <v>0</v>
      </c>
      <c r="J221" s="4">
        <v>0</v>
      </c>
      <c r="K221" s="4">
        <v>0</v>
      </c>
      <c r="L221" s="4">
        <v>0</v>
      </c>
      <c r="M221" s="4">
        <v>0</v>
      </c>
      <c r="N221" s="4">
        <v>0</v>
      </c>
      <c r="O221" s="4">
        <v>0</v>
      </c>
      <c r="P221" s="4">
        <v>0</v>
      </c>
      <c r="Q221" s="4">
        <v>0</v>
      </c>
      <c r="R221" s="4">
        <v>0</v>
      </c>
      <c r="S221" s="4">
        <v>0</v>
      </c>
      <c r="T221" s="4">
        <v>0</v>
      </c>
      <c r="U221" s="4">
        <v>0</v>
      </c>
      <c r="V221" s="4">
        <v>0</v>
      </c>
      <c r="W221" s="4">
        <v>0</v>
      </c>
      <c r="X221" s="4">
        <v>0</v>
      </c>
      <c r="Y221" s="4">
        <v>0</v>
      </c>
      <c r="Z221" s="4">
        <v>0</v>
      </c>
      <c r="AA221" s="4">
        <v>0</v>
      </c>
      <c r="AB221" s="4">
        <v>0</v>
      </c>
      <c r="AC221" s="4">
        <v>0</v>
      </c>
      <c r="AD221" s="4">
        <v>0</v>
      </c>
      <c r="AE221" s="4">
        <v>0</v>
      </c>
      <c r="AF221" s="51">
        <v>7.5999999999999992E-6</v>
      </c>
      <c r="AG221" s="51">
        <v>7.7533333333333325E-6</v>
      </c>
      <c r="AH221" s="51">
        <v>7.9066666666666666E-6</v>
      </c>
      <c r="AI221" s="51">
        <v>8.0599999999999991E-6</v>
      </c>
      <c r="AJ221" s="51">
        <v>8.2133333333333332E-6</v>
      </c>
      <c r="AK221" s="51">
        <v>8.3666666666666656E-6</v>
      </c>
      <c r="AL221" s="51">
        <v>8.5199999999999997E-6</v>
      </c>
      <c r="AM221" s="51">
        <v>8.6733333333333339E-6</v>
      </c>
      <c r="AN221" s="51">
        <v>8.8266666666666663E-6</v>
      </c>
      <c r="AO221" s="51">
        <v>8.9799999999999987E-6</v>
      </c>
      <c r="AP221" s="51">
        <v>9.1333333333333328E-6</v>
      </c>
      <c r="AQ221" s="51">
        <v>9.286666666666667E-6</v>
      </c>
      <c r="AR221" s="51">
        <v>9.4399999999999994E-6</v>
      </c>
      <c r="AS221" s="51">
        <v>9.5933333333333335E-6</v>
      </c>
      <c r="AT221" s="51">
        <v>9.746666666666666E-6</v>
      </c>
      <c r="AU221" s="51">
        <v>9.9000000000000001E-6</v>
      </c>
      <c r="AV221" s="51">
        <v>1.0062500000000001E-5</v>
      </c>
      <c r="AW221" s="51">
        <v>1.0225E-5</v>
      </c>
      <c r="AX221" s="51">
        <v>1.03875E-5</v>
      </c>
      <c r="AY221" s="51">
        <v>1.0550000000000001E-5</v>
      </c>
      <c r="AZ221" s="51">
        <v>1.07125E-5</v>
      </c>
      <c r="BA221" s="51">
        <v>1.0875E-5</v>
      </c>
      <c r="BB221" s="51">
        <v>1.1037500000000001E-5</v>
      </c>
      <c r="BC221" s="51">
        <v>1.1199999999999999E-5</v>
      </c>
      <c r="BD221" s="51">
        <v>1.13625E-5</v>
      </c>
      <c r="BE221" s="51">
        <v>1.1525000000000001E-5</v>
      </c>
      <c r="BF221" s="51">
        <v>1.1687499999999999E-5</v>
      </c>
      <c r="BG221" s="51">
        <v>1.185E-5</v>
      </c>
      <c r="BH221" s="51">
        <v>1.2012500000000001E-5</v>
      </c>
      <c r="BI221" s="51">
        <v>1.2175000000000001E-5</v>
      </c>
      <c r="BJ221" s="51">
        <v>1.23375E-5</v>
      </c>
      <c r="BK221" s="51">
        <v>1.2500000000000001E-5</v>
      </c>
      <c r="BL221" s="51">
        <v>1.2662499999999999E-5</v>
      </c>
      <c r="BM221" s="51">
        <v>1.2825E-5</v>
      </c>
      <c r="BN221" s="51">
        <v>1.2987500000000001E-5</v>
      </c>
      <c r="BO221" s="51">
        <v>1.3150000000000001E-5</v>
      </c>
      <c r="BP221" s="51">
        <v>1.33125E-5</v>
      </c>
      <c r="BQ221" s="51">
        <v>1.3475000000000001E-5</v>
      </c>
      <c r="BR221" s="51">
        <v>1.3637499999999999E-5</v>
      </c>
      <c r="BS221" s="51">
        <v>1.38E-5</v>
      </c>
      <c r="BT221" s="51">
        <v>1.3875E-5</v>
      </c>
      <c r="BU221" s="51">
        <v>1.395E-5</v>
      </c>
      <c r="BV221" s="51">
        <v>1.4025E-5</v>
      </c>
      <c r="BW221" s="51">
        <v>1.4100000000000001E-5</v>
      </c>
      <c r="BX221" s="51">
        <v>1.4174999999999999E-5</v>
      </c>
      <c r="BY221" s="51">
        <v>1.4249999999999999E-5</v>
      </c>
      <c r="BZ221" s="51">
        <v>1.4324999999999999E-5</v>
      </c>
      <c r="CA221" s="51">
        <v>1.4399999999999999E-5</v>
      </c>
      <c r="CB221" s="51">
        <v>1.4474999999999999E-5</v>
      </c>
      <c r="CC221" s="51">
        <v>1.455E-5</v>
      </c>
      <c r="CD221" s="51">
        <v>1.4625E-5</v>
      </c>
      <c r="CE221" s="51">
        <v>1.47E-5</v>
      </c>
      <c r="CF221" s="51">
        <v>1.4775E-5</v>
      </c>
      <c r="CG221" s="51">
        <v>1.485E-5</v>
      </c>
      <c r="CH221" s="51">
        <v>1.4925E-5</v>
      </c>
      <c r="CI221" s="51">
        <v>1.4999999999999999E-5</v>
      </c>
      <c r="CJ221" s="51">
        <v>1.5074999999999999E-5</v>
      </c>
      <c r="CK221" s="51">
        <v>1.5149999999999999E-5</v>
      </c>
      <c r="CL221" s="51">
        <v>1.5224999999999999E-5</v>
      </c>
      <c r="CM221" s="51">
        <v>1.5299999999999999E-5</v>
      </c>
    </row>
    <row r="222" spans="1:91" s="50" customFormat="1" x14ac:dyDescent="0.25">
      <c r="A222" s="50" t="s">
        <v>1</v>
      </c>
      <c r="B222" s="4">
        <v>0</v>
      </c>
      <c r="C222" s="4">
        <v>0</v>
      </c>
      <c r="D222" s="4">
        <v>0</v>
      </c>
      <c r="E222" s="4">
        <v>0</v>
      </c>
      <c r="F222" s="4">
        <v>0</v>
      </c>
      <c r="G222" s="4">
        <v>0</v>
      </c>
      <c r="H222" s="4">
        <v>0</v>
      </c>
      <c r="I222" s="4">
        <v>0</v>
      </c>
      <c r="J222" s="4">
        <v>0</v>
      </c>
      <c r="K222" s="4">
        <v>0</v>
      </c>
      <c r="L222" s="4">
        <v>0</v>
      </c>
      <c r="M222" s="4">
        <v>0</v>
      </c>
      <c r="N222" s="4">
        <v>0</v>
      </c>
      <c r="O222" s="4">
        <v>0</v>
      </c>
      <c r="P222" s="4">
        <v>0</v>
      </c>
      <c r="Q222" s="4">
        <v>0</v>
      </c>
      <c r="R222" s="4">
        <v>0</v>
      </c>
      <c r="S222" s="4">
        <v>0</v>
      </c>
      <c r="T222" s="4">
        <v>0</v>
      </c>
      <c r="U222" s="4">
        <v>0</v>
      </c>
      <c r="V222" s="4">
        <v>0</v>
      </c>
      <c r="W222" s="4">
        <v>0</v>
      </c>
      <c r="X222" s="4">
        <v>0</v>
      </c>
      <c r="Y222" s="4">
        <v>0</v>
      </c>
      <c r="Z222" s="4">
        <v>0</v>
      </c>
      <c r="AA222" s="4">
        <v>0</v>
      </c>
      <c r="AB222" s="4">
        <v>0</v>
      </c>
      <c r="AC222" s="4">
        <v>0</v>
      </c>
      <c r="AD222" s="4">
        <v>0</v>
      </c>
      <c r="AE222" s="4">
        <v>0</v>
      </c>
      <c r="AF222" s="51">
        <v>1.06E-5</v>
      </c>
      <c r="AG222" s="51">
        <v>1.0786666666666666E-5</v>
      </c>
      <c r="AH222" s="51">
        <v>1.0973333333333334E-5</v>
      </c>
      <c r="AI222" s="51">
        <v>1.116E-5</v>
      </c>
      <c r="AJ222" s="51">
        <v>1.1346666666666668E-5</v>
      </c>
      <c r="AK222" s="51">
        <v>1.1533333333333334E-5</v>
      </c>
      <c r="AL222" s="51">
        <v>1.172E-5</v>
      </c>
      <c r="AM222" s="51">
        <v>1.1906666666666667E-5</v>
      </c>
      <c r="AN222" s="51">
        <v>1.2093333333333333E-5</v>
      </c>
      <c r="AO222" s="51">
        <v>1.2280000000000001E-5</v>
      </c>
      <c r="AP222" s="51">
        <v>1.2466666666666667E-5</v>
      </c>
      <c r="AQ222" s="51">
        <v>1.2653333333333333E-5</v>
      </c>
      <c r="AR222" s="51">
        <v>1.2840000000000001E-5</v>
      </c>
      <c r="AS222" s="51">
        <v>1.3026666666666667E-5</v>
      </c>
      <c r="AT222" s="51">
        <v>1.3213333333333334E-5</v>
      </c>
      <c r="AU222" s="51">
        <v>1.34E-5</v>
      </c>
      <c r="AV222" s="51">
        <v>1.3533333333333333E-5</v>
      </c>
      <c r="AW222" s="51">
        <v>1.3666666666666667E-5</v>
      </c>
      <c r="AX222" s="51">
        <v>1.38E-5</v>
      </c>
      <c r="AY222" s="51">
        <v>1.3933333333333334E-5</v>
      </c>
      <c r="AZ222" s="51">
        <v>1.4066666666666667E-5</v>
      </c>
      <c r="BA222" s="51">
        <v>1.42E-5</v>
      </c>
      <c r="BB222" s="51">
        <v>1.4333333333333334E-5</v>
      </c>
      <c r="BC222" s="51">
        <v>1.4466666666666667E-5</v>
      </c>
      <c r="BD222" s="51">
        <v>1.4600000000000001E-5</v>
      </c>
      <c r="BE222" s="51">
        <v>1.4733333333333333E-5</v>
      </c>
      <c r="BF222" s="51">
        <v>1.4866666666666668E-5</v>
      </c>
      <c r="BG222" s="51">
        <v>1.5E-5</v>
      </c>
      <c r="BH222" s="51">
        <v>1.5133333333333333E-5</v>
      </c>
      <c r="BI222" s="51">
        <v>1.5266666666666667E-5</v>
      </c>
      <c r="BJ222" s="51">
        <v>1.5400000000000002E-5</v>
      </c>
      <c r="BK222" s="51">
        <v>1.5533333333333333E-5</v>
      </c>
      <c r="BL222" s="51">
        <v>1.5666666666666667E-5</v>
      </c>
      <c r="BM222" s="51">
        <v>1.5800000000000001E-5</v>
      </c>
      <c r="BN222" s="51">
        <v>1.5933333333333332E-5</v>
      </c>
      <c r="BO222" s="51">
        <v>1.6066666666666666E-5</v>
      </c>
      <c r="BP222" s="51">
        <v>1.6200000000000001E-5</v>
      </c>
      <c r="BQ222" s="51">
        <v>1.6333333333333335E-5</v>
      </c>
      <c r="BR222" s="51">
        <v>1.6466666666666666E-5</v>
      </c>
      <c r="BS222" s="51">
        <v>1.66E-5</v>
      </c>
      <c r="BT222" s="51">
        <v>1.6710000000000001E-5</v>
      </c>
      <c r="BU222" s="51">
        <v>1.6820000000000002E-5</v>
      </c>
      <c r="BV222" s="51">
        <v>1.6929999999999999E-5</v>
      </c>
      <c r="BW222" s="51">
        <v>1.7039999999999999E-5</v>
      </c>
      <c r="BX222" s="51">
        <v>1.715E-5</v>
      </c>
      <c r="BY222" s="51">
        <v>1.7260000000000001E-5</v>
      </c>
      <c r="BZ222" s="51">
        <v>1.7370000000000001E-5</v>
      </c>
      <c r="CA222" s="51">
        <v>1.7479999999999999E-5</v>
      </c>
      <c r="CB222" s="51">
        <v>1.7589999999999999E-5</v>
      </c>
      <c r="CC222" s="51">
        <v>1.77E-5</v>
      </c>
      <c r="CD222" s="51">
        <v>1.7810000000000001E-5</v>
      </c>
      <c r="CE222" s="51">
        <v>1.7920000000000001E-5</v>
      </c>
      <c r="CF222" s="51">
        <v>1.8029999999999998E-5</v>
      </c>
      <c r="CG222" s="51">
        <v>1.8139999999999999E-5</v>
      </c>
      <c r="CH222" s="51">
        <v>1.825E-5</v>
      </c>
      <c r="CI222" s="51">
        <v>1.836E-5</v>
      </c>
      <c r="CJ222" s="51">
        <v>1.8470000000000001E-5</v>
      </c>
      <c r="CK222" s="51">
        <v>1.8579999999999998E-5</v>
      </c>
      <c r="CL222" s="51">
        <v>1.8689999999999999E-5</v>
      </c>
      <c r="CM222" s="51">
        <v>1.88E-5</v>
      </c>
    </row>
    <row r="223" spans="1:91" s="50" customFormat="1" x14ac:dyDescent="0.25">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91" s="50" customFormat="1" x14ac:dyDescent="0.25">
      <c r="A224" s="50" t="s">
        <v>239</v>
      </c>
      <c r="B224" s="4">
        <v>0</v>
      </c>
      <c r="C224" s="4">
        <v>0</v>
      </c>
      <c r="D224" s="4">
        <v>0</v>
      </c>
      <c r="E224" s="4">
        <v>0</v>
      </c>
      <c r="F224" s="4">
        <v>0</v>
      </c>
      <c r="G224" s="4">
        <v>0</v>
      </c>
      <c r="H224" s="4">
        <v>0</v>
      </c>
      <c r="I224" s="4">
        <v>0</v>
      </c>
      <c r="J224" s="4">
        <v>0</v>
      </c>
      <c r="K224" s="4">
        <v>0</v>
      </c>
      <c r="L224" s="4">
        <v>0</v>
      </c>
      <c r="M224" s="4">
        <v>0</v>
      </c>
      <c r="N224" s="4">
        <v>0</v>
      </c>
      <c r="O224" s="4">
        <v>0</v>
      </c>
      <c r="P224" s="4">
        <v>0</v>
      </c>
      <c r="Q224" s="4">
        <v>0</v>
      </c>
      <c r="R224" s="4">
        <v>0</v>
      </c>
      <c r="S224" s="4">
        <v>0</v>
      </c>
      <c r="T224" s="4">
        <v>0</v>
      </c>
      <c r="U224" s="4">
        <v>0</v>
      </c>
      <c r="V224" s="4">
        <v>0</v>
      </c>
      <c r="W224" s="4">
        <v>0</v>
      </c>
      <c r="X224" s="4">
        <v>0</v>
      </c>
      <c r="Y224" s="4">
        <v>0</v>
      </c>
      <c r="Z224" s="4">
        <v>0</v>
      </c>
      <c r="AA224" s="4">
        <v>0</v>
      </c>
      <c r="AB224" s="4">
        <v>0</v>
      </c>
      <c r="AC224" s="4">
        <v>0</v>
      </c>
      <c r="AD224" s="4">
        <v>0</v>
      </c>
      <c r="AE224" s="4">
        <v>0</v>
      </c>
      <c r="AF224" s="51">
        <v>6.3600000000000001E-5</v>
      </c>
      <c r="AG224" s="51">
        <v>6.3486666666666663E-5</v>
      </c>
      <c r="AH224" s="51">
        <v>6.3373333333333339E-5</v>
      </c>
      <c r="AI224" s="51">
        <v>6.3260000000000001E-5</v>
      </c>
      <c r="AJ224" s="51">
        <v>6.3146666666666663E-5</v>
      </c>
      <c r="AK224" s="51">
        <v>6.3033333333333339E-5</v>
      </c>
      <c r="AL224" s="51">
        <v>6.2920000000000001E-5</v>
      </c>
      <c r="AM224" s="51">
        <v>6.2806666666666663E-5</v>
      </c>
      <c r="AN224" s="51">
        <v>6.2693333333333338E-5</v>
      </c>
      <c r="AO224" s="51">
        <v>6.2580000000000001E-5</v>
      </c>
      <c r="AP224" s="51">
        <v>6.2466666666666663E-5</v>
      </c>
      <c r="AQ224" s="51">
        <v>6.2353333333333338E-5</v>
      </c>
      <c r="AR224" s="51">
        <v>6.224E-5</v>
      </c>
      <c r="AS224" s="51">
        <v>6.2126666666666663E-5</v>
      </c>
      <c r="AT224" s="51">
        <v>6.2013333333333338E-5</v>
      </c>
      <c r="AU224" s="51">
        <v>6.19E-5</v>
      </c>
      <c r="AV224" s="51">
        <v>6.1736363636363635E-5</v>
      </c>
      <c r="AW224" s="51">
        <v>6.157272727272727E-5</v>
      </c>
      <c r="AX224" s="51">
        <v>6.1409090909090905E-5</v>
      </c>
      <c r="AY224" s="51">
        <v>6.124545454545454E-5</v>
      </c>
      <c r="AZ224" s="51">
        <v>6.1081818181818188E-5</v>
      </c>
      <c r="BA224" s="51">
        <v>6.0918181818181816E-5</v>
      </c>
      <c r="BB224" s="51">
        <v>6.0754545454545458E-5</v>
      </c>
      <c r="BC224" s="51">
        <v>6.0590909090909093E-5</v>
      </c>
      <c r="BD224" s="51">
        <v>6.0427272727272727E-5</v>
      </c>
      <c r="BE224" s="51">
        <v>6.0263636363636362E-5</v>
      </c>
      <c r="BF224" s="51">
        <v>6.0099999999999997E-5</v>
      </c>
      <c r="BG224" s="51">
        <v>5.9936363636363639E-5</v>
      </c>
      <c r="BH224" s="51">
        <v>5.9772727272727274E-5</v>
      </c>
      <c r="BI224" s="51">
        <v>5.9609090909090909E-5</v>
      </c>
      <c r="BJ224" s="51">
        <v>5.9445454545454543E-5</v>
      </c>
      <c r="BK224" s="51">
        <v>5.9281818181818185E-5</v>
      </c>
      <c r="BL224" s="51">
        <v>5.911818181818182E-5</v>
      </c>
      <c r="BM224" s="51">
        <v>5.8954545454545455E-5</v>
      </c>
      <c r="BN224" s="51">
        <v>5.879090909090909E-5</v>
      </c>
      <c r="BO224" s="51">
        <v>5.8627272727272724E-5</v>
      </c>
      <c r="BP224" s="51">
        <v>5.8463636363636366E-5</v>
      </c>
      <c r="BQ224" s="51">
        <v>5.8300000000000001E-5</v>
      </c>
      <c r="BR224" s="51">
        <v>5.8136363636363636E-5</v>
      </c>
      <c r="BS224" s="51">
        <v>5.8800000000000006E-5</v>
      </c>
      <c r="BT224" s="51">
        <v>5.8595000000000004E-5</v>
      </c>
      <c r="BU224" s="51">
        <v>5.8390000000000008E-5</v>
      </c>
      <c r="BV224" s="51">
        <v>5.8185000000000006E-5</v>
      </c>
      <c r="BW224" s="51">
        <v>5.7980000000000004E-5</v>
      </c>
      <c r="BX224" s="51">
        <v>5.7775000000000008E-5</v>
      </c>
      <c r="BY224" s="51">
        <v>5.7570000000000006E-5</v>
      </c>
      <c r="BZ224" s="51">
        <v>5.7365000000000004E-5</v>
      </c>
      <c r="CA224" s="51">
        <v>5.7160000000000002E-5</v>
      </c>
      <c r="CB224" s="51">
        <v>5.6955000000000006E-5</v>
      </c>
      <c r="CC224" s="51">
        <v>5.6750000000000004E-5</v>
      </c>
      <c r="CD224" s="51">
        <v>5.6545000000000002E-5</v>
      </c>
      <c r="CE224" s="51">
        <v>5.6340000000000006E-5</v>
      </c>
      <c r="CF224" s="51">
        <v>5.6135000000000004E-5</v>
      </c>
      <c r="CG224" s="51">
        <v>5.5930000000000002E-5</v>
      </c>
      <c r="CH224" s="51">
        <v>5.5724999999999999E-5</v>
      </c>
      <c r="CI224" s="51">
        <v>5.5520000000000004E-5</v>
      </c>
      <c r="CJ224" s="51">
        <v>5.5315000000000001E-5</v>
      </c>
      <c r="CK224" s="51">
        <v>5.5109999999999999E-5</v>
      </c>
      <c r="CL224" s="51">
        <v>5.4905000000000004E-5</v>
      </c>
      <c r="CM224" s="51">
        <v>5.4700000000000001E-5</v>
      </c>
    </row>
    <row r="225" spans="1:91" s="50" customFormat="1" x14ac:dyDescent="0.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91" s="50" customFormat="1" x14ac:dyDescent="0.25">
      <c r="A226" s="50" t="s">
        <v>240</v>
      </c>
      <c r="B226" s="4">
        <v>0</v>
      </c>
      <c r="C226" s="4">
        <v>0</v>
      </c>
      <c r="D226" s="4">
        <v>0</v>
      </c>
      <c r="E226" s="4">
        <v>0</v>
      </c>
      <c r="F226" s="4">
        <v>0</v>
      </c>
      <c r="G226" s="4">
        <v>0</v>
      </c>
      <c r="H226" s="4">
        <v>0</v>
      </c>
      <c r="I226" s="4">
        <v>0</v>
      </c>
      <c r="J226" s="4">
        <v>0</v>
      </c>
      <c r="K226" s="4">
        <v>0</v>
      </c>
      <c r="L226" s="4">
        <v>0</v>
      </c>
      <c r="M226" s="4">
        <v>0</v>
      </c>
      <c r="N226" s="4">
        <v>0</v>
      </c>
      <c r="O226" s="4">
        <v>0</v>
      </c>
      <c r="P226" s="4">
        <v>0</v>
      </c>
      <c r="Q226" s="4">
        <v>0</v>
      </c>
      <c r="R226" s="4">
        <v>0</v>
      </c>
      <c r="S226" s="4">
        <v>0</v>
      </c>
      <c r="T226" s="4">
        <v>0</v>
      </c>
      <c r="U226" s="4">
        <v>0</v>
      </c>
      <c r="V226" s="4">
        <v>0</v>
      </c>
      <c r="W226" s="4">
        <v>0</v>
      </c>
      <c r="X226" s="4">
        <v>0</v>
      </c>
      <c r="Y226" s="4">
        <v>0</v>
      </c>
      <c r="Z226" s="4">
        <v>0</v>
      </c>
      <c r="AA226" s="4">
        <v>0</v>
      </c>
      <c r="AB226" s="4">
        <v>0</v>
      </c>
      <c r="AC226" s="4">
        <v>0</v>
      </c>
      <c r="AD226" s="4">
        <v>0</v>
      </c>
      <c r="AE226" s="4">
        <v>0</v>
      </c>
      <c r="AF226" s="51">
        <v>9.84816429614663E-6</v>
      </c>
      <c r="AG226" s="51">
        <v>1.0009958324964039E-5</v>
      </c>
      <c r="AH226" s="51">
        <v>1.0174410443855271E-5</v>
      </c>
      <c r="AI226" s="51">
        <v>1.0341564322187436E-5</v>
      </c>
      <c r="AJ226" s="51">
        <v>1.0511464346765191E-5</v>
      </c>
      <c r="AK226" s="51">
        <v>1.0684155633617415E-5</v>
      </c>
      <c r="AL226" s="51">
        <v>1.0859684039977526E-5</v>
      </c>
      <c r="AM226" s="51">
        <v>1.1038096176460623E-5</v>
      </c>
      <c r="AN226" s="51">
        <v>1.1219439419440676E-5</v>
      </c>
      <c r="AO226" s="51">
        <v>1.1403761923631068E-5</v>
      </c>
      <c r="AP226" s="51">
        <v>1.1591112634871817E-5</v>
      </c>
      <c r="AQ226" s="51">
        <v>1.1781541303126881E-5</v>
      </c>
      <c r="AR226" s="51">
        <v>1.1975098495694986E-5</v>
      </c>
      <c r="AS226" s="51">
        <v>1.2171835610637502E-5</v>
      </c>
      <c r="AT226" s="51">
        <v>1.2371804890426914E-5</v>
      </c>
      <c r="AU226" s="51">
        <v>1.2575059435819531E-5</v>
      </c>
      <c r="AV226" s="51">
        <v>1.2724778690981422E-5</v>
      </c>
      <c r="AW226" s="51">
        <v>1.2876280510709358E-5</v>
      </c>
      <c r="AX226" s="51">
        <v>1.3029586118301768E-5</v>
      </c>
      <c r="AY226" s="51">
        <v>1.3184716989742672E-5</v>
      </c>
      <c r="AZ226" s="51">
        <v>1.3341694856710182E-5</v>
      </c>
      <c r="BA226" s="51">
        <v>1.3500541709620797E-5</v>
      </c>
      <c r="BB226" s="51">
        <v>1.3661279800709966E-5</v>
      </c>
      <c r="BC226" s="51">
        <v>1.3823931647149304E-5</v>
      </c>
      <c r="BD226" s="51">
        <v>1.3988520034200947E-5</v>
      </c>
      <c r="BE226" s="51">
        <v>1.4155068018409441E-5</v>
      </c>
      <c r="BF226" s="51">
        <v>1.4323598930831649E-5</v>
      </c>
      <c r="BG226" s="51">
        <v>1.4494136380305104E-5</v>
      </c>
      <c r="BH226" s="51">
        <v>1.4666704256755281E-5</v>
      </c>
      <c r="BI226" s="51">
        <v>1.4841326734542243E-5</v>
      </c>
      <c r="BJ226" s="51">
        <v>1.5018028275847132E-5</v>
      </c>
      <c r="BK226" s="51">
        <v>1.5196833634098983E-5</v>
      </c>
      <c r="BL226" s="51">
        <v>1.5377767857442332E-5</v>
      </c>
      <c r="BM226" s="51">
        <v>1.5560856292246115E-5</v>
      </c>
      <c r="BN226" s="51">
        <v>1.5746124586654335E-5</v>
      </c>
      <c r="BO226" s="51">
        <v>1.5933598694179025E-5</v>
      </c>
      <c r="BP226" s="51">
        <v>1.6123304877335964E-5</v>
      </c>
      <c r="BQ226" s="51">
        <v>1.6315269711323685E-5</v>
      </c>
      <c r="BR226" s="51">
        <v>1.6509520087746301E-5</v>
      </c>
      <c r="BS226" s="51">
        <v>1.6706083218380645E-5</v>
      </c>
      <c r="BT226" s="51">
        <v>1.6904986638988255E-5</v>
      </c>
      <c r="BU226" s="51">
        <v>1.7106258213172752E-5</v>
      </c>
      <c r="BV226" s="51">
        <v>1.7309926136283152E-5</v>
      </c>
      <c r="BW226" s="51">
        <v>1.751601893936363E-5</v>
      </c>
      <c r="BX226" s="51">
        <v>1.7724565493150331E-5</v>
      </c>
      <c r="BY226" s="51">
        <v>1.7935595012115754E-5</v>
      </c>
      <c r="BZ226" s="51">
        <v>1.81491370585613E-5</v>
      </c>
      <c r="CA226" s="51">
        <v>1.8365221546758533E-5</v>
      </c>
      <c r="CB226" s="51">
        <v>1.8583878747139756E-5</v>
      </c>
      <c r="CC226" s="51">
        <v>1.8805139290538478E-5</v>
      </c>
      <c r="CD226" s="51">
        <v>1.9029034172480364E-5</v>
      </c>
      <c r="CE226" s="51">
        <v>1.9255594757525284E-5</v>
      </c>
      <c r="CF226" s="51">
        <v>1.9484852783661048E-5</v>
      </c>
      <c r="CG226" s="51">
        <v>1.9716840366749454E-5</v>
      </c>
      <c r="CH226" s="51">
        <v>1.9951590005025277E-5</v>
      </c>
      <c r="CI226" s="51">
        <v>2.0189134583648824E-5</v>
      </c>
      <c r="CJ226" s="51">
        <v>2.0429507379312678E-5</v>
      </c>
      <c r="CK226" s="51">
        <v>2.0672742064903308E-5</v>
      </c>
      <c r="CL226" s="51">
        <v>2.0918872714218165E-5</v>
      </c>
      <c r="CM226" s="51">
        <v>2.1167933806738958E-5</v>
      </c>
    </row>
    <row r="227" spans="1:91" s="50" customFormat="1" x14ac:dyDescent="0.25">
      <c r="A227" s="50" t="s">
        <v>1</v>
      </c>
      <c r="B227" s="4">
        <v>0</v>
      </c>
      <c r="C227" s="4">
        <v>0</v>
      </c>
      <c r="D227" s="4">
        <v>0</v>
      </c>
      <c r="E227" s="4">
        <v>0</v>
      </c>
      <c r="F227" s="4">
        <v>0</v>
      </c>
      <c r="G227" s="4">
        <v>0</v>
      </c>
      <c r="H227" s="4">
        <v>0</v>
      </c>
      <c r="I227" s="4">
        <v>0</v>
      </c>
      <c r="J227" s="4">
        <v>0</v>
      </c>
      <c r="K227" s="4">
        <v>0</v>
      </c>
      <c r="L227" s="4">
        <v>0</v>
      </c>
      <c r="M227" s="4">
        <v>0</v>
      </c>
      <c r="N227" s="4">
        <v>0</v>
      </c>
      <c r="O227" s="4">
        <v>0</v>
      </c>
      <c r="P227" s="4">
        <v>0</v>
      </c>
      <c r="Q227" s="4">
        <v>0</v>
      </c>
      <c r="R227" s="4">
        <v>0</v>
      </c>
      <c r="S227" s="4">
        <v>0</v>
      </c>
      <c r="T227" s="4">
        <v>0</v>
      </c>
      <c r="U227" s="4">
        <v>0</v>
      </c>
      <c r="V227" s="4">
        <v>0</v>
      </c>
      <c r="W227" s="4">
        <v>0</v>
      </c>
      <c r="X227" s="4">
        <v>0</v>
      </c>
      <c r="Y227" s="4">
        <v>0</v>
      </c>
      <c r="Z227" s="4">
        <v>0</v>
      </c>
      <c r="AA227" s="4">
        <v>0</v>
      </c>
      <c r="AB227" s="4">
        <v>0</v>
      </c>
      <c r="AC227" s="4">
        <v>0</v>
      </c>
      <c r="AD227" s="4">
        <v>0</v>
      </c>
      <c r="AE227" s="4">
        <v>0</v>
      </c>
      <c r="AF227" s="51">
        <v>7.4000000000000003E-6</v>
      </c>
      <c r="AG227" s="51">
        <v>8.4600000000000003E-6</v>
      </c>
      <c r="AH227" s="51">
        <v>9.5200000000000003E-6</v>
      </c>
      <c r="AI227" s="51">
        <v>1.058E-5</v>
      </c>
      <c r="AJ227" s="51">
        <v>1.164E-5</v>
      </c>
      <c r="AK227" s="51">
        <v>1.27E-5</v>
      </c>
      <c r="AL227" s="51">
        <v>1.376E-5</v>
      </c>
      <c r="AM227" s="51">
        <v>1.482E-5</v>
      </c>
      <c r="AN227" s="51">
        <v>1.588E-5</v>
      </c>
      <c r="AO227" s="51">
        <v>1.694E-5</v>
      </c>
      <c r="AP227" s="51">
        <v>1.8E-5</v>
      </c>
      <c r="AQ227" s="51">
        <v>1.906E-5</v>
      </c>
      <c r="AR227" s="51">
        <v>2.012E-5</v>
      </c>
      <c r="AS227" s="51">
        <v>2.1180000000000001E-5</v>
      </c>
      <c r="AT227" s="51">
        <v>2.2240000000000001E-5</v>
      </c>
      <c r="AU227" s="51">
        <v>2.3300000000000001E-5</v>
      </c>
      <c r="AV227" s="51">
        <v>2.3770833333333333E-5</v>
      </c>
      <c r="AW227" s="51">
        <v>2.4241666666666669E-5</v>
      </c>
      <c r="AX227" s="51">
        <v>2.4712500000000001E-5</v>
      </c>
      <c r="AY227" s="51">
        <v>2.5183333333333333E-5</v>
      </c>
      <c r="AZ227" s="51">
        <v>2.5654166666666669E-5</v>
      </c>
      <c r="BA227" s="51">
        <v>2.6125000000000001E-5</v>
      </c>
      <c r="BB227" s="51">
        <v>2.6595833333333334E-5</v>
      </c>
      <c r="BC227" s="51">
        <v>2.7066666666666666E-5</v>
      </c>
      <c r="BD227" s="51">
        <v>2.7537500000000002E-5</v>
      </c>
      <c r="BE227" s="51">
        <v>2.8008333333333334E-5</v>
      </c>
      <c r="BF227" s="51">
        <v>2.8479166666666667E-5</v>
      </c>
      <c r="BG227" s="51">
        <v>2.8949999999999999E-5</v>
      </c>
      <c r="BH227" s="51">
        <v>2.9420833333333335E-5</v>
      </c>
      <c r="BI227" s="51">
        <v>2.9891666666666667E-5</v>
      </c>
      <c r="BJ227" s="51">
        <v>3.0362499999999999E-5</v>
      </c>
      <c r="BK227" s="51">
        <v>3.0833333333333335E-5</v>
      </c>
      <c r="BL227" s="51">
        <v>3.1304166666666671E-5</v>
      </c>
      <c r="BM227" s="51">
        <v>3.1775E-5</v>
      </c>
      <c r="BN227" s="51">
        <v>3.2245833333333336E-5</v>
      </c>
      <c r="BO227" s="51">
        <v>3.2716666666666671E-5</v>
      </c>
      <c r="BP227" s="51">
        <v>3.31875E-5</v>
      </c>
      <c r="BQ227" s="51">
        <v>3.3658333333333336E-5</v>
      </c>
      <c r="BR227" s="51">
        <v>3.4129166666666672E-5</v>
      </c>
      <c r="BS227" s="51">
        <v>3.4600000000000001E-5</v>
      </c>
      <c r="BT227" s="51">
        <v>3.4830000000000004E-5</v>
      </c>
      <c r="BU227" s="51">
        <v>3.506E-5</v>
      </c>
      <c r="BV227" s="51">
        <v>3.5290000000000003E-5</v>
      </c>
      <c r="BW227" s="51">
        <v>3.5519999999999999E-5</v>
      </c>
      <c r="BX227" s="51">
        <v>3.5750000000000002E-5</v>
      </c>
      <c r="BY227" s="51">
        <v>3.5980000000000004E-5</v>
      </c>
      <c r="BZ227" s="51">
        <v>3.6210000000000001E-5</v>
      </c>
      <c r="CA227" s="51">
        <v>3.6440000000000003E-5</v>
      </c>
      <c r="CB227" s="51">
        <v>3.667E-5</v>
      </c>
      <c r="CC227" s="51">
        <v>3.6900000000000002E-5</v>
      </c>
      <c r="CD227" s="51">
        <v>3.7130000000000005E-5</v>
      </c>
      <c r="CE227" s="51">
        <v>3.7360000000000001E-5</v>
      </c>
      <c r="CF227" s="51">
        <v>3.7590000000000004E-5</v>
      </c>
      <c r="CG227" s="51">
        <v>3.782E-5</v>
      </c>
      <c r="CH227" s="51">
        <v>3.8050000000000003E-5</v>
      </c>
      <c r="CI227" s="51">
        <v>3.8280000000000006E-5</v>
      </c>
      <c r="CJ227" s="51">
        <v>3.8510000000000002E-5</v>
      </c>
      <c r="CK227" s="51">
        <v>3.8740000000000005E-5</v>
      </c>
      <c r="CL227" s="51">
        <v>3.8970000000000001E-5</v>
      </c>
      <c r="CM227" s="51">
        <v>3.9200000000000004E-5</v>
      </c>
    </row>
    <row r="228" spans="1:91" s="50" customFormat="1" x14ac:dyDescent="0.25">
      <c r="A228" s="50" t="s">
        <v>2</v>
      </c>
      <c r="B228" s="4">
        <v>0</v>
      </c>
      <c r="C228" s="4">
        <v>0</v>
      </c>
      <c r="D228" s="4">
        <v>0</v>
      </c>
      <c r="E228" s="4">
        <v>0</v>
      </c>
      <c r="F228" s="4">
        <v>0</v>
      </c>
      <c r="G228" s="4">
        <v>0</v>
      </c>
      <c r="H228" s="4">
        <v>0</v>
      </c>
      <c r="I228" s="4">
        <v>0</v>
      </c>
      <c r="J228" s="4">
        <v>0</v>
      </c>
      <c r="K228" s="4">
        <v>0</v>
      </c>
      <c r="L228" s="4">
        <v>0</v>
      </c>
      <c r="M228" s="4">
        <v>0</v>
      </c>
      <c r="N228" s="4">
        <v>0</v>
      </c>
      <c r="O228" s="4">
        <v>0</v>
      </c>
      <c r="P228" s="4">
        <v>0</v>
      </c>
      <c r="Q228" s="4">
        <v>0</v>
      </c>
      <c r="R228" s="4">
        <v>0</v>
      </c>
      <c r="S228" s="4">
        <v>0</v>
      </c>
      <c r="T228" s="4">
        <v>0</v>
      </c>
      <c r="U228" s="4">
        <v>0</v>
      </c>
      <c r="V228" s="4">
        <v>0</v>
      </c>
      <c r="W228" s="4">
        <v>0</v>
      </c>
      <c r="X228" s="4">
        <v>0</v>
      </c>
      <c r="Y228" s="4">
        <v>0</v>
      </c>
      <c r="Z228" s="4">
        <v>0</v>
      </c>
      <c r="AA228" s="4">
        <v>0</v>
      </c>
      <c r="AB228" s="4">
        <v>0</v>
      </c>
      <c r="AC228" s="4">
        <v>0</v>
      </c>
      <c r="AD228" s="4">
        <v>0</v>
      </c>
      <c r="AE228" s="4">
        <v>0</v>
      </c>
      <c r="AF228" s="51">
        <v>1.1940938557522844E-5</v>
      </c>
      <c r="AG228" s="51">
        <v>1.2284916211443256E-5</v>
      </c>
      <c r="AH228" s="51">
        <v>1.2638802686670017E-5</v>
      </c>
      <c r="AI228" s="51">
        <v>1.3002883422500018E-5</v>
      </c>
      <c r="AJ228" s="51">
        <v>1.3377452080761334E-5</v>
      </c>
      <c r="AK228" s="51">
        <v>1.376281078267627E-5</v>
      </c>
      <c r="AL228" s="51">
        <v>1.4159270352547603E-5</v>
      </c>
      <c r="AM228" s="51">
        <v>1.4567150568464612E-5</v>
      </c>
      <c r="AN228" s="51">
        <v>1.4986780420231082E-5</v>
      </c>
      <c r="AO228" s="51">
        <v>1.5418498374723337E-5</v>
      </c>
      <c r="AP228" s="51">
        <v>1.5862652648892322E-5</v>
      </c>
      <c r="AQ228" s="51">
        <v>1.6319601490629962E-5</v>
      </c>
      <c r="AR228" s="51">
        <v>1.67897134677263E-5</v>
      </c>
      <c r="AS228" s="51">
        <v>1.7273367765150516E-5</v>
      </c>
      <c r="AT228" s="51">
        <v>1.7770954490895594E-5</v>
      </c>
      <c r="AU228" s="51">
        <v>1.8282874990633326E-5</v>
      </c>
      <c r="AV228" s="51">
        <v>1.8374289365586492E-5</v>
      </c>
      <c r="AW228" s="51">
        <v>1.8466160812414426E-5</v>
      </c>
      <c r="AX228" s="51">
        <v>1.8558491616476499E-5</v>
      </c>
      <c r="AY228" s="51">
        <v>1.8651284074558881E-5</v>
      </c>
      <c r="AZ228" s="51">
        <v>1.8744540494931674E-5</v>
      </c>
      <c r="BA228" s="51">
        <v>1.8838263197406332E-5</v>
      </c>
      <c r="BB228" s="51">
        <v>1.8932454513393364E-5</v>
      </c>
      <c r="BC228" s="51">
        <v>1.902711678596033E-5</v>
      </c>
      <c r="BD228" s="51">
        <v>1.912225236989013E-5</v>
      </c>
      <c r="BE228" s="51">
        <v>1.9217863631739581E-5</v>
      </c>
      <c r="BF228" s="51">
        <v>1.9313952949898279E-5</v>
      </c>
      <c r="BG228" s="51">
        <v>1.9410522714647769E-5</v>
      </c>
      <c r="BH228" s="51">
        <v>1.9507575328221009E-5</v>
      </c>
      <c r="BI228" s="51">
        <v>1.9605113204862113E-5</v>
      </c>
      <c r="BJ228" s="51">
        <v>1.9703138770886425E-5</v>
      </c>
      <c r="BK228" s="51">
        <v>1.9801654464740857E-5</v>
      </c>
      <c r="BL228" s="51">
        <v>1.9900662737064561E-5</v>
      </c>
      <c r="BM228" s="51">
        <v>2.0000166050749883E-5</v>
      </c>
      <c r="BN228" s="51">
        <v>2.0100166881003632E-5</v>
      </c>
      <c r="BO228" s="51">
        <v>2.020066771540865E-5</v>
      </c>
      <c r="BP228" s="51">
        <v>2.0301671053985692E-5</v>
      </c>
      <c r="BQ228" s="51">
        <v>2.0403179409255621E-5</v>
      </c>
      <c r="BR228" s="51">
        <v>2.0505195306301901E-5</v>
      </c>
      <c r="BS228" s="51">
        <v>2.0607721282833412E-5</v>
      </c>
      <c r="BT228" s="51">
        <v>2.0710759889247578E-5</v>
      </c>
      <c r="BU228" s="51">
        <v>2.0814313688693816E-5</v>
      </c>
      <c r="BV228" s="51">
        <v>2.0918385257137287E-5</v>
      </c>
      <c r="BW228" s="51">
        <v>2.1022977183422974E-5</v>
      </c>
      <c r="BX228" s="51">
        <v>2.1128092069340089E-5</v>
      </c>
      <c r="BY228" s="51">
        <v>2.1233732529686789E-5</v>
      </c>
      <c r="BZ228" s="51">
        <v>2.1339901192335224E-5</v>
      </c>
      <c r="CA228" s="51">
        <v>2.1446600698296902E-5</v>
      </c>
      <c r="CB228" s="51">
        <v>2.1553833701788386E-5</v>
      </c>
      <c r="CC228" s="51">
        <v>2.1661602870297329E-5</v>
      </c>
      <c r="CD228" s="51">
        <v>2.1769910884648817E-5</v>
      </c>
      <c r="CE228" s="51">
        <v>2.1878760439072059E-5</v>
      </c>
      <c r="CF228" s="51">
        <v>2.1988154241267419E-5</v>
      </c>
      <c r="CG228" s="51">
        <v>2.2098095012473757E-5</v>
      </c>
      <c r="CH228" s="51">
        <v>2.2208585487536127E-5</v>
      </c>
      <c r="CI228" s="51">
        <v>2.2319628414973806E-5</v>
      </c>
      <c r="CJ228" s="51">
        <v>2.2431226557048674E-5</v>
      </c>
      <c r="CK228" s="51">
        <v>2.2543382689833918E-5</v>
      </c>
      <c r="CL228" s="51">
        <v>2.2656099603283088E-5</v>
      </c>
      <c r="CM228" s="51">
        <v>2.2769380101299504E-5</v>
      </c>
    </row>
    <row r="229" spans="1:91" s="50" customFormat="1" x14ac:dyDescent="0.25">
      <c r="A229" s="50" t="s">
        <v>2</v>
      </c>
      <c r="B229" s="4">
        <v>0</v>
      </c>
      <c r="C229" s="4">
        <v>0</v>
      </c>
      <c r="D229" s="4">
        <v>0</v>
      </c>
      <c r="E229" s="4">
        <v>0</v>
      </c>
      <c r="F229" s="4">
        <v>0</v>
      </c>
      <c r="G229" s="4">
        <v>0</v>
      </c>
      <c r="H229" s="4">
        <v>0</v>
      </c>
      <c r="I229" s="4">
        <v>0</v>
      </c>
      <c r="J229" s="4">
        <v>0</v>
      </c>
      <c r="K229" s="4">
        <v>0</v>
      </c>
      <c r="L229" s="4">
        <v>0</v>
      </c>
      <c r="M229" s="4">
        <v>0</v>
      </c>
      <c r="N229" s="4">
        <v>0</v>
      </c>
      <c r="O229" s="4">
        <v>0</v>
      </c>
      <c r="P229" s="4">
        <v>0</v>
      </c>
      <c r="Q229" s="4">
        <v>0</v>
      </c>
      <c r="R229" s="4">
        <v>0</v>
      </c>
      <c r="S229" s="4">
        <v>0</v>
      </c>
      <c r="T229" s="4">
        <v>0</v>
      </c>
      <c r="U229" s="4">
        <v>0</v>
      </c>
      <c r="V229" s="4">
        <v>0</v>
      </c>
      <c r="W229" s="4">
        <v>0</v>
      </c>
      <c r="X229" s="4">
        <v>0</v>
      </c>
      <c r="Y229" s="4">
        <v>0</v>
      </c>
      <c r="Z229" s="4">
        <v>0</v>
      </c>
      <c r="AA229" s="4">
        <v>0</v>
      </c>
      <c r="AB229" s="4">
        <v>0</v>
      </c>
      <c r="AC229" s="4">
        <v>0</v>
      </c>
      <c r="AD229" s="4">
        <v>0</v>
      </c>
      <c r="AE229" s="4">
        <v>0</v>
      </c>
      <c r="AF229" s="51">
        <v>5.7536459922360531E-6</v>
      </c>
      <c r="AG229" s="51">
        <v>6.088514277498469E-6</v>
      </c>
      <c r="AH229" s="51">
        <v>6.4428722513211314E-6</v>
      </c>
      <c r="AI229" s="51">
        <v>6.8178542342022556E-6</v>
      </c>
      <c r="AJ229" s="51">
        <v>7.2146605652933924E-6</v>
      </c>
      <c r="AK229" s="51">
        <v>7.6345614447549131E-6</v>
      </c>
      <c r="AL229" s="51">
        <v>8.0789009997406479E-6</v>
      </c>
      <c r="AM229" s="51">
        <v>8.5491015870271414E-6</v>
      </c>
      <c r="AN229" s="51">
        <v>9.0466683460604674E-6</v>
      </c>
      <c r="AO229" s="51">
        <v>9.5731940169952031E-6</v>
      </c>
      <c r="AP229" s="51">
        <v>1.0130364039148364E-5</v>
      </c>
      <c r="AQ229" s="51">
        <v>1.0719961946188746E-5</v>
      </c>
      <c r="AR229" s="51">
        <v>1.1343875075332007E-5</v>
      </c>
      <c r="AS229" s="51">
        <v>1.2004100608816938E-5</v>
      </c>
      <c r="AT229" s="51">
        <v>1.2702751967002049E-5</v>
      </c>
      <c r="AU229" s="51">
        <v>1.3442065573547143E-5</v>
      </c>
      <c r="AV229" s="51">
        <v>1.364369655715035E-5</v>
      </c>
      <c r="AW229" s="51">
        <v>1.3848352005507605E-5</v>
      </c>
      <c r="AX229" s="51">
        <v>1.4056077285590219E-5</v>
      </c>
      <c r="AY229" s="51">
        <v>1.4266918444874072E-5</v>
      </c>
      <c r="AZ229" s="51">
        <v>1.4480922221547184E-5</v>
      </c>
      <c r="BA229" s="51">
        <v>1.4698136054870392E-5</v>
      </c>
      <c r="BB229" s="51">
        <v>1.4918608095693447E-5</v>
      </c>
      <c r="BC229" s="51">
        <v>1.514238721712885E-5</v>
      </c>
      <c r="BD229" s="51">
        <v>1.5369523025385783E-5</v>
      </c>
      <c r="BE229" s="51">
        <v>1.5600065870766571E-5</v>
      </c>
      <c r="BF229" s="51">
        <v>1.5834066858828069E-5</v>
      </c>
      <c r="BG229" s="51">
        <v>1.6071577861710491E-5</v>
      </c>
      <c r="BH229" s="51">
        <v>1.6312651529636149E-5</v>
      </c>
      <c r="BI229" s="51">
        <v>1.6557341302580691E-5</v>
      </c>
      <c r="BJ229" s="51">
        <v>1.6805701422119401E-5</v>
      </c>
      <c r="BK229" s="51">
        <v>1.7057786943451192E-5</v>
      </c>
      <c r="BL229" s="51">
        <v>1.731365374760296E-5</v>
      </c>
      <c r="BM229" s="51">
        <v>1.7573358553817004E-5</v>
      </c>
      <c r="BN229" s="51">
        <v>1.7836958932124258E-5</v>
      </c>
      <c r="BO229" s="51">
        <v>1.8104513316106121E-5</v>
      </c>
      <c r="BP229" s="51">
        <v>1.8376081015847712E-5</v>
      </c>
      <c r="BQ229" s="51">
        <v>1.8651722231085428E-5</v>
      </c>
      <c r="BR229" s="51">
        <v>1.8931498064551708E-5</v>
      </c>
      <c r="BS229" s="51">
        <v>1.9215470535519983E-5</v>
      </c>
      <c r="BT229" s="51">
        <v>1.9503702593552781E-5</v>
      </c>
      <c r="BU229" s="51">
        <v>1.9796258132456072E-5</v>
      </c>
      <c r="BV229" s="51">
        <v>2.0093202004442913E-5</v>
      </c>
      <c r="BW229" s="51">
        <v>2.0394600034509555E-5</v>
      </c>
      <c r="BX229" s="51">
        <v>2.0700519035027199E-5</v>
      </c>
      <c r="BY229" s="51">
        <v>2.1011026820552607E-5</v>
      </c>
      <c r="BZ229" s="51">
        <v>2.1326192222860898E-5</v>
      </c>
      <c r="CA229" s="51">
        <v>2.1646085106203812E-5</v>
      </c>
      <c r="CB229" s="51">
        <v>2.197077638279687E-5</v>
      </c>
      <c r="CC229" s="51">
        <v>2.2300338028538821E-5</v>
      </c>
      <c r="CD229" s="51">
        <v>2.2634843098966902E-5</v>
      </c>
      <c r="CE229" s="51">
        <v>2.2974365745451405E-5</v>
      </c>
      <c r="CF229" s="51">
        <v>2.3318981231633177E-5</v>
      </c>
      <c r="CG229" s="51">
        <v>2.3668765950107675E-5</v>
      </c>
      <c r="CH229" s="51">
        <v>2.402379743935929E-5</v>
      </c>
      <c r="CI229" s="51">
        <v>2.438415440094968E-5</v>
      </c>
      <c r="CJ229" s="51">
        <v>2.4749916716963925E-5</v>
      </c>
      <c r="CK229" s="51">
        <v>2.5121165467718383E-5</v>
      </c>
      <c r="CL229" s="51">
        <v>2.549798294973416E-5</v>
      </c>
      <c r="CM229" s="51">
        <v>2.5880452693980171E-5</v>
      </c>
    </row>
    <row r="230" spans="1:91" s="50" customFormat="1" x14ac:dyDescent="0.25">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91" s="50" customFormat="1" x14ac:dyDescent="0.25">
      <c r="A231" s="50" t="s">
        <v>241</v>
      </c>
      <c r="B231" s="4">
        <v>0</v>
      </c>
      <c r="C231" s="4">
        <v>0</v>
      </c>
      <c r="D231" s="4">
        <v>0</v>
      </c>
      <c r="E231" s="4">
        <v>0</v>
      </c>
      <c r="F231" s="4">
        <v>0</v>
      </c>
      <c r="G231" s="4">
        <v>0</v>
      </c>
      <c r="H231" s="4">
        <v>0</v>
      </c>
      <c r="I231" s="4">
        <v>0</v>
      </c>
      <c r="J231" s="4">
        <v>0</v>
      </c>
      <c r="K231" s="4">
        <v>0</v>
      </c>
      <c r="L231" s="4">
        <v>0</v>
      </c>
      <c r="M231" s="4">
        <v>0</v>
      </c>
      <c r="N231" s="4">
        <v>0</v>
      </c>
      <c r="O231" s="4">
        <v>0</v>
      </c>
      <c r="P231" s="4">
        <v>0</v>
      </c>
      <c r="Q231" s="4">
        <v>0</v>
      </c>
      <c r="R231" s="4">
        <v>0</v>
      </c>
      <c r="S231" s="4">
        <v>0</v>
      </c>
      <c r="T231" s="4">
        <v>0</v>
      </c>
      <c r="U231" s="4">
        <v>0</v>
      </c>
      <c r="V231" s="4">
        <v>0</v>
      </c>
      <c r="W231" s="4">
        <v>0</v>
      </c>
      <c r="X231" s="4">
        <v>0</v>
      </c>
      <c r="Y231" s="4">
        <v>0</v>
      </c>
      <c r="Z231" s="4">
        <v>0</v>
      </c>
      <c r="AA231" s="4">
        <v>0</v>
      </c>
      <c r="AB231" s="4">
        <v>0</v>
      </c>
      <c r="AC231" s="4">
        <v>0</v>
      </c>
      <c r="AD231" s="4">
        <v>0</v>
      </c>
      <c r="AE231" s="4">
        <v>0</v>
      </c>
      <c r="AF231" s="51">
        <v>3.961367013372957E-5</v>
      </c>
      <c r="AG231" s="51">
        <v>3.9475482912332841E-5</v>
      </c>
      <c r="AH231" s="51">
        <v>3.9337295690936105E-5</v>
      </c>
      <c r="AI231" s="51">
        <v>3.9199108469539376E-5</v>
      </c>
      <c r="AJ231" s="51">
        <v>3.9060921248142647E-5</v>
      </c>
      <c r="AK231" s="51">
        <v>3.8922734026745911E-5</v>
      </c>
      <c r="AL231" s="51">
        <v>3.8784546805349182E-5</v>
      </c>
      <c r="AM231" s="51">
        <v>3.8646359583952453E-5</v>
      </c>
      <c r="AN231" s="51">
        <v>3.8508172362555718E-5</v>
      </c>
      <c r="AO231" s="51">
        <v>3.8369985141158989E-5</v>
      </c>
      <c r="AP231" s="51">
        <v>3.823179791976226E-5</v>
      </c>
      <c r="AQ231" s="51">
        <v>3.8093610698365524E-5</v>
      </c>
      <c r="AR231" s="51">
        <v>3.7955423476968795E-5</v>
      </c>
      <c r="AS231" s="51">
        <v>3.7817236255572066E-5</v>
      </c>
      <c r="AT231" s="51">
        <v>3.767904903417533E-5</v>
      </c>
      <c r="AU231" s="51">
        <v>3.7540861812778601E-5</v>
      </c>
      <c r="AV231" s="51">
        <v>3.7763153098092002E-5</v>
      </c>
      <c r="AW231" s="51">
        <v>3.7985444383405395E-5</v>
      </c>
      <c r="AX231" s="51">
        <v>3.8207735668718796E-5</v>
      </c>
      <c r="AY231" s="51">
        <v>3.843002695403219E-5</v>
      </c>
      <c r="AZ231" s="51">
        <v>3.865231823934559E-5</v>
      </c>
      <c r="BA231" s="51">
        <v>3.8874609524658984E-5</v>
      </c>
      <c r="BB231" s="51">
        <v>3.9096900809972384E-5</v>
      </c>
      <c r="BC231" s="51">
        <v>3.9319192095285778E-5</v>
      </c>
      <c r="BD231" s="51">
        <v>3.9541483380599179E-5</v>
      </c>
      <c r="BE231" s="51">
        <v>3.9763774665912572E-5</v>
      </c>
      <c r="BF231" s="51">
        <v>3.9986065951225973E-5</v>
      </c>
      <c r="BG231" s="51">
        <v>4.0208357236539373E-5</v>
      </c>
      <c r="BH231" s="51">
        <v>4.0430648521852767E-5</v>
      </c>
      <c r="BI231" s="51">
        <v>4.0652939807166168E-5</v>
      </c>
      <c r="BJ231" s="51">
        <v>4.0875231092479561E-5</v>
      </c>
      <c r="BK231" s="51">
        <v>4.1097522377792962E-5</v>
      </c>
      <c r="BL231" s="51">
        <v>4.1319813663106356E-5</v>
      </c>
      <c r="BM231" s="51">
        <v>4.1542104948419756E-5</v>
      </c>
      <c r="BN231" s="51">
        <v>4.176439623373315E-5</v>
      </c>
      <c r="BO231" s="51">
        <v>4.198668751904655E-5</v>
      </c>
      <c r="BP231" s="51">
        <v>4.2208978804359944E-5</v>
      </c>
      <c r="BQ231" s="51">
        <v>4.2431270089673345E-5</v>
      </c>
      <c r="BR231" s="51">
        <v>4.2653561374986738E-5</v>
      </c>
      <c r="BS231" s="51">
        <v>4.2875852660300139E-5</v>
      </c>
      <c r="BT231" s="51">
        <v>4.280968622100955E-5</v>
      </c>
      <c r="BU231" s="51">
        <v>4.2743519781718962E-5</v>
      </c>
      <c r="BV231" s="51">
        <v>4.267735334242838E-5</v>
      </c>
      <c r="BW231" s="51">
        <v>4.2611186903137792E-5</v>
      </c>
      <c r="BX231" s="51">
        <v>4.2545020463847204E-5</v>
      </c>
      <c r="BY231" s="51">
        <v>4.2478854024556622E-5</v>
      </c>
      <c r="BZ231" s="51">
        <v>4.2412687585266033E-5</v>
      </c>
      <c r="CA231" s="51">
        <v>4.2346521145975445E-5</v>
      </c>
      <c r="CB231" s="51">
        <v>4.2280354706684857E-5</v>
      </c>
      <c r="CC231" s="51">
        <v>4.2214188267394268E-5</v>
      </c>
      <c r="CD231" s="51">
        <v>4.2148021828103686E-5</v>
      </c>
      <c r="CE231" s="51">
        <v>4.2081855388813098E-5</v>
      </c>
      <c r="CF231" s="51">
        <v>4.201568894952251E-5</v>
      </c>
      <c r="CG231" s="51">
        <v>4.1949522510231928E-5</v>
      </c>
      <c r="CH231" s="51">
        <v>4.188335607094134E-5</v>
      </c>
      <c r="CI231" s="51">
        <v>4.1817189631650751E-5</v>
      </c>
      <c r="CJ231" s="51">
        <v>4.1751023192360163E-5</v>
      </c>
      <c r="CK231" s="51">
        <v>4.1684856753069574E-5</v>
      </c>
      <c r="CL231" s="51">
        <v>4.1618690313778993E-5</v>
      </c>
      <c r="CM231" s="51">
        <v>4.1552523874488404E-5</v>
      </c>
    </row>
    <row r="232" spans="1:91" s="50" customFormat="1" x14ac:dyDescent="0.25">
      <c r="A232" s="50" t="s">
        <v>1</v>
      </c>
      <c r="B232" s="4">
        <v>0</v>
      </c>
      <c r="C232" s="4">
        <v>0</v>
      </c>
      <c r="D232" s="4">
        <v>0</v>
      </c>
      <c r="E232" s="4">
        <v>0</v>
      </c>
      <c r="F232" s="4">
        <v>0</v>
      </c>
      <c r="G232" s="4">
        <v>0</v>
      </c>
      <c r="H232" s="4">
        <v>0</v>
      </c>
      <c r="I232" s="4">
        <v>0</v>
      </c>
      <c r="J232" s="4">
        <v>0</v>
      </c>
      <c r="K232" s="4">
        <v>0</v>
      </c>
      <c r="L232" s="4">
        <v>0</v>
      </c>
      <c r="M232" s="4">
        <v>0</v>
      </c>
      <c r="N232" s="4">
        <v>0</v>
      </c>
      <c r="O232" s="4">
        <v>0</v>
      </c>
      <c r="P232" s="4">
        <v>0</v>
      </c>
      <c r="Q232" s="4">
        <v>0</v>
      </c>
      <c r="R232" s="4">
        <v>0</v>
      </c>
      <c r="S232" s="4">
        <v>0</v>
      </c>
      <c r="T232" s="4">
        <v>0</v>
      </c>
      <c r="U232" s="4">
        <v>0</v>
      </c>
      <c r="V232" s="4">
        <v>0</v>
      </c>
      <c r="W232" s="4">
        <v>0</v>
      </c>
      <c r="X232" s="4">
        <v>0</v>
      </c>
      <c r="Y232" s="4">
        <v>0</v>
      </c>
      <c r="Z232" s="4">
        <v>0</v>
      </c>
      <c r="AA232" s="4">
        <v>0</v>
      </c>
      <c r="AB232" s="4">
        <v>0</v>
      </c>
      <c r="AC232" s="4">
        <v>0</v>
      </c>
      <c r="AD232" s="4">
        <v>0</v>
      </c>
      <c r="AE232" s="4">
        <v>0</v>
      </c>
      <c r="AF232" s="51">
        <v>5.6736998514115901E-5</v>
      </c>
      <c r="AG232" s="51">
        <v>5.6539078751857359E-5</v>
      </c>
      <c r="AH232" s="51">
        <v>5.6341158989598811E-5</v>
      </c>
      <c r="AI232" s="51">
        <v>5.614323922734027E-5</v>
      </c>
      <c r="AJ232" s="51">
        <v>5.5945319465081722E-5</v>
      </c>
      <c r="AK232" s="51">
        <v>5.5747399702823181E-5</v>
      </c>
      <c r="AL232" s="51">
        <v>5.5549479940564639E-5</v>
      </c>
      <c r="AM232" s="51">
        <v>5.5351560178306091E-5</v>
      </c>
      <c r="AN232" s="51">
        <v>5.515364041604755E-5</v>
      </c>
      <c r="AO232" s="51">
        <v>5.4955720653789002E-5</v>
      </c>
      <c r="AP232" s="51">
        <v>5.4757800891530461E-5</v>
      </c>
      <c r="AQ232" s="51">
        <v>5.4559881129271919E-5</v>
      </c>
      <c r="AR232" s="51">
        <v>5.4361961367013371E-5</v>
      </c>
      <c r="AS232" s="51">
        <v>5.416404160475483E-5</v>
      </c>
      <c r="AT232" s="51">
        <v>5.3966121842496282E-5</v>
      </c>
      <c r="AU232" s="51">
        <v>5.3768202080237741E-5</v>
      </c>
      <c r="AV232" s="51">
        <v>5.3599824856226013E-5</v>
      </c>
      <c r="AW232" s="51">
        <v>5.3431447632214292E-5</v>
      </c>
      <c r="AX232" s="51">
        <v>5.3263070408202565E-5</v>
      </c>
      <c r="AY232" s="51">
        <v>5.3094693184190837E-5</v>
      </c>
      <c r="AZ232" s="51">
        <v>5.2926315960179117E-5</v>
      </c>
      <c r="BA232" s="51">
        <v>5.2757938736167389E-5</v>
      </c>
      <c r="BB232" s="51">
        <v>5.2589561512155668E-5</v>
      </c>
      <c r="BC232" s="51">
        <v>5.2421184288143941E-5</v>
      </c>
      <c r="BD232" s="51">
        <v>5.2252807064132213E-5</v>
      </c>
      <c r="BE232" s="51">
        <v>5.2084429840120493E-5</v>
      </c>
      <c r="BF232" s="51">
        <v>5.1916052616108765E-5</v>
      </c>
      <c r="BG232" s="51">
        <v>5.1747675392097044E-5</v>
      </c>
      <c r="BH232" s="51">
        <v>5.1579298168085317E-5</v>
      </c>
      <c r="BI232" s="51">
        <v>5.1410920944073589E-5</v>
      </c>
      <c r="BJ232" s="51">
        <v>5.1242543720061869E-5</v>
      </c>
      <c r="BK232" s="51">
        <v>5.1074166496050141E-5</v>
      </c>
      <c r="BL232" s="51">
        <v>5.0905789272038414E-5</v>
      </c>
      <c r="BM232" s="51">
        <v>5.0737412048026693E-5</v>
      </c>
      <c r="BN232" s="51">
        <v>5.0569034824014965E-5</v>
      </c>
      <c r="BO232" s="51">
        <v>5.0400657600003238E-5</v>
      </c>
      <c r="BP232" s="51">
        <v>5.0232280375991517E-5</v>
      </c>
      <c r="BQ232" s="51">
        <v>5.006390315197979E-5</v>
      </c>
      <c r="BR232" s="51">
        <v>4.9895525927968069E-5</v>
      </c>
      <c r="BS232" s="51">
        <v>4.9727148703956341E-5</v>
      </c>
      <c r="BT232" s="51">
        <v>4.9650409276944062E-5</v>
      </c>
      <c r="BU232" s="51">
        <v>4.9573669849931783E-5</v>
      </c>
      <c r="BV232" s="51">
        <v>4.9496930422919504E-5</v>
      </c>
      <c r="BW232" s="51">
        <v>4.9420190995907225E-5</v>
      </c>
      <c r="BX232" s="51">
        <v>4.9343451568894953E-5</v>
      </c>
      <c r="BY232" s="51">
        <v>4.9266712141882674E-5</v>
      </c>
      <c r="BZ232" s="51">
        <v>4.9189972714870395E-5</v>
      </c>
      <c r="CA232" s="51">
        <v>4.9113233287858116E-5</v>
      </c>
      <c r="CB232" s="51">
        <v>4.9036493860845837E-5</v>
      </c>
      <c r="CC232" s="51">
        <v>4.8959754433833558E-5</v>
      </c>
      <c r="CD232" s="51">
        <v>4.8883015006821279E-5</v>
      </c>
      <c r="CE232" s="51">
        <v>4.8806275579809E-5</v>
      </c>
      <c r="CF232" s="51">
        <v>4.8729536152796721E-5</v>
      </c>
      <c r="CG232" s="51">
        <v>4.8652796725784442E-5</v>
      </c>
      <c r="CH232" s="51">
        <v>4.8576057298772163E-5</v>
      </c>
      <c r="CI232" s="51">
        <v>4.849931787175989E-5</v>
      </c>
      <c r="CJ232" s="51">
        <v>4.8422578444747611E-5</v>
      </c>
      <c r="CK232" s="51">
        <v>4.8345839017735332E-5</v>
      </c>
      <c r="CL232" s="51">
        <v>4.8269099590723053E-5</v>
      </c>
      <c r="CM232" s="51">
        <v>4.8192360163710774E-5</v>
      </c>
    </row>
    <row r="233" spans="1:91" s="50" customFormat="1" x14ac:dyDescent="0.25">
      <c r="A233" s="50" t="s">
        <v>1</v>
      </c>
      <c r="B233" s="4">
        <v>0</v>
      </c>
      <c r="C233" s="4">
        <v>0</v>
      </c>
      <c r="D233" s="4">
        <v>0</v>
      </c>
      <c r="E233" s="4">
        <v>0</v>
      </c>
      <c r="F233" s="4">
        <v>0</v>
      </c>
      <c r="G233" s="4">
        <v>0</v>
      </c>
      <c r="H233" s="4">
        <v>0</v>
      </c>
      <c r="I233" s="4">
        <v>0</v>
      </c>
      <c r="J233" s="4">
        <v>0</v>
      </c>
      <c r="K233" s="4">
        <v>0</v>
      </c>
      <c r="L233" s="4">
        <v>0</v>
      </c>
      <c r="M233" s="4">
        <v>0</v>
      </c>
      <c r="N233" s="4">
        <v>0</v>
      </c>
      <c r="O233" s="4">
        <v>0</v>
      </c>
      <c r="P233" s="4">
        <v>0</v>
      </c>
      <c r="Q233" s="4">
        <v>0</v>
      </c>
      <c r="R233" s="4">
        <v>0</v>
      </c>
      <c r="S233" s="4">
        <v>0</v>
      </c>
      <c r="T233" s="4">
        <v>0</v>
      </c>
      <c r="U233" s="4">
        <v>0</v>
      </c>
      <c r="V233" s="4">
        <v>0</v>
      </c>
      <c r="W233" s="4">
        <v>0</v>
      </c>
      <c r="X233" s="4">
        <v>0</v>
      </c>
      <c r="Y233" s="4">
        <v>0</v>
      </c>
      <c r="Z233" s="4">
        <v>0</v>
      </c>
      <c r="AA233" s="4">
        <v>0</v>
      </c>
      <c r="AB233" s="4">
        <v>0</v>
      </c>
      <c r="AC233" s="4">
        <v>0</v>
      </c>
      <c r="AD233" s="4">
        <v>0</v>
      </c>
      <c r="AE233" s="4">
        <v>0</v>
      </c>
      <c r="AF233" s="51">
        <v>4.0380386329866274E-5</v>
      </c>
      <c r="AG233" s="51">
        <v>4.0239524517087674E-5</v>
      </c>
      <c r="AH233" s="51">
        <v>4.0098662704309067E-5</v>
      </c>
      <c r="AI233" s="51">
        <v>3.9957800891530467E-5</v>
      </c>
      <c r="AJ233" s="51">
        <v>3.981693907875186E-5</v>
      </c>
      <c r="AK233" s="51">
        <v>3.967607726597326E-5</v>
      </c>
      <c r="AL233" s="51">
        <v>3.9535215453194653E-5</v>
      </c>
      <c r="AM233" s="51">
        <v>3.9394353640416053E-5</v>
      </c>
      <c r="AN233" s="51">
        <v>3.9253491827637446E-5</v>
      </c>
      <c r="AO233" s="51">
        <v>3.9112630014858846E-5</v>
      </c>
      <c r="AP233" s="51">
        <v>3.8971768202080239E-5</v>
      </c>
      <c r="AQ233" s="51">
        <v>3.8830906389301639E-5</v>
      </c>
      <c r="AR233" s="51">
        <v>3.8690044576523032E-5</v>
      </c>
      <c r="AS233" s="51">
        <v>3.8549182763744432E-5</v>
      </c>
      <c r="AT233" s="51">
        <v>3.8408320950965825E-5</v>
      </c>
      <c r="AU233" s="51">
        <v>3.8267459138187225E-5</v>
      </c>
      <c r="AV233" s="51">
        <v>3.8100335016524468E-5</v>
      </c>
      <c r="AW233" s="51">
        <v>3.7933210894861712E-5</v>
      </c>
      <c r="AX233" s="51">
        <v>3.7766086773198955E-5</v>
      </c>
      <c r="AY233" s="51">
        <v>3.7598962651536191E-5</v>
      </c>
      <c r="AZ233" s="51">
        <v>3.7431838529873434E-5</v>
      </c>
      <c r="BA233" s="51">
        <v>3.7264714408210677E-5</v>
      </c>
      <c r="BB233" s="51">
        <v>3.709759028654792E-5</v>
      </c>
      <c r="BC233" s="51">
        <v>3.6930466164885163E-5</v>
      </c>
      <c r="BD233" s="51">
        <v>3.6763342043222406E-5</v>
      </c>
      <c r="BE233" s="51">
        <v>3.659621792155965E-5</v>
      </c>
      <c r="BF233" s="51">
        <v>3.6429093799896893E-5</v>
      </c>
      <c r="BG233" s="51">
        <v>3.6261969678234136E-5</v>
      </c>
      <c r="BH233" s="51">
        <v>3.6094845556571372E-5</v>
      </c>
      <c r="BI233" s="51">
        <v>3.5927721434908615E-5</v>
      </c>
      <c r="BJ233" s="51">
        <v>3.5760597313245858E-5</v>
      </c>
      <c r="BK233" s="51">
        <v>3.5593473191583101E-5</v>
      </c>
      <c r="BL233" s="51">
        <v>3.5426349069920344E-5</v>
      </c>
      <c r="BM233" s="51">
        <v>3.5259224948257588E-5</v>
      </c>
      <c r="BN233" s="51">
        <v>3.5092100826594831E-5</v>
      </c>
      <c r="BO233" s="51">
        <v>3.4924976704932067E-5</v>
      </c>
      <c r="BP233" s="51">
        <v>3.475785258326931E-5</v>
      </c>
      <c r="BQ233" s="51">
        <v>3.4590728461606553E-5</v>
      </c>
      <c r="BR233" s="51">
        <v>3.4423604339943796E-5</v>
      </c>
      <c r="BS233" s="51">
        <v>3.4256480218281039E-5</v>
      </c>
      <c r="BT233" s="51">
        <v>3.420361527967258E-5</v>
      </c>
      <c r="BU233" s="51">
        <v>3.415075034106412E-5</v>
      </c>
      <c r="BV233" s="51">
        <v>3.409788540245566E-5</v>
      </c>
      <c r="BW233" s="51">
        <v>3.4045020463847207E-5</v>
      </c>
      <c r="BX233" s="51">
        <v>3.3992155525238747E-5</v>
      </c>
      <c r="BY233" s="51">
        <v>3.3939290586630287E-5</v>
      </c>
      <c r="BZ233" s="51">
        <v>3.3886425648021828E-5</v>
      </c>
      <c r="CA233" s="51">
        <v>3.3833560709413368E-5</v>
      </c>
      <c r="CB233" s="51">
        <v>3.3780695770804908E-5</v>
      </c>
      <c r="CC233" s="51">
        <v>3.3727830832196455E-5</v>
      </c>
      <c r="CD233" s="51">
        <v>3.3674965893587995E-5</v>
      </c>
      <c r="CE233" s="51">
        <v>3.3622100954979535E-5</v>
      </c>
      <c r="CF233" s="51">
        <v>3.3569236016371076E-5</v>
      </c>
      <c r="CG233" s="51">
        <v>3.3516371077762616E-5</v>
      </c>
      <c r="CH233" s="51">
        <v>3.3463506139154156E-5</v>
      </c>
      <c r="CI233" s="51">
        <v>3.3410641200545696E-5</v>
      </c>
      <c r="CJ233" s="51">
        <v>3.3357776261937243E-5</v>
      </c>
      <c r="CK233" s="51">
        <v>3.3304911323328783E-5</v>
      </c>
      <c r="CL233" s="51">
        <v>3.3252046384720324E-5</v>
      </c>
      <c r="CM233" s="51">
        <v>3.3199181446111864E-5</v>
      </c>
    </row>
    <row r="234" spans="1:91" s="50" customFormat="1" x14ac:dyDescent="0.25">
      <c r="A234" s="50" t="s">
        <v>1</v>
      </c>
      <c r="B234" s="4">
        <v>0</v>
      </c>
      <c r="C234" s="4">
        <v>0</v>
      </c>
      <c r="D234" s="4">
        <v>0</v>
      </c>
      <c r="E234" s="4">
        <v>0</v>
      </c>
      <c r="F234" s="4">
        <v>0</v>
      </c>
      <c r="G234" s="4">
        <v>0</v>
      </c>
      <c r="H234" s="4">
        <v>0</v>
      </c>
      <c r="I234" s="4">
        <v>0</v>
      </c>
      <c r="J234" s="4">
        <v>0</v>
      </c>
      <c r="K234" s="4">
        <v>0</v>
      </c>
      <c r="L234" s="4">
        <v>0</v>
      </c>
      <c r="M234" s="4">
        <v>0</v>
      </c>
      <c r="N234" s="4">
        <v>0</v>
      </c>
      <c r="O234" s="4">
        <v>0</v>
      </c>
      <c r="P234" s="4">
        <v>0</v>
      </c>
      <c r="Q234" s="4">
        <v>0</v>
      </c>
      <c r="R234" s="4">
        <v>0</v>
      </c>
      <c r="S234" s="4">
        <v>0</v>
      </c>
      <c r="T234" s="4">
        <v>0</v>
      </c>
      <c r="U234" s="4">
        <v>0</v>
      </c>
      <c r="V234" s="4">
        <v>0</v>
      </c>
      <c r="W234" s="4">
        <v>0</v>
      </c>
      <c r="X234" s="4">
        <v>0</v>
      </c>
      <c r="Y234" s="4">
        <v>0</v>
      </c>
      <c r="Z234" s="4">
        <v>0</v>
      </c>
      <c r="AA234" s="4">
        <v>0</v>
      </c>
      <c r="AB234" s="4">
        <v>0</v>
      </c>
      <c r="AC234" s="4">
        <v>0</v>
      </c>
      <c r="AD234" s="4">
        <v>0</v>
      </c>
      <c r="AE234" s="4">
        <v>0</v>
      </c>
      <c r="AF234" s="51">
        <v>3.5268945022288263E-5</v>
      </c>
      <c r="AG234" s="51">
        <v>3.5145913818722139E-5</v>
      </c>
      <c r="AH234" s="51">
        <v>3.5022882615156022E-5</v>
      </c>
      <c r="AI234" s="51">
        <v>3.4899851411589898E-5</v>
      </c>
      <c r="AJ234" s="51">
        <v>3.4776820208023774E-5</v>
      </c>
      <c r="AK234" s="51">
        <v>3.465378900445765E-5</v>
      </c>
      <c r="AL234" s="51">
        <v>3.4530757800891533E-5</v>
      </c>
      <c r="AM234" s="51">
        <v>3.4407726597325409E-5</v>
      </c>
      <c r="AN234" s="51">
        <v>3.4284695393759285E-5</v>
      </c>
      <c r="AO234" s="51">
        <v>3.4161664190193161E-5</v>
      </c>
      <c r="AP234" s="51">
        <v>3.4038632986627044E-5</v>
      </c>
      <c r="AQ234" s="51">
        <v>3.391560178306092E-5</v>
      </c>
      <c r="AR234" s="51">
        <v>3.3792570579494796E-5</v>
      </c>
      <c r="AS234" s="51">
        <v>3.3669539375928672E-5</v>
      </c>
      <c r="AT234" s="51">
        <v>3.3546508172362555E-5</v>
      </c>
      <c r="AU234" s="51">
        <v>3.3423476968796431E-5</v>
      </c>
      <c r="AV234" s="51">
        <v>3.3495020362490852E-5</v>
      </c>
      <c r="AW234" s="51">
        <v>3.3566563756185266E-5</v>
      </c>
      <c r="AX234" s="51">
        <v>3.3638107149879686E-5</v>
      </c>
      <c r="AY234" s="51">
        <v>3.3709650543574107E-5</v>
      </c>
      <c r="AZ234" s="51">
        <v>3.3781193937268528E-5</v>
      </c>
      <c r="BA234" s="51">
        <v>3.3852737330962942E-5</v>
      </c>
      <c r="BB234" s="51">
        <v>3.3924280724657363E-5</v>
      </c>
      <c r="BC234" s="51">
        <v>3.3995824118351783E-5</v>
      </c>
      <c r="BD234" s="51">
        <v>3.4067367512046197E-5</v>
      </c>
      <c r="BE234" s="51">
        <v>3.4138910905740618E-5</v>
      </c>
      <c r="BF234" s="51">
        <v>3.4210454299435039E-5</v>
      </c>
      <c r="BG234" s="51">
        <v>3.4281997693129453E-5</v>
      </c>
      <c r="BH234" s="51">
        <v>3.4353541086823873E-5</v>
      </c>
      <c r="BI234" s="51">
        <v>3.4425084480518294E-5</v>
      </c>
      <c r="BJ234" s="51">
        <v>3.4496627874212715E-5</v>
      </c>
      <c r="BK234" s="51">
        <v>3.4568171267907129E-5</v>
      </c>
      <c r="BL234" s="51">
        <v>3.463971466160155E-5</v>
      </c>
      <c r="BM234" s="51">
        <v>3.471125805529597E-5</v>
      </c>
      <c r="BN234" s="51">
        <v>3.4782801448990384E-5</v>
      </c>
      <c r="BO234" s="51">
        <v>3.4854344842684805E-5</v>
      </c>
      <c r="BP234" s="51">
        <v>3.4925888236379226E-5</v>
      </c>
      <c r="BQ234" s="51">
        <v>3.4997431630073646E-5</v>
      </c>
      <c r="BR234" s="51">
        <v>3.506897502376806E-5</v>
      </c>
      <c r="BS234" s="51">
        <v>3.5140518417462481E-5</v>
      </c>
      <c r="BT234" s="51">
        <v>3.5086289222373802E-5</v>
      </c>
      <c r="BU234" s="51">
        <v>3.503206002728513E-5</v>
      </c>
      <c r="BV234" s="51">
        <v>3.4977830832196451E-5</v>
      </c>
      <c r="BW234" s="51">
        <v>3.4923601637107773E-5</v>
      </c>
      <c r="BX234" s="51">
        <v>3.4869372442019101E-5</v>
      </c>
      <c r="BY234" s="51">
        <v>3.4815143246930422E-5</v>
      </c>
      <c r="BZ234" s="51">
        <v>3.4760914051841743E-5</v>
      </c>
      <c r="CA234" s="51">
        <v>3.4706684856753064E-5</v>
      </c>
      <c r="CB234" s="51">
        <v>3.4652455661664392E-5</v>
      </c>
      <c r="CC234" s="51">
        <v>3.4598226466575713E-5</v>
      </c>
      <c r="CD234" s="51">
        <v>3.4543997271487035E-5</v>
      </c>
      <c r="CE234" s="51">
        <v>3.4489768076398362E-5</v>
      </c>
      <c r="CF234" s="51">
        <v>3.4435538881309684E-5</v>
      </c>
      <c r="CG234" s="51">
        <v>3.4381309686221005E-5</v>
      </c>
      <c r="CH234" s="51">
        <v>3.4327080491132326E-5</v>
      </c>
      <c r="CI234" s="51">
        <v>3.4272851296043654E-5</v>
      </c>
      <c r="CJ234" s="51">
        <v>3.4218622100954975E-5</v>
      </c>
      <c r="CK234" s="51">
        <v>3.4164392905866296E-5</v>
      </c>
      <c r="CL234" s="51">
        <v>3.4110163710777624E-5</v>
      </c>
      <c r="CM234" s="51">
        <v>3.4055934515688946E-5</v>
      </c>
    </row>
    <row r="235" spans="1:91" s="50" customFormat="1" x14ac:dyDescent="0.25">
      <c r="A235" s="50" t="s">
        <v>1</v>
      </c>
      <c r="B235" s="4">
        <v>0</v>
      </c>
      <c r="C235" s="4">
        <v>0</v>
      </c>
      <c r="D235" s="4">
        <v>0</v>
      </c>
      <c r="E235" s="4">
        <v>0</v>
      </c>
      <c r="F235" s="4">
        <v>0</v>
      </c>
      <c r="G235" s="4">
        <v>0</v>
      </c>
      <c r="H235" s="4">
        <v>0</v>
      </c>
      <c r="I235" s="4">
        <v>0</v>
      </c>
      <c r="J235" s="4">
        <v>0</v>
      </c>
      <c r="K235" s="4">
        <v>0</v>
      </c>
      <c r="L235" s="4">
        <v>0</v>
      </c>
      <c r="M235" s="4">
        <v>0</v>
      </c>
      <c r="N235" s="4">
        <v>0</v>
      </c>
      <c r="O235" s="4">
        <v>0</v>
      </c>
      <c r="P235" s="4">
        <v>0</v>
      </c>
      <c r="Q235" s="4">
        <v>0</v>
      </c>
      <c r="R235" s="4">
        <v>0</v>
      </c>
      <c r="S235" s="4">
        <v>0</v>
      </c>
      <c r="T235" s="4">
        <v>0</v>
      </c>
      <c r="U235" s="4">
        <v>0</v>
      </c>
      <c r="V235" s="4">
        <v>0</v>
      </c>
      <c r="W235" s="4">
        <v>0</v>
      </c>
      <c r="X235" s="4">
        <v>0</v>
      </c>
      <c r="Y235" s="4">
        <v>0</v>
      </c>
      <c r="Z235" s="4">
        <v>0</v>
      </c>
      <c r="AA235" s="4">
        <v>0</v>
      </c>
      <c r="AB235" s="4">
        <v>0</v>
      </c>
      <c r="AC235" s="4">
        <v>0</v>
      </c>
      <c r="AD235" s="4">
        <v>0</v>
      </c>
      <c r="AE235" s="4">
        <v>0</v>
      </c>
      <c r="AF235" s="51">
        <v>7.5999999999999992E-6</v>
      </c>
      <c r="AG235" s="51">
        <v>7.7533333333333325E-6</v>
      </c>
      <c r="AH235" s="51">
        <v>7.9066666666666666E-6</v>
      </c>
      <c r="AI235" s="51">
        <v>8.0599999999999991E-6</v>
      </c>
      <c r="AJ235" s="51">
        <v>8.2133333333333332E-6</v>
      </c>
      <c r="AK235" s="51">
        <v>8.3666666666666656E-6</v>
      </c>
      <c r="AL235" s="51">
        <v>8.5199999999999997E-6</v>
      </c>
      <c r="AM235" s="51">
        <v>8.6733333333333339E-6</v>
      </c>
      <c r="AN235" s="51">
        <v>8.8266666666666663E-6</v>
      </c>
      <c r="AO235" s="51">
        <v>8.9799999999999987E-6</v>
      </c>
      <c r="AP235" s="51">
        <v>9.1333333333333328E-6</v>
      </c>
      <c r="AQ235" s="51">
        <v>9.286666666666667E-6</v>
      </c>
      <c r="AR235" s="51">
        <v>9.4399999999999994E-6</v>
      </c>
      <c r="AS235" s="51">
        <v>9.5933333333333335E-6</v>
      </c>
      <c r="AT235" s="51">
        <v>9.746666666666666E-6</v>
      </c>
      <c r="AU235" s="51">
        <v>9.9000000000000001E-6</v>
      </c>
      <c r="AV235" s="51">
        <v>1.0062500000000001E-5</v>
      </c>
      <c r="AW235" s="51">
        <v>1.0225E-5</v>
      </c>
      <c r="AX235" s="51">
        <v>1.03875E-5</v>
      </c>
      <c r="AY235" s="51">
        <v>1.0550000000000001E-5</v>
      </c>
      <c r="AZ235" s="51">
        <v>1.07125E-5</v>
      </c>
      <c r="BA235" s="51">
        <v>1.0875E-5</v>
      </c>
      <c r="BB235" s="51">
        <v>1.1037500000000001E-5</v>
      </c>
      <c r="BC235" s="51">
        <v>1.1199999999999999E-5</v>
      </c>
      <c r="BD235" s="51">
        <v>1.13625E-5</v>
      </c>
      <c r="BE235" s="51">
        <v>1.1525000000000001E-5</v>
      </c>
      <c r="BF235" s="51">
        <v>1.1687499999999999E-5</v>
      </c>
      <c r="BG235" s="51">
        <v>1.185E-5</v>
      </c>
      <c r="BH235" s="51">
        <v>1.2012500000000001E-5</v>
      </c>
      <c r="BI235" s="51">
        <v>1.2175000000000001E-5</v>
      </c>
      <c r="BJ235" s="51">
        <v>1.23375E-5</v>
      </c>
      <c r="BK235" s="51">
        <v>1.2500000000000001E-5</v>
      </c>
      <c r="BL235" s="51">
        <v>1.2662499999999999E-5</v>
      </c>
      <c r="BM235" s="51">
        <v>1.2825E-5</v>
      </c>
      <c r="BN235" s="51">
        <v>1.2987500000000001E-5</v>
      </c>
      <c r="BO235" s="51">
        <v>1.3150000000000001E-5</v>
      </c>
      <c r="BP235" s="51">
        <v>1.33125E-5</v>
      </c>
      <c r="BQ235" s="51">
        <v>1.3475000000000001E-5</v>
      </c>
      <c r="BR235" s="51">
        <v>1.3637499999999999E-5</v>
      </c>
      <c r="BS235" s="51">
        <v>1.38E-5</v>
      </c>
      <c r="BT235" s="51">
        <v>1.3875E-5</v>
      </c>
      <c r="BU235" s="51">
        <v>1.395E-5</v>
      </c>
      <c r="BV235" s="51">
        <v>1.4025E-5</v>
      </c>
      <c r="BW235" s="51">
        <v>1.4100000000000001E-5</v>
      </c>
      <c r="BX235" s="51">
        <v>1.4174999999999999E-5</v>
      </c>
      <c r="BY235" s="51">
        <v>1.4249999999999999E-5</v>
      </c>
      <c r="BZ235" s="51">
        <v>1.4324999999999999E-5</v>
      </c>
      <c r="CA235" s="51">
        <v>1.4399999999999999E-5</v>
      </c>
      <c r="CB235" s="51">
        <v>1.4474999999999999E-5</v>
      </c>
      <c r="CC235" s="51">
        <v>1.455E-5</v>
      </c>
      <c r="CD235" s="51">
        <v>1.4625E-5</v>
      </c>
      <c r="CE235" s="51">
        <v>1.47E-5</v>
      </c>
      <c r="CF235" s="51">
        <v>1.4775E-5</v>
      </c>
      <c r="CG235" s="51">
        <v>1.485E-5</v>
      </c>
      <c r="CH235" s="51">
        <v>1.4925E-5</v>
      </c>
      <c r="CI235" s="51">
        <v>1.4999999999999999E-5</v>
      </c>
      <c r="CJ235" s="51">
        <v>1.5074999999999999E-5</v>
      </c>
      <c r="CK235" s="51">
        <v>1.5149999999999999E-5</v>
      </c>
      <c r="CL235" s="51">
        <v>1.5224999999999999E-5</v>
      </c>
      <c r="CM235" s="51">
        <v>1.5299999999999999E-5</v>
      </c>
    </row>
    <row r="236" spans="1:91" s="50" customFormat="1" x14ac:dyDescent="0.25">
      <c r="A236" s="50" t="s">
        <v>1</v>
      </c>
      <c r="B236" s="4">
        <v>0</v>
      </c>
      <c r="C236" s="4">
        <v>0</v>
      </c>
      <c r="D236" s="4">
        <v>0</v>
      </c>
      <c r="E236" s="4">
        <v>0</v>
      </c>
      <c r="F236" s="4">
        <v>0</v>
      </c>
      <c r="G236" s="4">
        <v>0</v>
      </c>
      <c r="H236" s="4">
        <v>0</v>
      </c>
      <c r="I236" s="4">
        <v>0</v>
      </c>
      <c r="J236" s="4">
        <v>0</v>
      </c>
      <c r="K236" s="4">
        <v>0</v>
      </c>
      <c r="L236" s="4">
        <v>0</v>
      </c>
      <c r="M236" s="4">
        <v>0</v>
      </c>
      <c r="N236" s="4">
        <v>0</v>
      </c>
      <c r="O236" s="4">
        <v>0</v>
      </c>
      <c r="P236" s="4">
        <v>0</v>
      </c>
      <c r="Q236" s="4">
        <v>0</v>
      </c>
      <c r="R236" s="4">
        <v>0</v>
      </c>
      <c r="S236" s="4">
        <v>0</v>
      </c>
      <c r="T236" s="4">
        <v>0</v>
      </c>
      <c r="U236" s="4">
        <v>0</v>
      </c>
      <c r="V236" s="4">
        <v>0</v>
      </c>
      <c r="W236" s="4">
        <v>0</v>
      </c>
      <c r="X236" s="4">
        <v>0</v>
      </c>
      <c r="Y236" s="4">
        <v>0</v>
      </c>
      <c r="Z236" s="4">
        <v>0</v>
      </c>
      <c r="AA236" s="4">
        <v>0</v>
      </c>
      <c r="AB236" s="4">
        <v>0</v>
      </c>
      <c r="AC236" s="4">
        <v>0</v>
      </c>
      <c r="AD236" s="4">
        <v>0</v>
      </c>
      <c r="AE236" s="4">
        <v>0</v>
      </c>
      <c r="AF236" s="51">
        <v>1.06E-5</v>
      </c>
      <c r="AG236" s="51">
        <v>1.0786666666666666E-5</v>
      </c>
      <c r="AH236" s="51">
        <v>1.0973333333333334E-5</v>
      </c>
      <c r="AI236" s="51">
        <v>1.116E-5</v>
      </c>
      <c r="AJ236" s="51">
        <v>1.1346666666666668E-5</v>
      </c>
      <c r="AK236" s="51">
        <v>1.1533333333333334E-5</v>
      </c>
      <c r="AL236" s="51">
        <v>1.172E-5</v>
      </c>
      <c r="AM236" s="51">
        <v>1.1906666666666667E-5</v>
      </c>
      <c r="AN236" s="51">
        <v>1.2093333333333333E-5</v>
      </c>
      <c r="AO236" s="51">
        <v>1.2280000000000001E-5</v>
      </c>
      <c r="AP236" s="51">
        <v>1.2466666666666667E-5</v>
      </c>
      <c r="AQ236" s="51">
        <v>1.2653333333333333E-5</v>
      </c>
      <c r="AR236" s="51">
        <v>1.2840000000000001E-5</v>
      </c>
      <c r="AS236" s="51">
        <v>1.3026666666666667E-5</v>
      </c>
      <c r="AT236" s="51">
        <v>1.3213333333333334E-5</v>
      </c>
      <c r="AU236" s="51">
        <v>1.34E-5</v>
      </c>
      <c r="AV236" s="51">
        <v>1.3533333333333333E-5</v>
      </c>
      <c r="AW236" s="51">
        <v>1.3666666666666667E-5</v>
      </c>
      <c r="AX236" s="51">
        <v>1.38E-5</v>
      </c>
      <c r="AY236" s="51">
        <v>1.3933333333333334E-5</v>
      </c>
      <c r="AZ236" s="51">
        <v>1.4066666666666667E-5</v>
      </c>
      <c r="BA236" s="51">
        <v>1.42E-5</v>
      </c>
      <c r="BB236" s="51">
        <v>1.4333333333333334E-5</v>
      </c>
      <c r="BC236" s="51">
        <v>1.4466666666666667E-5</v>
      </c>
      <c r="BD236" s="51">
        <v>1.4600000000000001E-5</v>
      </c>
      <c r="BE236" s="51">
        <v>1.4733333333333333E-5</v>
      </c>
      <c r="BF236" s="51">
        <v>1.4866666666666668E-5</v>
      </c>
      <c r="BG236" s="51">
        <v>1.5E-5</v>
      </c>
      <c r="BH236" s="51">
        <v>1.5133333333333333E-5</v>
      </c>
      <c r="BI236" s="51">
        <v>1.5266666666666667E-5</v>
      </c>
      <c r="BJ236" s="51">
        <v>1.5400000000000002E-5</v>
      </c>
      <c r="BK236" s="51">
        <v>1.5533333333333333E-5</v>
      </c>
      <c r="BL236" s="51">
        <v>1.5666666666666667E-5</v>
      </c>
      <c r="BM236" s="51">
        <v>1.5800000000000001E-5</v>
      </c>
      <c r="BN236" s="51">
        <v>1.5933333333333332E-5</v>
      </c>
      <c r="BO236" s="51">
        <v>1.6066666666666666E-5</v>
      </c>
      <c r="BP236" s="51">
        <v>1.6200000000000001E-5</v>
      </c>
      <c r="BQ236" s="51">
        <v>1.6333333333333335E-5</v>
      </c>
      <c r="BR236" s="51">
        <v>1.6466666666666666E-5</v>
      </c>
      <c r="BS236" s="51">
        <v>1.66E-5</v>
      </c>
      <c r="BT236" s="51">
        <v>1.6710000000000001E-5</v>
      </c>
      <c r="BU236" s="51">
        <v>1.6820000000000002E-5</v>
      </c>
      <c r="BV236" s="51">
        <v>1.6929999999999999E-5</v>
      </c>
      <c r="BW236" s="51">
        <v>1.7039999999999999E-5</v>
      </c>
      <c r="BX236" s="51">
        <v>1.715E-5</v>
      </c>
      <c r="BY236" s="51">
        <v>1.7260000000000001E-5</v>
      </c>
      <c r="BZ236" s="51">
        <v>1.7370000000000001E-5</v>
      </c>
      <c r="CA236" s="51">
        <v>1.7479999999999999E-5</v>
      </c>
      <c r="CB236" s="51">
        <v>1.7589999999999999E-5</v>
      </c>
      <c r="CC236" s="51">
        <v>1.77E-5</v>
      </c>
      <c r="CD236" s="51">
        <v>1.7810000000000001E-5</v>
      </c>
      <c r="CE236" s="51">
        <v>1.7920000000000001E-5</v>
      </c>
      <c r="CF236" s="51">
        <v>1.8029999999999998E-5</v>
      </c>
      <c r="CG236" s="51">
        <v>1.8139999999999999E-5</v>
      </c>
      <c r="CH236" s="51">
        <v>1.825E-5</v>
      </c>
      <c r="CI236" s="51">
        <v>1.836E-5</v>
      </c>
      <c r="CJ236" s="51">
        <v>1.8470000000000001E-5</v>
      </c>
      <c r="CK236" s="51">
        <v>1.8579999999999998E-5</v>
      </c>
      <c r="CL236" s="51">
        <v>1.8689999999999999E-5</v>
      </c>
      <c r="CM236" s="51">
        <v>1.88E-5</v>
      </c>
    </row>
    <row r="237" spans="1:91" s="50" customFormat="1" x14ac:dyDescent="0.25">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91" s="50" customFormat="1" x14ac:dyDescent="0.25">
      <c r="A238" s="50" t="s">
        <v>242</v>
      </c>
      <c r="B238" s="4">
        <v>0</v>
      </c>
      <c r="C238" s="4">
        <v>0</v>
      </c>
      <c r="D238" s="4">
        <v>0</v>
      </c>
      <c r="E238" s="4">
        <v>0</v>
      </c>
      <c r="F238" s="4">
        <v>0</v>
      </c>
      <c r="G238" s="4">
        <v>0</v>
      </c>
      <c r="H238" s="4">
        <v>0</v>
      </c>
      <c r="I238" s="4">
        <v>0</v>
      </c>
      <c r="J238" s="4">
        <v>0</v>
      </c>
      <c r="K238" s="4">
        <v>0</v>
      </c>
      <c r="L238" s="4">
        <v>0</v>
      </c>
      <c r="M238" s="4">
        <v>0</v>
      </c>
      <c r="N238" s="4">
        <v>0</v>
      </c>
      <c r="O238" s="4">
        <v>0</v>
      </c>
      <c r="P238" s="4">
        <v>0</v>
      </c>
      <c r="Q238" s="4">
        <v>0</v>
      </c>
      <c r="R238" s="4">
        <v>0</v>
      </c>
      <c r="S238" s="4">
        <v>0</v>
      </c>
      <c r="T238" s="4">
        <v>0</v>
      </c>
      <c r="U238" s="4">
        <v>0</v>
      </c>
      <c r="V238" s="4">
        <v>0</v>
      </c>
      <c r="W238" s="4">
        <v>0</v>
      </c>
      <c r="X238" s="4">
        <v>0</v>
      </c>
      <c r="Y238" s="4">
        <v>0</v>
      </c>
      <c r="Z238" s="4">
        <v>0</v>
      </c>
      <c r="AA238" s="4">
        <v>0</v>
      </c>
      <c r="AB238" s="4">
        <v>0</v>
      </c>
      <c r="AC238" s="4">
        <v>0</v>
      </c>
      <c r="AD238" s="4">
        <v>0</v>
      </c>
      <c r="AE238" s="4">
        <v>0</v>
      </c>
      <c r="AF238" s="51">
        <v>6.3600000000000001E-5</v>
      </c>
      <c r="AG238" s="51">
        <v>6.3486666666666663E-5</v>
      </c>
      <c r="AH238" s="51">
        <v>6.3373333333333339E-5</v>
      </c>
      <c r="AI238" s="51">
        <v>6.3260000000000001E-5</v>
      </c>
      <c r="AJ238" s="51">
        <v>6.3146666666666663E-5</v>
      </c>
      <c r="AK238" s="51">
        <v>6.3033333333333339E-5</v>
      </c>
      <c r="AL238" s="51">
        <v>6.2920000000000001E-5</v>
      </c>
      <c r="AM238" s="51">
        <v>6.2806666666666663E-5</v>
      </c>
      <c r="AN238" s="51">
        <v>6.2693333333333338E-5</v>
      </c>
      <c r="AO238" s="51">
        <v>6.2580000000000001E-5</v>
      </c>
      <c r="AP238" s="51">
        <v>6.2466666666666663E-5</v>
      </c>
      <c r="AQ238" s="51">
        <v>6.2353333333333338E-5</v>
      </c>
      <c r="AR238" s="51">
        <v>6.224E-5</v>
      </c>
      <c r="AS238" s="51">
        <v>6.2126666666666663E-5</v>
      </c>
      <c r="AT238" s="51">
        <v>6.2013333333333338E-5</v>
      </c>
      <c r="AU238" s="51">
        <v>6.19E-5</v>
      </c>
      <c r="AV238" s="51">
        <v>6.1736363636363635E-5</v>
      </c>
      <c r="AW238" s="51">
        <v>6.157272727272727E-5</v>
      </c>
      <c r="AX238" s="51">
        <v>6.1409090909090905E-5</v>
      </c>
      <c r="AY238" s="51">
        <v>6.124545454545454E-5</v>
      </c>
      <c r="AZ238" s="51">
        <v>6.1081818181818188E-5</v>
      </c>
      <c r="BA238" s="51">
        <v>6.0918181818181816E-5</v>
      </c>
      <c r="BB238" s="51">
        <v>6.0754545454545458E-5</v>
      </c>
      <c r="BC238" s="51">
        <v>6.0590909090909093E-5</v>
      </c>
      <c r="BD238" s="51">
        <v>6.0427272727272727E-5</v>
      </c>
      <c r="BE238" s="51">
        <v>6.0263636363636362E-5</v>
      </c>
      <c r="BF238" s="51">
        <v>6.0099999999999997E-5</v>
      </c>
      <c r="BG238" s="51">
        <v>5.9936363636363639E-5</v>
      </c>
      <c r="BH238" s="51">
        <v>5.9772727272727274E-5</v>
      </c>
      <c r="BI238" s="51">
        <v>5.9609090909090909E-5</v>
      </c>
      <c r="BJ238" s="51">
        <v>5.9445454545454543E-5</v>
      </c>
      <c r="BK238" s="51">
        <v>5.9281818181818185E-5</v>
      </c>
      <c r="BL238" s="51">
        <v>5.911818181818182E-5</v>
      </c>
      <c r="BM238" s="51">
        <v>5.8954545454545455E-5</v>
      </c>
      <c r="BN238" s="51">
        <v>5.879090909090909E-5</v>
      </c>
      <c r="BO238" s="51">
        <v>5.8627272727272724E-5</v>
      </c>
      <c r="BP238" s="51">
        <v>5.8463636363636366E-5</v>
      </c>
      <c r="BQ238" s="51">
        <v>5.8300000000000001E-5</v>
      </c>
      <c r="BR238" s="51">
        <v>5.8136363636363636E-5</v>
      </c>
      <c r="BS238" s="51">
        <v>5.8800000000000006E-5</v>
      </c>
      <c r="BT238" s="51">
        <v>5.8595000000000004E-5</v>
      </c>
      <c r="BU238" s="51">
        <v>5.8390000000000008E-5</v>
      </c>
      <c r="BV238" s="51">
        <v>5.8185000000000006E-5</v>
      </c>
      <c r="BW238" s="51">
        <v>5.7980000000000004E-5</v>
      </c>
      <c r="BX238" s="51">
        <v>5.7775000000000008E-5</v>
      </c>
      <c r="BY238" s="51">
        <v>5.7570000000000006E-5</v>
      </c>
      <c r="BZ238" s="51">
        <v>5.7365000000000004E-5</v>
      </c>
      <c r="CA238" s="51">
        <v>5.7160000000000002E-5</v>
      </c>
      <c r="CB238" s="51">
        <v>5.6955000000000006E-5</v>
      </c>
      <c r="CC238" s="51">
        <v>5.6750000000000004E-5</v>
      </c>
      <c r="CD238" s="51">
        <v>5.6545000000000002E-5</v>
      </c>
      <c r="CE238" s="51">
        <v>5.6340000000000006E-5</v>
      </c>
      <c r="CF238" s="51">
        <v>5.6135000000000004E-5</v>
      </c>
      <c r="CG238" s="51">
        <v>5.5930000000000002E-5</v>
      </c>
      <c r="CH238" s="51">
        <v>5.5724999999999999E-5</v>
      </c>
      <c r="CI238" s="51">
        <v>5.5520000000000004E-5</v>
      </c>
      <c r="CJ238" s="51">
        <v>5.5315000000000001E-5</v>
      </c>
      <c r="CK238" s="51">
        <v>5.5109999999999999E-5</v>
      </c>
      <c r="CL238" s="51">
        <v>5.4905000000000004E-5</v>
      </c>
      <c r="CM238" s="51">
        <v>5.4700000000000001E-5</v>
      </c>
    </row>
    <row r="239" spans="1:91" s="50" customFormat="1" x14ac:dyDescent="0.25">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91" s="50" customFormat="1" x14ac:dyDescent="0.25">
      <c r="A240" s="50" t="s">
        <v>243</v>
      </c>
      <c r="B240" s="4">
        <v>0</v>
      </c>
      <c r="C240" s="4">
        <v>0</v>
      </c>
      <c r="D240" s="4">
        <v>0</v>
      </c>
      <c r="E240" s="4">
        <v>0</v>
      </c>
      <c r="F240" s="4">
        <v>0</v>
      </c>
      <c r="G240" s="4">
        <v>0</v>
      </c>
      <c r="H240" s="4">
        <v>0</v>
      </c>
      <c r="I240" s="4">
        <v>0</v>
      </c>
      <c r="J240" s="4">
        <v>0</v>
      </c>
      <c r="K240" s="4">
        <v>0</v>
      </c>
      <c r="L240" s="4">
        <v>0</v>
      </c>
      <c r="M240" s="4">
        <v>0</v>
      </c>
      <c r="N240" s="4">
        <v>0</v>
      </c>
      <c r="O240" s="4">
        <v>0</v>
      </c>
      <c r="P240" s="4">
        <v>0</v>
      </c>
      <c r="Q240" s="4">
        <v>0</v>
      </c>
      <c r="R240" s="4">
        <v>0</v>
      </c>
      <c r="S240" s="4">
        <v>0</v>
      </c>
      <c r="T240" s="4">
        <v>0</v>
      </c>
      <c r="U240" s="4">
        <v>0</v>
      </c>
      <c r="V240" s="4">
        <v>0</v>
      </c>
      <c r="W240" s="4">
        <v>0</v>
      </c>
      <c r="X240" s="4">
        <v>0</v>
      </c>
      <c r="Y240" s="4">
        <v>0</v>
      </c>
      <c r="Z240" s="4">
        <v>0</v>
      </c>
      <c r="AA240" s="4">
        <v>0</v>
      </c>
      <c r="AB240" s="4">
        <v>0</v>
      </c>
      <c r="AC240" s="4">
        <v>0</v>
      </c>
      <c r="AD240" s="4">
        <v>0</v>
      </c>
      <c r="AE240" s="4">
        <v>0</v>
      </c>
      <c r="AF240" s="51">
        <v>9.84816429614663E-6</v>
      </c>
      <c r="AG240" s="51">
        <v>1.0009958324964039E-5</v>
      </c>
      <c r="AH240" s="51">
        <v>1.0174410443855271E-5</v>
      </c>
      <c r="AI240" s="51">
        <v>1.0341564322187436E-5</v>
      </c>
      <c r="AJ240" s="51">
        <v>1.0511464346765191E-5</v>
      </c>
      <c r="AK240" s="51">
        <v>1.0684155633617415E-5</v>
      </c>
      <c r="AL240" s="51">
        <v>1.0859684039977526E-5</v>
      </c>
      <c r="AM240" s="51">
        <v>1.1038096176460623E-5</v>
      </c>
      <c r="AN240" s="51">
        <v>1.1219439419440676E-5</v>
      </c>
      <c r="AO240" s="51">
        <v>1.1403761923631068E-5</v>
      </c>
      <c r="AP240" s="51">
        <v>1.1591112634871817E-5</v>
      </c>
      <c r="AQ240" s="51">
        <v>1.1781541303126881E-5</v>
      </c>
      <c r="AR240" s="51">
        <v>1.1975098495694986E-5</v>
      </c>
      <c r="AS240" s="51">
        <v>1.2171835610637502E-5</v>
      </c>
      <c r="AT240" s="51">
        <v>1.2371804890426914E-5</v>
      </c>
      <c r="AU240" s="51">
        <v>1.2575059435819531E-5</v>
      </c>
      <c r="AV240" s="51">
        <v>1.2724778690981422E-5</v>
      </c>
      <c r="AW240" s="51">
        <v>1.2876280510709358E-5</v>
      </c>
      <c r="AX240" s="51">
        <v>1.3029586118301768E-5</v>
      </c>
      <c r="AY240" s="51">
        <v>1.3184716989742672E-5</v>
      </c>
      <c r="AZ240" s="51">
        <v>1.3341694856710182E-5</v>
      </c>
      <c r="BA240" s="51">
        <v>1.3500541709620797E-5</v>
      </c>
      <c r="BB240" s="51">
        <v>1.3661279800709966E-5</v>
      </c>
      <c r="BC240" s="51">
        <v>1.3823931647149304E-5</v>
      </c>
      <c r="BD240" s="51">
        <v>1.3988520034200947E-5</v>
      </c>
      <c r="BE240" s="51">
        <v>1.4155068018409441E-5</v>
      </c>
      <c r="BF240" s="51">
        <v>1.4323598930831649E-5</v>
      </c>
      <c r="BG240" s="51">
        <v>1.4494136380305104E-5</v>
      </c>
      <c r="BH240" s="51">
        <v>1.4666704256755281E-5</v>
      </c>
      <c r="BI240" s="51">
        <v>1.4841326734542243E-5</v>
      </c>
      <c r="BJ240" s="51">
        <v>1.5018028275847132E-5</v>
      </c>
      <c r="BK240" s="51">
        <v>1.5196833634098983E-5</v>
      </c>
      <c r="BL240" s="51">
        <v>1.5377767857442332E-5</v>
      </c>
      <c r="BM240" s="51">
        <v>1.5560856292246115E-5</v>
      </c>
      <c r="BN240" s="51">
        <v>1.5746124586654335E-5</v>
      </c>
      <c r="BO240" s="51">
        <v>1.5933598694179025E-5</v>
      </c>
      <c r="BP240" s="51">
        <v>1.6123304877335964E-5</v>
      </c>
      <c r="BQ240" s="51">
        <v>1.6315269711323685E-5</v>
      </c>
      <c r="BR240" s="51">
        <v>1.6509520087746301E-5</v>
      </c>
      <c r="BS240" s="51">
        <v>1.6706083218380645E-5</v>
      </c>
      <c r="BT240" s="51">
        <v>1.6904986638988255E-5</v>
      </c>
      <c r="BU240" s="51">
        <v>1.7106258213172752E-5</v>
      </c>
      <c r="BV240" s="51">
        <v>1.7309926136283152E-5</v>
      </c>
      <c r="BW240" s="51">
        <v>1.751601893936363E-5</v>
      </c>
      <c r="BX240" s="51">
        <v>1.7724565493150331E-5</v>
      </c>
      <c r="BY240" s="51">
        <v>1.7935595012115754E-5</v>
      </c>
      <c r="BZ240" s="51">
        <v>1.81491370585613E-5</v>
      </c>
      <c r="CA240" s="51">
        <v>1.8365221546758533E-5</v>
      </c>
      <c r="CB240" s="51">
        <v>1.8583878747139756E-5</v>
      </c>
      <c r="CC240" s="51">
        <v>1.8805139290538478E-5</v>
      </c>
      <c r="CD240" s="51">
        <v>1.9029034172480364E-5</v>
      </c>
      <c r="CE240" s="51">
        <v>1.9255594757525284E-5</v>
      </c>
      <c r="CF240" s="51">
        <v>1.9484852783661048E-5</v>
      </c>
      <c r="CG240" s="51">
        <v>1.9716840366749454E-5</v>
      </c>
      <c r="CH240" s="51">
        <v>1.9951590005025277E-5</v>
      </c>
      <c r="CI240" s="51">
        <v>2.0189134583648824E-5</v>
      </c>
      <c r="CJ240" s="51">
        <v>2.0429507379312678E-5</v>
      </c>
      <c r="CK240" s="51">
        <v>2.0672742064903308E-5</v>
      </c>
      <c r="CL240" s="51">
        <v>2.0918872714218165E-5</v>
      </c>
      <c r="CM240" s="51">
        <v>2.1167933806738958E-5</v>
      </c>
    </row>
    <row r="241" spans="1:91" s="50" customFormat="1" x14ac:dyDescent="0.25">
      <c r="A241" s="50" t="s">
        <v>1</v>
      </c>
      <c r="B241" s="4">
        <v>0</v>
      </c>
      <c r="C241" s="4">
        <v>0</v>
      </c>
      <c r="D241" s="4">
        <v>0</v>
      </c>
      <c r="E241" s="4">
        <v>0</v>
      </c>
      <c r="F241" s="4">
        <v>0</v>
      </c>
      <c r="G241" s="4">
        <v>0</v>
      </c>
      <c r="H241" s="4">
        <v>0</v>
      </c>
      <c r="I241" s="4">
        <v>0</v>
      </c>
      <c r="J241" s="4">
        <v>0</v>
      </c>
      <c r="K241" s="4">
        <v>0</v>
      </c>
      <c r="L241" s="4">
        <v>0</v>
      </c>
      <c r="M241" s="4">
        <v>0</v>
      </c>
      <c r="N241" s="4">
        <v>0</v>
      </c>
      <c r="O241" s="4">
        <v>0</v>
      </c>
      <c r="P241" s="4">
        <v>0</v>
      </c>
      <c r="Q241" s="4">
        <v>0</v>
      </c>
      <c r="R241" s="4">
        <v>0</v>
      </c>
      <c r="S241" s="4">
        <v>0</v>
      </c>
      <c r="T241" s="4">
        <v>0</v>
      </c>
      <c r="U241" s="4">
        <v>0</v>
      </c>
      <c r="V241" s="4">
        <v>0</v>
      </c>
      <c r="W241" s="4">
        <v>0</v>
      </c>
      <c r="X241" s="4">
        <v>0</v>
      </c>
      <c r="Y241" s="4">
        <v>0</v>
      </c>
      <c r="Z241" s="4">
        <v>0</v>
      </c>
      <c r="AA241" s="4">
        <v>0</v>
      </c>
      <c r="AB241" s="4">
        <v>0</v>
      </c>
      <c r="AC241" s="4">
        <v>0</v>
      </c>
      <c r="AD241" s="4">
        <v>0</v>
      </c>
      <c r="AE241" s="4">
        <v>0</v>
      </c>
      <c r="AF241" s="51">
        <v>7.4000000000000003E-6</v>
      </c>
      <c r="AG241" s="51">
        <v>8.4600000000000003E-6</v>
      </c>
      <c r="AH241" s="51">
        <v>9.5200000000000003E-6</v>
      </c>
      <c r="AI241" s="51">
        <v>1.058E-5</v>
      </c>
      <c r="AJ241" s="51">
        <v>1.164E-5</v>
      </c>
      <c r="AK241" s="51">
        <v>1.27E-5</v>
      </c>
      <c r="AL241" s="51">
        <v>1.376E-5</v>
      </c>
      <c r="AM241" s="51">
        <v>1.482E-5</v>
      </c>
      <c r="AN241" s="51">
        <v>1.588E-5</v>
      </c>
      <c r="AO241" s="51">
        <v>1.694E-5</v>
      </c>
      <c r="AP241" s="51">
        <v>1.8E-5</v>
      </c>
      <c r="AQ241" s="51">
        <v>1.906E-5</v>
      </c>
      <c r="AR241" s="51">
        <v>2.012E-5</v>
      </c>
      <c r="AS241" s="51">
        <v>2.1180000000000001E-5</v>
      </c>
      <c r="AT241" s="51">
        <v>2.2240000000000001E-5</v>
      </c>
      <c r="AU241" s="51">
        <v>2.3300000000000001E-5</v>
      </c>
      <c r="AV241" s="51">
        <v>2.3770833333333333E-5</v>
      </c>
      <c r="AW241" s="51">
        <v>2.4241666666666669E-5</v>
      </c>
      <c r="AX241" s="51">
        <v>2.4712500000000001E-5</v>
      </c>
      <c r="AY241" s="51">
        <v>2.5183333333333333E-5</v>
      </c>
      <c r="AZ241" s="51">
        <v>2.5654166666666669E-5</v>
      </c>
      <c r="BA241" s="51">
        <v>2.6125000000000001E-5</v>
      </c>
      <c r="BB241" s="51">
        <v>2.6595833333333334E-5</v>
      </c>
      <c r="BC241" s="51">
        <v>2.7066666666666666E-5</v>
      </c>
      <c r="BD241" s="51">
        <v>2.7537500000000002E-5</v>
      </c>
      <c r="BE241" s="51">
        <v>2.8008333333333334E-5</v>
      </c>
      <c r="BF241" s="51">
        <v>2.8479166666666667E-5</v>
      </c>
      <c r="BG241" s="51">
        <v>2.8949999999999999E-5</v>
      </c>
      <c r="BH241" s="51">
        <v>2.9420833333333335E-5</v>
      </c>
      <c r="BI241" s="51">
        <v>2.9891666666666667E-5</v>
      </c>
      <c r="BJ241" s="51">
        <v>3.0362499999999999E-5</v>
      </c>
      <c r="BK241" s="51">
        <v>3.0833333333333335E-5</v>
      </c>
      <c r="BL241" s="51">
        <v>3.1304166666666671E-5</v>
      </c>
      <c r="BM241" s="51">
        <v>3.1775E-5</v>
      </c>
      <c r="BN241" s="51">
        <v>3.2245833333333336E-5</v>
      </c>
      <c r="BO241" s="51">
        <v>3.2716666666666671E-5</v>
      </c>
      <c r="BP241" s="51">
        <v>3.31875E-5</v>
      </c>
      <c r="BQ241" s="51">
        <v>3.3658333333333336E-5</v>
      </c>
      <c r="BR241" s="51">
        <v>3.4129166666666672E-5</v>
      </c>
      <c r="BS241" s="51">
        <v>3.4600000000000001E-5</v>
      </c>
      <c r="BT241" s="51">
        <v>3.4830000000000004E-5</v>
      </c>
      <c r="BU241" s="51">
        <v>3.506E-5</v>
      </c>
      <c r="BV241" s="51">
        <v>3.5290000000000003E-5</v>
      </c>
      <c r="BW241" s="51">
        <v>3.5519999999999999E-5</v>
      </c>
      <c r="BX241" s="51">
        <v>3.5750000000000002E-5</v>
      </c>
      <c r="BY241" s="51">
        <v>3.5980000000000004E-5</v>
      </c>
      <c r="BZ241" s="51">
        <v>3.6210000000000001E-5</v>
      </c>
      <c r="CA241" s="51">
        <v>3.6440000000000003E-5</v>
      </c>
      <c r="CB241" s="51">
        <v>3.667E-5</v>
      </c>
      <c r="CC241" s="51">
        <v>3.6900000000000002E-5</v>
      </c>
      <c r="CD241" s="51">
        <v>3.7130000000000005E-5</v>
      </c>
      <c r="CE241" s="51">
        <v>3.7360000000000001E-5</v>
      </c>
      <c r="CF241" s="51">
        <v>3.7590000000000004E-5</v>
      </c>
      <c r="CG241" s="51">
        <v>3.782E-5</v>
      </c>
      <c r="CH241" s="51">
        <v>3.8050000000000003E-5</v>
      </c>
      <c r="CI241" s="51">
        <v>3.8280000000000006E-5</v>
      </c>
      <c r="CJ241" s="51">
        <v>3.8510000000000002E-5</v>
      </c>
      <c r="CK241" s="51">
        <v>3.8740000000000005E-5</v>
      </c>
      <c r="CL241" s="51">
        <v>3.8970000000000001E-5</v>
      </c>
      <c r="CM241" s="51">
        <v>3.9200000000000004E-5</v>
      </c>
    </row>
    <row r="242" spans="1:91" s="50" customFormat="1" x14ac:dyDescent="0.25">
      <c r="A242" s="50" t="s">
        <v>2</v>
      </c>
      <c r="B242" s="4">
        <v>0</v>
      </c>
      <c r="C242" s="4">
        <v>0</v>
      </c>
      <c r="D242" s="4">
        <v>0</v>
      </c>
      <c r="E242" s="4">
        <v>0</v>
      </c>
      <c r="F242" s="4">
        <v>0</v>
      </c>
      <c r="G242" s="4">
        <v>0</v>
      </c>
      <c r="H242" s="4">
        <v>0</v>
      </c>
      <c r="I242" s="4">
        <v>0</v>
      </c>
      <c r="J242" s="4">
        <v>0</v>
      </c>
      <c r="K242" s="4">
        <v>0</v>
      </c>
      <c r="L242" s="4">
        <v>0</v>
      </c>
      <c r="M242" s="4">
        <v>0</v>
      </c>
      <c r="N242" s="4">
        <v>0</v>
      </c>
      <c r="O242" s="4">
        <v>0</v>
      </c>
      <c r="P242" s="4">
        <v>0</v>
      </c>
      <c r="Q242" s="4">
        <v>0</v>
      </c>
      <c r="R242" s="4">
        <v>0</v>
      </c>
      <c r="S242" s="4">
        <v>0</v>
      </c>
      <c r="T242" s="4">
        <v>0</v>
      </c>
      <c r="U242" s="4">
        <v>0</v>
      </c>
      <c r="V242" s="4">
        <v>0</v>
      </c>
      <c r="W242" s="4">
        <v>0</v>
      </c>
      <c r="X242" s="4">
        <v>0</v>
      </c>
      <c r="Y242" s="4">
        <v>0</v>
      </c>
      <c r="Z242" s="4">
        <v>0</v>
      </c>
      <c r="AA242" s="4">
        <v>0</v>
      </c>
      <c r="AB242" s="4">
        <v>0</v>
      </c>
      <c r="AC242" s="4">
        <v>0</v>
      </c>
      <c r="AD242" s="4">
        <v>0</v>
      </c>
      <c r="AE242" s="4">
        <v>0</v>
      </c>
      <c r="AF242" s="51">
        <v>1.1940938557522844E-5</v>
      </c>
      <c r="AG242" s="51">
        <v>1.2284916211443256E-5</v>
      </c>
      <c r="AH242" s="51">
        <v>1.2638802686670017E-5</v>
      </c>
      <c r="AI242" s="51">
        <v>1.3002883422500018E-5</v>
      </c>
      <c r="AJ242" s="51">
        <v>1.3377452080761334E-5</v>
      </c>
      <c r="AK242" s="51">
        <v>1.376281078267627E-5</v>
      </c>
      <c r="AL242" s="51">
        <v>1.4159270352547603E-5</v>
      </c>
      <c r="AM242" s="51">
        <v>1.4567150568464612E-5</v>
      </c>
      <c r="AN242" s="51">
        <v>1.4986780420231082E-5</v>
      </c>
      <c r="AO242" s="51">
        <v>1.5418498374723337E-5</v>
      </c>
      <c r="AP242" s="51">
        <v>1.5862652648892322E-5</v>
      </c>
      <c r="AQ242" s="51">
        <v>1.6319601490629962E-5</v>
      </c>
      <c r="AR242" s="51">
        <v>1.67897134677263E-5</v>
      </c>
      <c r="AS242" s="51">
        <v>1.7273367765150516E-5</v>
      </c>
      <c r="AT242" s="51">
        <v>1.7770954490895594E-5</v>
      </c>
      <c r="AU242" s="51">
        <v>1.8282874990633326E-5</v>
      </c>
      <c r="AV242" s="51">
        <v>1.8374289365586492E-5</v>
      </c>
      <c r="AW242" s="51">
        <v>1.8466160812414426E-5</v>
      </c>
      <c r="AX242" s="51">
        <v>1.8558491616476499E-5</v>
      </c>
      <c r="AY242" s="51">
        <v>1.8651284074558881E-5</v>
      </c>
      <c r="AZ242" s="51">
        <v>1.8744540494931674E-5</v>
      </c>
      <c r="BA242" s="51">
        <v>1.8838263197406332E-5</v>
      </c>
      <c r="BB242" s="51">
        <v>1.8932454513393364E-5</v>
      </c>
      <c r="BC242" s="51">
        <v>1.902711678596033E-5</v>
      </c>
      <c r="BD242" s="51">
        <v>1.912225236989013E-5</v>
      </c>
      <c r="BE242" s="51">
        <v>1.9217863631739581E-5</v>
      </c>
      <c r="BF242" s="51">
        <v>1.9313952949898279E-5</v>
      </c>
      <c r="BG242" s="51">
        <v>1.9410522714647769E-5</v>
      </c>
      <c r="BH242" s="51">
        <v>1.9507575328221009E-5</v>
      </c>
      <c r="BI242" s="51">
        <v>1.9605113204862113E-5</v>
      </c>
      <c r="BJ242" s="51">
        <v>1.9703138770886425E-5</v>
      </c>
      <c r="BK242" s="51">
        <v>1.9801654464740857E-5</v>
      </c>
      <c r="BL242" s="51">
        <v>1.9900662737064561E-5</v>
      </c>
      <c r="BM242" s="51">
        <v>2.0000166050749883E-5</v>
      </c>
      <c r="BN242" s="51">
        <v>2.0100166881003632E-5</v>
      </c>
      <c r="BO242" s="51">
        <v>2.020066771540865E-5</v>
      </c>
      <c r="BP242" s="51">
        <v>2.0301671053985692E-5</v>
      </c>
      <c r="BQ242" s="51">
        <v>2.0403179409255621E-5</v>
      </c>
      <c r="BR242" s="51">
        <v>2.0505195306301901E-5</v>
      </c>
      <c r="BS242" s="51">
        <v>2.0607721282833412E-5</v>
      </c>
      <c r="BT242" s="51">
        <v>2.0710759889247578E-5</v>
      </c>
      <c r="BU242" s="51">
        <v>2.0814313688693816E-5</v>
      </c>
      <c r="BV242" s="51">
        <v>2.0918385257137287E-5</v>
      </c>
      <c r="BW242" s="51">
        <v>2.1022977183422974E-5</v>
      </c>
      <c r="BX242" s="51">
        <v>2.1128092069340089E-5</v>
      </c>
      <c r="BY242" s="51">
        <v>2.1233732529686789E-5</v>
      </c>
      <c r="BZ242" s="51">
        <v>2.1339901192335224E-5</v>
      </c>
      <c r="CA242" s="51">
        <v>2.1446600698296902E-5</v>
      </c>
      <c r="CB242" s="51">
        <v>2.1553833701788386E-5</v>
      </c>
      <c r="CC242" s="51">
        <v>2.1661602870297329E-5</v>
      </c>
      <c r="CD242" s="51">
        <v>2.1769910884648817E-5</v>
      </c>
      <c r="CE242" s="51">
        <v>2.1878760439072059E-5</v>
      </c>
      <c r="CF242" s="51">
        <v>2.1988154241267419E-5</v>
      </c>
      <c r="CG242" s="51">
        <v>2.2098095012473757E-5</v>
      </c>
      <c r="CH242" s="51">
        <v>2.2208585487536127E-5</v>
      </c>
      <c r="CI242" s="51">
        <v>2.2319628414973806E-5</v>
      </c>
      <c r="CJ242" s="51">
        <v>2.2431226557048674E-5</v>
      </c>
      <c r="CK242" s="51">
        <v>2.2543382689833918E-5</v>
      </c>
      <c r="CL242" s="51">
        <v>2.2656099603283088E-5</v>
      </c>
      <c r="CM242" s="51">
        <v>2.2769380101299504E-5</v>
      </c>
    </row>
    <row r="243" spans="1:91" s="50" customFormat="1" x14ac:dyDescent="0.25">
      <c r="A243" s="50" t="s">
        <v>2</v>
      </c>
      <c r="B243" s="4">
        <v>0</v>
      </c>
      <c r="C243" s="4">
        <v>0</v>
      </c>
      <c r="D243" s="4">
        <v>0</v>
      </c>
      <c r="E243" s="4">
        <v>0</v>
      </c>
      <c r="F243" s="4">
        <v>0</v>
      </c>
      <c r="G243" s="4">
        <v>0</v>
      </c>
      <c r="H243" s="4">
        <v>0</v>
      </c>
      <c r="I243" s="4">
        <v>0</v>
      </c>
      <c r="J243" s="4">
        <v>0</v>
      </c>
      <c r="K243" s="4">
        <v>0</v>
      </c>
      <c r="L243" s="4">
        <v>0</v>
      </c>
      <c r="M243" s="4">
        <v>0</v>
      </c>
      <c r="N243" s="4">
        <v>0</v>
      </c>
      <c r="O243" s="4">
        <v>0</v>
      </c>
      <c r="P243" s="4">
        <v>0</v>
      </c>
      <c r="Q243" s="4">
        <v>0</v>
      </c>
      <c r="R243" s="4">
        <v>0</v>
      </c>
      <c r="S243" s="4">
        <v>0</v>
      </c>
      <c r="T243" s="4">
        <v>0</v>
      </c>
      <c r="U243" s="4">
        <v>0</v>
      </c>
      <c r="V243" s="4">
        <v>0</v>
      </c>
      <c r="W243" s="4">
        <v>0</v>
      </c>
      <c r="X243" s="4">
        <v>0</v>
      </c>
      <c r="Y243" s="4">
        <v>0</v>
      </c>
      <c r="Z243" s="4">
        <v>0</v>
      </c>
      <c r="AA243" s="4">
        <v>0</v>
      </c>
      <c r="AB243" s="4">
        <v>0</v>
      </c>
      <c r="AC243" s="4">
        <v>0</v>
      </c>
      <c r="AD243" s="4">
        <v>0</v>
      </c>
      <c r="AE243" s="4">
        <v>0</v>
      </c>
      <c r="AF243" s="51">
        <v>5.7536459922360531E-6</v>
      </c>
      <c r="AG243" s="51">
        <v>6.088514277498469E-6</v>
      </c>
      <c r="AH243" s="51">
        <v>6.4428722513211314E-6</v>
      </c>
      <c r="AI243" s="51">
        <v>6.8178542342022556E-6</v>
      </c>
      <c r="AJ243" s="51">
        <v>7.2146605652933924E-6</v>
      </c>
      <c r="AK243" s="51">
        <v>7.6345614447549131E-6</v>
      </c>
      <c r="AL243" s="51">
        <v>8.0789009997406479E-6</v>
      </c>
      <c r="AM243" s="51">
        <v>8.5491015870271414E-6</v>
      </c>
      <c r="AN243" s="51">
        <v>9.0466683460604674E-6</v>
      </c>
      <c r="AO243" s="51">
        <v>9.5731940169952031E-6</v>
      </c>
      <c r="AP243" s="51">
        <v>1.0130364039148364E-5</v>
      </c>
      <c r="AQ243" s="51">
        <v>1.0719961946188746E-5</v>
      </c>
      <c r="AR243" s="51">
        <v>1.1343875075332007E-5</v>
      </c>
      <c r="AS243" s="51">
        <v>1.2004100608816938E-5</v>
      </c>
      <c r="AT243" s="51">
        <v>1.2702751967002049E-5</v>
      </c>
      <c r="AU243" s="51">
        <v>1.3442065573547143E-5</v>
      </c>
      <c r="AV243" s="51">
        <v>1.364369655715035E-5</v>
      </c>
      <c r="AW243" s="51">
        <v>1.3848352005507605E-5</v>
      </c>
      <c r="AX243" s="51">
        <v>1.4056077285590219E-5</v>
      </c>
      <c r="AY243" s="51">
        <v>1.4266918444874072E-5</v>
      </c>
      <c r="AZ243" s="51">
        <v>1.4480922221547184E-5</v>
      </c>
      <c r="BA243" s="51">
        <v>1.4698136054870392E-5</v>
      </c>
      <c r="BB243" s="51">
        <v>1.4918608095693447E-5</v>
      </c>
      <c r="BC243" s="51">
        <v>1.514238721712885E-5</v>
      </c>
      <c r="BD243" s="51">
        <v>1.5369523025385783E-5</v>
      </c>
      <c r="BE243" s="51">
        <v>1.5600065870766571E-5</v>
      </c>
      <c r="BF243" s="51">
        <v>1.5834066858828069E-5</v>
      </c>
      <c r="BG243" s="51">
        <v>1.6071577861710491E-5</v>
      </c>
      <c r="BH243" s="51">
        <v>1.6312651529636149E-5</v>
      </c>
      <c r="BI243" s="51">
        <v>1.6557341302580691E-5</v>
      </c>
      <c r="BJ243" s="51">
        <v>1.6805701422119401E-5</v>
      </c>
      <c r="BK243" s="51">
        <v>1.7057786943451192E-5</v>
      </c>
      <c r="BL243" s="51">
        <v>1.731365374760296E-5</v>
      </c>
      <c r="BM243" s="51">
        <v>1.7573358553817004E-5</v>
      </c>
      <c r="BN243" s="51">
        <v>1.7836958932124258E-5</v>
      </c>
      <c r="BO243" s="51">
        <v>1.8104513316106121E-5</v>
      </c>
      <c r="BP243" s="51">
        <v>1.8376081015847712E-5</v>
      </c>
      <c r="BQ243" s="51">
        <v>1.8651722231085428E-5</v>
      </c>
      <c r="BR243" s="51">
        <v>1.8931498064551708E-5</v>
      </c>
      <c r="BS243" s="51">
        <v>1.9215470535519983E-5</v>
      </c>
      <c r="BT243" s="51">
        <v>1.9503702593552781E-5</v>
      </c>
      <c r="BU243" s="51">
        <v>1.9796258132456072E-5</v>
      </c>
      <c r="BV243" s="51">
        <v>2.0093202004442913E-5</v>
      </c>
      <c r="BW243" s="51">
        <v>2.0394600034509555E-5</v>
      </c>
      <c r="BX243" s="51">
        <v>2.0700519035027199E-5</v>
      </c>
      <c r="BY243" s="51">
        <v>2.1011026820552607E-5</v>
      </c>
      <c r="BZ243" s="51">
        <v>2.1326192222860898E-5</v>
      </c>
      <c r="CA243" s="51">
        <v>2.1646085106203812E-5</v>
      </c>
      <c r="CB243" s="51">
        <v>2.197077638279687E-5</v>
      </c>
      <c r="CC243" s="51">
        <v>2.2300338028538821E-5</v>
      </c>
      <c r="CD243" s="51">
        <v>2.2634843098966902E-5</v>
      </c>
      <c r="CE243" s="51">
        <v>2.2974365745451405E-5</v>
      </c>
      <c r="CF243" s="51">
        <v>2.3318981231633177E-5</v>
      </c>
      <c r="CG243" s="51">
        <v>2.3668765950107675E-5</v>
      </c>
      <c r="CH243" s="51">
        <v>2.402379743935929E-5</v>
      </c>
      <c r="CI243" s="51">
        <v>2.438415440094968E-5</v>
      </c>
      <c r="CJ243" s="51">
        <v>2.4749916716963925E-5</v>
      </c>
      <c r="CK243" s="51">
        <v>2.5121165467718383E-5</v>
      </c>
      <c r="CL243" s="51">
        <v>2.549798294973416E-5</v>
      </c>
      <c r="CM243" s="51">
        <v>2.5880452693980171E-5</v>
      </c>
    </row>
    <row r="244" spans="1:91" s="50" customFormat="1" x14ac:dyDescent="0.25">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91" s="50" customFormat="1" x14ac:dyDescent="0.25">
      <c r="A245" s="50" t="s">
        <v>244</v>
      </c>
      <c r="B245" s="4">
        <v>0</v>
      </c>
      <c r="C245" s="4">
        <v>0</v>
      </c>
      <c r="D245" s="4">
        <v>0</v>
      </c>
      <c r="E245" s="4">
        <v>0</v>
      </c>
      <c r="F245" s="4">
        <v>0</v>
      </c>
      <c r="G245" s="4">
        <v>0</v>
      </c>
      <c r="H245" s="4">
        <v>0</v>
      </c>
      <c r="I245" s="4">
        <v>0</v>
      </c>
      <c r="J245" s="4">
        <v>0</v>
      </c>
      <c r="K245" s="4">
        <v>0</v>
      </c>
      <c r="L245" s="4">
        <v>0</v>
      </c>
      <c r="M245" s="4">
        <v>0</v>
      </c>
      <c r="N245" s="4">
        <v>0</v>
      </c>
      <c r="O245" s="4">
        <v>0</v>
      </c>
      <c r="P245" s="4">
        <v>0</v>
      </c>
      <c r="Q245" s="4">
        <v>0</v>
      </c>
      <c r="R245" s="4">
        <v>0</v>
      </c>
      <c r="S245" s="4">
        <v>0</v>
      </c>
      <c r="T245" s="4">
        <v>0</v>
      </c>
      <c r="U245" s="4">
        <v>0</v>
      </c>
      <c r="V245" s="4">
        <v>0</v>
      </c>
      <c r="W245" s="4">
        <v>0</v>
      </c>
      <c r="X245" s="4">
        <v>0</v>
      </c>
      <c r="Y245" s="4">
        <v>0</v>
      </c>
      <c r="Z245" s="4">
        <v>0</v>
      </c>
      <c r="AA245" s="4">
        <v>0</v>
      </c>
      <c r="AB245" s="4">
        <v>0</v>
      </c>
      <c r="AC245" s="4">
        <v>0</v>
      </c>
      <c r="AD245" s="4">
        <v>0</v>
      </c>
      <c r="AE245" s="4">
        <v>0</v>
      </c>
      <c r="AF245" s="51">
        <v>3.961367013372957E-5</v>
      </c>
      <c r="AG245" s="51">
        <v>3.9475482912332841E-5</v>
      </c>
      <c r="AH245" s="51">
        <v>3.9337295690936105E-5</v>
      </c>
      <c r="AI245" s="51">
        <v>3.9199108469539376E-5</v>
      </c>
      <c r="AJ245" s="51">
        <v>3.9060921248142647E-5</v>
      </c>
      <c r="AK245" s="51">
        <v>3.8922734026745911E-5</v>
      </c>
      <c r="AL245" s="51">
        <v>3.8784546805349182E-5</v>
      </c>
      <c r="AM245" s="51">
        <v>3.8646359583952453E-5</v>
      </c>
      <c r="AN245" s="51">
        <v>3.8508172362555718E-5</v>
      </c>
      <c r="AO245" s="51">
        <v>3.8369985141158989E-5</v>
      </c>
      <c r="AP245" s="51">
        <v>3.823179791976226E-5</v>
      </c>
      <c r="AQ245" s="51">
        <v>3.8093610698365524E-5</v>
      </c>
      <c r="AR245" s="51">
        <v>3.7955423476968795E-5</v>
      </c>
      <c r="AS245" s="51">
        <v>3.7817236255572066E-5</v>
      </c>
      <c r="AT245" s="51">
        <v>3.767904903417533E-5</v>
      </c>
      <c r="AU245" s="51">
        <v>3.7540861812778601E-5</v>
      </c>
      <c r="AV245" s="51">
        <v>3.7763153098092002E-5</v>
      </c>
      <c r="AW245" s="51">
        <v>3.7985444383405395E-5</v>
      </c>
      <c r="AX245" s="51">
        <v>3.8207735668718796E-5</v>
      </c>
      <c r="AY245" s="51">
        <v>3.843002695403219E-5</v>
      </c>
      <c r="AZ245" s="51">
        <v>3.865231823934559E-5</v>
      </c>
      <c r="BA245" s="51">
        <v>3.8874609524658984E-5</v>
      </c>
      <c r="BB245" s="51">
        <v>3.9096900809972384E-5</v>
      </c>
      <c r="BC245" s="51">
        <v>3.9319192095285778E-5</v>
      </c>
      <c r="BD245" s="51">
        <v>3.9541483380599179E-5</v>
      </c>
      <c r="BE245" s="51">
        <v>3.9763774665912572E-5</v>
      </c>
      <c r="BF245" s="51">
        <v>3.9986065951225973E-5</v>
      </c>
      <c r="BG245" s="51">
        <v>4.0208357236539373E-5</v>
      </c>
      <c r="BH245" s="51">
        <v>4.0430648521852767E-5</v>
      </c>
      <c r="BI245" s="51">
        <v>4.0652939807166168E-5</v>
      </c>
      <c r="BJ245" s="51">
        <v>4.0875231092479561E-5</v>
      </c>
      <c r="BK245" s="51">
        <v>4.1097522377792962E-5</v>
      </c>
      <c r="BL245" s="51">
        <v>4.1319813663106356E-5</v>
      </c>
      <c r="BM245" s="51">
        <v>4.1542104948419756E-5</v>
      </c>
      <c r="BN245" s="51">
        <v>4.176439623373315E-5</v>
      </c>
      <c r="BO245" s="51">
        <v>4.198668751904655E-5</v>
      </c>
      <c r="BP245" s="51">
        <v>4.2208978804359944E-5</v>
      </c>
      <c r="BQ245" s="51">
        <v>4.2431270089673345E-5</v>
      </c>
      <c r="BR245" s="51">
        <v>4.2653561374986738E-5</v>
      </c>
      <c r="BS245" s="51">
        <v>4.2875852660300139E-5</v>
      </c>
      <c r="BT245" s="51">
        <v>4.280968622100955E-5</v>
      </c>
      <c r="BU245" s="51">
        <v>4.2743519781718962E-5</v>
      </c>
      <c r="BV245" s="51">
        <v>4.267735334242838E-5</v>
      </c>
      <c r="BW245" s="51">
        <v>4.2611186903137792E-5</v>
      </c>
      <c r="BX245" s="51">
        <v>4.2545020463847204E-5</v>
      </c>
      <c r="BY245" s="51">
        <v>4.2478854024556622E-5</v>
      </c>
      <c r="BZ245" s="51">
        <v>4.2412687585266033E-5</v>
      </c>
      <c r="CA245" s="51">
        <v>4.2346521145975445E-5</v>
      </c>
      <c r="CB245" s="51">
        <v>4.2280354706684857E-5</v>
      </c>
      <c r="CC245" s="51">
        <v>4.2214188267394268E-5</v>
      </c>
      <c r="CD245" s="51">
        <v>4.2148021828103686E-5</v>
      </c>
      <c r="CE245" s="51">
        <v>4.2081855388813098E-5</v>
      </c>
      <c r="CF245" s="51">
        <v>4.201568894952251E-5</v>
      </c>
      <c r="CG245" s="51">
        <v>4.1949522510231928E-5</v>
      </c>
      <c r="CH245" s="51">
        <v>4.188335607094134E-5</v>
      </c>
      <c r="CI245" s="51">
        <v>4.1817189631650751E-5</v>
      </c>
      <c r="CJ245" s="51">
        <v>4.1751023192360163E-5</v>
      </c>
      <c r="CK245" s="51">
        <v>4.1684856753069574E-5</v>
      </c>
      <c r="CL245" s="51">
        <v>4.1618690313778993E-5</v>
      </c>
      <c r="CM245" s="51">
        <v>4.1552523874488404E-5</v>
      </c>
    </row>
    <row r="246" spans="1:91" s="50" customFormat="1" x14ac:dyDescent="0.25">
      <c r="A246" s="50" t="s">
        <v>1</v>
      </c>
      <c r="B246" s="4">
        <v>0</v>
      </c>
      <c r="C246" s="4">
        <v>0</v>
      </c>
      <c r="D246" s="4">
        <v>0</v>
      </c>
      <c r="E246" s="4">
        <v>0</v>
      </c>
      <c r="F246" s="4">
        <v>0</v>
      </c>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c r="X246" s="4">
        <v>0</v>
      </c>
      <c r="Y246" s="4">
        <v>0</v>
      </c>
      <c r="Z246" s="4">
        <v>0</v>
      </c>
      <c r="AA246" s="4">
        <v>0</v>
      </c>
      <c r="AB246" s="4">
        <v>0</v>
      </c>
      <c r="AC246" s="4">
        <v>0</v>
      </c>
      <c r="AD246" s="4">
        <v>0</v>
      </c>
      <c r="AE246" s="4">
        <v>0</v>
      </c>
      <c r="AF246" s="51">
        <v>5.6736998514115901E-5</v>
      </c>
      <c r="AG246" s="51">
        <v>5.6539078751857359E-5</v>
      </c>
      <c r="AH246" s="51">
        <v>5.6341158989598811E-5</v>
      </c>
      <c r="AI246" s="51">
        <v>5.614323922734027E-5</v>
      </c>
      <c r="AJ246" s="51">
        <v>5.5945319465081722E-5</v>
      </c>
      <c r="AK246" s="51">
        <v>5.5747399702823181E-5</v>
      </c>
      <c r="AL246" s="51">
        <v>5.5549479940564639E-5</v>
      </c>
      <c r="AM246" s="51">
        <v>5.5351560178306091E-5</v>
      </c>
      <c r="AN246" s="51">
        <v>5.515364041604755E-5</v>
      </c>
      <c r="AO246" s="51">
        <v>5.4955720653789002E-5</v>
      </c>
      <c r="AP246" s="51">
        <v>5.4757800891530461E-5</v>
      </c>
      <c r="AQ246" s="51">
        <v>5.4559881129271919E-5</v>
      </c>
      <c r="AR246" s="51">
        <v>5.4361961367013371E-5</v>
      </c>
      <c r="AS246" s="51">
        <v>5.416404160475483E-5</v>
      </c>
      <c r="AT246" s="51">
        <v>5.3966121842496282E-5</v>
      </c>
      <c r="AU246" s="51">
        <v>5.3768202080237741E-5</v>
      </c>
      <c r="AV246" s="51">
        <v>5.3599824856226013E-5</v>
      </c>
      <c r="AW246" s="51">
        <v>5.3431447632214292E-5</v>
      </c>
      <c r="AX246" s="51">
        <v>5.3263070408202565E-5</v>
      </c>
      <c r="AY246" s="51">
        <v>5.3094693184190837E-5</v>
      </c>
      <c r="AZ246" s="51">
        <v>5.2926315960179117E-5</v>
      </c>
      <c r="BA246" s="51">
        <v>5.2757938736167389E-5</v>
      </c>
      <c r="BB246" s="51">
        <v>5.2589561512155668E-5</v>
      </c>
      <c r="BC246" s="51">
        <v>5.2421184288143941E-5</v>
      </c>
      <c r="BD246" s="51">
        <v>5.2252807064132213E-5</v>
      </c>
      <c r="BE246" s="51">
        <v>5.2084429840120493E-5</v>
      </c>
      <c r="BF246" s="51">
        <v>5.1916052616108765E-5</v>
      </c>
      <c r="BG246" s="51">
        <v>5.1747675392097044E-5</v>
      </c>
      <c r="BH246" s="51">
        <v>5.1579298168085317E-5</v>
      </c>
      <c r="BI246" s="51">
        <v>5.1410920944073589E-5</v>
      </c>
      <c r="BJ246" s="51">
        <v>5.1242543720061869E-5</v>
      </c>
      <c r="BK246" s="51">
        <v>5.1074166496050141E-5</v>
      </c>
      <c r="BL246" s="51">
        <v>5.0905789272038414E-5</v>
      </c>
      <c r="BM246" s="51">
        <v>5.0737412048026693E-5</v>
      </c>
      <c r="BN246" s="51">
        <v>5.0569034824014965E-5</v>
      </c>
      <c r="BO246" s="51">
        <v>5.0400657600003238E-5</v>
      </c>
      <c r="BP246" s="51">
        <v>5.0232280375991517E-5</v>
      </c>
      <c r="BQ246" s="51">
        <v>5.006390315197979E-5</v>
      </c>
      <c r="BR246" s="51">
        <v>4.9895525927968069E-5</v>
      </c>
      <c r="BS246" s="51">
        <v>4.9727148703956341E-5</v>
      </c>
      <c r="BT246" s="51">
        <v>4.9650409276944062E-5</v>
      </c>
      <c r="BU246" s="51">
        <v>4.9573669849931783E-5</v>
      </c>
      <c r="BV246" s="51">
        <v>4.9496930422919504E-5</v>
      </c>
      <c r="BW246" s="51">
        <v>4.9420190995907225E-5</v>
      </c>
      <c r="BX246" s="51">
        <v>4.9343451568894953E-5</v>
      </c>
      <c r="BY246" s="51">
        <v>4.9266712141882674E-5</v>
      </c>
      <c r="BZ246" s="51">
        <v>4.9189972714870395E-5</v>
      </c>
      <c r="CA246" s="51">
        <v>4.9113233287858116E-5</v>
      </c>
      <c r="CB246" s="51">
        <v>4.9036493860845837E-5</v>
      </c>
      <c r="CC246" s="51">
        <v>4.8959754433833558E-5</v>
      </c>
      <c r="CD246" s="51">
        <v>4.8883015006821279E-5</v>
      </c>
      <c r="CE246" s="51">
        <v>4.8806275579809E-5</v>
      </c>
      <c r="CF246" s="51">
        <v>4.8729536152796721E-5</v>
      </c>
      <c r="CG246" s="51">
        <v>4.8652796725784442E-5</v>
      </c>
      <c r="CH246" s="51">
        <v>4.8576057298772163E-5</v>
      </c>
      <c r="CI246" s="51">
        <v>4.849931787175989E-5</v>
      </c>
      <c r="CJ246" s="51">
        <v>4.8422578444747611E-5</v>
      </c>
      <c r="CK246" s="51">
        <v>4.8345839017735332E-5</v>
      </c>
      <c r="CL246" s="51">
        <v>4.8269099590723053E-5</v>
      </c>
      <c r="CM246" s="51">
        <v>4.8192360163710774E-5</v>
      </c>
    </row>
    <row r="247" spans="1:91" s="50" customFormat="1" x14ac:dyDescent="0.25">
      <c r="A247" s="50" t="s">
        <v>1</v>
      </c>
      <c r="B247" s="4">
        <v>0</v>
      </c>
      <c r="C247" s="4">
        <v>0</v>
      </c>
      <c r="D247" s="4">
        <v>0</v>
      </c>
      <c r="E247" s="4">
        <v>0</v>
      </c>
      <c r="F247" s="4">
        <v>0</v>
      </c>
      <c r="G247" s="4">
        <v>0</v>
      </c>
      <c r="H247" s="4">
        <v>0</v>
      </c>
      <c r="I247" s="4">
        <v>0</v>
      </c>
      <c r="J247" s="4">
        <v>0</v>
      </c>
      <c r="K247" s="4">
        <v>0</v>
      </c>
      <c r="L247" s="4">
        <v>0</v>
      </c>
      <c r="M247" s="4">
        <v>0</v>
      </c>
      <c r="N247" s="4">
        <v>0</v>
      </c>
      <c r="O247" s="4">
        <v>0</v>
      </c>
      <c r="P247" s="4">
        <v>0</v>
      </c>
      <c r="Q247" s="4">
        <v>0</v>
      </c>
      <c r="R247" s="4">
        <v>0</v>
      </c>
      <c r="S247" s="4">
        <v>0</v>
      </c>
      <c r="T247" s="4">
        <v>0</v>
      </c>
      <c r="U247" s="4">
        <v>0</v>
      </c>
      <c r="V247" s="4">
        <v>0</v>
      </c>
      <c r="W247" s="4">
        <v>0</v>
      </c>
      <c r="X247" s="4">
        <v>0</v>
      </c>
      <c r="Y247" s="4">
        <v>0</v>
      </c>
      <c r="Z247" s="4">
        <v>0</v>
      </c>
      <c r="AA247" s="4">
        <v>0</v>
      </c>
      <c r="AB247" s="4">
        <v>0</v>
      </c>
      <c r="AC247" s="4">
        <v>0</v>
      </c>
      <c r="AD247" s="4">
        <v>0</v>
      </c>
      <c r="AE247" s="4">
        <v>0</v>
      </c>
      <c r="AF247" s="51">
        <v>4.0380386329866274E-5</v>
      </c>
      <c r="AG247" s="51">
        <v>4.0239524517087674E-5</v>
      </c>
      <c r="AH247" s="51">
        <v>4.0098662704309067E-5</v>
      </c>
      <c r="AI247" s="51">
        <v>3.9957800891530467E-5</v>
      </c>
      <c r="AJ247" s="51">
        <v>3.981693907875186E-5</v>
      </c>
      <c r="AK247" s="51">
        <v>3.967607726597326E-5</v>
      </c>
      <c r="AL247" s="51">
        <v>3.9535215453194653E-5</v>
      </c>
      <c r="AM247" s="51">
        <v>3.9394353640416053E-5</v>
      </c>
      <c r="AN247" s="51">
        <v>3.9253491827637446E-5</v>
      </c>
      <c r="AO247" s="51">
        <v>3.9112630014858846E-5</v>
      </c>
      <c r="AP247" s="51">
        <v>3.8971768202080239E-5</v>
      </c>
      <c r="AQ247" s="51">
        <v>3.8830906389301639E-5</v>
      </c>
      <c r="AR247" s="51">
        <v>3.8690044576523032E-5</v>
      </c>
      <c r="AS247" s="51">
        <v>3.8549182763744432E-5</v>
      </c>
      <c r="AT247" s="51">
        <v>3.8408320950965825E-5</v>
      </c>
      <c r="AU247" s="51">
        <v>3.8267459138187225E-5</v>
      </c>
      <c r="AV247" s="51">
        <v>3.8100335016524468E-5</v>
      </c>
      <c r="AW247" s="51">
        <v>3.7933210894861712E-5</v>
      </c>
      <c r="AX247" s="51">
        <v>3.7766086773198955E-5</v>
      </c>
      <c r="AY247" s="51">
        <v>3.7598962651536191E-5</v>
      </c>
      <c r="AZ247" s="51">
        <v>3.7431838529873434E-5</v>
      </c>
      <c r="BA247" s="51">
        <v>3.7264714408210677E-5</v>
      </c>
      <c r="BB247" s="51">
        <v>3.709759028654792E-5</v>
      </c>
      <c r="BC247" s="51">
        <v>3.6930466164885163E-5</v>
      </c>
      <c r="BD247" s="51">
        <v>3.6763342043222406E-5</v>
      </c>
      <c r="BE247" s="51">
        <v>3.659621792155965E-5</v>
      </c>
      <c r="BF247" s="51">
        <v>3.6429093799896893E-5</v>
      </c>
      <c r="BG247" s="51">
        <v>3.6261969678234136E-5</v>
      </c>
      <c r="BH247" s="51">
        <v>3.6094845556571372E-5</v>
      </c>
      <c r="BI247" s="51">
        <v>3.5927721434908615E-5</v>
      </c>
      <c r="BJ247" s="51">
        <v>3.5760597313245858E-5</v>
      </c>
      <c r="BK247" s="51">
        <v>3.5593473191583101E-5</v>
      </c>
      <c r="BL247" s="51">
        <v>3.5426349069920344E-5</v>
      </c>
      <c r="BM247" s="51">
        <v>3.5259224948257588E-5</v>
      </c>
      <c r="BN247" s="51">
        <v>3.5092100826594831E-5</v>
      </c>
      <c r="BO247" s="51">
        <v>3.4924976704932067E-5</v>
      </c>
      <c r="BP247" s="51">
        <v>3.475785258326931E-5</v>
      </c>
      <c r="BQ247" s="51">
        <v>3.4590728461606553E-5</v>
      </c>
      <c r="BR247" s="51">
        <v>3.4423604339943796E-5</v>
      </c>
      <c r="BS247" s="51">
        <v>3.4256480218281039E-5</v>
      </c>
      <c r="BT247" s="51">
        <v>3.420361527967258E-5</v>
      </c>
      <c r="BU247" s="51">
        <v>3.415075034106412E-5</v>
      </c>
      <c r="BV247" s="51">
        <v>3.409788540245566E-5</v>
      </c>
      <c r="BW247" s="51">
        <v>3.4045020463847207E-5</v>
      </c>
      <c r="BX247" s="51">
        <v>3.3992155525238747E-5</v>
      </c>
      <c r="BY247" s="51">
        <v>3.3939290586630287E-5</v>
      </c>
      <c r="BZ247" s="51">
        <v>3.3886425648021828E-5</v>
      </c>
      <c r="CA247" s="51">
        <v>3.3833560709413368E-5</v>
      </c>
      <c r="CB247" s="51">
        <v>3.3780695770804908E-5</v>
      </c>
      <c r="CC247" s="51">
        <v>3.3727830832196455E-5</v>
      </c>
      <c r="CD247" s="51">
        <v>3.3674965893587995E-5</v>
      </c>
      <c r="CE247" s="51">
        <v>3.3622100954979535E-5</v>
      </c>
      <c r="CF247" s="51">
        <v>3.3569236016371076E-5</v>
      </c>
      <c r="CG247" s="51">
        <v>3.3516371077762616E-5</v>
      </c>
      <c r="CH247" s="51">
        <v>3.3463506139154156E-5</v>
      </c>
      <c r="CI247" s="51">
        <v>3.3410641200545696E-5</v>
      </c>
      <c r="CJ247" s="51">
        <v>3.3357776261937243E-5</v>
      </c>
      <c r="CK247" s="51">
        <v>3.3304911323328783E-5</v>
      </c>
      <c r="CL247" s="51">
        <v>3.3252046384720324E-5</v>
      </c>
      <c r="CM247" s="51">
        <v>3.3199181446111864E-5</v>
      </c>
    </row>
    <row r="248" spans="1:91" s="50" customFormat="1" x14ac:dyDescent="0.25">
      <c r="A248" s="50" t="s">
        <v>1</v>
      </c>
      <c r="B248" s="4">
        <v>0</v>
      </c>
      <c r="C248" s="4">
        <v>0</v>
      </c>
      <c r="D248" s="4">
        <v>0</v>
      </c>
      <c r="E248" s="4">
        <v>0</v>
      </c>
      <c r="F248" s="4">
        <v>0</v>
      </c>
      <c r="G248" s="4">
        <v>0</v>
      </c>
      <c r="H248" s="4">
        <v>0</v>
      </c>
      <c r="I248" s="4">
        <v>0</v>
      </c>
      <c r="J248" s="4">
        <v>0</v>
      </c>
      <c r="K248" s="4">
        <v>0</v>
      </c>
      <c r="L248" s="4">
        <v>0</v>
      </c>
      <c r="M248" s="4">
        <v>0</v>
      </c>
      <c r="N248" s="4">
        <v>0</v>
      </c>
      <c r="O248" s="4">
        <v>0</v>
      </c>
      <c r="P248" s="4">
        <v>0</v>
      </c>
      <c r="Q248" s="4">
        <v>0</v>
      </c>
      <c r="R248" s="4">
        <v>0</v>
      </c>
      <c r="S248" s="4">
        <v>0</v>
      </c>
      <c r="T248" s="4">
        <v>0</v>
      </c>
      <c r="U248" s="4">
        <v>0</v>
      </c>
      <c r="V248" s="4">
        <v>0</v>
      </c>
      <c r="W248" s="4">
        <v>0</v>
      </c>
      <c r="X248" s="4">
        <v>0</v>
      </c>
      <c r="Y248" s="4">
        <v>0</v>
      </c>
      <c r="Z248" s="4">
        <v>0</v>
      </c>
      <c r="AA248" s="4">
        <v>0</v>
      </c>
      <c r="AB248" s="4">
        <v>0</v>
      </c>
      <c r="AC248" s="4">
        <v>0</v>
      </c>
      <c r="AD248" s="4">
        <v>0</v>
      </c>
      <c r="AE248" s="4">
        <v>0</v>
      </c>
      <c r="AF248" s="51">
        <v>3.5268945022288263E-5</v>
      </c>
      <c r="AG248" s="51">
        <v>3.5145913818722139E-5</v>
      </c>
      <c r="AH248" s="51">
        <v>3.5022882615156022E-5</v>
      </c>
      <c r="AI248" s="51">
        <v>3.4899851411589898E-5</v>
      </c>
      <c r="AJ248" s="51">
        <v>3.4776820208023774E-5</v>
      </c>
      <c r="AK248" s="51">
        <v>3.465378900445765E-5</v>
      </c>
      <c r="AL248" s="51">
        <v>3.4530757800891533E-5</v>
      </c>
      <c r="AM248" s="51">
        <v>3.4407726597325409E-5</v>
      </c>
      <c r="AN248" s="51">
        <v>3.4284695393759285E-5</v>
      </c>
      <c r="AO248" s="51">
        <v>3.4161664190193161E-5</v>
      </c>
      <c r="AP248" s="51">
        <v>3.4038632986627044E-5</v>
      </c>
      <c r="AQ248" s="51">
        <v>3.391560178306092E-5</v>
      </c>
      <c r="AR248" s="51">
        <v>3.3792570579494796E-5</v>
      </c>
      <c r="AS248" s="51">
        <v>3.3669539375928672E-5</v>
      </c>
      <c r="AT248" s="51">
        <v>3.3546508172362555E-5</v>
      </c>
      <c r="AU248" s="51">
        <v>3.3423476968796431E-5</v>
      </c>
      <c r="AV248" s="51">
        <v>3.3495020362490852E-5</v>
      </c>
      <c r="AW248" s="51">
        <v>3.3566563756185266E-5</v>
      </c>
      <c r="AX248" s="51">
        <v>3.3638107149879686E-5</v>
      </c>
      <c r="AY248" s="51">
        <v>3.3709650543574107E-5</v>
      </c>
      <c r="AZ248" s="51">
        <v>3.3781193937268528E-5</v>
      </c>
      <c r="BA248" s="51">
        <v>3.3852737330962942E-5</v>
      </c>
      <c r="BB248" s="51">
        <v>3.3924280724657363E-5</v>
      </c>
      <c r="BC248" s="51">
        <v>3.3995824118351783E-5</v>
      </c>
      <c r="BD248" s="51">
        <v>3.4067367512046197E-5</v>
      </c>
      <c r="BE248" s="51">
        <v>3.4138910905740618E-5</v>
      </c>
      <c r="BF248" s="51">
        <v>3.4210454299435039E-5</v>
      </c>
      <c r="BG248" s="51">
        <v>3.4281997693129453E-5</v>
      </c>
      <c r="BH248" s="51">
        <v>3.4353541086823873E-5</v>
      </c>
      <c r="BI248" s="51">
        <v>3.4425084480518294E-5</v>
      </c>
      <c r="BJ248" s="51">
        <v>3.4496627874212715E-5</v>
      </c>
      <c r="BK248" s="51">
        <v>3.4568171267907129E-5</v>
      </c>
      <c r="BL248" s="51">
        <v>3.463971466160155E-5</v>
      </c>
      <c r="BM248" s="51">
        <v>3.471125805529597E-5</v>
      </c>
      <c r="BN248" s="51">
        <v>3.4782801448990384E-5</v>
      </c>
      <c r="BO248" s="51">
        <v>3.4854344842684805E-5</v>
      </c>
      <c r="BP248" s="51">
        <v>3.4925888236379226E-5</v>
      </c>
      <c r="BQ248" s="51">
        <v>3.4997431630073646E-5</v>
      </c>
      <c r="BR248" s="51">
        <v>3.506897502376806E-5</v>
      </c>
      <c r="BS248" s="51">
        <v>3.5140518417462481E-5</v>
      </c>
      <c r="BT248" s="51">
        <v>3.5086289222373802E-5</v>
      </c>
      <c r="BU248" s="51">
        <v>3.503206002728513E-5</v>
      </c>
      <c r="BV248" s="51">
        <v>3.4977830832196451E-5</v>
      </c>
      <c r="BW248" s="51">
        <v>3.4923601637107773E-5</v>
      </c>
      <c r="BX248" s="51">
        <v>3.4869372442019101E-5</v>
      </c>
      <c r="BY248" s="51">
        <v>3.4815143246930422E-5</v>
      </c>
      <c r="BZ248" s="51">
        <v>3.4760914051841743E-5</v>
      </c>
      <c r="CA248" s="51">
        <v>3.4706684856753064E-5</v>
      </c>
      <c r="CB248" s="51">
        <v>3.4652455661664392E-5</v>
      </c>
      <c r="CC248" s="51">
        <v>3.4598226466575713E-5</v>
      </c>
      <c r="CD248" s="51">
        <v>3.4543997271487035E-5</v>
      </c>
      <c r="CE248" s="51">
        <v>3.4489768076398362E-5</v>
      </c>
      <c r="CF248" s="51">
        <v>3.4435538881309684E-5</v>
      </c>
      <c r="CG248" s="51">
        <v>3.4381309686221005E-5</v>
      </c>
      <c r="CH248" s="51">
        <v>3.4327080491132326E-5</v>
      </c>
      <c r="CI248" s="51">
        <v>3.4272851296043654E-5</v>
      </c>
      <c r="CJ248" s="51">
        <v>3.4218622100954975E-5</v>
      </c>
      <c r="CK248" s="51">
        <v>3.4164392905866296E-5</v>
      </c>
      <c r="CL248" s="51">
        <v>3.4110163710777624E-5</v>
      </c>
      <c r="CM248" s="51">
        <v>3.4055934515688946E-5</v>
      </c>
    </row>
    <row r="249" spans="1:91" s="50" customFormat="1" x14ac:dyDescent="0.25">
      <c r="A249" s="50" t="s">
        <v>1</v>
      </c>
      <c r="B249" s="4">
        <v>0</v>
      </c>
      <c r="C249" s="4">
        <v>0</v>
      </c>
      <c r="D249" s="4">
        <v>0</v>
      </c>
      <c r="E249" s="4">
        <v>0</v>
      </c>
      <c r="F249" s="4">
        <v>0</v>
      </c>
      <c r="G249" s="4">
        <v>0</v>
      </c>
      <c r="H249" s="4">
        <v>0</v>
      </c>
      <c r="I249" s="4">
        <v>0</v>
      </c>
      <c r="J249" s="4">
        <v>0</v>
      </c>
      <c r="K249" s="4">
        <v>0</v>
      </c>
      <c r="L249" s="4">
        <v>0</v>
      </c>
      <c r="M249" s="4">
        <v>0</v>
      </c>
      <c r="N249" s="4">
        <v>0</v>
      </c>
      <c r="O249" s="4">
        <v>0</v>
      </c>
      <c r="P249" s="4">
        <v>0</v>
      </c>
      <c r="Q249" s="4">
        <v>0</v>
      </c>
      <c r="R249" s="4">
        <v>0</v>
      </c>
      <c r="S249" s="4">
        <v>0</v>
      </c>
      <c r="T249" s="4">
        <v>0</v>
      </c>
      <c r="U249" s="4">
        <v>0</v>
      </c>
      <c r="V249" s="4">
        <v>0</v>
      </c>
      <c r="W249" s="4">
        <v>0</v>
      </c>
      <c r="X249" s="4">
        <v>0</v>
      </c>
      <c r="Y249" s="4">
        <v>0</v>
      </c>
      <c r="Z249" s="4">
        <v>0</v>
      </c>
      <c r="AA249" s="4">
        <v>0</v>
      </c>
      <c r="AB249" s="4">
        <v>0</v>
      </c>
      <c r="AC249" s="4">
        <v>0</v>
      </c>
      <c r="AD249" s="4">
        <v>0</v>
      </c>
      <c r="AE249" s="4">
        <v>0</v>
      </c>
      <c r="AF249" s="51">
        <v>7.5999999999999992E-6</v>
      </c>
      <c r="AG249" s="51">
        <v>7.7533333333333325E-6</v>
      </c>
      <c r="AH249" s="51">
        <v>7.9066666666666666E-6</v>
      </c>
      <c r="AI249" s="51">
        <v>8.0599999999999991E-6</v>
      </c>
      <c r="AJ249" s="51">
        <v>8.2133333333333332E-6</v>
      </c>
      <c r="AK249" s="51">
        <v>8.3666666666666656E-6</v>
      </c>
      <c r="AL249" s="51">
        <v>8.5199999999999997E-6</v>
      </c>
      <c r="AM249" s="51">
        <v>8.6733333333333339E-6</v>
      </c>
      <c r="AN249" s="51">
        <v>8.8266666666666663E-6</v>
      </c>
      <c r="AO249" s="51">
        <v>8.9799999999999987E-6</v>
      </c>
      <c r="AP249" s="51">
        <v>9.1333333333333328E-6</v>
      </c>
      <c r="AQ249" s="51">
        <v>9.286666666666667E-6</v>
      </c>
      <c r="AR249" s="51">
        <v>9.4399999999999994E-6</v>
      </c>
      <c r="AS249" s="51">
        <v>9.5933333333333335E-6</v>
      </c>
      <c r="AT249" s="51">
        <v>9.746666666666666E-6</v>
      </c>
      <c r="AU249" s="51">
        <v>9.9000000000000001E-6</v>
      </c>
      <c r="AV249" s="51">
        <v>1.0062500000000001E-5</v>
      </c>
      <c r="AW249" s="51">
        <v>1.0225E-5</v>
      </c>
      <c r="AX249" s="51">
        <v>1.03875E-5</v>
      </c>
      <c r="AY249" s="51">
        <v>1.0550000000000001E-5</v>
      </c>
      <c r="AZ249" s="51">
        <v>1.07125E-5</v>
      </c>
      <c r="BA249" s="51">
        <v>1.0875E-5</v>
      </c>
      <c r="BB249" s="51">
        <v>1.1037500000000001E-5</v>
      </c>
      <c r="BC249" s="51">
        <v>1.1199999999999999E-5</v>
      </c>
      <c r="BD249" s="51">
        <v>1.13625E-5</v>
      </c>
      <c r="BE249" s="51">
        <v>1.1525000000000001E-5</v>
      </c>
      <c r="BF249" s="51">
        <v>1.1687499999999999E-5</v>
      </c>
      <c r="BG249" s="51">
        <v>1.185E-5</v>
      </c>
      <c r="BH249" s="51">
        <v>1.2012500000000001E-5</v>
      </c>
      <c r="BI249" s="51">
        <v>1.2175000000000001E-5</v>
      </c>
      <c r="BJ249" s="51">
        <v>1.23375E-5</v>
      </c>
      <c r="BK249" s="51">
        <v>1.2500000000000001E-5</v>
      </c>
      <c r="BL249" s="51">
        <v>1.2662499999999999E-5</v>
      </c>
      <c r="BM249" s="51">
        <v>1.2825E-5</v>
      </c>
      <c r="BN249" s="51">
        <v>1.2987500000000001E-5</v>
      </c>
      <c r="BO249" s="51">
        <v>1.3150000000000001E-5</v>
      </c>
      <c r="BP249" s="51">
        <v>1.33125E-5</v>
      </c>
      <c r="BQ249" s="51">
        <v>1.3475000000000001E-5</v>
      </c>
      <c r="BR249" s="51">
        <v>1.3637499999999999E-5</v>
      </c>
      <c r="BS249" s="51">
        <v>1.38E-5</v>
      </c>
      <c r="BT249" s="51">
        <v>1.3875E-5</v>
      </c>
      <c r="BU249" s="51">
        <v>1.395E-5</v>
      </c>
      <c r="BV249" s="51">
        <v>1.4025E-5</v>
      </c>
      <c r="BW249" s="51">
        <v>1.4100000000000001E-5</v>
      </c>
      <c r="BX249" s="51">
        <v>1.4174999999999999E-5</v>
      </c>
      <c r="BY249" s="51">
        <v>1.4249999999999999E-5</v>
      </c>
      <c r="BZ249" s="51">
        <v>1.4324999999999999E-5</v>
      </c>
      <c r="CA249" s="51">
        <v>1.4399999999999999E-5</v>
      </c>
      <c r="CB249" s="51">
        <v>1.4474999999999999E-5</v>
      </c>
      <c r="CC249" s="51">
        <v>1.455E-5</v>
      </c>
      <c r="CD249" s="51">
        <v>1.4625E-5</v>
      </c>
      <c r="CE249" s="51">
        <v>1.47E-5</v>
      </c>
      <c r="CF249" s="51">
        <v>1.4775E-5</v>
      </c>
      <c r="CG249" s="51">
        <v>1.485E-5</v>
      </c>
      <c r="CH249" s="51">
        <v>1.4925E-5</v>
      </c>
      <c r="CI249" s="51">
        <v>1.4999999999999999E-5</v>
      </c>
      <c r="CJ249" s="51">
        <v>1.5074999999999999E-5</v>
      </c>
      <c r="CK249" s="51">
        <v>1.5149999999999999E-5</v>
      </c>
      <c r="CL249" s="51">
        <v>1.5224999999999999E-5</v>
      </c>
      <c r="CM249" s="51">
        <v>1.5299999999999999E-5</v>
      </c>
    </row>
    <row r="250" spans="1:91" s="50" customFormat="1" x14ac:dyDescent="0.25">
      <c r="A250" s="50" t="s">
        <v>1</v>
      </c>
      <c r="B250" s="4">
        <v>0</v>
      </c>
      <c r="C250" s="4">
        <v>0</v>
      </c>
      <c r="D250" s="4">
        <v>0</v>
      </c>
      <c r="E250" s="4">
        <v>0</v>
      </c>
      <c r="F250" s="4">
        <v>0</v>
      </c>
      <c r="G250" s="4">
        <v>0</v>
      </c>
      <c r="H250" s="4">
        <v>0</v>
      </c>
      <c r="I250" s="4">
        <v>0</v>
      </c>
      <c r="J250" s="4">
        <v>0</v>
      </c>
      <c r="K250" s="4">
        <v>0</v>
      </c>
      <c r="L250" s="4">
        <v>0</v>
      </c>
      <c r="M250" s="4">
        <v>0</v>
      </c>
      <c r="N250" s="4">
        <v>0</v>
      </c>
      <c r="O250" s="4">
        <v>0</v>
      </c>
      <c r="P250" s="4">
        <v>0</v>
      </c>
      <c r="Q250" s="4">
        <v>0</v>
      </c>
      <c r="R250" s="4">
        <v>0</v>
      </c>
      <c r="S250" s="4">
        <v>0</v>
      </c>
      <c r="T250" s="4">
        <v>0</v>
      </c>
      <c r="U250" s="4">
        <v>0</v>
      </c>
      <c r="V250" s="4">
        <v>0</v>
      </c>
      <c r="W250" s="4">
        <v>0</v>
      </c>
      <c r="X250" s="4">
        <v>0</v>
      </c>
      <c r="Y250" s="4">
        <v>0</v>
      </c>
      <c r="Z250" s="4">
        <v>0</v>
      </c>
      <c r="AA250" s="4">
        <v>0</v>
      </c>
      <c r="AB250" s="4">
        <v>0</v>
      </c>
      <c r="AC250" s="4">
        <v>0</v>
      </c>
      <c r="AD250" s="4">
        <v>0</v>
      </c>
      <c r="AE250" s="4">
        <v>0</v>
      </c>
      <c r="AF250" s="51">
        <v>1.06E-5</v>
      </c>
      <c r="AG250" s="51">
        <v>1.0786666666666666E-5</v>
      </c>
      <c r="AH250" s="51">
        <v>1.0973333333333334E-5</v>
      </c>
      <c r="AI250" s="51">
        <v>1.116E-5</v>
      </c>
      <c r="AJ250" s="51">
        <v>1.1346666666666668E-5</v>
      </c>
      <c r="AK250" s="51">
        <v>1.1533333333333334E-5</v>
      </c>
      <c r="AL250" s="51">
        <v>1.172E-5</v>
      </c>
      <c r="AM250" s="51">
        <v>1.1906666666666667E-5</v>
      </c>
      <c r="AN250" s="51">
        <v>1.2093333333333333E-5</v>
      </c>
      <c r="AO250" s="51">
        <v>1.2280000000000001E-5</v>
      </c>
      <c r="AP250" s="51">
        <v>1.2466666666666667E-5</v>
      </c>
      <c r="AQ250" s="51">
        <v>1.2653333333333333E-5</v>
      </c>
      <c r="AR250" s="51">
        <v>1.2840000000000001E-5</v>
      </c>
      <c r="AS250" s="51">
        <v>1.3026666666666667E-5</v>
      </c>
      <c r="AT250" s="51">
        <v>1.3213333333333334E-5</v>
      </c>
      <c r="AU250" s="51">
        <v>1.34E-5</v>
      </c>
      <c r="AV250" s="51">
        <v>1.3533333333333333E-5</v>
      </c>
      <c r="AW250" s="51">
        <v>1.3666666666666667E-5</v>
      </c>
      <c r="AX250" s="51">
        <v>1.38E-5</v>
      </c>
      <c r="AY250" s="51">
        <v>1.3933333333333334E-5</v>
      </c>
      <c r="AZ250" s="51">
        <v>1.4066666666666667E-5</v>
      </c>
      <c r="BA250" s="51">
        <v>1.42E-5</v>
      </c>
      <c r="BB250" s="51">
        <v>1.4333333333333334E-5</v>
      </c>
      <c r="BC250" s="51">
        <v>1.4466666666666667E-5</v>
      </c>
      <c r="BD250" s="51">
        <v>1.4600000000000001E-5</v>
      </c>
      <c r="BE250" s="51">
        <v>1.4733333333333333E-5</v>
      </c>
      <c r="BF250" s="51">
        <v>1.4866666666666668E-5</v>
      </c>
      <c r="BG250" s="51">
        <v>1.5E-5</v>
      </c>
      <c r="BH250" s="51">
        <v>1.5133333333333333E-5</v>
      </c>
      <c r="BI250" s="51">
        <v>1.5266666666666667E-5</v>
      </c>
      <c r="BJ250" s="51">
        <v>1.5400000000000002E-5</v>
      </c>
      <c r="BK250" s="51">
        <v>1.5533333333333333E-5</v>
      </c>
      <c r="BL250" s="51">
        <v>1.5666666666666667E-5</v>
      </c>
      <c r="BM250" s="51">
        <v>1.5800000000000001E-5</v>
      </c>
      <c r="BN250" s="51">
        <v>1.5933333333333332E-5</v>
      </c>
      <c r="BO250" s="51">
        <v>1.6066666666666666E-5</v>
      </c>
      <c r="BP250" s="51">
        <v>1.6200000000000001E-5</v>
      </c>
      <c r="BQ250" s="51">
        <v>1.6333333333333335E-5</v>
      </c>
      <c r="BR250" s="51">
        <v>1.6466666666666666E-5</v>
      </c>
      <c r="BS250" s="51">
        <v>1.66E-5</v>
      </c>
      <c r="BT250" s="51">
        <v>1.6710000000000001E-5</v>
      </c>
      <c r="BU250" s="51">
        <v>1.6820000000000002E-5</v>
      </c>
      <c r="BV250" s="51">
        <v>1.6929999999999999E-5</v>
      </c>
      <c r="BW250" s="51">
        <v>1.7039999999999999E-5</v>
      </c>
      <c r="BX250" s="51">
        <v>1.715E-5</v>
      </c>
      <c r="BY250" s="51">
        <v>1.7260000000000001E-5</v>
      </c>
      <c r="BZ250" s="51">
        <v>1.7370000000000001E-5</v>
      </c>
      <c r="CA250" s="51">
        <v>1.7479999999999999E-5</v>
      </c>
      <c r="CB250" s="51">
        <v>1.7589999999999999E-5</v>
      </c>
      <c r="CC250" s="51">
        <v>1.77E-5</v>
      </c>
      <c r="CD250" s="51">
        <v>1.7810000000000001E-5</v>
      </c>
      <c r="CE250" s="51">
        <v>1.7920000000000001E-5</v>
      </c>
      <c r="CF250" s="51">
        <v>1.8029999999999998E-5</v>
      </c>
      <c r="CG250" s="51">
        <v>1.8139999999999999E-5</v>
      </c>
      <c r="CH250" s="51">
        <v>1.825E-5</v>
      </c>
      <c r="CI250" s="51">
        <v>1.836E-5</v>
      </c>
      <c r="CJ250" s="51">
        <v>1.8470000000000001E-5</v>
      </c>
      <c r="CK250" s="51">
        <v>1.8579999999999998E-5</v>
      </c>
      <c r="CL250" s="51">
        <v>1.8689999999999999E-5</v>
      </c>
      <c r="CM250" s="51">
        <v>1.88E-5</v>
      </c>
    </row>
    <row r="251" spans="1:91" s="50" customFormat="1" x14ac:dyDescent="0.25">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91" s="50" customFormat="1" x14ac:dyDescent="0.25">
      <c r="A252" s="50" t="s">
        <v>245</v>
      </c>
      <c r="B252" s="4">
        <v>0</v>
      </c>
      <c r="C252" s="4">
        <v>0</v>
      </c>
      <c r="D252" s="4">
        <v>0</v>
      </c>
      <c r="E252" s="4">
        <v>0</v>
      </c>
      <c r="F252" s="4">
        <v>0</v>
      </c>
      <c r="G252" s="4">
        <v>0</v>
      </c>
      <c r="H252" s="4">
        <v>0</v>
      </c>
      <c r="I252" s="4">
        <v>0</v>
      </c>
      <c r="J252" s="4">
        <v>0</v>
      </c>
      <c r="K252" s="4">
        <v>0</v>
      </c>
      <c r="L252" s="4">
        <v>0</v>
      </c>
      <c r="M252" s="4">
        <v>0</v>
      </c>
      <c r="N252" s="4">
        <v>0</v>
      </c>
      <c r="O252" s="4">
        <v>0</v>
      </c>
      <c r="P252" s="4">
        <v>0</v>
      </c>
      <c r="Q252" s="4">
        <v>0</v>
      </c>
      <c r="R252" s="4">
        <v>0</v>
      </c>
      <c r="S252" s="4">
        <v>0</v>
      </c>
      <c r="T252" s="4">
        <v>0</v>
      </c>
      <c r="U252" s="4">
        <v>0</v>
      </c>
      <c r="V252" s="4">
        <v>0</v>
      </c>
      <c r="W252" s="4">
        <v>0</v>
      </c>
      <c r="X252" s="4">
        <v>0</v>
      </c>
      <c r="Y252" s="4">
        <v>0</v>
      </c>
      <c r="Z252" s="4">
        <v>0</v>
      </c>
      <c r="AA252" s="4">
        <v>0</v>
      </c>
      <c r="AB252" s="4">
        <v>0</v>
      </c>
      <c r="AC252" s="4">
        <v>0</v>
      </c>
      <c r="AD252" s="4">
        <v>0</v>
      </c>
      <c r="AE252" s="4">
        <v>0</v>
      </c>
      <c r="AF252" s="51">
        <v>6.3600000000000001E-5</v>
      </c>
      <c r="AG252" s="51">
        <v>6.3486666666666663E-5</v>
      </c>
      <c r="AH252" s="51">
        <v>6.3373333333333339E-5</v>
      </c>
      <c r="AI252" s="51">
        <v>6.3260000000000001E-5</v>
      </c>
      <c r="AJ252" s="51">
        <v>6.3146666666666663E-5</v>
      </c>
      <c r="AK252" s="51">
        <v>6.3033333333333339E-5</v>
      </c>
      <c r="AL252" s="51">
        <v>6.2920000000000001E-5</v>
      </c>
      <c r="AM252" s="51">
        <v>6.2806666666666663E-5</v>
      </c>
      <c r="AN252" s="51">
        <v>6.2693333333333338E-5</v>
      </c>
      <c r="AO252" s="51">
        <v>6.2580000000000001E-5</v>
      </c>
      <c r="AP252" s="51">
        <v>6.2466666666666663E-5</v>
      </c>
      <c r="AQ252" s="51">
        <v>6.2353333333333338E-5</v>
      </c>
      <c r="AR252" s="51">
        <v>6.224E-5</v>
      </c>
      <c r="AS252" s="51">
        <v>6.2126666666666663E-5</v>
      </c>
      <c r="AT252" s="51">
        <v>6.2013333333333338E-5</v>
      </c>
      <c r="AU252" s="51">
        <v>6.19E-5</v>
      </c>
      <c r="AV252" s="51">
        <v>6.1736363636363635E-5</v>
      </c>
      <c r="AW252" s="51">
        <v>6.157272727272727E-5</v>
      </c>
      <c r="AX252" s="51">
        <v>6.1409090909090905E-5</v>
      </c>
      <c r="AY252" s="51">
        <v>6.124545454545454E-5</v>
      </c>
      <c r="AZ252" s="51">
        <v>6.1081818181818188E-5</v>
      </c>
      <c r="BA252" s="51">
        <v>6.0918181818181816E-5</v>
      </c>
      <c r="BB252" s="51">
        <v>6.0754545454545458E-5</v>
      </c>
      <c r="BC252" s="51">
        <v>6.0590909090909093E-5</v>
      </c>
      <c r="BD252" s="51">
        <v>6.0427272727272727E-5</v>
      </c>
      <c r="BE252" s="51">
        <v>6.0263636363636362E-5</v>
      </c>
      <c r="BF252" s="51">
        <v>6.0099999999999997E-5</v>
      </c>
      <c r="BG252" s="51">
        <v>5.9936363636363639E-5</v>
      </c>
      <c r="BH252" s="51">
        <v>5.9772727272727274E-5</v>
      </c>
      <c r="BI252" s="51">
        <v>5.9609090909090909E-5</v>
      </c>
      <c r="BJ252" s="51">
        <v>5.9445454545454543E-5</v>
      </c>
      <c r="BK252" s="51">
        <v>5.9281818181818185E-5</v>
      </c>
      <c r="BL252" s="51">
        <v>5.911818181818182E-5</v>
      </c>
      <c r="BM252" s="51">
        <v>5.8954545454545455E-5</v>
      </c>
      <c r="BN252" s="51">
        <v>5.879090909090909E-5</v>
      </c>
      <c r="BO252" s="51">
        <v>5.8627272727272724E-5</v>
      </c>
      <c r="BP252" s="51">
        <v>5.8463636363636366E-5</v>
      </c>
      <c r="BQ252" s="51">
        <v>5.8300000000000001E-5</v>
      </c>
      <c r="BR252" s="51">
        <v>5.8136363636363636E-5</v>
      </c>
      <c r="BS252" s="51">
        <v>5.8800000000000006E-5</v>
      </c>
      <c r="BT252" s="51">
        <v>5.8595000000000004E-5</v>
      </c>
      <c r="BU252" s="51">
        <v>5.8390000000000008E-5</v>
      </c>
      <c r="BV252" s="51">
        <v>5.8185000000000006E-5</v>
      </c>
      <c r="BW252" s="51">
        <v>5.7980000000000004E-5</v>
      </c>
      <c r="BX252" s="51">
        <v>5.7775000000000008E-5</v>
      </c>
      <c r="BY252" s="51">
        <v>5.7570000000000006E-5</v>
      </c>
      <c r="BZ252" s="51">
        <v>5.7365000000000004E-5</v>
      </c>
      <c r="CA252" s="51">
        <v>5.7160000000000002E-5</v>
      </c>
      <c r="CB252" s="51">
        <v>5.6955000000000006E-5</v>
      </c>
      <c r="CC252" s="51">
        <v>5.6750000000000004E-5</v>
      </c>
      <c r="CD252" s="51">
        <v>5.6545000000000002E-5</v>
      </c>
      <c r="CE252" s="51">
        <v>5.6340000000000006E-5</v>
      </c>
      <c r="CF252" s="51">
        <v>5.6135000000000004E-5</v>
      </c>
      <c r="CG252" s="51">
        <v>5.5930000000000002E-5</v>
      </c>
      <c r="CH252" s="51">
        <v>5.5724999999999999E-5</v>
      </c>
      <c r="CI252" s="51">
        <v>5.5520000000000004E-5</v>
      </c>
      <c r="CJ252" s="51">
        <v>5.5315000000000001E-5</v>
      </c>
      <c r="CK252" s="51">
        <v>5.5109999999999999E-5</v>
      </c>
      <c r="CL252" s="51">
        <v>5.4905000000000004E-5</v>
      </c>
      <c r="CM252" s="51">
        <v>5.4700000000000001E-5</v>
      </c>
    </row>
    <row r="253" spans="1:91" s="50" customFormat="1" x14ac:dyDescent="0.25">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91" s="50" customFormat="1" x14ac:dyDescent="0.25">
      <c r="A254" s="50" t="s">
        <v>246</v>
      </c>
      <c r="B254" s="4">
        <v>0</v>
      </c>
      <c r="C254" s="4">
        <v>0</v>
      </c>
      <c r="D254" s="4">
        <v>0</v>
      </c>
      <c r="E254" s="4">
        <v>0</v>
      </c>
      <c r="F254" s="4">
        <v>0</v>
      </c>
      <c r="G254" s="4">
        <v>0</v>
      </c>
      <c r="H254" s="4">
        <v>0</v>
      </c>
      <c r="I254" s="4">
        <v>0</v>
      </c>
      <c r="J254" s="4">
        <v>0</v>
      </c>
      <c r="K254" s="4">
        <v>0</v>
      </c>
      <c r="L254" s="4">
        <v>0</v>
      </c>
      <c r="M254" s="4">
        <v>0</v>
      </c>
      <c r="N254" s="4">
        <v>0</v>
      </c>
      <c r="O254" s="4">
        <v>0</v>
      </c>
      <c r="P254" s="4">
        <v>0</v>
      </c>
      <c r="Q254" s="4">
        <v>0</v>
      </c>
      <c r="R254" s="4">
        <v>0</v>
      </c>
      <c r="S254" s="4">
        <v>0</v>
      </c>
      <c r="T254" s="4">
        <v>0</v>
      </c>
      <c r="U254" s="4">
        <v>0</v>
      </c>
      <c r="V254" s="4">
        <v>0</v>
      </c>
      <c r="W254" s="4">
        <v>0</v>
      </c>
      <c r="X254" s="4">
        <v>0</v>
      </c>
      <c r="Y254" s="4">
        <v>0</v>
      </c>
      <c r="Z254" s="4">
        <v>0</v>
      </c>
      <c r="AA254" s="4">
        <v>0</v>
      </c>
      <c r="AB254" s="4">
        <v>0</v>
      </c>
      <c r="AC254" s="4">
        <v>0</v>
      </c>
      <c r="AD254" s="4">
        <v>0</v>
      </c>
      <c r="AE254" s="4">
        <v>0</v>
      </c>
      <c r="AF254" s="51">
        <v>9.84816429614663E-6</v>
      </c>
      <c r="AG254" s="51">
        <v>1.0009958324964039E-5</v>
      </c>
      <c r="AH254" s="51">
        <v>1.0174410443855271E-5</v>
      </c>
      <c r="AI254" s="51">
        <v>1.0341564322187436E-5</v>
      </c>
      <c r="AJ254" s="51">
        <v>1.0511464346765191E-5</v>
      </c>
      <c r="AK254" s="51">
        <v>1.0684155633617415E-5</v>
      </c>
      <c r="AL254" s="51">
        <v>1.0859684039977526E-5</v>
      </c>
      <c r="AM254" s="51">
        <v>1.1038096176460623E-5</v>
      </c>
      <c r="AN254" s="51">
        <v>1.1219439419440676E-5</v>
      </c>
      <c r="AO254" s="51">
        <v>1.1403761923631068E-5</v>
      </c>
      <c r="AP254" s="51">
        <v>1.1591112634871817E-5</v>
      </c>
      <c r="AQ254" s="51">
        <v>1.1781541303126881E-5</v>
      </c>
      <c r="AR254" s="51">
        <v>1.1975098495694986E-5</v>
      </c>
      <c r="AS254" s="51">
        <v>1.2171835610637502E-5</v>
      </c>
      <c r="AT254" s="51">
        <v>1.2371804890426914E-5</v>
      </c>
      <c r="AU254" s="51">
        <v>1.2575059435819531E-5</v>
      </c>
      <c r="AV254" s="51">
        <v>1.2724778690981422E-5</v>
      </c>
      <c r="AW254" s="51">
        <v>1.2876280510709358E-5</v>
      </c>
      <c r="AX254" s="51">
        <v>1.3029586118301768E-5</v>
      </c>
      <c r="AY254" s="51">
        <v>1.3184716989742672E-5</v>
      </c>
      <c r="AZ254" s="51">
        <v>1.3341694856710182E-5</v>
      </c>
      <c r="BA254" s="51">
        <v>1.3500541709620797E-5</v>
      </c>
      <c r="BB254" s="51">
        <v>1.3661279800709966E-5</v>
      </c>
      <c r="BC254" s="51">
        <v>1.3823931647149304E-5</v>
      </c>
      <c r="BD254" s="51">
        <v>1.3988520034200947E-5</v>
      </c>
      <c r="BE254" s="51">
        <v>1.4155068018409441E-5</v>
      </c>
      <c r="BF254" s="51">
        <v>1.4323598930831649E-5</v>
      </c>
      <c r="BG254" s="51">
        <v>1.4494136380305104E-5</v>
      </c>
      <c r="BH254" s="51">
        <v>1.4666704256755281E-5</v>
      </c>
      <c r="BI254" s="51">
        <v>1.4841326734542243E-5</v>
      </c>
      <c r="BJ254" s="51">
        <v>1.5018028275847132E-5</v>
      </c>
      <c r="BK254" s="51">
        <v>1.5196833634098983E-5</v>
      </c>
      <c r="BL254" s="51">
        <v>1.5377767857442332E-5</v>
      </c>
      <c r="BM254" s="51">
        <v>1.5560856292246115E-5</v>
      </c>
      <c r="BN254" s="51">
        <v>1.5746124586654335E-5</v>
      </c>
      <c r="BO254" s="51">
        <v>1.5933598694179025E-5</v>
      </c>
      <c r="BP254" s="51">
        <v>1.6123304877335964E-5</v>
      </c>
      <c r="BQ254" s="51">
        <v>1.6315269711323685E-5</v>
      </c>
      <c r="BR254" s="51">
        <v>1.6509520087746301E-5</v>
      </c>
      <c r="BS254" s="51">
        <v>1.6706083218380645E-5</v>
      </c>
      <c r="BT254" s="51">
        <v>1.6904986638988255E-5</v>
      </c>
      <c r="BU254" s="51">
        <v>1.7106258213172752E-5</v>
      </c>
      <c r="BV254" s="51">
        <v>1.7309926136283152E-5</v>
      </c>
      <c r="BW254" s="51">
        <v>1.751601893936363E-5</v>
      </c>
      <c r="BX254" s="51">
        <v>1.7724565493150331E-5</v>
      </c>
      <c r="BY254" s="51">
        <v>1.7935595012115754E-5</v>
      </c>
      <c r="BZ254" s="51">
        <v>1.81491370585613E-5</v>
      </c>
      <c r="CA254" s="51">
        <v>1.8365221546758533E-5</v>
      </c>
      <c r="CB254" s="51">
        <v>1.8583878747139756E-5</v>
      </c>
      <c r="CC254" s="51">
        <v>1.8805139290538478E-5</v>
      </c>
      <c r="CD254" s="51">
        <v>1.9029034172480364E-5</v>
      </c>
      <c r="CE254" s="51">
        <v>1.9255594757525284E-5</v>
      </c>
      <c r="CF254" s="51">
        <v>1.9484852783661048E-5</v>
      </c>
      <c r="CG254" s="51">
        <v>1.9716840366749454E-5</v>
      </c>
      <c r="CH254" s="51">
        <v>1.9951590005025277E-5</v>
      </c>
      <c r="CI254" s="51">
        <v>2.0189134583648824E-5</v>
      </c>
      <c r="CJ254" s="51">
        <v>2.0429507379312678E-5</v>
      </c>
      <c r="CK254" s="51">
        <v>2.0672742064903308E-5</v>
      </c>
      <c r="CL254" s="51">
        <v>2.0918872714218165E-5</v>
      </c>
      <c r="CM254" s="51">
        <v>2.1167933806738958E-5</v>
      </c>
    </row>
    <row r="255" spans="1:91" s="50" customFormat="1" x14ac:dyDescent="0.25">
      <c r="A255" s="50" t="s">
        <v>1</v>
      </c>
      <c r="B255" s="4">
        <v>0</v>
      </c>
      <c r="C255" s="4">
        <v>0</v>
      </c>
      <c r="D255" s="4">
        <v>0</v>
      </c>
      <c r="E255" s="4">
        <v>0</v>
      </c>
      <c r="F255" s="4">
        <v>0</v>
      </c>
      <c r="G255" s="4">
        <v>0</v>
      </c>
      <c r="H255" s="4">
        <v>0</v>
      </c>
      <c r="I255" s="4">
        <v>0</v>
      </c>
      <c r="J255" s="4">
        <v>0</v>
      </c>
      <c r="K255" s="4">
        <v>0</v>
      </c>
      <c r="L255" s="4">
        <v>0</v>
      </c>
      <c r="M255" s="4">
        <v>0</v>
      </c>
      <c r="N255" s="4">
        <v>0</v>
      </c>
      <c r="O255" s="4">
        <v>0</v>
      </c>
      <c r="P255" s="4">
        <v>0</v>
      </c>
      <c r="Q255" s="4">
        <v>0</v>
      </c>
      <c r="R255" s="4">
        <v>0</v>
      </c>
      <c r="S255" s="4">
        <v>0</v>
      </c>
      <c r="T255" s="4">
        <v>0</v>
      </c>
      <c r="U255" s="4">
        <v>0</v>
      </c>
      <c r="V255" s="4">
        <v>0</v>
      </c>
      <c r="W255" s="4">
        <v>0</v>
      </c>
      <c r="X255" s="4">
        <v>0</v>
      </c>
      <c r="Y255" s="4">
        <v>0</v>
      </c>
      <c r="Z255" s="4">
        <v>0</v>
      </c>
      <c r="AA255" s="4">
        <v>0</v>
      </c>
      <c r="AB255" s="4">
        <v>0</v>
      </c>
      <c r="AC255" s="4">
        <v>0</v>
      </c>
      <c r="AD255" s="4">
        <v>0</v>
      </c>
      <c r="AE255" s="4">
        <v>0</v>
      </c>
      <c r="AF255" s="51">
        <v>7.4000000000000003E-6</v>
      </c>
      <c r="AG255" s="51">
        <v>8.4600000000000003E-6</v>
      </c>
      <c r="AH255" s="51">
        <v>9.5200000000000003E-6</v>
      </c>
      <c r="AI255" s="51">
        <v>1.058E-5</v>
      </c>
      <c r="AJ255" s="51">
        <v>1.164E-5</v>
      </c>
      <c r="AK255" s="51">
        <v>1.27E-5</v>
      </c>
      <c r="AL255" s="51">
        <v>1.376E-5</v>
      </c>
      <c r="AM255" s="51">
        <v>1.482E-5</v>
      </c>
      <c r="AN255" s="51">
        <v>1.588E-5</v>
      </c>
      <c r="AO255" s="51">
        <v>1.694E-5</v>
      </c>
      <c r="AP255" s="51">
        <v>1.8E-5</v>
      </c>
      <c r="AQ255" s="51">
        <v>1.906E-5</v>
      </c>
      <c r="AR255" s="51">
        <v>2.012E-5</v>
      </c>
      <c r="AS255" s="51">
        <v>2.1180000000000001E-5</v>
      </c>
      <c r="AT255" s="51">
        <v>2.2240000000000001E-5</v>
      </c>
      <c r="AU255" s="51">
        <v>2.3300000000000001E-5</v>
      </c>
      <c r="AV255" s="51">
        <v>2.3770833333333333E-5</v>
      </c>
      <c r="AW255" s="51">
        <v>2.4241666666666669E-5</v>
      </c>
      <c r="AX255" s="51">
        <v>2.4712500000000001E-5</v>
      </c>
      <c r="AY255" s="51">
        <v>2.5183333333333333E-5</v>
      </c>
      <c r="AZ255" s="51">
        <v>2.5654166666666669E-5</v>
      </c>
      <c r="BA255" s="51">
        <v>2.6125000000000001E-5</v>
      </c>
      <c r="BB255" s="51">
        <v>2.6595833333333334E-5</v>
      </c>
      <c r="BC255" s="51">
        <v>2.7066666666666666E-5</v>
      </c>
      <c r="BD255" s="51">
        <v>2.7537500000000002E-5</v>
      </c>
      <c r="BE255" s="51">
        <v>2.8008333333333334E-5</v>
      </c>
      <c r="BF255" s="51">
        <v>2.8479166666666667E-5</v>
      </c>
      <c r="BG255" s="51">
        <v>2.8949999999999999E-5</v>
      </c>
      <c r="BH255" s="51">
        <v>2.9420833333333335E-5</v>
      </c>
      <c r="BI255" s="51">
        <v>2.9891666666666667E-5</v>
      </c>
      <c r="BJ255" s="51">
        <v>3.0362499999999999E-5</v>
      </c>
      <c r="BK255" s="51">
        <v>3.0833333333333335E-5</v>
      </c>
      <c r="BL255" s="51">
        <v>3.1304166666666671E-5</v>
      </c>
      <c r="BM255" s="51">
        <v>3.1775E-5</v>
      </c>
      <c r="BN255" s="51">
        <v>3.2245833333333336E-5</v>
      </c>
      <c r="BO255" s="51">
        <v>3.2716666666666671E-5</v>
      </c>
      <c r="BP255" s="51">
        <v>3.31875E-5</v>
      </c>
      <c r="BQ255" s="51">
        <v>3.3658333333333336E-5</v>
      </c>
      <c r="BR255" s="51">
        <v>3.4129166666666672E-5</v>
      </c>
      <c r="BS255" s="51">
        <v>3.4600000000000001E-5</v>
      </c>
      <c r="BT255" s="51">
        <v>3.4830000000000004E-5</v>
      </c>
      <c r="BU255" s="51">
        <v>3.506E-5</v>
      </c>
      <c r="BV255" s="51">
        <v>3.5290000000000003E-5</v>
      </c>
      <c r="BW255" s="51">
        <v>3.5519999999999999E-5</v>
      </c>
      <c r="BX255" s="51">
        <v>3.5750000000000002E-5</v>
      </c>
      <c r="BY255" s="51">
        <v>3.5980000000000004E-5</v>
      </c>
      <c r="BZ255" s="51">
        <v>3.6210000000000001E-5</v>
      </c>
      <c r="CA255" s="51">
        <v>3.6440000000000003E-5</v>
      </c>
      <c r="CB255" s="51">
        <v>3.667E-5</v>
      </c>
      <c r="CC255" s="51">
        <v>3.6900000000000002E-5</v>
      </c>
      <c r="CD255" s="51">
        <v>3.7130000000000005E-5</v>
      </c>
      <c r="CE255" s="51">
        <v>3.7360000000000001E-5</v>
      </c>
      <c r="CF255" s="51">
        <v>3.7590000000000004E-5</v>
      </c>
      <c r="CG255" s="51">
        <v>3.782E-5</v>
      </c>
      <c r="CH255" s="51">
        <v>3.8050000000000003E-5</v>
      </c>
      <c r="CI255" s="51">
        <v>3.8280000000000006E-5</v>
      </c>
      <c r="CJ255" s="51">
        <v>3.8510000000000002E-5</v>
      </c>
      <c r="CK255" s="51">
        <v>3.8740000000000005E-5</v>
      </c>
      <c r="CL255" s="51">
        <v>3.8970000000000001E-5</v>
      </c>
      <c r="CM255" s="51">
        <v>3.9200000000000004E-5</v>
      </c>
    </row>
    <row r="256" spans="1:91" s="50" customFormat="1" x14ac:dyDescent="0.25">
      <c r="A256" s="50" t="s">
        <v>2</v>
      </c>
      <c r="B256" s="4">
        <v>0</v>
      </c>
      <c r="C256" s="4">
        <v>0</v>
      </c>
      <c r="D256" s="4">
        <v>0</v>
      </c>
      <c r="E256" s="4">
        <v>0</v>
      </c>
      <c r="F256" s="4">
        <v>0</v>
      </c>
      <c r="G256" s="4">
        <v>0</v>
      </c>
      <c r="H256" s="4">
        <v>0</v>
      </c>
      <c r="I256" s="4">
        <v>0</v>
      </c>
      <c r="J256" s="4">
        <v>0</v>
      </c>
      <c r="K256" s="4">
        <v>0</v>
      </c>
      <c r="L256" s="4">
        <v>0</v>
      </c>
      <c r="M256" s="4">
        <v>0</v>
      </c>
      <c r="N256" s="4">
        <v>0</v>
      </c>
      <c r="O256" s="4">
        <v>0</v>
      </c>
      <c r="P256" s="4">
        <v>0</v>
      </c>
      <c r="Q256" s="4">
        <v>0</v>
      </c>
      <c r="R256" s="4">
        <v>0</v>
      </c>
      <c r="S256" s="4">
        <v>0</v>
      </c>
      <c r="T256" s="4">
        <v>0</v>
      </c>
      <c r="U256" s="4">
        <v>0</v>
      </c>
      <c r="V256" s="4">
        <v>0</v>
      </c>
      <c r="W256" s="4">
        <v>0</v>
      </c>
      <c r="X256" s="4">
        <v>0</v>
      </c>
      <c r="Y256" s="4">
        <v>0</v>
      </c>
      <c r="Z256" s="4">
        <v>0</v>
      </c>
      <c r="AA256" s="4">
        <v>0</v>
      </c>
      <c r="AB256" s="4">
        <v>0</v>
      </c>
      <c r="AC256" s="4">
        <v>0</v>
      </c>
      <c r="AD256" s="4">
        <v>0</v>
      </c>
      <c r="AE256" s="4">
        <v>0</v>
      </c>
      <c r="AF256" s="51">
        <v>1.1940938557522844E-5</v>
      </c>
      <c r="AG256" s="51">
        <v>1.2284916211443256E-5</v>
      </c>
      <c r="AH256" s="51">
        <v>1.2638802686670017E-5</v>
      </c>
      <c r="AI256" s="51">
        <v>1.3002883422500018E-5</v>
      </c>
      <c r="AJ256" s="51">
        <v>1.3377452080761334E-5</v>
      </c>
      <c r="AK256" s="51">
        <v>1.376281078267627E-5</v>
      </c>
      <c r="AL256" s="51">
        <v>1.4159270352547603E-5</v>
      </c>
      <c r="AM256" s="51">
        <v>1.4567150568464612E-5</v>
      </c>
      <c r="AN256" s="51">
        <v>1.4986780420231082E-5</v>
      </c>
      <c r="AO256" s="51">
        <v>1.5418498374723337E-5</v>
      </c>
      <c r="AP256" s="51">
        <v>1.5862652648892322E-5</v>
      </c>
      <c r="AQ256" s="51">
        <v>1.6319601490629962E-5</v>
      </c>
      <c r="AR256" s="51">
        <v>1.67897134677263E-5</v>
      </c>
      <c r="AS256" s="51">
        <v>1.7273367765150516E-5</v>
      </c>
      <c r="AT256" s="51">
        <v>1.7770954490895594E-5</v>
      </c>
      <c r="AU256" s="51">
        <v>1.8282874990633326E-5</v>
      </c>
      <c r="AV256" s="51">
        <v>1.8374289365586492E-5</v>
      </c>
      <c r="AW256" s="51">
        <v>1.8466160812414426E-5</v>
      </c>
      <c r="AX256" s="51">
        <v>1.8558491616476499E-5</v>
      </c>
      <c r="AY256" s="51">
        <v>1.8651284074558881E-5</v>
      </c>
      <c r="AZ256" s="51">
        <v>1.8744540494931674E-5</v>
      </c>
      <c r="BA256" s="51">
        <v>1.8838263197406332E-5</v>
      </c>
      <c r="BB256" s="51">
        <v>1.8932454513393364E-5</v>
      </c>
      <c r="BC256" s="51">
        <v>1.902711678596033E-5</v>
      </c>
      <c r="BD256" s="51">
        <v>1.912225236989013E-5</v>
      </c>
      <c r="BE256" s="51">
        <v>1.9217863631739581E-5</v>
      </c>
      <c r="BF256" s="51">
        <v>1.9313952949898279E-5</v>
      </c>
      <c r="BG256" s="51">
        <v>1.9410522714647769E-5</v>
      </c>
      <c r="BH256" s="51">
        <v>1.9507575328221009E-5</v>
      </c>
      <c r="BI256" s="51">
        <v>1.9605113204862113E-5</v>
      </c>
      <c r="BJ256" s="51">
        <v>1.9703138770886425E-5</v>
      </c>
      <c r="BK256" s="51">
        <v>1.9801654464740857E-5</v>
      </c>
      <c r="BL256" s="51">
        <v>1.9900662737064561E-5</v>
      </c>
      <c r="BM256" s="51">
        <v>2.0000166050749883E-5</v>
      </c>
      <c r="BN256" s="51">
        <v>2.0100166881003632E-5</v>
      </c>
      <c r="BO256" s="51">
        <v>2.020066771540865E-5</v>
      </c>
      <c r="BP256" s="51">
        <v>2.0301671053985692E-5</v>
      </c>
      <c r="BQ256" s="51">
        <v>2.0403179409255621E-5</v>
      </c>
      <c r="BR256" s="51">
        <v>2.0505195306301901E-5</v>
      </c>
      <c r="BS256" s="51">
        <v>2.0607721282833412E-5</v>
      </c>
      <c r="BT256" s="51">
        <v>2.0710759889247578E-5</v>
      </c>
      <c r="BU256" s="51">
        <v>2.0814313688693816E-5</v>
      </c>
      <c r="BV256" s="51">
        <v>2.0918385257137287E-5</v>
      </c>
      <c r="BW256" s="51">
        <v>2.1022977183422974E-5</v>
      </c>
      <c r="BX256" s="51">
        <v>2.1128092069340089E-5</v>
      </c>
      <c r="BY256" s="51">
        <v>2.1233732529686789E-5</v>
      </c>
      <c r="BZ256" s="51">
        <v>2.1339901192335224E-5</v>
      </c>
      <c r="CA256" s="51">
        <v>2.1446600698296902E-5</v>
      </c>
      <c r="CB256" s="51">
        <v>2.1553833701788386E-5</v>
      </c>
      <c r="CC256" s="51">
        <v>2.1661602870297329E-5</v>
      </c>
      <c r="CD256" s="51">
        <v>2.1769910884648817E-5</v>
      </c>
      <c r="CE256" s="51">
        <v>2.1878760439072059E-5</v>
      </c>
      <c r="CF256" s="51">
        <v>2.1988154241267419E-5</v>
      </c>
      <c r="CG256" s="51">
        <v>2.2098095012473757E-5</v>
      </c>
      <c r="CH256" s="51">
        <v>2.2208585487536127E-5</v>
      </c>
      <c r="CI256" s="51">
        <v>2.2319628414973806E-5</v>
      </c>
      <c r="CJ256" s="51">
        <v>2.2431226557048674E-5</v>
      </c>
      <c r="CK256" s="51">
        <v>2.2543382689833918E-5</v>
      </c>
      <c r="CL256" s="51">
        <v>2.2656099603283088E-5</v>
      </c>
      <c r="CM256" s="51">
        <v>2.2769380101299504E-5</v>
      </c>
    </row>
    <row r="257" spans="1:91" s="50" customFormat="1" x14ac:dyDescent="0.25">
      <c r="A257" s="50" t="s">
        <v>2</v>
      </c>
      <c r="B257" s="4">
        <v>0</v>
      </c>
      <c r="C257" s="4">
        <v>0</v>
      </c>
      <c r="D257" s="4">
        <v>0</v>
      </c>
      <c r="E257" s="4">
        <v>0</v>
      </c>
      <c r="F257" s="4">
        <v>0</v>
      </c>
      <c r="G257" s="4">
        <v>0</v>
      </c>
      <c r="H257" s="4">
        <v>0</v>
      </c>
      <c r="I257" s="4">
        <v>0</v>
      </c>
      <c r="J257" s="4">
        <v>0</v>
      </c>
      <c r="K257" s="4">
        <v>0</v>
      </c>
      <c r="L257" s="4">
        <v>0</v>
      </c>
      <c r="M257" s="4">
        <v>0</v>
      </c>
      <c r="N257" s="4">
        <v>0</v>
      </c>
      <c r="O257" s="4">
        <v>0</v>
      </c>
      <c r="P257" s="4">
        <v>0</v>
      </c>
      <c r="Q257" s="4">
        <v>0</v>
      </c>
      <c r="R257" s="4">
        <v>0</v>
      </c>
      <c r="S257" s="4">
        <v>0</v>
      </c>
      <c r="T257" s="4">
        <v>0</v>
      </c>
      <c r="U257" s="4">
        <v>0</v>
      </c>
      <c r="V257" s="4">
        <v>0</v>
      </c>
      <c r="W257" s="4">
        <v>0</v>
      </c>
      <c r="X257" s="4">
        <v>0</v>
      </c>
      <c r="Y257" s="4">
        <v>0</v>
      </c>
      <c r="Z257" s="4">
        <v>0</v>
      </c>
      <c r="AA257" s="4">
        <v>0</v>
      </c>
      <c r="AB257" s="4">
        <v>0</v>
      </c>
      <c r="AC257" s="4">
        <v>0</v>
      </c>
      <c r="AD257" s="4">
        <v>0</v>
      </c>
      <c r="AE257" s="4">
        <v>0</v>
      </c>
      <c r="AF257" s="51">
        <v>5.7536459922360531E-6</v>
      </c>
      <c r="AG257" s="51">
        <v>6.088514277498469E-6</v>
      </c>
      <c r="AH257" s="51">
        <v>6.4428722513211314E-6</v>
      </c>
      <c r="AI257" s="51">
        <v>6.8178542342022556E-6</v>
      </c>
      <c r="AJ257" s="51">
        <v>7.2146605652933924E-6</v>
      </c>
      <c r="AK257" s="51">
        <v>7.6345614447549131E-6</v>
      </c>
      <c r="AL257" s="51">
        <v>8.0789009997406479E-6</v>
      </c>
      <c r="AM257" s="51">
        <v>8.5491015870271414E-6</v>
      </c>
      <c r="AN257" s="51">
        <v>9.0466683460604674E-6</v>
      </c>
      <c r="AO257" s="51">
        <v>9.5731940169952031E-6</v>
      </c>
      <c r="AP257" s="51">
        <v>1.0130364039148364E-5</v>
      </c>
      <c r="AQ257" s="51">
        <v>1.0719961946188746E-5</v>
      </c>
      <c r="AR257" s="51">
        <v>1.1343875075332007E-5</v>
      </c>
      <c r="AS257" s="51">
        <v>1.2004100608816938E-5</v>
      </c>
      <c r="AT257" s="51">
        <v>1.2702751967002049E-5</v>
      </c>
      <c r="AU257" s="51">
        <v>1.3442065573547143E-5</v>
      </c>
      <c r="AV257" s="51">
        <v>1.364369655715035E-5</v>
      </c>
      <c r="AW257" s="51">
        <v>1.3848352005507605E-5</v>
      </c>
      <c r="AX257" s="51">
        <v>1.4056077285590219E-5</v>
      </c>
      <c r="AY257" s="51">
        <v>1.4266918444874072E-5</v>
      </c>
      <c r="AZ257" s="51">
        <v>1.4480922221547184E-5</v>
      </c>
      <c r="BA257" s="51">
        <v>1.4698136054870392E-5</v>
      </c>
      <c r="BB257" s="51">
        <v>1.4918608095693447E-5</v>
      </c>
      <c r="BC257" s="51">
        <v>1.514238721712885E-5</v>
      </c>
      <c r="BD257" s="51">
        <v>1.5369523025385783E-5</v>
      </c>
      <c r="BE257" s="51">
        <v>1.5600065870766571E-5</v>
      </c>
      <c r="BF257" s="51">
        <v>1.5834066858828069E-5</v>
      </c>
      <c r="BG257" s="51">
        <v>1.6071577861710491E-5</v>
      </c>
      <c r="BH257" s="51">
        <v>1.6312651529636149E-5</v>
      </c>
      <c r="BI257" s="51">
        <v>1.6557341302580691E-5</v>
      </c>
      <c r="BJ257" s="51">
        <v>1.6805701422119401E-5</v>
      </c>
      <c r="BK257" s="51">
        <v>1.7057786943451192E-5</v>
      </c>
      <c r="BL257" s="51">
        <v>1.731365374760296E-5</v>
      </c>
      <c r="BM257" s="51">
        <v>1.7573358553817004E-5</v>
      </c>
      <c r="BN257" s="51">
        <v>1.7836958932124258E-5</v>
      </c>
      <c r="BO257" s="51">
        <v>1.8104513316106121E-5</v>
      </c>
      <c r="BP257" s="51">
        <v>1.8376081015847712E-5</v>
      </c>
      <c r="BQ257" s="51">
        <v>1.8651722231085428E-5</v>
      </c>
      <c r="BR257" s="51">
        <v>1.8931498064551708E-5</v>
      </c>
      <c r="BS257" s="51">
        <v>1.9215470535519983E-5</v>
      </c>
      <c r="BT257" s="51">
        <v>1.9503702593552781E-5</v>
      </c>
      <c r="BU257" s="51">
        <v>1.9796258132456072E-5</v>
      </c>
      <c r="BV257" s="51">
        <v>2.0093202004442913E-5</v>
      </c>
      <c r="BW257" s="51">
        <v>2.0394600034509555E-5</v>
      </c>
      <c r="BX257" s="51">
        <v>2.0700519035027199E-5</v>
      </c>
      <c r="BY257" s="51">
        <v>2.1011026820552607E-5</v>
      </c>
      <c r="BZ257" s="51">
        <v>2.1326192222860898E-5</v>
      </c>
      <c r="CA257" s="51">
        <v>2.1646085106203812E-5</v>
      </c>
      <c r="CB257" s="51">
        <v>2.197077638279687E-5</v>
      </c>
      <c r="CC257" s="51">
        <v>2.2300338028538821E-5</v>
      </c>
      <c r="CD257" s="51">
        <v>2.2634843098966902E-5</v>
      </c>
      <c r="CE257" s="51">
        <v>2.2974365745451405E-5</v>
      </c>
      <c r="CF257" s="51">
        <v>2.3318981231633177E-5</v>
      </c>
      <c r="CG257" s="51">
        <v>2.3668765950107675E-5</v>
      </c>
      <c r="CH257" s="51">
        <v>2.402379743935929E-5</v>
      </c>
      <c r="CI257" s="51">
        <v>2.438415440094968E-5</v>
      </c>
      <c r="CJ257" s="51">
        <v>2.4749916716963925E-5</v>
      </c>
      <c r="CK257" s="51">
        <v>2.5121165467718383E-5</v>
      </c>
      <c r="CL257" s="51">
        <v>2.549798294973416E-5</v>
      </c>
      <c r="CM257" s="51">
        <v>2.5880452693980171E-5</v>
      </c>
    </row>
    <row r="258" spans="1:91" s="50" customFormat="1" x14ac:dyDescent="0.25">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91" s="50" customFormat="1" x14ac:dyDescent="0.25">
      <c r="A259" s="50" t="s">
        <v>247</v>
      </c>
      <c r="B259" s="4">
        <v>0</v>
      </c>
      <c r="C259" s="4">
        <v>0</v>
      </c>
      <c r="D259" s="4">
        <v>0</v>
      </c>
      <c r="E259" s="4">
        <v>0</v>
      </c>
      <c r="F259" s="4">
        <v>0</v>
      </c>
      <c r="G259" s="4">
        <v>0</v>
      </c>
      <c r="H259" s="4">
        <v>0</v>
      </c>
      <c r="I259" s="4">
        <v>0</v>
      </c>
      <c r="J259" s="4">
        <v>0</v>
      </c>
      <c r="K259" s="4">
        <v>0</v>
      </c>
      <c r="L259" s="4">
        <v>0</v>
      </c>
      <c r="M259" s="4">
        <v>0</v>
      </c>
      <c r="N259" s="4">
        <v>0</v>
      </c>
      <c r="O259" s="4">
        <v>0</v>
      </c>
      <c r="P259" s="4">
        <v>0</v>
      </c>
      <c r="Q259" s="4">
        <v>0</v>
      </c>
      <c r="R259" s="4">
        <v>0</v>
      </c>
      <c r="S259" s="4">
        <v>0</v>
      </c>
      <c r="T259" s="4">
        <v>0</v>
      </c>
      <c r="U259" s="4">
        <v>0</v>
      </c>
      <c r="V259" s="4">
        <v>0</v>
      </c>
      <c r="W259" s="4">
        <v>0</v>
      </c>
      <c r="X259" s="4">
        <v>0</v>
      </c>
      <c r="Y259" s="4">
        <v>0</v>
      </c>
      <c r="Z259" s="4">
        <v>0</v>
      </c>
      <c r="AA259" s="4">
        <v>0</v>
      </c>
      <c r="AB259" s="4">
        <v>0</v>
      </c>
      <c r="AC259" s="4">
        <v>0</v>
      </c>
      <c r="AD259" s="4">
        <v>0</v>
      </c>
      <c r="AE259" s="4">
        <v>0</v>
      </c>
      <c r="AF259" s="51">
        <v>3.961367013372957E-5</v>
      </c>
      <c r="AG259" s="51">
        <v>3.9475482912332841E-5</v>
      </c>
      <c r="AH259" s="51">
        <v>3.9337295690936105E-5</v>
      </c>
      <c r="AI259" s="51">
        <v>3.9199108469539376E-5</v>
      </c>
      <c r="AJ259" s="51">
        <v>3.9060921248142647E-5</v>
      </c>
      <c r="AK259" s="51">
        <v>3.8922734026745911E-5</v>
      </c>
      <c r="AL259" s="51">
        <v>3.8784546805349182E-5</v>
      </c>
      <c r="AM259" s="51">
        <v>3.8646359583952453E-5</v>
      </c>
      <c r="AN259" s="51">
        <v>3.8508172362555718E-5</v>
      </c>
      <c r="AO259" s="51">
        <v>3.8369985141158989E-5</v>
      </c>
      <c r="AP259" s="51">
        <v>3.823179791976226E-5</v>
      </c>
      <c r="AQ259" s="51">
        <v>3.8093610698365524E-5</v>
      </c>
      <c r="AR259" s="51">
        <v>3.7955423476968795E-5</v>
      </c>
      <c r="AS259" s="51">
        <v>3.7817236255572066E-5</v>
      </c>
      <c r="AT259" s="51">
        <v>3.767904903417533E-5</v>
      </c>
      <c r="AU259" s="51">
        <v>3.7540861812778601E-5</v>
      </c>
      <c r="AV259" s="51">
        <v>3.7763153098092002E-5</v>
      </c>
      <c r="AW259" s="51">
        <v>3.7985444383405395E-5</v>
      </c>
      <c r="AX259" s="51">
        <v>3.8207735668718796E-5</v>
      </c>
      <c r="AY259" s="51">
        <v>3.843002695403219E-5</v>
      </c>
      <c r="AZ259" s="51">
        <v>3.865231823934559E-5</v>
      </c>
      <c r="BA259" s="51">
        <v>3.8874609524658984E-5</v>
      </c>
      <c r="BB259" s="51">
        <v>3.9096900809972384E-5</v>
      </c>
      <c r="BC259" s="51">
        <v>3.9319192095285778E-5</v>
      </c>
      <c r="BD259" s="51">
        <v>3.9541483380599179E-5</v>
      </c>
      <c r="BE259" s="51">
        <v>3.9763774665912572E-5</v>
      </c>
      <c r="BF259" s="51">
        <v>3.9986065951225973E-5</v>
      </c>
      <c r="BG259" s="51">
        <v>4.0208357236539373E-5</v>
      </c>
      <c r="BH259" s="51">
        <v>4.0430648521852767E-5</v>
      </c>
      <c r="BI259" s="51">
        <v>4.0652939807166168E-5</v>
      </c>
      <c r="BJ259" s="51">
        <v>4.0875231092479561E-5</v>
      </c>
      <c r="BK259" s="51">
        <v>4.1097522377792962E-5</v>
      </c>
      <c r="BL259" s="51">
        <v>4.1319813663106356E-5</v>
      </c>
      <c r="BM259" s="51">
        <v>4.1542104948419756E-5</v>
      </c>
      <c r="BN259" s="51">
        <v>4.176439623373315E-5</v>
      </c>
      <c r="BO259" s="51">
        <v>4.198668751904655E-5</v>
      </c>
      <c r="BP259" s="51">
        <v>4.2208978804359944E-5</v>
      </c>
      <c r="BQ259" s="51">
        <v>4.2431270089673345E-5</v>
      </c>
      <c r="BR259" s="51">
        <v>4.2653561374986738E-5</v>
      </c>
      <c r="BS259" s="51">
        <v>4.2875852660300139E-5</v>
      </c>
      <c r="BT259" s="51">
        <v>4.280968622100955E-5</v>
      </c>
      <c r="BU259" s="51">
        <v>4.2743519781718962E-5</v>
      </c>
      <c r="BV259" s="51">
        <v>4.267735334242838E-5</v>
      </c>
      <c r="BW259" s="51">
        <v>4.2611186903137792E-5</v>
      </c>
      <c r="BX259" s="51">
        <v>4.2545020463847204E-5</v>
      </c>
      <c r="BY259" s="51">
        <v>4.2478854024556622E-5</v>
      </c>
      <c r="BZ259" s="51">
        <v>4.2412687585266033E-5</v>
      </c>
      <c r="CA259" s="51">
        <v>4.2346521145975445E-5</v>
      </c>
      <c r="CB259" s="51">
        <v>4.2280354706684857E-5</v>
      </c>
      <c r="CC259" s="51">
        <v>4.2214188267394268E-5</v>
      </c>
      <c r="CD259" s="51">
        <v>4.2148021828103686E-5</v>
      </c>
      <c r="CE259" s="51">
        <v>4.2081855388813098E-5</v>
      </c>
      <c r="CF259" s="51">
        <v>4.201568894952251E-5</v>
      </c>
      <c r="CG259" s="51">
        <v>4.1949522510231928E-5</v>
      </c>
      <c r="CH259" s="51">
        <v>4.188335607094134E-5</v>
      </c>
      <c r="CI259" s="51">
        <v>4.1817189631650751E-5</v>
      </c>
      <c r="CJ259" s="51">
        <v>4.1751023192360163E-5</v>
      </c>
      <c r="CK259" s="51">
        <v>4.1684856753069574E-5</v>
      </c>
      <c r="CL259" s="51">
        <v>4.1618690313778993E-5</v>
      </c>
      <c r="CM259" s="51">
        <v>4.1552523874488404E-5</v>
      </c>
    </row>
    <row r="260" spans="1:91" s="50" customFormat="1" x14ac:dyDescent="0.25">
      <c r="A260" s="50" t="s">
        <v>1</v>
      </c>
      <c r="B260" s="4">
        <v>0</v>
      </c>
      <c r="C260" s="4">
        <v>0</v>
      </c>
      <c r="D260" s="4">
        <v>0</v>
      </c>
      <c r="E260" s="4">
        <v>0</v>
      </c>
      <c r="F260" s="4">
        <v>0</v>
      </c>
      <c r="G260" s="4">
        <v>0</v>
      </c>
      <c r="H260" s="4">
        <v>0</v>
      </c>
      <c r="I260" s="4">
        <v>0</v>
      </c>
      <c r="J260" s="4">
        <v>0</v>
      </c>
      <c r="K260" s="4">
        <v>0</v>
      </c>
      <c r="L260" s="4">
        <v>0</v>
      </c>
      <c r="M260" s="4">
        <v>0</v>
      </c>
      <c r="N260" s="4">
        <v>0</v>
      </c>
      <c r="O260" s="4">
        <v>0</v>
      </c>
      <c r="P260" s="4">
        <v>0</v>
      </c>
      <c r="Q260" s="4">
        <v>0</v>
      </c>
      <c r="R260" s="4">
        <v>0</v>
      </c>
      <c r="S260" s="4">
        <v>0</v>
      </c>
      <c r="T260" s="4">
        <v>0</v>
      </c>
      <c r="U260" s="4">
        <v>0</v>
      </c>
      <c r="V260" s="4">
        <v>0</v>
      </c>
      <c r="W260" s="4">
        <v>0</v>
      </c>
      <c r="X260" s="4">
        <v>0</v>
      </c>
      <c r="Y260" s="4">
        <v>0</v>
      </c>
      <c r="Z260" s="4">
        <v>0</v>
      </c>
      <c r="AA260" s="4">
        <v>0</v>
      </c>
      <c r="AB260" s="4">
        <v>0</v>
      </c>
      <c r="AC260" s="4">
        <v>0</v>
      </c>
      <c r="AD260" s="4">
        <v>0</v>
      </c>
      <c r="AE260" s="4">
        <v>0</v>
      </c>
      <c r="AF260" s="51">
        <v>5.6736998514115901E-5</v>
      </c>
      <c r="AG260" s="51">
        <v>5.6539078751857359E-5</v>
      </c>
      <c r="AH260" s="51">
        <v>5.6341158989598811E-5</v>
      </c>
      <c r="AI260" s="51">
        <v>5.614323922734027E-5</v>
      </c>
      <c r="AJ260" s="51">
        <v>5.5945319465081722E-5</v>
      </c>
      <c r="AK260" s="51">
        <v>5.5747399702823181E-5</v>
      </c>
      <c r="AL260" s="51">
        <v>5.5549479940564639E-5</v>
      </c>
      <c r="AM260" s="51">
        <v>5.5351560178306091E-5</v>
      </c>
      <c r="AN260" s="51">
        <v>5.515364041604755E-5</v>
      </c>
      <c r="AO260" s="51">
        <v>5.4955720653789002E-5</v>
      </c>
      <c r="AP260" s="51">
        <v>5.4757800891530461E-5</v>
      </c>
      <c r="AQ260" s="51">
        <v>5.4559881129271919E-5</v>
      </c>
      <c r="AR260" s="51">
        <v>5.4361961367013371E-5</v>
      </c>
      <c r="AS260" s="51">
        <v>5.416404160475483E-5</v>
      </c>
      <c r="AT260" s="51">
        <v>5.3966121842496282E-5</v>
      </c>
      <c r="AU260" s="51">
        <v>5.3768202080237741E-5</v>
      </c>
      <c r="AV260" s="51">
        <v>5.3599824856226013E-5</v>
      </c>
      <c r="AW260" s="51">
        <v>5.3431447632214292E-5</v>
      </c>
      <c r="AX260" s="51">
        <v>5.3263070408202565E-5</v>
      </c>
      <c r="AY260" s="51">
        <v>5.3094693184190837E-5</v>
      </c>
      <c r="AZ260" s="51">
        <v>5.2926315960179117E-5</v>
      </c>
      <c r="BA260" s="51">
        <v>5.2757938736167389E-5</v>
      </c>
      <c r="BB260" s="51">
        <v>5.2589561512155668E-5</v>
      </c>
      <c r="BC260" s="51">
        <v>5.2421184288143941E-5</v>
      </c>
      <c r="BD260" s="51">
        <v>5.2252807064132213E-5</v>
      </c>
      <c r="BE260" s="51">
        <v>5.2084429840120493E-5</v>
      </c>
      <c r="BF260" s="51">
        <v>5.1916052616108765E-5</v>
      </c>
      <c r="BG260" s="51">
        <v>5.1747675392097044E-5</v>
      </c>
      <c r="BH260" s="51">
        <v>5.1579298168085317E-5</v>
      </c>
      <c r="BI260" s="51">
        <v>5.1410920944073589E-5</v>
      </c>
      <c r="BJ260" s="51">
        <v>5.1242543720061869E-5</v>
      </c>
      <c r="BK260" s="51">
        <v>5.1074166496050141E-5</v>
      </c>
      <c r="BL260" s="51">
        <v>5.0905789272038414E-5</v>
      </c>
      <c r="BM260" s="51">
        <v>5.0737412048026693E-5</v>
      </c>
      <c r="BN260" s="51">
        <v>5.0569034824014965E-5</v>
      </c>
      <c r="BO260" s="51">
        <v>5.0400657600003238E-5</v>
      </c>
      <c r="BP260" s="51">
        <v>5.0232280375991517E-5</v>
      </c>
      <c r="BQ260" s="51">
        <v>5.006390315197979E-5</v>
      </c>
      <c r="BR260" s="51">
        <v>4.9895525927968069E-5</v>
      </c>
      <c r="BS260" s="51">
        <v>4.9727148703956341E-5</v>
      </c>
      <c r="BT260" s="51">
        <v>4.9650409276944062E-5</v>
      </c>
      <c r="BU260" s="51">
        <v>4.9573669849931783E-5</v>
      </c>
      <c r="BV260" s="51">
        <v>4.9496930422919504E-5</v>
      </c>
      <c r="BW260" s="51">
        <v>4.9420190995907225E-5</v>
      </c>
      <c r="BX260" s="51">
        <v>4.9343451568894953E-5</v>
      </c>
      <c r="BY260" s="51">
        <v>4.9266712141882674E-5</v>
      </c>
      <c r="BZ260" s="51">
        <v>4.9189972714870395E-5</v>
      </c>
      <c r="CA260" s="51">
        <v>4.9113233287858116E-5</v>
      </c>
      <c r="CB260" s="51">
        <v>4.9036493860845837E-5</v>
      </c>
      <c r="CC260" s="51">
        <v>4.8959754433833558E-5</v>
      </c>
      <c r="CD260" s="51">
        <v>4.8883015006821279E-5</v>
      </c>
      <c r="CE260" s="51">
        <v>4.8806275579809E-5</v>
      </c>
      <c r="CF260" s="51">
        <v>4.8729536152796721E-5</v>
      </c>
      <c r="CG260" s="51">
        <v>4.8652796725784442E-5</v>
      </c>
      <c r="CH260" s="51">
        <v>4.8576057298772163E-5</v>
      </c>
      <c r="CI260" s="51">
        <v>4.849931787175989E-5</v>
      </c>
      <c r="CJ260" s="51">
        <v>4.8422578444747611E-5</v>
      </c>
      <c r="CK260" s="51">
        <v>4.8345839017735332E-5</v>
      </c>
      <c r="CL260" s="51">
        <v>4.8269099590723053E-5</v>
      </c>
      <c r="CM260" s="51">
        <v>4.8192360163710774E-5</v>
      </c>
    </row>
    <row r="261" spans="1:91" s="50" customFormat="1" x14ac:dyDescent="0.25">
      <c r="A261" s="50" t="s">
        <v>1</v>
      </c>
      <c r="B261" s="4">
        <v>0</v>
      </c>
      <c r="C261" s="4">
        <v>0</v>
      </c>
      <c r="D261" s="4">
        <v>0</v>
      </c>
      <c r="E261" s="4">
        <v>0</v>
      </c>
      <c r="F261" s="4">
        <v>0</v>
      </c>
      <c r="G261" s="4">
        <v>0</v>
      </c>
      <c r="H261" s="4">
        <v>0</v>
      </c>
      <c r="I261" s="4">
        <v>0</v>
      </c>
      <c r="J261" s="4">
        <v>0</v>
      </c>
      <c r="K261" s="4">
        <v>0</v>
      </c>
      <c r="L261" s="4">
        <v>0</v>
      </c>
      <c r="M261" s="4">
        <v>0</v>
      </c>
      <c r="N261" s="4">
        <v>0</v>
      </c>
      <c r="O261" s="4">
        <v>0</v>
      </c>
      <c r="P261" s="4">
        <v>0</v>
      </c>
      <c r="Q261" s="4">
        <v>0</v>
      </c>
      <c r="R261" s="4">
        <v>0</v>
      </c>
      <c r="S261" s="4">
        <v>0</v>
      </c>
      <c r="T261" s="4">
        <v>0</v>
      </c>
      <c r="U261" s="4">
        <v>0</v>
      </c>
      <c r="V261" s="4">
        <v>0</v>
      </c>
      <c r="W261" s="4">
        <v>0</v>
      </c>
      <c r="X261" s="4">
        <v>0</v>
      </c>
      <c r="Y261" s="4">
        <v>0</v>
      </c>
      <c r="Z261" s="4">
        <v>0</v>
      </c>
      <c r="AA261" s="4">
        <v>0</v>
      </c>
      <c r="AB261" s="4">
        <v>0</v>
      </c>
      <c r="AC261" s="4">
        <v>0</v>
      </c>
      <c r="AD261" s="4">
        <v>0</v>
      </c>
      <c r="AE261" s="4">
        <v>0</v>
      </c>
      <c r="AF261" s="51">
        <v>4.0380386329866274E-5</v>
      </c>
      <c r="AG261" s="51">
        <v>4.0239524517087674E-5</v>
      </c>
      <c r="AH261" s="51">
        <v>4.0098662704309067E-5</v>
      </c>
      <c r="AI261" s="51">
        <v>3.9957800891530467E-5</v>
      </c>
      <c r="AJ261" s="51">
        <v>3.981693907875186E-5</v>
      </c>
      <c r="AK261" s="51">
        <v>3.967607726597326E-5</v>
      </c>
      <c r="AL261" s="51">
        <v>3.9535215453194653E-5</v>
      </c>
      <c r="AM261" s="51">
        <v>3.9394353640416053E-5</v>
      </c>
      <c r="AN261" s="51">
        <v>3.9253491827637446E-5</v>
      </c>
      <c r="AO261" s="51">
        <v>3.9112630014858846E-5</v>
      </c>
      <c r="AP261" s="51">
        <v>3.8971768202080239E-5</v>
      </c>
      <c r="AQ261" s="51">
        <v>3.8830906389301639E-5</v>
      </c>
      <c r="AR261" s="51">
        <v>3.8690044576523032E-5</v>
      </c>
      <c r="AS261" s="51">
        <v>3.8549182763744432E-5</v>
      </c>
      <c r="AT261" s="51">
        <v>3.8408320950965825E-5</v>
      </c>
      <c r="AU261" s="51">
        <v>3.8267459138187225E-5</v>
      </c>
      <c r="AV261" s="51">
        <v>3.8100335016524468E-5</v>
      </c>
      <c r="AW261" s="51">
        <v>3.7933210894861712E-5</v>
      </c>
      <c r="AX261" s="51">
        <v>3.7766086773198955E-5</v>
      </c>
      <c r="AY261" s="51">
        <v>3.7598962651536191E-5</v>
      </c>
      <c r="AZ261" s="51">
        <v>3.7431838529873434E-5</v>
      </c>
      <c r="BA261" s="51">
        <v>3.7264714408210677E-5</v>
      </c>
      <c r="BB261" s="51">
        <v>3.709759028654792E-5</v>
      </c>
      <c r="BC261" s="51">
        <v>3.6930466164885163E-5</v>
      </c>
      <c r="BD261" s="51">
        <v>3.6763342043222406E-5</v>
      </c>
      <c r="BE261" s="51">
        <v>3.659621792155965E-5</v>
      </c>
      <c r="BF261" s="51">
        <v>3.6429093799896893E-5</v>
      </c>
      <c r="BG261" s="51">
        <v>3.6261969678234136E-5</v>
      </c>
      <c r="BH261" s="51">
        <v>3.6094845556571372E-5</v>
      </c>
      <c r="BI261" s="51">
        <v>3.5927721434908615E-5</v>
      </c>
      <c r="BJ261" s="51">
        <v>3.5760597313245858E-5</v>
      </c>
      <c r="BK261" s="51">
        <v>3.5593473191583101E-5</v>
      </c>
      <c r="BL261" s="51">
        <v>3.5426349069920344E-5</v>
      </c>
      <c r="BM261" s="51">
        <v>3.5259224948257588E-5</v>
      </c>
      <c r="BN261" s="51">
        <v>3.5092100826594831E-5</v>
      </c>
      <c r="BO261" s="51">
        <v>3.4924976704932067E-5</v>
      </c>
      <c r="BP261" s="51">
        <v>3.475785258326931E-5</v>
      </c>
      <c r="BQ261" s="51">
        <v>3.4590728461606553E-5</v>
      </c>
      <c r="BR261" s="51">
        <v>3.4423604339943796E-5</v>
      </c>
      <c r="BS261" s="51">
        <v>3.4256480218281039E-5</v>
      </c>
      <c r="BT261" s="51">
        <v>3.420361527967258E-5</v>
      </c>
      <c r="BU261" s="51">
        <v>3.415075034106412E-5</v>
      </c>
      <c r="BV261" s="51">
        <v>3.409788540245566E-5</v>
      </c>
      <c r="BW261" s="51">
        <v>3.4045020463847207E-5</v>
      </c>
      <c r="BX261" s="51">
        <v>3.3992155525238747E-5</v>
      </c>
      <c r="BY261" s="51">
        <v>3.3939290586630287E-5</v>
      </c>
      <c r="BZ261" s="51">
        <v>3.3886425648021828E-5</v>
      </c>
      <c r="CA261" s="51">
        <v>3.3833560709413368E-5</v>
      </c>
      <c r="CB261" s="51">
        <v>3.3780695770804908E-5</v>
      </c>
      <c r="CC261" s="51">
        <v>3.3727830832196455E-5</v>
      </c>
      <c r="CD261" s="51">
        <v>3.3674965893587995E-5</v>
      </c>
      <c r="CE261" s="51">
        <v>3.3622100954979535E-5</v>
      </c>
      <c r="CF261" s="51">
        <v>3.3569236016371076E-5</v>
      </c>
      <c r="CG261" s="51">
        <v>3.3516371077762616E-5</v>
      </c>
      <c r="CH261" s="51">
        <v>3.3463506139154156E-5</v>
      </c>
      <c r="CI261" s="51">
        <v>3.3410641200545696E-5</v>
      </c>
      <c r="CJ261" s="51">
        <v>3.3357776261937243E-5</v>
      </c>
      <c r="CK261" s="51">
        <v>3.3304911323328783E-5</v>
      </c>
      <c r="CL261" s="51">
        <v>3.3252046384720324E-5</v>
      </c>
      <c r="CM261" s="51">
        <v>3.3199181446111864E-5</v>
      </c>
    </row>
    <row r="262" spans="1:91" s="50" customFormat="1" x14ac:dyDescent="0.25">
      <c r="A262" s="50" t="s">
        <v>1</v>
      </c>
      <c r="B262" s="4">
        <v>0</v>
      </c>
      <c r="C262" s="4">
        <v>0</v>
      </c>
      <c r="D262" s="4">
        <v>0</v>
      </c>
      <c r="E262" s="4">
        <v>0</v>
      </c>
      <c r="F262" s="4">
        <v>0</v>
      </c>
      <c r="G262" s="4">
        <v>0</v>
      </c>
      <c r="H262" s="4">
        <v>0</v>
      </c>
      <c r="I262" s="4">
        <v>0</v>
      </c>
      <c r="J262" s="4">
        <v>0</v>
      </c>
      <c r="K262" s="4">
        <v>0</v>
      </c>
      <c r="L262" s="4">
        <v>0</v>
      </c>
      <c r="M262" s="4">
        <v>0</v>
      </c>
      <c r="N262" s="4">
        <v>0</v>
      </c>
      <c r="O262" s="4">
        <v>0</v>
      </c>
      <c r="P262" s="4">
        <v>0</v>
      </c>
      <c r="Q262" s="4">
        <v>0</v>
      </c>
      <c r="R262" s="4">
        <v>0</v>
      </c>
      <c r="S262" s="4">
        <v>0</v>
      </c>
      <c r="T262" s="4">
        <v>0</v>
      </c>
      <c r="U262" s="4">
        <v>0</v>
      </c>
      <c r="V262" s="4">
        <v>0</v>
      </c>
      <c r="W262" s="4">
        <v>0</v>
      </c>
      <c r="X262" s="4">
        <v>0</v>
      </c>
      <c r="Y262" s="4">
        <v>0</v>
      </c>
      <c r="Z262" s="4">
        <v>0</v>
      </c>
      <c r="AA262" s="4">
        <v>0</v>
      </c>
      <c r="AB262" s="4">
        <v>0</v>
      </c>
      <c r="AC262" s="4">
        <v>0</v>
      </c>
      <c r="AD262" s="4">
        <v>0</v>
      </c>
      <c r="AE262" s="4">
        <v>0</v>
      </c>
      <c r="AF262" s="51">
        <v>3.5268945022288263E-5</v>
      </c>
      <c r="AG262" s="51">
        <v>3.5145913818722139E-5</v>
      </c>
      <c r="AH262" s="51">
        <v>3.5022882615156022E-5</v>
      </c>
      <c r="AI262" s="51">
        <v>3.4899851411589898E-5</v>
      </c>
      <c r="AJ262" s="51">
        <v>3.4776820208023774E-5</v>
      </c>
      <c r="AK262" s="51">
        <v>3.465378900445765E-5</v>
      </c>
      <c r="AL262" s="51">
        <v>3.4530757800891533E-5</v>
      </c>
      <c r="AM262" s="51">
        <v>3.4407726597325409E-5</v>
      </c>
      <c r="AN262" s="51">
        <v>3.4284695393759285E-5</v>
      </c>
      <c r="AO262" s="51">
        <v>3.4161664190193161E-5</v>
      </c>
      <c r="AP262" s="51">
        <v>3.4038632986627044E-5</v>
      </c>
      <c r="AQ262" s="51">
        <v>3.391560178306092E-5</v>
      </c>
      <c r="AR262" s="51">
        <v>3.3792570579494796E-5</v>
      </c>
      <c r="AS262" s="51">
        <v>3.3669539375928672E-5</v>
      </c>
      <c r="AT262" s="51">
        <v>3.3546508172362555E-5</v>
      </c>
      <c r="AU262" s="51">
        <v>3.3423476968796431E-5</v>
      </c>
      <c r="AV262" s="51">
        <v>3.3495020362490852E-5</v>
      </c>
      <c r="AW262" s="51">
        <v>3.3566563756185266E-5</v>
      </c>
      <c r="AX262" s="51">
        <v>3.3638107149879686E-5</v>
      </c>
      <c r="AY262" s="51">
        <v>3.3709650543574107E-5</v>
      </c>
      <c r="AZ262" s="51">
        <v>3.3781193937268528E-5</v>
      </c>
      <c r="BA262" s="51">
        <v>3.3852737330962942E-5</v>
      </c>
      <c r="BB262" s="51">
        <v>3.3924280724657363E-5</v>
      </c>
      <c r="BC262" s="51">
        <v>3.3995824118351783E-5</v>
      </c>
      <c r="BD262" s="51">
        <v>3.4067367512046197E-5</v>
      </c>
      <c r="BE262" s="51">
        <v>3.4138910905740618E-5</v>
      </c>
      <c r="BF262" s="51">
        <v>3.4210454299435039E-5</v>
      </c>
      <c r="BG262" s="51">
        <v>3.4281997693129453E-5</v>
      </c>
      <c r="BH262" s="51">
        <v>3.4353541086823873E-5</v>
      </c>
      <c r="BI262" s="51">
        <v>3.4425084480518294E-5</v>
      </c>
      <c r="BJ262" s="51">
        <v>3.4496627874212715E-5</v>
      </c>
      <c r="BK262" s="51">
        <v>3.4568171267907129E-5</v>
      </c>
      <c r="BL262" s="51">
        <v>3.463971466160155E-5</v>
      </c>
      <c r="BM262" s="51">
        <v>3.471125805529597E-5</v>
      </c>
      <c r="BN262" s="51">
        <v>3.4782801448990384E-5</v>
      </c>
      <c r="BO262" s="51">
        <v>3.4854344842684805E-5</v>
      </c>
      <c r="BP262" s="51">
        <v>3.4925888236379226E-5</v>
      </c>
      <c r="BQ262" s="51">
        <v>3.4997431630073646E-5</v>
      </c>
      <c r="BR262" s="51">
        <v>3.506897502376806E-5</v>
      </c>
      <c r="BS262" s="51">
        <v>3.5140518417462481E-5</v>
      </c>
      <c r="BT262" s="51">
        <v>3.5086289222373802E-5</v>
      </c>
      <c r="BU262" s="51">
        <v>3.503206002728513E-5</v>
      </c>
      <c r="BV262" s="51">
        <v>3.4977830832196451E-5</v>
      </c>
      <c r="BW262" s="51">
        <v>3.4923601637107773E-5</v>
      </c>
      <c r="BX262" s="51">
        <v>3.4869372442019101E-5</v>
      </c>
      <c r="BY262" s="51">
        <v>3.4815143246930422E-5</v>
      </c>
      <c r="BZ262" s="51">
        <v>3.4760914051841743E-5</v>
      </c>
      <c r="CA262" s="51">
        <v>3.4706684856753064E-5</v>
      </c>
      <c r="CB262" s="51">
        <v>3.4652455661664392E-5</v>
      </c>
      <c r="CC262" s="51">
        <v>3.4598226466575713E-5</v>
      </c>
      <c r="CD262" s="51">
        <v>3.4543997271487035E-5</v>
      </c>
      <c r="CE262" s="51">
        <v>3.4489768076398362E-5</v>
      </c>
      <c r="CF262" s="51">
        <v>3.4435538881309684E-5</v>
      </c>
      <c r="CG262" s="51">
        <v>3.4381309686221005E-5</v>
      </c>
      <c r="CH262" s="51">
        <v>3.4327080491132326E-5</v>
      </c>
      <c r="CI262" s="51">
        <v>3.4272851296043654E-5</v>
      </c>
      <c r="CJ262" s="51">
        <v>3.4218622100954975E-5</v>
      </c>
      <c r="CK262" s="51">
        <v>3.4164392905866296E-5</v>
      </c>
      <c r="CL262" s="51">
        <v>3.4110163710777624E-5</v>
      </c>
      <c r="CM262" s="51">
        <v>3.4055934515688946E-5</v>
      </c>
    </row>
    <row r="263" spans="1:91" s="50" customFormat="1" x14ac:dyDescent="0.25">
      <c r="A263" s="50" t="s">
        <v>1</v>
      </c>
      <c r="B263" s="4">
        <v>0</v>
      </c>
      <c r="C263" s="4">
        <v>0</v>
      </c>
      <c r="D263" s="4">
        <v>0</v>
      </c>
      <c r="E263" s="4">
        <v>0</v>
      </c>
      <c r="F263" s="4">
        <v>0</v>
      </c>
      <c r="G263" s="4">
        <v>0</v>
      </c>
      <c r="H263" s="4">
        <v>0</v>
      </c>
      <c r="I263" s="4">
        <v>0</v>
      </c>
      <c r="J263" s="4">
        <v>0</v>
      </c>
      <c r="K263" s="4">
        <v>0</v>
      </c>
      <c r="L263" s="4">
        <v>0</v>
      </c>
      <c r="M263" s="4">
        <v>0</v>
      </c>
      <c r="N263" s="4">
        <v>0</v>
      </c>
      <c r="O263" s="4">
        <v>0</v>
      </c>
      <c r="P263" s="4">
        <v>0</v>
      </c>
      <c r="Q263" s="4">
        <v>0</v>
      </c>
      <c r="R263" s="4">
        <v>0</v>
      </c>
      <c r="S263" s="4">
        <v>0</v>
      </c>
      <c r="T263" s="4">
        <v>0</v>
      </c>
      <c r="U263" s="4">
        <v>0</v>
      </c>
      <c r="V263" s="4">
        <v>0</v>
      </c>
      <c r="W263" s="4">
        <v>0</v>
      </c>
      <c r="X263" s="4">
        <v>0</v>
      </c>
      <c r="Y263" s="4">
        <v>0</v>
      </c>
      <c r="Z263" s="4">
        <v>0</v>
      </c>
      <c r="AA263" s="4">
        <v>0</v>
      </c>
      <c r="AB263" s="4">
        <v>0</v>
      </c>
      <c r="AC263" s="4">
        <v>0</v>
      </c>
      <c r="AD263" s="4">
        <v>0</v>
      </c>
      <c r="AE263" s="4">
        <v>0</v>
      </c>
      <c r="AF263" s="51">
        <v>7.5999999999999992E-6</v>
      </c>
      <c r="AG263" s="51">
        <v>7.7533333333333325E-6</v>
      </c>
      <c r="AH263" s="51">
        <v>7.9066666666666666E-6</v>
      </c>
      <c r="AI263" s="51">
        <v>8.0599999999999991E-6</v>
      </c>
      <c r="AJ263" s="51">
        <v>8.2133333333333332E-6</v>
      </c>
      <c r="AK263" s="51">
        <v>8.3666666666666656E-6</v>
      </c>
      <c r="AL263" s="51">
        <v>8.5199999999999997E-6</v>
      </c>
      <c r="AM263" s="51">
        <v>8.6733333333333339E-6</v>
      </c>
      <c r="AN263" s="51">
        <v>8.8266666666666663E-6</v>
      </c>
      <c r="AO263" s="51">
        <v>8.9799999999999987E-6</v>
      </c>
      <c r="AP263" s="51">
        <v>9.1333333333333328E-6</v>
      </c>
      <c r="AQ263" s="51">
        <v>9.286666666666667E-6</v>
      </c>
      <c r="AR263" s="51">
        <v>9.4399999999999994E-6</v>
      </c>
      <c r="AS263" s="51">
        <v>9.5933333333333335E-6</v>
      </c>
      <c r="AT263" s="51">
        <v>9.746666666666666E-6</v>
      </c>
      <c r="AU263" s="51">
        <v>9.9000000000000001E-6</v>
      </c>
      <c r="AV263" s="51">
        <v>1.0062500000000001E-5</v>
      </c>
      <c r="AW263" s="51">
        <v>1.0225E-5</v>
      </c>
      <c r="AX263" s="51">
        <v>1.03875E-5</v>
      </c>
      <c r="AY263" s="51">
        <v>1.0550000000000001E-5</v>
      </c>
      <c r="AZ263" s="51">
        <v>1.07125E-5</v>
      </c>
      <c r="BA263" s="51">
        <v>1.0875E-5</v>
      </c>
      <c r="BB263" s="51">
        <v>1.1037500000000001E-5</v>
      </c>
      <c r="BC263" s="51">
        <v>1.1199999999999999E-5</v>
      </c>
      <c r="BD263" s="51">
        <v>1.13625E-5</v>
      </c>
      <c r="BE263" s="51">
        <v>1.1525000000000001E-5</v>
      </c>
      <c r="BF263" s="51">
        <v>1.1687499999999999E-5</v>
      </c>
      <c r="BG263" s="51">
        <v>1.185E-5</v>
      </c>
      <c r="BH263" s="51">
        <v>1.2012500000000001E-5</v>
      </c>
      <c r="BI263" s="51">
        <v>1.2175000000000001E-5</v>
      </c>
      <c r="BJ263" s="51">
        <v>1.23375E-5</v>
      </c>
      <c r="BK263" s="51">
        <v>1.2500000000000001E-5</v>
      </c>
      <c r="BL263" s="51">
        <v>1.2662499999999999E-5</v>
      </c>
      <c r="BM263" s="51">
        <v>1.2825E-5</v>
      </c>
      <c r="BN263" s="51">
        <v>1.2987500000000001E-5</v>
      </c>
      <c r="BO263" s="51">
        <v>1.3150000000000001E-5</v>
      </c>
      <c r="BP263" s="51">
        <v>1.33125E-5</v>
      </c>
      <c r="BQ263" s="51">
        <v>1.3475000000000001E-5</v>
      </c>
      <c r="BR263" s="51">
        <v>1.3637499999999999E-5</v>
      </c>
      <c r="BS263" s="51">
        <v>1.38E-5</v>
      </c>
      <c r="BT263" s="51">
        <v>1.3875E-5</v>
      </c>
      <c r="BU263" s="51">
        <v>1.395E-5</v>
      </c>
      <c r="BV263" s="51">
        <v>1.4025E-5</v>
      </c>
      <c r="BW263" s="51">
        <v>1.4100000000000001E-5</v>
      </c>
      <c r="BX263" s="51">
        <v>1.4174999999999999E-5</v>
      </c>
      <c r="BY263" s="51">
        <v>1.4249999999999999E-5</v>
      </c>
      <c r="BZ263" s="51">
        <v>1.4324999999999999E-5</v>
      </c>
      <c r="CA263" s="51">
        <v>1.4399999999999999E-5</v>
      </c>
      <c r="CB263" s="51">
        <v>1.4474999999999999E-5</v>
      </c>
      <c r="CC263" s="51">
        <v>1.455E-5</v>
      </c>
      <c r="CD263" s="51">
        <v>1.4625E-5</v>
      </c>
      <c r="CE263" s="51">
        <v>1.47E-5</v>
      </c>
      <c r="CF263" s="51">
        <v>1.4775E-5</v>
      </c>
      <c r="CG263" s="51">
        <v>1.485E-5</v>
      </c>
      <c r="CH263" s="51">
        <v>1.4925E-5</v>
      </c>
      <c r="CI263" s="51">
        <v>1.4999999999999999E-5</v>
      </c>
      <c r="CJ263" s="51">
        <v>1.5074999999999999E-5</v>
      </c>
      <c r="CK263" s="51">
        <v>1.5149999999999999E-5</v>
      </c>
      <c r="CL263" s="51">
        <v>1.5224999999999999E-5</v>
      </c>
      <c r="CM263" s="51">
        <v>1.5299999999999999E-5</v>
      </c>
    </row>
    <row r="264" spans="1:91" s="50" customFormat="1" x14ac:dyDescent="0.25">
      <c r="A264" s="50" t="s">
        <v>1</v>
      </c>
      <c r="B264" s="4">
        <v>0</v>
      </c>
      <c r="C264" s="4">
        <v>0</v>
      </c>
      <c r="D264" s="4">
        <v>0</v>
      </c>
      <c r="E264" s="4">
        <v>0</v>
      </c>
      <c r="F264" s="4">
        <v>0</v>
      </c>
      <c r="G264" s="4">
        <v>0</v>
      </c>
      <c r="H264" s="4">
        <v>0</v>
      </c>
      <c r="I264" s="4">
        <v>0</v>
      </c>
      <c r="J264" s="4">
        <v>0</v>
      </c>
      <c r="K264" s="4">
        <v>0</v>
      </c>
      <c r="L264" s="4">
        <v>0</v>
      </c>
      <c r="M264" s="4">
        <v>0</v>
      </c>
      <c r="N264" s="4">
        <v>0</v>
      </c>
      <c r="O264" s="4">
        <v>0</v>
      </c>
      <c r="P264" s="4">
        <v>0</v>
      </c>
      <c r="Q264" s="4">
        <v>0</v>
      </c>
      <c r="R264" s="4">
        <v>0</v>
      </c>
      <c r="S264" s="4">
        <v>0</v>
      </c>
      <c r="T264" s="4">
        <v>0</v>
      </c>
      <c r="U264" s="4">
        <v>0</v>
      </c>
      <c r="V264" s="4">
        <v>0</v>
      </c>
      <c r="W264" s="4">
        <v>0</v>
      </c>
      <c r="X264" s="4">
        <v>0</v>
      </c>
      <c r="Y264" s="4">
        <v>0</v>
      </c>
      <c r="Z264" s="4">
        <v>0</v>
      </c>
      <c r="AA264" s="4">
        <v>0</v>
      </c>
      <c r="AB264" s="4">
        <v>0</v>
      </c>
      <c r="AC264" s="4">
        <v>0</v>
      </c>
      <c r="AD264" s="4">
        <v>0</v>
      </c>
      <c r="AE264" s="4">
        <v>0</v>
      </c>
      <c r="AF264" s="51">
        <v>1.06E-5</v>
      </c>
      <c r="AG264" s="51">
        <v>1.0786666666666666E-5</v>
      </c>
      <c r="AH264" s="51">
        <v>1.0973333333333334E-5</v>
      </c>
      <c r="AI264" s="51">
        <v>1.116E-5</v>
      </c>
      <c r="AJ264" s="51">
        <v>1.1346666666666668E-5</v>
      </c>
      <c r="AK264" s="51">
        <v>1.1533333333333334E-5</v>
      </c>
      <c r="AL264" s="51">
        <v>1.172E-5</v>
      </c>
      <c r="AM264" s="51">
        <v>1.1906666666666667E-5</v>
      </c>
      <c r="AN264" s="51">
        <v>1.2093333333333333E-5</v>
      </c>
      <c r="AO264" s="51">
        <v>1.2280000000000001E-5</v>
      </c>
      <c r="AP264" s="51">
        <v>1.2466666666666667E-5</v>
      </c>
      <c r="AQ264" s="51">
        <v>1.2653333333333333E-5</v>
      </c>
      <c r="AR264" s="51">
        <v>1.2840000000000001E-5</v>
      </c>
      <c r="AS264" s="51">
        <v>1.3026666666666667E-5</v>
      </c>
      <c r="AT264" s="51">
        <v>1.3213333333333334E-5</v>
      </c>
      <c r="AU264" s="51">
        <v>1.34E-5</v>
      </c>
      <c r="AV264" s="51">
        <v>1.3533333333333333E-5</v>
      </c>
      <c r="AW264" s="51">
        <v>1.3666666666666667E-5</v>
      </c>
      <c r="AX264" s="51">
        <v>1.38E-5</v>
      </c>
      <c r="AY264" s="51">
        <v>1.3933333333333334E-5</v>
      </c>
      <c r="AZ264" s="51">
        <v>1.4066666666666667E-5</v>
      </c>
      <c r="BA264" s="51">
        <v>1.42E-5</v>
      </c>
      <c r="BB264" s="51">
        <v>1.4333333333333334E-5</v>
      </c>
      <c r="BC264" s="51">
        <v>1.4466666666666667E-5</v>
      </c>
      <c r="BD264" s="51">
        <v>1.4600000000000001E-5</v>
      </c>
      <c r="BE264" s="51">
        <v>1.4733333333333333E-5</v>
      </c>
      <c r="BF264" s="51">
        <v>1.4866666666666668E-5</v>
      </c>
      <c r="BG264" s="51">
        <v>1.5E-5</v>
      </c>
      <c r="BH264" s="51">
        <v>1.5133333333333333E-5</v>
      </c>
      <c r="BI264" s="51">
        <v>1.5266666666666667E-5</v>
      </c>
      <c r="BJ264" s="51">
        <v>1.5400000000000002E-5</v>
      </c>
      <c r="BK264" s="51">
        <v>1.5533333333333333E-5</v>
      </c>
      <c r="BL264" s="51">
        <v>1.5666666666666667E-5</v>
      </c>
      <c r="BM264" s="51">
        <v>1.5800000000000001E-5</v>
      </c>
      <c r="BN264" s="51">
        <v>1.5933333333333332E-5</v>
      </c>
      <c r="BO264" s="51">
        <v>1.6066666666666666E-5</v>
      </c>
      <c r="BP264" s="51">
        <v>1.6200000000000001E-5</v>
      </c>
      <c r="BQ264" s="51">
        <v>1.6333333333333335E-5</v>
      </c>
      <c r="BR264" s="51">
        <v>1.6466666666666666E-5</v>
      </c>
      <c r="BS264" s="51">
        <v>1.66E-5</v>
      </c>
      <c r="BT264" s="51">
        <v>1.6710000000000001E-5</v>
      </c>
      <c r="BU264" s="51">
        <v>1.6820000000000002E-5</v>
      </c>
      <c r="BV264" s="51">
        <v>1.6929999999999999E-5</v>
      </c>
      <c r="BW264" s="51">
        <v>1.7039999999999999E-5</v>
      </c>
      <c r="BX264" s="51">
        <v>1.715E-5</v>
      </c>
      <c r="BY264" s="51">
        <v>1.7260000000000001E-5</v>
      </c>
      <c r="BZ264" s="51">
        <v>1.7370000000000001E-5</v>
      </c>
      <c r="CA264" s="51">
        <v>1.7479999999999999E-5</v>
      </c>
      <c r="CB264" s="51">
        <v>1.7589999999999999E-5</v>
      </c>
      <c r="CC264" s="51">
        <v>1.77E-5</v>
      </c>
      <c r="CD264" s="51">
        <v>1.7810000000000001E-5</v>
      </c>
      <c r="CE264" s="51">
        <v>1.7920000000000001E-5</v>
      </c>
      <c r="CF264" s="51">
        <v>1.8029999999999998E-5</v>
      </c>
      <c r="CG264" s="51">
        <v>1.8139999999999999E-5</v>
      </c>
      <c r="CH264" s="51">
        <v>1.825E-5</v>
      </c>
      <c r="CI264" s="51">
        <v>1.836E-5</v>
      </c>
      <c r="CJ264" s="51">
        <v>1.8470000000000001E-5</v>
      </c>
      <c r="CK264" s="51">
        <v>1.8579999999999998E-5</v>
      </c>
      <c r="CL264" s="51">
        <v>1.8689999999999999E-5</v>
      </c>
      <c r="CM264" s="51">
        <v>1.88E-5</v>
      </c>
    </row>
    <row r="265" spans="1:91" s="50" customFormat="1" x14ac:dyDescent="0.2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91" s="50" customFormat="1" x14ac:dyDescent="0.25">
      <c r="A266" s="50" t="s">
        <v>248</v>
      </c>
      <c r="B266" s="4">
        <v>0</v>
      </c>
      <c r="C266" s="4">
        <v>0</v>
      </c>
      <c r="D266" s="4">
        <v>0</v>
      </c>
      <c r="E266" s="4">
        <v>0</v>
      </c>
      <c r="F266" s="4">
        <v>0</v>
      </c>
      <c r="G266" s="4">
        <v>0</v>
      </c>
      <c r="H266" s="4">
        <v>0</v>
      </c>
      <c r="I266" s="4">
        <v>0</v>
      </c>
      <c r="J266" s="4">
        <v>0</v>
      </c>
      <c r="K266" s="4">
        <v>0</v>
      </c>
      <c r="L266" s="4">
        <v>0</v>
      </c>
      <c r="M266" s="4">
        <v>0</v>
      </c>
      <c r="N266" s="4">
        <v>0</v>
      </c>
      <c r="O266" s="4">
        <v>0</v>
      </c>
      <c r="P266" s="4">
        <v>0</v>
      </c>
      <c r="Q266" s="4">
        <v>0</v>
      </c>
      <c r="R266" s="4">
        <v>0</v>
      </c>
      <c r="S266" s="4">
        <v>0</v>
      </c>
      <c r="T266" s="4">
        <v>0</v>
      </c>
      <c r="U266" s="4">
        <v>0</v>
      </c>
      <c r="V266" s="4">
        <v>0</v>
      </c>
      <c r="W266" s="4">
        <v>0</v>
      </c>
      <c r="X266" s="4">
        <v>0</v>
      </c>
      <c r="Y266" s="4">
        <v>0</v>
      </c>
      <c r="Z266" s="4">
        <v>0</v>
      </c>
      <c r="AA266" s="4">
        <v>0</v>
      </c>
      <c r="AB266" s="4">
        <v>0</v>
      </c>
      <c r="AC266" s="4">
        <v>0</v>
      </c>
      <c r="AD266" s="4">
        <v>0</v>
      </c>
      <c r="AE266" s="4">
        <v>0</v>
      </c>
      <c r="AF266" s="51">
        <v>6.3600000000000001E-5</v>
      </c>
      <c r="AG266" s="51">
        <v>6.3486666666666663E-5</v>
      </c>
      <c r="AH266" s="51">
        <v>6.3373333333333339E-5</v>
      </c>
      <c r="AI266" s="51">
        <v>6.3260000000000001E-5</v>
      </c>
      <c r="AJ266" s="51">
        <v>6.3146666666666663E-5</v>
      </c>
      <c r="AK266" s="51">
        <v>6.3033333333333339E-5</v>
      </c>
      <c r="AL266" s="51">
        <v>6.2920000000000001E-5</v>
      </c>
      <c r="AM266" s="51">
        <v>6.2806666666666663E-5</v>
      </c>
      <c r="AN266" s="51">
        <v>6.2693333333333338E-5</v>
      </c>
      <c r="AO266" s="51">
        <v>6.2580000000000001E-5</v>
      </c>
      <c r="AP266" s="51">
        <v>6.2466666666666663E-5</v>
      </c>
      <c r="AQ266" s="51">
        <v>6.2353333333333338E-5</v>
      </c>
      <c r="AR266" s="51">
        <v>6.224E-5</v>
      </c>
      <c r="AS266" s="51">
        <v>6.2126666666666663E-5</v>
      </c>
      <c r="AT266" s="51">
        <v>6.2013333333333338E-5</v>
      </c>
      <c r="AU266" s="51">
        <v>6.19E-5</v>
      </c>
      <c r="AV266" s="51">
        <v>6.1736363636363635E-5</v>
      </c>
      <c r="AW266" s="51">
        <v>6.157272727272727E-5</v>
      </c>
      <c r="AX266" s="51">
        <v>6.1409090909090905E-5</v>
      </c>
      <c r="AY266" s="51">
        <v>6.124545454545454E-5</v>
      </c>
      <c r="AZ266" s="51">
        <v>6.1081818181818188E-5</v>
      </c>
      <c r="BA266" s="51">
        <v>6.0918181818181816E-5</v>
      </c>
      <c r="BB266" s="51">
        <v>6.0754545454545458E-5</v>
      </c>
      <c r="BC266" s="51">
        <v>6.0590909090909093E-5</v>
      </c>
      <c r="BD266" s="51">
        <v>6.0427272727272727E-5</v>
      </c>
      <c r="BE266" s="51">
        <v>6.0263636363636362E-5</v>
      </c>
      <c r="BF266" s="51">
        <v>6.0099999999999997E-5</v>
      </c>
      <c r="BG266" s="51">
        <v>5.9936363636363639E-5</v>
      </c>
      <c r="BH266" s="51">
        <v>5.9772727272727274E-5</v>
      </c>
      <c r="BI266" s="51">
        <v>5.9609090909090909E-5</v>
      </c>
      <c r="BJ266" s="51">
        <v>5.9445454545454543E-5</v>
      </c>
      <c r="BK266" s="51">
        <v>5.9281818181818185E-5</v>
      </c>
      <c r="BL266" s="51">
        <v>5.911818181818182E-5</v>
      </c>
      <c r="BM266" s="51">
        <v>5.8954545454545455E-5</v>
      </c>
      <c r="BN266" s="51">
        <v>5.879090909090909E-5</v>
      </c>
      <c r="BO266" s="51">
        <v>5.8627272727272724E-5</v>
      </c>
      <c r="BP266" s="51">
        <v>5.8463636363636366E-5</v>
      </c>
      <c r="BQ266" s="51">
        <v>5.8300000000000001E-5</v>
      </c>
      <c r="BR266" s="51">
        <v>5.8136363636363636E-5</v>
      </c>
      <c r="BS266" s="51">
        <v>5.8800000000000006E-5</v>
      </c>
      <c r="BT266" s="51">
        <v>5.8595000000000004E-5</v>
      </c>
      <c r="BU266" s="51">
        <v>5.8390000000000008E-5</v>
      </c>
      <c r="BV266" s="51">
        <v>5.8185000000000006E-5</v>
      </c>
      <c r="BW266" s="51">
        <v>5.7980000000000004E-5</v>
      </c>
      <c r="BX266" s="51">
        <v>5.7775000000000008E-5</v>
      </c>
      <c r="BY266" s="51">
        <v>5.7570000000000006E-5</v>
      </c>
      <c r="BZ266" s="51">
        <v>5.7365000000000004E-5</v>
      </c>
      <c r="CA266" s="51">
        <v>5.7160000000000002E-5</v>
      </c>
      <c r="CB266" s="51">
        <v>5.6955000000000006E-5</v>
      </c>
      <c r="CC266" s="51">
        <v>5.6750000000000004E-5</v>
      </c>
      <c r="CD266" s="51">
        <v>5.6545000000000002E-5</v>
      </c>
      <c r="CE266" s="51">
        <v>5.6340000000000006E-5</v>
      </c>
      <c r="CF266" s="51">
        <v>5.6135000000000004E-5</v>
      </c>
      <c r="CG266" s="51">
        <v>5.5930000000000002E-5</v>
      </c>
      <c r="CH266" s="51">
        <v>5.5724999999999999E-5</v>
      </c>
      <c r="CI266" s="51">
        <v>5.5520000000000004E-5</v>
      </c>
      <c r="CJ266" s="51">
        <v>5.5315000000000001E-5</v>
      </c>
      <c r="CK266" s="51">
        <v>5.5109999999999999E-5</v>
      </c>
      <c r="CL266" s="51">
        <v>5.4905000000000004E-5</v>
      </c>
      <c r="CM266" s="51">
        <v>5.4700000000000001E-5</v>
      </c>
    </row>
    <row r="267" spans="1:91" s="50" customFormat="1" x14ac:dyDescent="0.25">
      <c r="A267" s="100"/>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91" x14ac:dyDescent="0.25">
      <c r="A268" s="99" t="s">
        <v>16</v>
      </c>
      <c r="B268" s="4">
        <v>0</v>
      </c>
      <c r="C268" s="4">
        <v>0</v>
      </c>
      <c r="D268" s="4">
        <v>0</v>
      </c>
      <c r="E268" s="4">
        <v>0</v>
      </c>
      <c r="F268" s="4">
        <v>0</v>
      </c>
      <c r="G268" s="4">
        <v>0</v>
      </c>
      <c r="H268" s="4">
        <v>0</v>
      </c>
      <c r="I268" s="4">
        <v>0</v>
      </c>
      <c r="J268" s="4">
        <v>0</v>
      </c>
      <c r="K268" s="4">
        <v>0</v>
      </c>
      <c r="L268" s="4">
        <v>0</v>
      </c>
      <c r="M268" s="4">
        <v>0</v>
      </c>
      <c r="N268" s="4">
        <v>0</v>
      </c>
      <c r="O268" s="4">
        <v>0</v>
      </c>
      <c r="P268" s="4">
        <v>0</v>
      </c>
      <c r="Q268" s="4">
        <v>0</v>
      </c>
      <c r="R268" s="4">
        <v>0</v>
      </c>
      <c r="S268" s="4">
        <v>0</v>
      </c>
      <c r="T268" s="4">
        <v>0</v>
      </c>
      <c r="U268" s="4">
        <v>0</v>
      </c>
      <c r="V268" s="4">
        <v>0</v>
      </c>
      <c r="W268" s="4">
        <v>0</v>
      </c>
      <c r="X268" s="4">
        <v>0</v>
      </c>
      <c r="Y268" s="4">
        <v>0</v>
      </c>
      <c r="Z268" s="4">
        <v>0</v>
      </c>
      <c r="AA268" s="4">
        <v>0</v>
      </c>
      <c r="AB268" s="4">
        <v>0</v>
      </c>
      <c r="AC268" s="4">
        <v>0</v>
      </c>
      <c r="AD268" s="4">
        <v>0</v>
      </c>
      <c r="AE268" s="4">
        <v>0</v>
      </c>
      <c r="AF268" s="43">
        <v>2.8586557155908612E-3</v>
      </c>
      <c r="AG268" s="43">
        <v>2.909963886131464E-3</v>
      </c>
      <c r="AH268" s="43">
        <v>2.9612720566720677E-3</v>
      </c>
      <c r="AI268" s="43">
        <v>3.0125802272126705E-3</v>
      </c>
      <c r="AJ268" s="43">
        <v>3.0638883977532742E-3</v>
      </c>
      <c r="AK268" s="43">
        <v>3.1151965682938766E-3</v>
      </c>
      <c r="AL268" s="43">
        <v>3.1665047388344802E-3</v>
      </c>
      <c r="AM268" s="43">
        <v>3.2178129093750835E-3</v>
      </c>
      <c r="AN268" s="43">
        <v>3.2691210799156863E-3</v>
      </c>
      <c r="AO268" s="43">
        <v>3.3204292504562887E-3</v>
      </c>
      <c r="AP268" s="43">
        <v>3.3717374209968911E-3</v>
      </c>
      <c r="AQ268" s="43">
        <v>3.4230455915374956E-3</v>
      </c>
      <c r="AR268" s="43">
        <v>3.474353762078098E-3</v>
      </c>
      <c r="AS268" s="43">
        <v>3.5256619326187004E-3</v>
      </c>
      <c r="AT268" s="43">
        <v>3.5769701031593041E-3</v>
      </c>
      <c r="AU268" s="43">
        <v>3.6282782736999073E-3</v>
      </c>
      <c r="AV268" s="43">
        <v>3.6601435786098075E-3</v>
      </c>
      <c r="AW268" s="43">
        <v>3.6920088835197063E-3</v>
      </c>
      <c r="AX268" s="43">
        <v>3.7238741884296055E-3</v>
      </c>
      <c r="AY268" s="43">
        <v>3.7557394933395052E-3</v>
      </c>
      <c r="AZ268" s="43">
        <v>3.7876047982494045E-3</v>
      </c>
      <c r="BA268" s="43">
        <v>3.8194701031593042E-3</v>
      </c>
      <c r="BB268" s="43">
        <v>3.8513354080692043E-3</v>
      </c>
      <c r="BC268" s="43">
        <v>3.8832007129791031E-3</v>
      </c>
      <c r="BD268" s="43">
        <v>3.9150660178890037E-3</v>
      </c>
      <c r="BE268" s="43">
        <v>3.9469313227989029E-3</v>
      </c>
      <c r="BF268" s="43">
        <v>3.9787966277088022E-3</v>
      </c>
      <c r="BG268" s="43">
        <v>4.0106619326187015E-3</v>
      </c>
      <c r="BH268" s="43">
        <v>4.0425272375286016E-3</v>
      </c>
      <c r="BI268" s="43">
        <v>4.0743925424385008E-3</v>
      </c>
      <c r="BJ268" s="43">
        <v>4.1062578473483992E-3</v>
      </c>
      <c r="BK268" s="43">
        <v>4.1381231522582993E-3</v>
      </c>
      <c r="BL268" s="43">
        <v>4.1699884571681986E-3</v>
      </c>
      <c r="BM268" s="43">
        <v>4.2018537620780979E-3</v>
      </c>
      <c r="BN268" s="43">
        <v>4.233719066987998E-3</v>
      </c>
      <c r="BO268" s="43">
        <v>4.2655843718978972E-3</v>
      </c>
      <c r="BP268" s="43">
        <v>4.2974496768077956E-3</v>
      </c>
      <c r="BQ268" s="43">
        <v>4.3293149817176958E-3</v>
      </c>
      <c r="BR268" s="43">
        <v>4.3611802866275959E-3</v>
      </c>
      <c r="BS268" s="43">
        <v>4.3930455915374969E-3</v>
      </c>
      <c r="BT268" s="43">
        <v>4.4249108964473944E-3</v>
      </c>
      <c r="BU268" s="43">
        <v>4.4567762013572945E-3</v>
      </c>
      <c r="BV268" s="43">
        <v>4.4886415062671938E-3</v>
      </c>
      <c r="BW268" s="43">
        <v>4.520506811177093E-3</v>
      </c>
      <c r="BX268" s="43">
        <v>4.5523721160869923E-3</v>
      </c>
      <c r="BY268" s="43">
        <v>4.5842374209968924E-3</v>
      </c>
      <c r="BZ268" s="43">
        <v>4.6161027259067908E-3</v>
      </c>
      <c r="CA268" s="43">
        <v>4.6479680308166918E-3</v>
      </c>
      <c r="CB268" s="43">
        <v>4.6798333357265902E-3</v>
      </c>
      <c r="CC268" s="43">
        <v>4.7116986406364903E-3</v>
      </c>
      <c r="CD268" s="43">
        <v>4.7435639455463896E-3</v>
      </c>
      <c r="CE268" s="43">
        <v>4.7754292504562897E-3</v>
      </c>
      <c r="CF268" s="43">
        <v>4.8072945553661881E-3</v>
      </c>
      <c r="CG268" s="43">
        <v>4.8391598602760891E-3</v>
      </c>
      <c r="CH268" s="43">
        <v>4.8710251651859866E-3</v>
      </c>
      <c r="CI268" s="43">
        <v>4.9028904700958876E-3</v>
      </c>
      <c r="CJ268" s="43">
        <v>4.9347557750057851E-3</v>
      </c>
      <c r="CK268" s="43">
        <v>4.9666210799156861E-3</v>
      </c>
      <c r="CL268" s="43">
        <v>4.9984863848255862E-3</v>
      </c>
      <c r="CM268" s="43">
        <v>5.0303516897354846E-3</v>
      </c>
    </row>
    <row r="269" spans="1:91" x14ac:dyDescent="0.25">
      <c r="A269" s="99" t="s">
        <v>1</v>
      </c>
      <c r="B269" s="4">
        <v>0</v>
      </c>
      <c r="C269" s="4">
        <v>0</v>
      </c>
      <c r="D269" s="4">
        <v>0</v>
      </c>
      <c r="E269" s="4">
        <v>0</v>
      </c>
      <c r="F269" s="4">
        <v>0</v>
      </c>
      <c r="G269" s="4">
        <v>0</v>
      </c>
      <c r="H269" s="4">
        <v>0</v>
      </c>
      <c r="I269" s="4">
        <v>0</v>
      </c>
      <c r="J269" s="4">
        <v>0</v>
      </c>
      <c r="K269" s="4">
        <v>0</v>
      </c>
      <c r="L269" s="4">
        <v>0</v>
      </c>
      <c r="M269" s="4">
        <v>0</v>
      </c>
      <c r="N269" s="4">
        <v>0</v>
      </c>
      <c r="O269" s="4">
        <v>0</v>
      </c>
      <c r="P269" s="4">
        <v>0</v>
      </c>
      <c r="Q269" s="4">
        <v>0</v>
      </c>
      <c r="R269" s="4">
        <v>0</v>
      </c>
      <c r="S269" s="4">
        <v>0</v>
      </c>
      <c r="T269" s="4">
        <v>0</v>
      </c>
      <c r="U269" s="4">
        <v>0</v>
      </c>
      <c r="V269" s="4">
        <v>0</v>
      </c>
      <c r="W269" s="4">
        <v>0</v>
      </c>
      <c r="X269" s="4">
        <v>0</v>
      </c>
      <c r="Y269" s="4">
        <v>0</v>
      </c>
      <c r="Z269" s="4">
        <v>0</v>
      </c>
      <c r="AA269" s="4">
        <v>0</v>
      </c>
      <c r="AB269" s="4">
        <v>0</v>
      </c>
      <c r="AC269" s="4">
        <v>0</v>
      </c>
      <c r="AD269" s="4">
        <v>0</v>
      </c>
      <c r="AE269" s="4">
        <v>0</v>
      </c>
      <c r="AF269" s="43">
        <v>2.21991625074704E-3</v>
      </c>
      <c r="AG269" s="43">
        <v>2.2566263371078163E-3</v>
      </c>
      <c r="AH269" s="43">
        <v>2.2933364234685931E-3</v>
      </c>
      <c r="AI269" s="43">
        <v>2.3300465098293689E-3</v>
      </c>
      <c r="AJ269" s="43">
        <v>2.3667565961901457E-3</v>
      </c>
      <c r="AK269" s="43">
        <v>2.403466682550922E-3</v>
      </c>
      <c r="AL269" s="43">
        <v>2.4401767689116983E-3</v>
      </c>
      <c r="AM269" s="43">
        <v>2.4768868552724754E-3</v>
      </c>
      <c r="AN269" s="43">
        <v>2.5135969416332517E-3</v>
      </c>
      <c r="AO269" s="43">
        <v>2.5503070279940276E-3</v>
      </c>
      <c r="AP269" s="43">
        <v>2.5870171143548043E-3</v>
      </c>
      <c r="AQ269" s="43">
        <v>2.6237272007155811E-3</v>
      </c>
      <c r="AR269" s="43">
        <v>2.6604372870763569E-3</v>
      </c>
      <c r="AS269" s="43">
        <v>2.6971473734371336E-3</v>
      </c>
      <c r="AT269" s="43">
        <v>2.7338574597979095E-3</v>
      </c>
      <c r="AU269" s="43">
        <v>2.7705675461586858E-3</v>
      </c>
      <c r="AV269" s="43">
        <v>2.7941732069956472E-3</v>
      </c>
      <c r="AW269" s="43">
        <v>2.8177788678326082E-3</v>
      </c>
      <c r="AX269" s="43">
        <v>2.8413845286695688E-3</v>
      </c>
      <c r="AY269" s="43">
        <v>2.8649901895065294E-3</v>
      </c>
      <c r="AZ269" s="43">
        <v>2.8885958503434904E-3</v>
      </c>
      <c r="BA269" s="43">
        <v>2.9122015111804514E-3</v>
      </c>
      <c r="BB269" s="43">
        <v>2.9358071720174115E-3</v>
      </c>
      <c r="BC269" s="43">
        <v>2.9594128328543738E-3</v>
      </c>
      <c r="BD269" s="43">
        <v>2.9830184936913344E-3</v>
      </c>
      <c r="BE269" s="43">
        <v>3.0066241545282949E-3</v>
      </c>
      <c r="BF269" s="43">
        <v>3.030229815365256E-3</v>
      </c>
      <c r="BG269" s="43">
        <v>3.0538354762022174E-3</v>
      </c>
      <c r="BH269" s="43">
        <v>3.0774411370391771E-3</v>
      </c>
      <c r="BI269" s="43">
        <v>3.1010467978761381E-3</v>
      </c>
      <c r="BJ269" s="43">
        <v>3.1246524587130987E-3</v>
      </c>
      <c r="BK269" s="43">
        <v>3.1482581195500597E-3</v>
      </c>
      <c r="BL269" s="43">
        <v>3.1718637803870211E-3</v>
      </c>
      <c r="BM269" s="43">
        <v>3.1954694412239821E-3</v>
      </c>
      <c r="BN269" s="43">
        <v>3.2190751020609435E-3</v>
      </c>
      <c r="BO269" s="43">
        <v>3.2426807628979037E-3</v>
      </c>
      <c r="BP269" s="43">
        <v>3.2662864237348651E-3</v>
      </c>
      <c r="BQ269" s="43">
        <v>3.2898920845718252E-3</v>
      </c>
      <c r="BR269" s="43">
        <v>3.3134977454087858E-3</v>
      </c>
      <c r="BS269" s="43">
        <v>3.3371034062457468E-3</v>
      </c>
      <c r="BT269" s="43">
        <v>3.3607090670827078E-3</v>
      </c>
      <c r="BU269" s="43">
        <v>3.3843147279196684E-3</v>
      </c>
      <c r="BV269" s="43">
        <v>3.4079203887566302E-3</v>
      </c>
      <c r="BW269" s="43">
        <v>3.4315260495935899E-3</v>
      </c>
      <c r="BX269" s="43">
        <v>3.4551317104305514E-3</v>
      </c>
      <c r="BY269" s="43">
        <v>3.4787373712675128E-3</v>
      </c>
      <c r="BZ269" s="43">
        <v>3.5023430321044729E-3</v>
      </c>
      <c r="CA269" s="43">
        <v>3.5259486929414339E-3</v>
      </c>
      <c r="CB269" s="43">
        <v>3.5495543537783945E-3</v>
      </c>
      <c r="CC269" s="43">
        <v>3.5731600146153551E-3</v>
      </c>
      <c r="CD269" s="43">
        <v>3.5967656754523165E-3</v>
      </c>
      <c r="CE269" s="43">
        <v>3.6203713362892771E-3</v>
      </c>
      <c r="CF269" s="43">
        <v>3.6439769971262381E-3</v>
      </c>
      <c r="CG269" s="43">
        <v>3.6675826579631995E-3</v>
      </c>
      <c r="CH269" s="43">
        <v>3.6911883188001609E-3</v>
      </c>
      <c r="CI269" s="43">
        <v>3.7147939796371206E-3</v>
      </c>
      <c r="CJ269" s="43">
        <v>3.7383996404740821E-3</v>
      </c>
      <c r="CK269" s="43">
        <v>3.7620053013110422E-3</v>
      </c>
      <c r="CL269" s="43">
        <v>3.7856109621480032E-3</v>
      </c>
      <c r="CM269" s="43">
        <v>3.8092166229849646E-3</v>
      </c>
    </row>
    <row r="270" spans="1:91" x14ac:dyDescent="0.25">
      <c r="A270" s="99" t="s">
        <v>1</v>
      </c>
      <c r="B270" s="4">
        <v>0</v>
      </c>
      <c r="C270" s="4">
        <v>0</v>
      </c>
      <c r="D270" s="4">
        <v>0</v>
      </c>
      <c r="E270" s="4">
        <v>0</v>
      </c>
      <c r="F270" s="4">
        <v>0</v>
      </c>
      <c r="G270" s="4">
        <v>0</v>
      </c>
      <c r="H270" s="4">
        <v>0</v>
      </c>
      <c r="I270" s="4">
        <v>0</v>
      </c>
      <c r="J270" s="4">
        <v>0</v>
      </c>
      <c r="K270" s="4">
        <v>0</v>
      </c>
      <c r="L270" s="4">
        <v>0</v>
      </c>
      <c r="M270" s="4">
        <v>0</v>
      </c>
      <c r="N270" s="4">
        <v>0</v>
      </c>
      <c r="O270" s="4">
        <v>0</v>
      </c>
      <c r="P270" s="4">
        <v>0</v>
      </c>
      <c r="Q270" s="4">
        <v>0</v>
      </c>
      <c r="R270" s="4">
        <v>0</v>
      </c>
      <c r="S270" s="4">
        <v>0</v>
      </c>
      <c r="T270" s="4">
        <v>0</v>
      </c>
      <c r="U270" s="4">
        <v>0</v>
      </c>
      <c r="V270" s="4">
        <v>0</v>
      </c>
      <c r="W270" s="4">
        <v>0</v>
      </c>
      <c r="X270" s="4">
        <v>0</v>
      </c>
      <c r="Y270" s="4">
        <v>0</v>
      </c>
      <c r="Z270" s="4">
        <v>0</v>
      </c>
      <c r="AA270" s="4">
        <v>0</v>
      </c>
      <c r="AB270" s="4">
        <v>0</v>
      </c>
      <c r="AC270" s="4">
        <v>0</v>
      </c>
      <c r="AD270" s="4">
        <v>0</v>
      </c>
      <c r="AE270" s="4">
        <v>0</v>
      </c>
      <c r="AF270" s="43">
        <v>3.2695631189309741E-3</v>
      </c>
      <c r="AG270" s="43">
        <v>3.3190680876783053E-3</v>
      </c>
      <c r="AH270" s="43">
        <v>3.3685730564256351E-3</v>
      </c>
      <c r="AI270" s="43">
        <v>3.4180780251729654E-3</v>
      </c>
      <c r="AJ270" s="43">
        <v>3.4675829939202975E-3</v>
      </c>
      <c r="AK270" s="43">
        <v>3.5170879626676278E-3</v>
      </c>
      <c r="AL270" s="43">
        <v>3.566592931414959E-3</v>
      </c>
      <c r="AM270" s="43">
        <v>3.6160979001622893E-3</v>
      </c>
      <c r="AN270" s="43">
        <v>3.66560286890962E-3</v>
      </c>
      <c r="AO270" s="43">
        <v>3.7151078376569512E-3</v>
      </c>
      <c r="AP270" s="43">
        <v>3.764612806404282E-3</v>
      </c>
      <c r="AQ270" s="43">
        <v>3.8141177751516123E-3</v>
      </c>
      <c r="AR270" s="43">
        <v>3.8636227438989435E-3</v>
      </c>
      <c r="AS270" s="43">
        <v>3.9131277126462733E-3</v>
      </c>
      <c r="AT270" s="43">
        <v>3.9626326813936045E-3</v>
      </c>
      <c r="AU270" s="43">
        <v>4.0121376501409357E-3</v>
      </c>
      <c r="AV270" s="43">
        <v>4.0409850921853223E-3</v>
      </c>
      <c r="AW270" s="43">
        <v>4.0698325342297097E-3</v>
      </c>
      <c r="AX270" s="43">
        <v>4.0986799762740963E-3</v>
      </c>
      <c r="AY270" s="43">
        <v>4.127527418318482E-3</v>
      </c>
      <c r="AZ270" s="43">
        <v>4.1563748603628704E-3</v>
      </c>
      <c r="BA270" s="43">
        <v>4.1852223024072561E-3</v>
      </c>
      <c r="BB270" s="43">
        <v>4.2140697444516435E-3</v>
      </c>
      <c r="BC270" s="43">
        <v>4.2429171864960301E-3</v>
      </c>
      <c r="BD270" s="43">
        <v>4.2717646285404158E-3</v>
      </c>
      <c r="BE270" s="43">
        <v>4.3006120705848042E-3</v>
      </c>
      <c r="BF270" s="43">
        <v>4.3294595126291899E-3</v>
      </c>
      <c r="BG270" s="43">
        <v>4.3583069546735782E-3</v>
      </c>
      <c r="BH270" s="43">
        <v>4.3871543967179639E-3</v>
      </c>
      <c r="BI270" s="43">
        <v>4.4160018387623514E-3</v>
      </c>
      <c r="BJ270" s="43">
        <v>4.444849280806738E-3</v>
      </c>
      <c r="BK270" s="43">
        <v>4.4736967228511245E-3</v>
      </c>
      <c r="BL270" s="43">
        <v>4.5025441648955111E-3</v>
      </c>
      <c r="BM270" s="43">
        <v>4.5313916069398994E-3</v>
      </c>
      <c r="BN270" s="43">
        <v>4.5602390489842852E-3</v>
      </c>
      <c r="BO270" s="43">
        <v>4.5890864910286726E-3</v>
      </c>
      <c r="BP270" s="43">
        <v>4.6179339330730601E-3</v>
      </c>
      <c r="BQ270" s="43">
        <v>4.6467813751174458E-3</v>
      </c>
      <c r="BR270" s="43">
        <v>4.6756288171618332E-3</v>
      </c>
      <c r="BS270" s="43">
        <v>4.7044762592062198E-3</v>
      </c>
      <c r="BT270" s="43">
        <v>4.7333237012506073E-3</v>
      </c>
      <c r="BU270" s="43">
        <v>4.762171143294993E-3</v>
      </c>
      <c r="BV270" s="43">
        <v>4.7910185853393805E-3</v>
      </c>
      <c r="BW270" s="43">
        <v>4.8198660273837679E-3</v>
      </c>
      <c r="BX270" s="43">
        <v>4.8487134694281545E-3</v>
      </c>
      <c r="BY270" s="43">
        <v>4.8775609114725419E-3</v>
      </c>
      <c r="BZ270" s="43">
        <v>4.9064083535169277E-3</v>
      </c>
      <c r="CA270" s="43">
        <v>4.9352557955613151E-3</v>
      </c>
      <c r="CB270" s="43">
        <v>4.9641032376057017E-3</v>
      </c>
      <c r="CC270" s="43">
        <v>4.9929506796500883E-3</v>
      </c>
      <c r="CD270" s="43">
        <v>5.0217981216944757E-3</v>
      </c>
      <c r="CE270" s="43">
        <v>5.0506455637388623E-3</v>
      </c>
      <c r="CF270" s="43">
        <v>5.0794930057832489E-3</v>
      </c>
      <c r="CG270" s="43">
        <v>5.1083404478276355E-3</v>
      </c>
      <c r="CH270" s="43">
        <v>5.1371878898720212E-3</v>
      </c>
      <c r="CI270" s="43">
        <v>5.1660353319164087E-3</v>
      </c>
      <c r="CJ270" s="43">
        <v>5.1948827739607961E-3</v>
      </c>
      <c r="CK270" s="43">
        <v>5.2237302160051836E-3</v>
      </c>
      <c r="CL270" s="43">
        <v>5.252577658049571E-3</v>
      </c>
      <c r="CM270" s="43">
        <v>5.2814251000939559E-3</v>
      </c>
    </row>
    <row r="271" spans="1:91" x14ac:dyDescent="0.25">
      <c r="A271" s="99" t="s">
        <v>1</v>
      </c>
      <c r="B271" s="4">
        <v>0</v>
      </c>
      <c r="C271" s="4">
        <v>0</v>
      </c>
      <c r="D271" s="4">
        <v>0</v>
      </c>
      <c r="E271" s="4">
        <v>0</v>
      </c>
      <c r="F271" s="4">
        <v>0</v>
      </c>
      <c r="G271" s="4">
        <v>0</v>
      </c>
      <c r="H271" s="4">
        <v>0</v>
      </c>
      <c r="I271" s="4">
        <v>0</v>
      </c>
      <c r="J271" s="4">
        <v>0</v>
      </c>
      <c r="K271" s="4">
        <v>0</v>
      </c>
      <c r="L271" s="4">
        <v>0</v>
      </c>
      <c r="M271" s="4">
        <v>0</v>
      </c>
      <c r="N271" s="4">
        <v>0</v>
      </c>
      <c r="O271" s="4">
        <v>0</v>
      </c>
      <c r="P271" s="4">
        <v>0</v>
      </c>
      <c r="Q271" s="4">
        <v>0</v>
      </c>
      <c r="R271" s="4">
        <v>0</v>
      </c>
      <c r="S271" s="4">
        <v>0</v>
      </c>
      <c r="T271" s="4">
        <v>0</v>
      </c>
      <c r="U271" s="4">
        <v>0</v>
      </c>
      <c r="V271" s="4">
        <v>0</v>
      </c>
      <c r="W271" s="4">
        <v>0</v>
      </c>
      <c r="X271" s="4">
        <v>0</v>
      </c>
      <c r="Y271" s="4">
        <v>0</v>
      </c>
      <c r="Z271" s="4">
        <v>0</v>
      </c>
      <c r="AA271" s="4">
        <v>0</v>
      </c>
      <c r="AB271" s="4">
        <v>0</v>
      </c>
      <c r="AC271" s="4">
        <v>0</v>
      </c>
      <c r="AD271" s="4">
        <v>0</v>
      </c>
      <c r="AE271" s="4">
        <v>0</v>
      </c>
      <c r="AF271" s="43">
        <v>1.4251346260975677E-3</v>
      </c>
      <c r="AG271" s="43">
        <v>1.4394010133432365E-3</v>
      </c>
      <c r="AH271" s="43">
        <v>1.4536674005889065E-3</v>
      </c>
      <c r="AI271" s="43">
        <v>1.4679337878345756E-3</v>
      </c>
      <c r="AJ271" s="43">
        <v>1.4822001750802451E-3</v>
      </c>
      <c r="AK271" s="43">
        <v>1.4964665623259147E-3</v>
      </c>
      <c r="AL271" s="43">
        <v>1.5107329495715842E-3</v>
      </c>
      <c r="AM271" s="43">
        <v>1.5249993368172535E-3</v>
      </c>
      <c r="AN271" s="43">
        <v>1.5392657240629226E-3</v>
      </c>
      <c r="AO271" s="43">
        <v>1.5535321113085924E-3</v>
      </c>
      <c r="AP271" s="43">
        <v>1.5677984985542617E-3</v>
      </c>
      <c r="AQ271" s="43">
        <v>1.5820648857999312E-3</v>
      </c>
      <c r="AR271" s="43">
        <v>1.5963312730456008E-3</v>
      </c>
      <c r="AS271" s="43">
        <v>1.6105976602912699E-3</v>
      </c>
      <c r="AT271" s="43">
        <v>1.6248640475369394E-3</v>
      </c>
      <c r="AU271" s="43">
        <v>1.6391304347826087E-3</v>
      </c>
      <c r="AV271" s="43">
        <v>1.6512056578914661E-3</v>
      </c>
      <c r="AW271" s="43">
        <v>1.6632808810003231E-3</v>
      </c>
      <c r="AX271" s="43">
        <v>1.6753561041091803E-3</v>
      </c>
      <c r="AY271" s="43">
        <v>1.6874313272180379E-3</v>
      </c>
      <c r="AZ271" s="43">
        <v>1.6995065503268951E-3</v>
      </c>
      <c r="BA271" s="43">
        <v>1.7115817734357521E-3</v>
      </c>
      <c r="BB271" s="43">
        <v>1.7236569965446093E-3</v>
      </c>
      <c r="BC271" s="43">
        <v>1.7357322196534667E-3</v>
      </c>
      <c r="BD271" s="43">
        <v>1.7478074427623236E-3</v>
      </c>
      <c r="BE271" s="43">
        <v>1.759882665871181E-3</v>
      </c>
      <c r="BF271" s="43">
        <v>1.7719578889800382E-3</v>
      </c>
      <c r="BG271" s="43">
        <v>1.7840331120888959E-3</v>
      </c>
      <c r="BH271" s="43">
        <v>1.7961083351977531E-3</v>
      </c>
      <c r="BI271" s="43">
        <v>1.8081835583066094E-3</v>
      </c>
      <c r="BJ271" s="43">
        <v>1.8202587814154672E-3</v>
      </c>
      <c r="BK271" s="43">
        <v>1.8323340045243244E-3</v>
      </c>
      <c r="BL271" s="43">
        <v>1.844409227633182E-3</v>
      </c>
      <c r="BM271" s="43">
        <v>1.8564844507420388E-3</v>
      </c>
      <c r="BN271" s="43">
        <v>1.8685596738508962E-3</v>
      </c>
      <c r="BO271" s="43">
        <v>1.8806348969597534E-3</v>
      </c>
      <c r="BP271" s="43">
        <v>1.8927101200686108E-3</v>
      </c>
      <c r="BQ271" s="43">
        <v>1.9047853431774678E-3</v>
      </c>
      <c r="BR271" s="43">
        <v>1.9168605662863256E-3</v>
      </c>
      <c r="BS271" s="43">
        <v>1.9289357893951824E-3</v>
      </c>
      <c r="BT271" s="43">
        <v>1.9410110125040402E-3</v>
      </c>
      <c r="BU271" s="43">
        <v>1.9530862356128972E-3</v>
      </c>
      <c r="BV271" s="43">
        <v>1.9651614587217541E-3</v>
      </c>
      <c r="BW271" s="43">
        <v>1.9772366818306113E-3</v>
      </c>
      <c r="BX271" s="43">
        <v>1.989311904939469E-3</v>
      </c>
      <c r="BY271" s="43">
        <v>2.0013871280483257E-3</v>
      </c>
      <c r="BZ271" s="43">
        <v>2.0134623511571829E-3</v>
      </c>
      <c r="CA271" s="43">
        <v>2.0255375742660405E-3</v>
      </c>
      <c r="CB271" s="43">
        <v>2.0376127973748973E-3</v>
      </c>
      <c r="CC271" s="43">
        <v>2.0496880204837549E-3</v>
      </c>
      <c r="CD271" s="43">
        <v>2.0617632435926121E-3</v>
      </c>
      <c r="CE271" s="43">
        <v>2.0738384667014697E-3</v>
      </c>
      <c r="CF271" s="43">
        <v>2.0859136898103261E-3</v>
      </c>
      <c r="CG271" s="43">
        <v>2.0979889129191837E-3</v>
      </c>
      <c r="CH271" s="43">
        <v>2.1100641360280409E-3</v>
      </c>
      <c r="CI271" s="43">
        <v>2.1221393591368985E-3</v>
      </c>
      <c r="CJ271" s="43">
        <v>2.1342145822457557E-3</v>
      </c>
      <c r="CK271" s="43">
        <v>2.1462898053546129E-3</v>
      </c>
      <c r="CL271" s="43">
        <v>2.1583650284634701E-3</v>
      </c>
      <c r="CM271" s="43">
        <v>2.1704402515723277E-3</v>
      </c>
    </row>
    <row r="272" spans="1:91" x14ac:dyDescent="0.25">
      <c r="A272" s="99" t="s">
        <v>1</v>
      </c>
      <c r="B272" s="4">
        <v>0</v>
      </c>
      <c r="C272" s="4">
        <v>0</v>
      </c>
      <c r="D272" s="4">
        <v>0</v>
      </c>
      <c r="E272" s="4">
        <v>0</v>
      </c>
      <c r="F272" s="4">
        <v>0</v>
      </c>
      <c r="G272" s="4">
        <v>0</v>
      </c>
      <c r="H272" s="4">
        <v>0</v>
      </c>
      <c r="I272" s="4">
        <v>0</v>
      </c>
      <c r="J272" s="4">
        <v>0</v>
      </c>
      <c r="K272" s="4">
        <v>0</v>
      </c>
      <c r="L272" s="4">
        <v>0</v>
      </c>
      <c r="M272" s="4">
        <v>0</v>
      </c>
      <c r="N272" s="4">
        <v>0</v>
      </c>
      <c r="O272" s="4">
        <v>0</v>
      </c>
      <c r="P272" s="4">
        <v>0</v>
      </c>
      <c r="Q272" s="4">
        <v>0</v>
      </c>
      <c r="R272" s="4">
        <v>0</v>
      </c>
      <c r="S272" s="4">
        <v>0</v>
      </c>
      <c r="T272" s="4">
        <v>0</v>
      </c>
      <c r="U272" s="4">
        <v>0</v>
      </c>
      <c r="V272" s="4">
        <v>0</v>
      </c>
      <c r="W272" s="4">
        <v>0</v>
      </c>
      <c r="X272" s="4">
        <v>0</v>
      </c>
      <c r="Y272" s="4">
        <v>0</v>
      </c>
      <c r="Z272" s="4">
        <v>0</v>
      </c>
      <c r="AA272" s="4">
        <v>0</v>
      </c>
      <c r="AB272" s="4">
        <v>0</v>
      </c>
      <c r="AC272" s="4">
        <v>0</v>
      </c>
      <c r="AD272" s="4">
        <v>0</v>
      </c>
      <c r="AE272" s="4">
        <v>0</v>
      </c>
      <c r="AF272" s="43">
        <v>1.6577549140049134E-3</v>
      </c>
      <c r="AG272" s="43">
        <v>1.6804361179361179E-3</v>
      </c>
      <c r="AH272" s="43">
        <v>1.7031173218673219E-3</v>
      </c>
      <c r="AI272" s="43">
        <v>1.7257985257985258E-3</v>
      </c>
      <c r="AJ272" s="43">
        <v>1.7484797297297294E-3</v>
      </c>
      <c r="AK272" s="43">
        <v>1.7711609336609332E-3</v>
      </c>
      <c r="AL272" s="43">
        <v>1.7938421375921377E-3</v>
      </c>
      <c r="AM272" s="43">
        <v>1.8165233415233415E-3</v>
      </c>
      <c r="AN272" s="43">
        <v>1.8392045454545453E-3</v>
      </c>
      <c r="AO272" s="43">
        <v>1.8618857493857496E-3</v>
      </c>
      <c r="AP272" s="43">
        <v>1.8845669533169532E-3</v>
      </c>
      <c r="AQ272" s="43">
        <v>1.9072481572481575E-3</v>
      </c>
      <c r="AR272" s="43">
        <v>1.9299293611793611E-3</v>
      </c>
      <c r="AS272" s="43">
        <v>1.9526105651105647E-3</v>
      </c>
      <c r="AT272" s="43">
        <v>1.9752917690417696E-3</v>
      </c>
      <c r="AU272" s="43">
        <v>1.9979729729729728E-3</v>
      </c>
      <c r="AV272" s="43">
        <v>2.0184735872235877E-3</v>
      </c>
      <c r="AW272" s="43">
        <v>2.0389742014742013E-3</v>
      </c>
      <c r="AX272" s="43">
        <v>2.0594748157248153E-3</v>
      </c>
      <c r="AY272" s="43">
        <v>2.0799754299754298E-3</v>
      </c>
      <c r="AZ272" s="43">
        <v>2.1004760442260443E-3</v>
      </c>
      <c r="BA272" s="43">
        <v>2.1209766584766587E-3</v>
      </c>
      <c r="BB272" s="43">
        <v>2.1414772727272723E-3</v>
      </c>
      <c r="BC272" s="43">
        <v>2.1619778869778868E-3</v>
      </c>
      <c r="BD272" s="43">
        <v>2.1824785012285013E-3</v>
      </c>
      <c r="BE272" s="43">
        <v>2.2029791154791153E-3</v>
      </c>
      <c r="BF272" s="43">
        <v>2.2234797297297293E-3</v>
      </c>
      <c r="BG272" s="43">
        <v>2.2439803439803438E-3</v>
      </c>
      <c r="BH272" s="43">
        <v>2.2644809582309583E-3</v>
      </c>
      <c r="BI272" s="43">
        <v>2.2849815724815723E-3</v>
      </c>
      <c r="BJ272" s="43">
        <v>2.3054821867321868E-3</v>
      </c>
      <c r="BK272" s="43">
        <v>2.3259828009828008E-3</v>
      </c>
      <c r="BL272" s="43">
        <v>2.3464834152334153E-3</v>
      </c>
      <c r="BM272" s="43">
        <v>2.3669840294840293E-3</v>
      </c>
      <c r="BN272" s="43">
        <v>2.3874846437346438E-3</v>
      </c>
      <c r="BO272" s="43">
        <v>2.4079852579852574E-3</v>
      </c>
      <c r="BP272" s="43">
        <v>2.4284858722358718E-3</v>
      </c>
      <c r="BQ272" s="43">
        <v>2.4489864864864859E-3</v>
      </c>
      <c r="BR272" s="43">
        <v>2.4694871007371003E-3</v>
      </c>
      <c r="BS272" s="43">
        <v>2.4899877149877148E-3</v>
      </c>
      <c r="BT272" s="43">
        <v>2.5104883292383293E-3</v>
      </c>
      <c r="BU272" s="43">
        <v>2.5309889434889433E-3</v>
      </c>
      <c r="BV272" s="43">
        <v>2.5514895577395573E-3</v>
      </c>
      <c r="BW272" s="43">
        <v>2.5719901719901722E-3</v>
      </c>
      <c r="BX272" s="43">
        <v>2.5924907862407863E-3</v>
      </c>
      <c r="BY272" s="43">
        <v>2.6129914004914007E-3</v>
      </c>
      <c r="BZ272" s="43">
        <v>2.6334920147420139E-3</v>
      </c>
      <c r="CA272" s="43">
        <v>2.6539926289926284E-3</v>
      </c>
      <c r="CB272" s="43">
        <v>2.6744932432432428E-3</v>
      </c>
      <c r="CC272" s="43">
        <v>2.6949938574938573E-3</v>
      </c>
      <c r="CD272" s="43">
        <v>2.7154944717444713E-3</v>
      </c>
      <c r="CE272" s="43">
        <v>2.7359950859950858E-3</v>
      </c>
      <c r="CF272" s="43">
        <v>2.7564957002457007E-3</v>
      </c>
      <c r="CG272" s="43">
        <v>2.7769963144963143E-3</v>
      </c>
      <c r="CH272" s="43">
        <v>2.7974969287469288E-3</v>
      </c>
      <c r="CI272" s="43">
        <v>2.8179975429975424E-3</v>
      </c>
      <c r="CJ272" s="43">
        <v>2.8384981572481573E-3</v>
      </c>
      <c r="CK272" s="43">
        <v>2.8589987714987713E-3</v>
      </c>
      <c r="CL272" s="43">
        <v>2.8794993857493853E-3</v>
      </c>
      <c r="CM272" s="43">
        <v>2.8999999999999998E-3</v>
      </c>
    </row>
    <row r="273" spans="1:91" x14ac:dyDescent="0.25">
      <c r="A273" s="99" t="s">
        <v>1</v>
      </c>
      <c r="B273" s="4">
        <v>0</v>
      </c>
      <c r="C273" s="4">
        <v>0</v>
      </c>
      <c r="D273" s="4">
        <v>0</v>
      </c>
      <c r="E273" s="4">
        <v>0</v>
      </c>
      <c r="F273" s="4">
        <v>0</v>
      </c>
      <c r="G273" s="4">
        <v>0</v>
      </c>
      <c r="H273" s="4">
        <v>0</v>
      </c>
      <c r="I273" s="4">
        <v>0</v>
      </c>
      <c r="J273" s="4">
        <v>0</v>
      </c>
      <c r="K273" s="4">
        <v>0</v>
      </c>
      <c r="L273" s="4">
        <v>0</v>
      </c>
      <c r="M273" s="4">
        <v>0</v>
      </c>
      <c r="N273" s="4">
        <v>0</v>
      </c>
      <c r="O273" s="4">
        <v>0</v>
      </c>
      <c r="P273" s="4">
        <v>0</v>
      </c>
      <c r="Q273" s="4">
        <v>0</v>
      </c>
      <c r="R273" s="4">
        <v>0</v>
      </c>
      <c r="S273" s="4">
        <v>0</v>
      </c>
      <c r="T273" s="4">
        <v>0</v>
      </c>
      <c r="U273" s="4">
        <v>0</v>
      </c>
      <c r="V273" s="4">
        <v>0</v>
      </c>
      <c r="W273" s="4">
        <v>0</v>
      </c>
      <c r="X273" s="4">
        <v>0</v>
      </c>
      <c r="Y273" s="4">
        <v>0</v>
      </c>
      <c r="Z273" s="4">
        <v>0</v>
      </c>
      <c r="AA273" s="4">
        <v>0</v>
      </c>
      <c r="AB273" s="4">
        <v>0</v>
      </c>
      <c r="AC273" s="4">
        <v>0</v>
      </c>
      <c r="AD273" s="4">
        <v>0</v>
      </c>
      <c r="AE273" s="4">
        <v>0</v>
      </c>
      <c r="AF273" s="43">
        <v>6.1522727272727278E-2</v>
      </c>
      <c r="AG273" s="43">
        <v>6.1954545454545457E-2</v>
      </c>
      <c r="AH273" s="43">
        <v>6.2386363636363643E-2</v>
      </c>
      <c r="AI273" s="43">
        <v>6.2818181818181829E-2</v>
      </c>
      <c r="AJ273" s="43">
        <v>6.3250000000000001E-2</v>
      </c>
      <c r="AK273" s="43">
        <v>6.3681818181818187E-2</v>
      </c>
      <c r="AL273" s="43">
        <v>6.4113636363636373E-2</v>
      </c>
      <c r="AM273" s="43">
        <v>6.4545454545454545E-2</v>
      </c>
      <c r="AN273" s="43">
        <v>6.4977272727272731E-2</v>
      </c>
      <c r="AO273" s="43">
        <v>6.5409090909090917E-2</v>
      </c>
      <c r="AP273" s="43">
        <v>6.5840909090909089E-2</v>
      </c>
      <c r="AQ273" s="43">
        <v>6.6272727272727275E-2</v>
      </c>
      <c r="AR273" s="43">
        <v>6.6704545454545461E-2</v>
      </c>
      <c r="AS273" s="43">
        <v>6.7136363636363633E-2</v>
      </c>
      <c r="AT273" s="43">
        <v>6.7568181818181819E-2</v>
      </c>
      <c r="AU273" s="43">
        <v>6.8000000000000005E-2</v>
      </c>
      <c r="AV273" s="43">
        <v>6.881818181818182E-2</v>
      </c>
      <c r="AW273" s="43">
        <v>6.9636363636363635E-2</v>
      </c>
      <c r="AX273" s="43">
        <v>7.0454545454545464E-2</v>
      </c>
      <c r="AY273" s="43">
        <v>7.1272727272727279E-2</v>
      </c>
      <c r="AZ273" s="43">
        <v>7.2090909090909094E-2</v>
      </c>
      <c r="BA273" s="43">
        <v>7.290909090909091E-2</v>
      </c>
      <c r="BB273" s="43">
        <v>7.3727272727272725E-2</v>
      </c>
      <c r="BC273" s="43">
        <v>7.4545454545454554E-2</v>
      </c>
      <c r="BD273" s="43">
        <v>7.5363636363636369E-2</v>
      </c>
      <c r="BE273" s="43">
        <v>7.6181818181818184E-2</v>
      </c>
      <c r="BF273" s="43">
        <v>7.6999999999999999E-2</v>
      </c>
      <c r="BG273" s="43">
        <v>7.7818181818181814E-2</v>
      </c>
      <c r="BH273" s="43">
        <v>7.8636363636363643E-2</v>
      </c>
      <c r="BI273" s="43">
        <v>7.9454545454545458E-2</v>
      </c>
      <c r="BJ273" s="43">
        <v>8.0272727272727273E-2</v>
      </c>
      <c r="BK273" s="43">
        <v>8.1090909090909088E-2</v>
      </c>
      <c r="BL273" s="43">
        <v>8.1909090909090904E-2</v>
      </c>
      <c r="BM273" s="43">
        <v>8.2727272727272733E-2</v>
      </c>
      <c r="BN273" s="43">
        <v>8.3545454545454548E-2</v>
      </c>
      <c r="BO273" s="43">
        <v>8.4363636363636363E-2</v>
      </c>
      <c r="BP273" s="43">
        <v>8.5181818181818178E-2</v>
      </c>
      <c r="BQ273" s="43">
        <v>8.5999999999999993E-2</v>
      </c>
      <c r="BR273" s="43">
        <v>8.6818181818181822E-2</v>
      </c>
      <c r="BS273" s="43">
        <v>8.7636363636363637E-2</v>
      </c>
      <c r="BT273" s="43">
        <v>8.8454545454545452E-2</v>
      </c>
      <c r="BU273" s="43">
        <v>8.9272727272727267E-2</v>
      </c>
      <c r="BV273" s="43">
        <v>9.0090909090909083E-2</v>
      </c>
      <c r="BW273" s="43">
        <v>9.0909090909090912E-2</v>
      </c>
      <c r="BX273" s="43">
        <v>9.1727272727272727E-2</v>
      </c>
      <c r="BY273" s="43">
        <v>9.2545454545454542E-2</v>
      </c>
      <c r="BZ273" s="43">
        <v>9.3363636363636357E-2</v>
      </c>
      <c r="CA273" s="43">
        <v>9.4181818181818172E-2</v>
      </c>
      <c r="CB273" s="43">
        <v>9.5000000000000001E-2</v>
      </c>
      <c r="CC273" s="43">
        <v>9.5818181818181816E-2</v>
      </c>
      <c r="CD273" s="43">
        <v>9.6636363636363631E-2</v>
      </c>
      <c r="CE273" s="43">
        <v>9.7454545454545446E-2</v>
      </c>
      <c r="CF273" s="43">
        <v>9.8272727272727262E-2</v>
      </c>
      <c r="CG273" s="43">
        <v>9.9090909090909091E-2</v>
      </c>
      <c r="CH273" s="43">
        <v>9.9909090909090906E-2</v>
      </c>
      <c r="CI273" s="43">
        <v>0.10072727272727272</v>
      </c>
      <c r="CJ273" s="43">
        <v>0.10154545454545455</v>
      </c>
      <c r="CK273" s="43">
        <v>0.10236363636363635</v>
      </c>
      <c r="CL273" s="43">
        <v>0.10318181818181818</v>
      </c>
      <c r="CM273" s="43">
        <v>0.104</v>
      </c>
    </row>
    <row r="274" spans="1:91" x14ac:dyDescent="0.25">
      <c r="A274" s="44"/>
    </row>
    <row r="275" spans="1:91" x14ac:dyDescent="0.25">
      <c r="A275" s="99" t="s">
        <v>17</v>
      </c>
      <c r="B275" s="4">
        <v>0</v>
      </c>
      <c r="C275" s="4">
        <v>0</v>
      </c>
      <c r="D275" s="4">
        <v>0</v>
      </c>
      <c r="E275" s="4">
        <v>0</v>
      </c>
      <c r="F275" s="4">
        <v>0</v>
      </c>
      <c r="G275" s="4">
        <v>0</v>
      </c>
      <c r="H275" s="4">
        <v>0</v>
      </c>
      <c r="I275" s="4">
        <v>0</v>
      </c>
      <c r="J275" s="4">
        <v>0</v>
      </c>
      <c r="K275" s="4">
        <v>0</v>
      </c>
      <c r="L275" s="4">
        <v>0</v>
      </c>
      <c r="M275" s="4">
        <v>0</v>
      </c>
      <c r="N275" s="4">
        <v>0</v>
      </c>
      <c r="O275" s="4">
        <v>0</v>
      </c>
      <c r="P275" s="4">
        <v>0</v>
      </c>
      <c r="Q275" s="4">
        <v>0</v>
      </c>
      <c r="R275" s="4">
        <v>0</v>
      </c>
      <c r="S275" s="4">
        <v>0</v>
      </c>
      <c r="T275" s="4">
        <v>0</v>
      </c>
      <c r="U275" s="4">
        <v>0</v>
      </c>
      <c r="V275" s="4">
        <v>0</v>
      </c>
      <c r="W275" s="4">
        <v>0</v>
      </c>
      <c r="X275" s="4">
        <v>0</v>
      </c>
      <c r="Y275" s="4">
        <v>0</v>
      </c>
      <c r="Z275" s="4">
        <v>0</v>
      </c>
      <c r="AA275" s="4">
        <v>0</v>
      </c>
      <c r="AB275" s="4">
        <v>0</v>
      </c>
      <c r="AC275" s="4">
        <v>0</v>
      </c>
      <c r="AD275" s="4">
        <v>0</v>
      </c>
      <c r="AE275" s="4">
        <v>0</v>
      </c>
      <c r="AF275" s="11">
        <v>9.6590909090909095E-4</v>
      </c>
      <c r="AG275" s="11">
        <v>9.6818181818181823E-4</v>
      </c>
      <c r="AH275" s="11">
        <v>9.704545454545454E-4</v>
      </c>
      <c r="AI275" s="11">
        <v>9.7272727272727268E-4</v>
      </c>
      <c r="AJ275" s="11">
        <v>9.7499999999999996E-4</v>
      </c>
      <c r="AK275" s="11">
        <v>9.7727272727272723E-4</v>
      </c>
      <c r="AL275" s="11">
        <v>9.7954545454545451E-4</v>
      </c>
      <c r="AM275" s="11">
        <v>9.8181818181818179E-4</v>
      </c>
      <c r="AN275" s="11">
        <v>9.8409090909090907E-4</v>
      </c>
      <c r="AO275" s="11">
        <v>9.8636363636363635E-4</v>
      </c>
      <c r="AP275" s="11">
        <v>9.8863636363636363E-4</v>
      </c>
      <c r="AQ275" s="11">
        <v>9.9090909090909091E-4</v>
      </c>
      <c r="AR275" s="11">
        <v>9.9318181818181818E-4</v>
      </c>
      <c r="AS275" s="11">
        <v>9.9545454545454546E-4</v>
      </c>
      <c r="AT275" s="11">
        <v>9.9772727272727274E-4</v>
      </c>
      <c r="AU275" s="11">
        <v>1E-3</v>
      </c>
      <c r="AV275" s="11">
        <v>1.0363636363636365E-3</v>
      </c>
      <c r="AW275" s="11">
        <v>1.0727272727272727E-3</v>
      </c>
      <c r="AX275" s="11">
        <v>1.1090909090909092E-3</v>
      </c>
      <c r="AY275" s="11">
        <v>1.1454545454545454E-3</v>
      </c>
      <c r="AZ275" s="11">
        <v>1.1818181818181819E-3</v>
      </c>
      <c r="BA275" s="11">
        <v>1.2181818181818181E-3</v>
      </c>
      <c r="BB275" s="11">
        <v>1.2545454545454546E-3</v>
      </c>
      <c r="BC275" s="11">
        <v>1.2909090909090908E-3</v>
      </c>
      <c r="BD275" s="11">
        <v>1.3272727272727273E-3</v>
      </c>
      <c r="BE275" s="11">
        <v>1.3636363636363635E-3</v>
      </c>
      <c r="BF275" s="11">
        <v>1.4E-3</v>
      </c>
      <c r="BG275" s="11">
        <v>1.4363636363636362E-3</v>
      </c>
      <c r="BH275" s="11">
        <v>1.4727272727272727E-3</v>
      </c>
      <c r="BI275" s="11">
        <v>1.5090909090909091E-3</v>
      </c>
      <c r="BJ275" s="11">
        <v>1.5454545454545454E-3</v>
      </c>
      <c r="BK275" s="11">
        <v>1.5818181818181816E-3</v>
      </c>
      <c r="BL275" s="11">
        <v>1.6181818181818181E-3</v>
      </c>
      <c r="BM275" s="11">
        <v>1.6545454545454545E-3</v>
      </c>
      <c r="BN275" s="11">
        <v>1.6909090909090908E-3</v>
      </c>
      <c r="BO275" s="11">
        <v>1.727272727272727E-3</v>
      </c>
      <c r="BP275" s="11">
        <v>1.7636363636363635E-3</v>
      </c>
      <c r="BQ275" s="11">
        <v>1.8E-3</v>
      </c>
      <c r="BR275" s="11">
        <v>1.8363636363636362E-3</v>
      </c>
      <c r="BS275" s="11">
        <v>1.8727272727272727E-3</v>
      </c>
      <c r="BT275" s="11">
        <v>1.9090909090909089E-3</v>
      </c>
      <c r="BU275" s="11">
        <v>1.9454545454545454E-3</v>
      </c>
      <c r="BV275" s="11">
        <v>1.9818181818181818E-3</v>
      </c>
      <c r="BW275" s="11">
        <v>2.0181818181818183E-3</v>
      </c>
      <c r="BX275" s="11">
        <v>2.0545454545454543E-3</v>
      </c>
      <c r="BY275" s="11">
        <v>2.0909090909090908E-3</v>
      </c>
      <c r="BZ275" s="11">
        <v>2.1272727272727268E-3</v>
      </c>
      <c r="CA275" s="11">
        <v>2.1636363636363632E-3</v>
      </c>
      <c r="CB275" s="11">
        <v>2.1999999999999997E-3</v>
      </c>
      <c r="CC275" s="11">
        <v>2.2363636363636362E-3</v>
      </c>
      <c r="CD275" s="11">
        <v>2.2727272727272726E-3</v>
      </c>
      <c r="CE275" s="11">
        <v>2.3090909090909091E-3</v>
      </c>
      <c r="CF275" s="11">
        <v>2.3454545454545455E-3</v>
      </c>
      <c r="CG275" s="11">
        <v>2.3818181818181816E-3</v>
      </c>
      <c r="CH275" s="11">
        <v>2.418181818181818E-3</v>
      </c>
      <c r="CI275" s="11">
        <v>2.454545454545454E-3</v>
      </c>
      <c r="CJ275" s="11">
        <v>2.4909090909090905E-3</v>
      </c>
      <c r="CK275" s="11">
        <v>2.527272727272727E-3</v>
      </c>
      <c r="CL275" s="11">
        <v>2.5636363636363634E-3</v>
      </c>
      <c r="CM275" s="11">
        <v>2.5999999999999999E-3</v>
      </c>
    </row>
    <row r="276" spans="1:91" x14ac:dyDescent="0.25">
      <c r="A276" s="99"/>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row>
    <row r="277" spans="1:91" s="50" customFormat="1" x14ac:dyDescent="0.25">
      <c r="A277" s="99" t="s">
        <v>397</v>
      </c>
      <c r="B277" s="4">
        <v>0</v>
      </c>
      <c r="C277" s="4">
        <v>0</v>
      </c>
      <c r="D277" s="4">
        <v>0</v>
      </c>
      <c r="E277" s="4">
        <v>0</v>
      </c>
      <c r="F277" s="4">
        <v>0</v>
      </c>
      <c r="G277" s="4">
        <v>0</v>
      </c>
      <c r="H277" s="4">
        <v>0</v>
      </c>
      <c r="I277" s="4">
        <v>0</v>
      </c>
      <c r="J277" s="4">
        <v>0</v>
      </c>
      <c r="K277" s="4">
        <v>0</v>
      </c>
      <c r="L277" s="4">
        <v>0</v>
      </c>
      <c r="M277" s="4">
        <v>0</v>
      </c>
      <c r="N277" s="4">
        <v>0</v>
      </c>
      <c r="O277" s="4">
        <v>0</v>
      </c>
      <c r="P277" s="4">
        <v>0</v>
      </c>
      <c r="Q277" s="4">
        <v>0</v>
      </c>
      <c r="R277" s="4">
        <v>0</v>
      </c>
      <c r="S277" s="4">
        <v>0</v>
      </c>
      <c r="T277" s="4">
        <v>0</v>
      </c>
      <c r="U277" s="4">
        <v>0</v>
      </c>
      <c r="V277" s="4">
        <v>0</v>
      </c>
      <c r="W277" s="4">
        <v>0</v>
      </c>
      <c r="X277" s="4">
        <v>0</v>
      </c>
      <c r="Y277" s="4">
        <v>0</v>
      </c>
      <c r="Z277" s="4">
        <v>0</v>
      </c>
      <c r="AA277" s="4">
        <v>0</v>
      </c>
      <c r="AB277" s="4">
        <v>0</v>
      </c>
      <c r="AC277" s="4">
        <v>0</v>
      </c>
      <c r="AD277" s="4">
        <v>0</v>
      </c>
      <c r="AE277" s="4">
        <v>0</v>
      </c>
      <c r="AF277" s="51">
        <v>9.6590909090909095E-4</v>
      </c>
      <c r="AG277" s="51">
        <v>9.6818181818181823E-4</v>
      </c>
      <c r="AH277" s="51">
        <v>9.704545454545454E-4</v>
      </c>
      <c r="AI277" s="51">
        <v>9.7272727272727268E-4</v>
      </c>
      <c r="AJ277" s="51">
        <v>9.7499999999999996E-4</v>
      </c>
      <c r="AK277" s="51">
        <v>9.7727272727272723E-4</v>
      </c>
      <c r="AL277" s="51">
        <v>9.7954545454545451E-4</v>
      </c>
      <c r="AM277" s="51">
        <v>9.8181818181818179E-4</v>
      </c>
      <c r="AN277" s="51">
        <v>9.8409090909090907E-4</v>
      </c>
      <c r="AO277" s="51">
        <v>9.8636363636363635E-4</v>
      </c>
      <c r="AP277" s="51">
        <v>9.8863636363636363E-4</v>
      </c>
      <c r="AQ277" s="51">
        <v>9.9090909090909091E-4</v>
      </c>
      <c r="AR277" s="51">
        <v>9.9318181818181818E-4</v>
      </c>
      <c r="AS277" s="51">
        <v>9.9545454545454546E-4</v>
      </c>
      <c r="AT277" s="51">
        <v>9.9772727272727274E-4</v>
      </c>
      <c r="AU277" s="51">
        <v>1E-3</v>
      </c>
      <c r="AV277" s="51">
        <v>1.0363636363636365E-3</v>
      </c>
      <c r="AW277" s="51">
        <v>1.0727272727272727E-3</v>
      </c>
      <c r="AX277" s="51">
        <v>1.1090909090909092E-3</v>
      </c>
      <c r="AY277" s="51">
        <v>1.1454545454545454E-3</v>
      </c>
      <c r="AZ277" s="51">
        <v>1.1818181818181819E-3</v>
      </c>
      <c r="BA277" s="51">
        <v>1.2181818181818181E-3</v>
      </c>
      <c r="BB277" s="51">
        <v>1.2545454545454546E-3</v>
      </c>
      <c r="BC277" s="51">
        <v>1.2909090909090908E-3</v>
      </c>
      <c r="BD277" s="51">
        <v>1.3272727272727273E-3</v>
      </c>
      <c r="BE277" s="51">
        <v>1.3636363636363635E-3</v>
      </c>
      <c r="BF277" s="51">
        <v>1.4E-3</v>
      </c>
      <c r="BG277" s="51">
        <v>1.4363636363636362E-3</v>
      </c>
      <c r="BH277" s="51">
        <v>1.4727272727272727E-3</v>
      </c>
      <c r="BI277" s="51">
        <v>1.5090909090909091E-3</v>
      </c>
      <c r="BJ277" s="51">
        <v>1.5454545454545454E-3</v>
      </c>
      <c r="BK277" s="51">
        <v>1.5818181818181816E-3</v>
      </c>
      <c r="BL277" s="51">
        <v>1.6181818181818181E-3</v>
      </c>
      <c r="BM277" s="51">
        <v>1.6545454545454545E-3</v>
      </c>
      <c r="BN277" s="51">
        <v>1.6909090909090908E-3</v>
      </c>
      <c r="BO277" s="51">
        <v>1.727272727272727E-3</v>
      </c>
      <c r="BP277" s="51">
        <v>1.7636363636363635E-3</v>
      </c>
      <c r="BQ277" s="51">
        <v>1.8E-3</v>
      </c>
      <c r="BR277" s="51">
        <v>1.8363636363636362E-3</v>
      </c>
      <c r="BS277" s="51">
        <v>1.8727272727272727E-3</v>
      </c>
      <c r="BT277" s="51">
        <v>1.9090909090909089E-3</v>
      </c>
      <c r="BU277" s="51">
        <v>1.9454545454545454E-3</v>
      </c>
      <c r="BV277" s="51">
        <v>1.9818181818181818E-3</v>
      </c>
      <c r="BW277" s="51">
        <v>2.0181818181818183E-3</v>
      </c>
      <c r="BX277" s="51">
        <v>2.0545454545454543E-3</v>
      </c>
      <c r="BY277" s="51">
        <v>2.0909090909090908E-3</v>
      </c>
      <c r="BZ277" s="51">
        <v>2.1272727272727268E-3</v>
      </c>
      <c r="CA277" s="51">
        <v>2.1636363636363632E-3</v>
      </c>
      <c r="CB277" s="51">
        <v>2.1999999999999997E-3</v>
      </c>
      <c r="CC277" s="51">
        <v>2.2363636363636362E-3</v>
      </c>
      <c r="CD277" s="51">
        <v>2.2727272727272726E-3</v>
      </c>
      <c r="CE277" s="51">
        <v>2.3090909090909091E-3</v>
      </c>
      <c r="CF277" s="51">
        <v>2.3454545454545455E-3</v>
      </c>
      <c r="CG277" s="51">
        <v>2.3818181818181816E-3</v>
      </c>
      <c r="CH277" s="51">
        <v>2.418181818181818E-3</v>
      </c>
      <c r="CI277" s="51">
        <v>2.454545454545454E-3</v>
      </c>
      <c r="CJ277" s="51">
        <v>2.4909090909090905E-3</v>
      </c>
      <c r="CK277" s="51">
        <v>2.527272727272727E-3</v>
      </c>
      <c r="CL277" s="51">
        <v>2.5636363636363634E-3</v>
      </c>
      <c r="CM277" s="51">
        <v>2.5999999999999999E-3</v>
      </c>
    </row>
    <row r="278" spans="1:91" s="50" customFormat="1" x14ac:dyDescent="0.25">
      <c r="A278" s="9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91" x14ac:dyDescent="0.25">
      <c r="A279" s="99" t="s">
        <v>18</v>
      </c>
      <c r="B279" s="4">
        <v>0</v>
      </c>
      <c r="C279" s="4">
        <v>0</v>
      </c>
      <c r="D279" s="4">
        <v>0</v>
      </c>
      <c r="E279" s="4">
        <v>0</v>
      </c>
      <c r="F279" s="4">
        <v>0</v>
      </c>
      <c r="G279" s="4">
        <v>0</v>
      </c>
      <c r="H279" s="4">
        <v>0</v>
      </c>
      <c r="I279" s="4">
        <v>0</v>
      </c>
      <c r="J279" s="4">
        <v>0</v>
      </c>
      <c r="K279" s="4">
        <v>0</v>
      </c>
      <c r="L279" s="4">
        <v>0</v>
      </c>
      <c r="M279" s="4">
        <v>0</v>
      </c>
      <c r="N279" s="4">
        <v>0</v>
      </c>
      <c r="O279" s="4">
        <v>0</v>
      </c>
      <c r="P279" s="4">
        <v>0</v>
      </c>
      <c r="Q279" s="4">
        <v>0</v>
      </c>
      <c r="R279" s="4">
        <v>0</v>
      </c>
      <c r="S279" s="4">
        <v>0</v>
      </c>
      <c r="T279" s="4">
        <v>0</v>
      </c>
      <c r="U279" s="4">
        <v>0</v>
      </c>
      <c r="V279" s="4">
        <v>0</v>
      </c>
      <c r="W279" s="4">
        <v>0</v>
      </c>
      <c r="X279" s="4">
        <v>0</v>
      </c>
      <c r="Y279" s="4">
        <v>0</v>
      </c>
      <c r="Z279" s="4">
        <v>0</v>
      </c>
      <c r="AA279" s="4">
        <v>0</v>
      </c>
      <c r="AB279" s="4">
        <v>0</v>
      </c>
      <c r="AC279" s="4">
        <v>0</v>
      </c>
      <c r="AD279" s="4">
        <v>0</v>
      </c>
      <c r="AE279" s="4">
        <v>0</v>
      </c>
      <c r="AF279" s="11">
        <v>8.6618671127481966E-4</v>
      </c>
      <c r="AG279" s="11">
        <v>8.7332065560907562E-4</v>
      </c>
      <c r="AH279" s="11">
        <v>8.8045459994333169E-4</v>
      </c>
      <c r="AI279" s="11">
        <v>8.8758854427758765E-4</v>
      </c>
      <c r="AJ279" s="11">
        <v>8.9472248861184372E-4</v>
      </c>
      <c r="AK279" s="11">
        <v>9.0185643294609969E-4</v>
      </c>
      <c r="AL279" s="11">
        <v>9.0899037728035576E-4</v>
      </c>
      <c r="AM279" s="11">
        <v>9.1612432161461172E-4</v>
      </c>
      <c r="AN279" s="11">
        <v>9.2325826594886768E-4</v>
      </c>
      <c r="AO279" s="11">
        <v>9.3039221028312375E-4</v>
      </c>
      <c r="AP279" s="11">
        <v>9.3752615461737982E-4</v>
      </c>
      <c r="AQ279" s="11">
        <v>9.4466009895163578E-4</v>
      </c>
      <c r="AR279" s="11">
        <v>9.5179404328589175E-4</v>
      </c>
      <c r="AS279" s="11">
        <v>9.5892798762014782E-4</v>
      </c>
      <c r="AT279" s="11">
        <v>9.6606193195440389E-4</v>
      </c>
      <c r="AU279" s="11">
        <v>9.7319587628865985E-4</v>
      </c>
      <c r="AV279" s="11">
        <v>9.9072164948453621E-4</v>
      </c>
      <c r="AW279" s="11">
        <v>1.0082474226804125E-3</v>
      </c>
      <c r="AX279" s="11">
        <v>1.0257731958762887E-3</v>
      </c>
      <c r="AY279" s="11">
        <v>1.043298969072165E-3</v>
      </c>
      <c r="AZ279" s="11">
        <v>1.0608247422680412E-3</v>
      </c>
      <c r="BA279" s="11">
        <v>1.0783505154639175E-3</v>
      </c>
      <c r="BB279" s="11">
        <v>1.095876288659794E-3</v>
      </c>
      <c r="BC279" s="11">
        <v>1.1134020618556702E-3</v>
      </c>
      <c r="BD279" s="11">
        <v>1.1309278350515465E-3</v>
      </c>
      <c r="BE279" s="11">
        <v>1.1484536082474227E-3</v>
      </c>
      <c r="BF279" s="11">
        <v>1.165979381443299E-3</v>
      </c>
      <c r="BG279" s="11">
        <v>1.1835051546391752E-3</v>
      </c>
      <c r="BH279" s="11">
        <v>1.2010309278350515E-3</v>
      </c>
      <c r="BI279" s="11">
        <v>1.2185567010309277E-3</v>
      </c>
      <c r="BJ279" s="11">
        <v>1.236082474226804E-3</v>
      </c>
      <c r="BK279" s="11">
        <v>1.2536082474226805E-3</v>
      </c>
      <c r="BL279" s="11">
        <v>1.2711340206185567E-3</v>
      </c>
      <c r="BM279" s="11">
        <v>1.288659793814433E-3</v>
      </c>
      <c r="BN279" s="11">
        <v>1.3061855670103092E-3</v>
      </c>
      <c r="BO279" s="11">
        <v>1.3237113402061855E-3</v>
      </c>
      <c r="BP279" s="11">
        <v>1.3412371134020619E-3</v>
      </c>
      <c r="BQ279" s="11">
        <v>1.3587628865979382E-3</v>
      </c>
      <c r="BR279" s="11">
        <v>1.3762886597938145E-3</v>
      </c>
      <c r="BS279" s="11">
        <v>1.3938144329896907E-3</v>
      </c>
      <c r="BT279" s="11">
        <v>1.411340206185567E-3</v>
      </c>
      <c r="BU279" s="11">
        <v>1.4288659793814432E-3</v>
      </c>
      <c r="BV279" s="11">
        <v>1.4463917525773195E-3</v>
      </c>
      <c r="BW279" s="11">
        <v>1.4639175257731957E-3</v>
      </c>
      <c r="BX279" s="11">
        <v>1.481443298969072E-3</v>
      </c>
      <c r="BY279" s="11">
        <v>1.4989690721649482E-3</v>
      </c>
      <c r="BZ279" s="11">
        <v>1.5164948453608247E-3</v>
      </c>
      <c r="CA279" s="11">
        <v>1.534020618556701E-3</v>
      </c>
      <c r="CB279" s="11">
        <v>1.5515463917525772E-3</v>
      </c>
      <c r="CC279" s="11">
        <v>1.5690721649484537E-3</v>
      </c>
      <c r="CD279" s="11">
        <v>1.5865979381443299E-3</v>
      </c>
      <c r="CE279" s="11">
        <v>1.6041237113402062E-3</v>
      </c>
      <c r="CF279" s="11">
        <v>1.6216494845360824E-3</v>
      </c>
      <c r="CG279" s="11">
        <v>1.6391752577319587E-3</v>
      </c>
      <c r="CH279" s="11">
        <v>1.656701030927835E-3</v>
      </c>
      <c r="CI279" s="11">
        <v>1.6742268041237112E-3</v>
      </c>
      <c r="CJ279" s="11">
        <v>1.6917525773195875E-3</v>
      </c>
      <c r="CK279" s="11">
        <v>1.7092783505154637E-3</v>
      </c>
      <c r="CL279" s="11">
        <v>1.72680412371134E-3</v>
      </c>
      <c r="CM279" s="11">
        <v>1.7443298969072164E-3</v>
      </c>
    </row>
    <row r="280" spans="1:91" x14ac:dyDescent="0.25">
      <c r="A280" s="44"/>
    </row>
    <row r="281" spans="1:91" s="50" customFormat="1" x14ac:dyDescent="0.25">
      <c r="A281" s="99" t="s">
        <v>360</v>
      </c>
      <c r="B281" s="4">
        <v>0</v>
      </c>
      <c r="C281" s="4">
        <v>0</v>
      </c>
      <c r="D281" s="4">
        <v>0</v>
      </c>
      <c r="E281" s="4">
        <v>0</v>
      </c>
      <c r="F281" s="4">
        <v>0</v>
      </c>
      <c r="G281" s="4">
        <v>0</v>
      </c>
      <c r="H281" s="4">
        <v>0</v>
      </c>
      <c r="I281" s="4">
        <v>0</v>
      </c>
      <c r="J281" s="4">
        <v>0</v>
      </c>
      <c r="K281" s="4">
        <v>0</v>
      </c>
      <c r="L281" s="4">
        <v>0</v>
      </c>
      <c r="M281" s="4">
        <v>0</v>
      </c>
      <c r="N281" s="4">
        <v>0</v>
      </c>
      <c r="O281" s="4">
        <v>0</v>
      </c>
      <c r="P281" s="4">
        <v>0</v>
      </c>
      <c r="Q281" s="4">
        <v>0</v>
      </c>
      <c r="R281" s="4">
        <v>0</v>
      </c>
      <c r="S281" s="4">
        <v>0</v>
      </c>
      <c r="T281" s="4">
        <v>0</v>
      </c>
      <c r="U281" s="4">
        <v>0</v>
      </c>
      <c r="V281" s="4">
        <v>0</v>
      </c>
      <c r="W281" s="4">
        <v>0</v>
      </c>
      <c r="X281" s="4">
        <v>0</v>
      </c>
      <c r="Y281" s="4">
        <v>0</v>
      </c>
      <c r="Z281" s="4">
        <v>0</v>
      </c>
      <c r="AA281" s="4">
        <v>0</v>
      </c>
      <c r="AB281" s="4">
        <v>0</v>
      </c>
      <c r="AC281" s="4">
        <v>0</v>
      </c>
      <c r="AD281" s="4">
        <v>0</v>
      </c>
      <c r="AE281" s="4">
        <v>0</v>
      </c>
      <c r="AF281" s="51">
        <v>8.6618671127481966E-4</v>
      </c>
      <c r="AG281" s="51">
        <v>8.7332065560907562E-4</v>
      </c>
      <c r="AH281" s="51">
        <v>8.8045459994333169E-4</v>
      </c>
      <c r="AI281" s="51">
        <v>8.8758854427758765E-4</v>
      </c>
      <c r="AJ281" s="51">
        <v>8.9472248861184372E-4</v>
      </c>
      <c r="AK281" s="51">
        <v>9.0185643294609969E-4</v>
      </c>
      <c r="AL281" s="51">
        <v>9.0899037728035576E-4</v>
      </c>
      <c r="AM281" s="51">
        <v>9.1612432161461172E-4</v>
      </c>
      <c r="AN281" s="51">
        <v>9.2325826594886768E-4</v>
      </c>
      <c r="AO281" s="51">
        <v>9.3039221028312375E-4</v>
      </c>
      <c r="AP281" s="51">
        <v>9.3752615461737982E-4</v>
      </c>
      <c r="AQ281" s="51">
        <v>9.4466009895163578E-4</v>
      </c>
      <c r="AR281" s="51">
        <v>9.5179404328589175E-4</v>
      </c>
      <c r="AS281" s="51">
        <v>9.5892798762014782E-4</v>
      </c>
      <c r="AT281" s="51">
        <v>9.6606193195440389E-4</v>
      </c>
      <c r="AU281" s="51">
        <v>9.7319587628865985E-4</v>
      </c>
      <c r="AV281" s="51">
        <v>9.9072164948453621E-4</v>
      </c>
      <c r="AW281" s="51">
        <v>1.0082474226804125E-3</v>
      </c>
      <c r="AX281" s="51">
        <v>1.0257731958762887E-3</v>
      </c>
      <c r="AY281" s="51">
        <v>1.043298969072165E-3</v>
      </c>
      <c r="AZ281" s="51">
        <v>1.0608247422680412E-3</v>
      </c>
      <c r="BA281" s="51">
        <v>1.0783505154639175E-3</v>
      </c>
      <c r="BB281" s="51">
        <v>1.095876288659794E-3</v>
      </c>
      <c r="BC281" s="51">
        <v>1.1134020618556702E-3</v>
      </c>
      <c r="BD281" s="51">
        <v>1.1309278350515465E-3</v>
      </c>
      <c r="BE281" s="51">
        <v>1.1484536082474227E-3</v>
      </c>
      <c r="BF281" s="51">
        <v>1.165979381443299E-3</v>
      </c>
      <c r="BG281" s="51">
        <v>1.1835051546391752E-3</v>
      </c>
      <c r="BH281" s="51">
        <v>1.2010309278350515E-3</v>
      </c>
      <c r="BI281" s="51">
        <v>1.2185567010309277E-3</v>
      </c>
      <c r="BJ281" s="51">
        <v>1.236082474226804E-3</v>
      </c>
      <c r="BK281" s="51">
        <v>1.2536082474226805E-3</v>
      </c>
      <c r="BL281" s="51">
        <v>1.2711340206185567E-3</v>
      </c>
      <c r="BM281" s="51">
        <v>1.288659793814433E-3</v>
      </c>
      <c r="BN281" s="51">
        <v>1.3061855670103092E-3</v>
      </c>
      <c r="BO281" s="51">
        <v>1.3237113402061855E-3</v>
      </c>
      <c r="BP281" s="51">
        <v>1.3412371134020619E-3</v>
      </c>
      <c r="BQ281" s="51">
        <v>1.3587628865979382E-3</v>
      </c>
      <c r="BR281" s="51">
        <v>1.3762886597938145E-3</v>
      </c>
      <c r="BS281" s="51">
        <v>1.3938144329896907E-3</v>
      </c>
      <c r="BT281" s="51">
        <v>1.411340206185567E-3</v>
      </c>
      <c r="BU281" s="51">
        <v>1.4288659793814432E-3</v>
      </c>
      <c r="BV281" s="51">
        <v>1.4463917525773195E-3</v>
      </c>
      <c r="BW281" s="51">
        <v>1.4639175257731957E-3</v>
      </c>
      <c r="BX281" s="51">
        <v>1.481443298969072E-3</v>
      </c>
      <c r="BY281" s="51">
        <v>1.4989690721649482E-3</v>
      </c>
      <c r="BZ281" s="51">
        <v>1.5164948453608247E-3</v>
      </c>
      <c r="CA281" s="51">
        <v>1.534020618556701E-3</v>
      </c>
      <c r="CB281" s="51">
        <v>1.5515463917525772E-3</v>
      </c>
      <c r="CC281" s="51">
        <v>1.5690721649484537E-3</v>
      </c>
      <c r="CD281" s="51">
        <v>1.5865979381443299E-3</v>
      </c>
      <c r="CE281" s="51">
        <v>1.6041237113402062E-3</v>
      </c>
      <c r="CF281" s="51">
        <v>1.6216494845360824E-3</v>
      </c>
      <c r="CG281" s="51">
        <v>1.6391752577319587E-3</v>
      </c>
      <c r="CH281" s="51">
        <v>1.656701030927835E-3</v>
      </c>
      <c r="CI281" s="51">
        <v>1.6742268041237112E-3</v>
      </c>
      <c r="CJ281" s="51">
        <v>1.6917525773195875E-3</v>
      </c>
      <c r="CK281" s="51">
        <v>1.7092783505154637E-3</v>
      </c>
      <c r="CL281" s="51">
        <v>1.72680412371134E-3</v>
      </c>
      <c r="CM281" s="51">
        <v>1.7443298969072164E-3</v>
      </c>
    </row>
    <row r="282" spans="1:91" s="50" customFormat="1" x14ac:dyDescent="0.25">
      <c r="A282" s="4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91" x14ac:dyDescent="0.25">
      <c r="A283" s="99" t="s">
        <v>159</v>
      </c>
      <c r="B283" s="4">
        <v>0</v>
      </c>
      <c r="C283" s="4">
        <v>0</v>
      </c>
      <c r="D283" s="4">
        <v>0</v>
      </c>
      <c r="E283" s="4">
        <v>0</v>
      </c>
      <c r="F283" s="4">
        <v>0</v>
      </c>
      <c r="G283" s="4">
        <v>0</v>
      </c>
      <c r="H283" s="4">
        <v>0</v>
      </c>
      <c r="I283" s="4">
        <v>0</v>
      </c>
      <c r="J283" s="4">
        <v>0</v>
      </c>
      <c r="K283" s="4">
        <v>0</v>
      </c>
      <c r="L283" s="4">
        <v>0</v>
      </c>
      <c r="M283" s="4">
        <v>0</v>
      </c>
      <c r="N283" s="4">
        <v>0</v>
      </c>
      <c r="O283" s="4">
        <v>0</v>
      </c>
      <c r="P283" s="4">
        <v>0</v>
      </c>
      <c r="Q283" s="4">
        <v>0</v>
      </c>
      <c r="R283" s="4">
        <v>0</v>
      </c>
      <c r="S283" s="4">
        <v>0</v>
      </c>
      <c r="T283" s="4">
        <v>0</v>
      </c>
      <c r="U283" s="4">
        <v>0</v>
      </c>
      <c r="V283" s="4">
        <v>0</v>
      </c>
      <c r="W283" s="4">
        <v>0</v>
      </c>
      <c r="X283" s="4">
        <v>0</v>
      </c>
      <c r="Y283" s="4">
        <v>0</v>
      </c>
      <c r="Z283" s="4">
        <v>0</v>
      </c>
      <c r="AA283" s="4">
        <v>0</v>
      </c>
      <c r="AB283" s="4">
        <v>0</v>
      </c>
      <c r="AC283" s="4">
        <v>0</v>
      </c>
      <c r="AD283" s="4">
        <v>0</v>
      </c>
      <c r="AE283" s="4">
        <v>0</v>
      </c>
      <c r="AF283" s="15">
        <v>5.0675000000000008E-3</v>
      </c>
      <c r="AG283" s="15">
        <v>5.1450000000000003E-3</v>
      </c>
      <c r="AH283" s="15">
        <v>5.2225000000000006E-3</v>
      </c>
      <c r="AI283" s="15">
        <v>5.3000000000000009E-3</v>
      </c>
      <c r="AJ283" s="15">
        <v>5.3775000000000003E-3</v>
      </c>
      <c r="AK283" s="15">
        <v>5.4550000000000006E-3</v>
      </c>
      <c r="AL283" s="15">
        <v>5.532500000000001E-3</v>
      </c>
      <c r="AM283" s="15">
        <v>5.6100000000000004E-3</v>
      </c>
      <c r="AN283" s="15">
        <v>5.6874999999999998E-3</v>
      </c>
      <c r="AO283" s="15">
        <v>5.765000000000001E-3</v>
      </c>
      <c r="AP283" s="15">
        <v>5.8425000000000005E-3</v>
      </c>
      <c r="AQ283" s="15">
        <v>5.9199999999999999E-3</v>
      </c>
      <c r="AR283" s="15">
        <v>5.9975000000000011E-3</v>
      </c>
      <c r="AS283" s="15">
        <v>6.0750000000000005E-3</v>
      </c>
      <c r="AT283" s="15">
        <v>6.1525E-3</v>
      </c>
      <c r="AU283" s="15">
        <v>6.2300000000000003E-3</v>
      </c>
      <c r="AV283" s="15">
        <v>6.2575E-3</v>
      </c>
      <c r="AW283" s="15">
        <v>6.2850000000000007E-3</v>
      </c>
      <c r="AX283" s="15">
        <v>6.3125000000000004E-3</v>
      </c>
      <c r="AY283" s="15">
        <v>6.3400000000000001E-3</v>
      </c>
      <c r="AZ283" s="15">
        <v>6.3674999999999999E-3</v>
      </c>
      <c r="BA283" s="15">
        <v>6.3950000000000005E-3</v>
      </c>
      <c r="BB283" s="15">
        <v>6.4225000000000003E-3</v>
      </c>
      <c r="BC283" s="15">
        <v>6.45E-3</v>
      </c>
      <c r="BD283" s="15">
        <v>6.4774999999999998E-3</v>
      </c>
      <c r="BE283" s="15">
        <v>6.5050000000000004E-3</v>
      </c>
      <c r="BF283" s="15">
        <v>6.5325000000000001E-3</v>
      </c>
      <c r="BG283" s="15">
        <v>6.5599999999999999E-3</v>
      </c>
      <c r="BH283" s="15">
        <v>6.5875000000000005E-3</v>
      </c>
      <c r="BI283" s="15">
        <v>6.6150000000000002E-3</v>
      </c>
      <c r="BJ283" s="15">
        <v>6.6425E-3</v>
      </c>
      <c r="BK283" s="15">
        <v>6.6699999999999997E-3</v>
      </c>
      <c r="BL283" s="15">
        <v>6.6975000000000003E-3</v>
      </c>
      <c r="BM283" s="15">
        <v>6.7250000000000001E-3</v>
      </c>
      <c r="BN283" s="15">
        <v>6.7524999999999998E-3</v>
      </c>
      <c r="BO283" s="15">
        <v>6.7799999999999996E-3</v>
      </c>
      <c r="BP283" s="15">
        <v>6.8075000000000002E-3</v>
      </c>
      <c r="BQ283" s="15">
        <v>6.8349999999999999E-3</v>
      </c>
      <c r="BR283" s="15">
        <v>6.8624999999999997E-3</v>
      </c>
      <c r="BS283" s="15">
        <v>6.8900000000000003E-3</v>
      </c>
      <c r="BT283" s="15">
        <v>6.9175E-3</v>
      </c>
      <c r="BU283" s="15">
        <v>6.9449999999999998E-3</v>
      </c>
      <c r="BV283" s="15">
        <v>6.9724999999999995E-3</v>
      </c>
      <c r="BW283" s="15">
        <v>7.0000000000000001E-3</v>
      </c>
      <c r="BX283" s="15">
        <v>7.0274999999999999E-3</v>
      </c>
      <c r="BY283" s="15">
        <v>7.0549999999999996E-3</v>
      </c>
      <c r="BZ283" s="15">
        <v>7.0825000000000003E-3</v>
      </c>
      <c r="CA283" s="15">
        <v>7.11E-3</v>
      </c>
      <c r="CB283" s="15">
        <v>7.1374999999999997E-3</v>
      </c>
      <c r="CC283" s="15">
        <v>7.1649999999999995E-3</v>
      </c>
      <c r="CD283" s="15">
        <v>7.1925000000000001E-3</v>
      </c>
      <c r="CE283" s="15">
        <v>7.2199999999999999E-3</v>
      </c>
      <c r="CF283" s="15">
        <v>7.2474999999999996E-3</v>
      </c>
      <c r="CG283" s="15">
        <v>7.2750000000000002E-3</v>
      </c>
      <c r="CH283" s="15">
        <v>7.3025E-3</v>
      </c>
      <c r="CI283" s="15">
        <v>7.3299999999999997E-3</v>
      </c>
      <c r="CJ283" s="15">
        <v>7.3574999999999995E-3</v>
      </c>
      <c r="CK283" s="15">
        <v>7.3849999999999992E-3</v>
      </c>
      <c r="CL283" s="15">
        <v>7.4124999999999998E-3</v>
      </c>
      <c r="CM283" s="15">
        <v>7.4399999999999996E-3</v>
      </c>
    </row>
    <row r="284" spans="1:91" x14ac:dyDescent="0.25">
      <c r="A284" s="99" t="s">
        <v>1</v>
      </c>
      <c r="B284" s="4">
        <v>0</v>
      </c>
      <c r="C284" s="4">
        <v>0</v>
      </c>
      <c r="D284" s="4">
        <v>0</v>
      </c>
      <c r="E284" s="4">
        <v>0</v>
      </c>
      <c r="F284" s="4">
        <v>0</v>
      </c>
      <c r="G284" s="4">
        <v>0</v>
      </c>
      <c r="H284" s="4">
        <v>0</v>
      </c>
      <c r="I284" s="4">
        <v>0</v>
      </c>
      <c r="J284" s="4">
        <v>0</v>
      </c>
      <c r="K284" s="4">
        <v>0</v>
      </c>
      <c r="L284" s="4">
        <v>0</v>
      </c>
      <c r="M284" s="4">
        <v>0</v>
      </c>
      <c r="N284" s="4">
        <v>0</v>
      </c>
      <c r="O284" s="4">
        <v>0</v>
      </c>
      <c r="P284" s="4">
        <v>0</v>
      </c>
      <c r="Q284" s="4">
        <v>0</v>
      </c>
      <c r="R284" s="4">
        <v>0</v>
      </c>
      <c r="S284" s="4">
        <v>0</v>
      </c>
      <c r="T284" s="4">
        <v>0</v>
      </c>
      <c r="U284" s="4">
        <v>0</v>
      </c>
      <c r="V284" s="4">
        <v>0</v>
      </c>
      <c r="W284" s="4">
        <v>0</v>
      </c>
      <c r="X284" s="4">
        <v>0</v>
      </c>
      <c r="Y284" s="4">
        <v>0</v>
      </c>
      <c r="Z284" s="4">
        <v>0</v>
      </c>
      <c r="AA284" s="4">
        <v>0</v>
      </c>
      <c r="AB284" s="4">
        <v>0</v>
      </c>
      <c r="AC284" s="4">
        <v>0</v>
      </c>
      <c r="AD284" s="4">
        <v>0</v>
      </c>
      <c r="AE284" s="4">
        <v>0</v>
      </c>
      <c r="AF284" s="15">
        <v>2.3129545454545456E-3</v>
      </c>
      <c r="AG284" s="15">
        <v>2.3440909090909094E-3</v>
      </c>
      <c r="AH284" s="15">
        <v>2.3752272727272728E-3</v>
      </c>
      <c r="AI284" s="15">
        <v>2.4063636363636366E-3</v>
      </c>
      <c r="AJ284" s="15">
        <v>2.4375000000000004E-3</v>
      </c>
      <c r="AK284" s="15">
        <v>2.4686363636363638E-3</v>
      </c>
      <c r="AL284" s="15">
        <v>2.4997727272727276E-3</v>
      </c>
      <c r="AM284" s="15">
        <v>2.5309090909090915E-3</v>
      </c>
      <c r="AN284" s="15">
        <v>2.5620454545454549E-3</v>
      </c>
      <c r="AO284" s="15">
        <v>2.5931818181818183E-3</v>
      </c>
      <c r="AP284" s="15">
        <v>2.6243181818181821E-3</v>
      </c>
      <c r="AQ284" s="15">
        <v>2.6554545454545459E-3</v>
      </c>
      <c r="AR284" s="15">
        <v>2.6865909090909093E-3</v>
      </c>
      <c r="AS284" s="15">
        <v>2.7177272727272731E-3</v>
      </c>
      <c r="AT284" s="15">
        <v>2.748863636363637E-3</v>
      </c>
      <c r="AU284" s="15">
        <v>2.7800000000000004E-3</v>
      </c>
      <c r="AV284" s="15">
        <v>2.7993181818181823E-3</v>
      </c>
      <c r="AW284" s="15">
        <v>2.8186363636363639E-3</v>
      </c>
      <c r="AX284" s="15">
        <v>2.8379545454545459E-3</v>
      </c>
      <c r="AY284" s="15">
        <v>2.8572727272727274E-3</v>
      </c>
      <c r="AZ284" s="15">
        <v>2.8765909090909094E-3</v>
      </c>
      <c r="BA284" s="15">
        <v>2.8959090909090913E-3</v>
      </c>
      <c r="BB284" s="15">
        <v>2.9152272727272729E-3</v>
      </c>
      <c r="BC284" s="15">
        <v>2.9345454545454549E-3</v>
      </c>
      <c r="BD284" s="15">
        <v>2.9538636363636368E-3</v>
      </c>
      <c r="BE284" s="15">
        <v>2.9731818181818184E-3</v>
      </c>
      <c r="BF284" s="15">
        <v>2.9925000000000004E-3</v>
      </c>
      <c r="BG284" s="15">
        <v>3.0118181818181819E-3</v>
      </c>
      <c r="BH284" s="15">
        <v>3.0311363636363639E-3</v>
      </c>
      <c r="BI284" s="15">
        <v>3.0504545454545459E-3</v>
      </c>
      <c r="BJ284" s="15">
        <v>3.0697727272727274E-3</v>
      </c>
      <c r="BK284" s="15">
        <v>3.0890909090909094E-3</v>
      </c>
      <c r="BL284" s="15">
        <v>3.1084090909090914E-3</v>
      </c>
      <c r="BM284" s="15">
        <v>3.1277272727272729E-3</v>
      </c>
      <c r="BN284" s="15">
        <v>3.1470454545454549E-3</v>
      </c>
      <c r="BO284" s="15">
        <v>3.1663636363636364E-3</v>
      </c>
      <c r="BP284" s="15">
        <v>3.1856818181818184E-3</v>
      </c>
      <c r="BQ284" s="15">
        <v>3.2050000000000004E-3</v>
      </c>
      <c r="BR284" s="15">
        <v>3.2243181818181819E-3</v>
      </c>
      <c r="BS284" s="15">
        <v>3.2436363636363639E-3</v>
      </c>
      <c r="BT284" s="15">
        <v>3.2629545454545454E-3</v>
      </c>
      <c r="BU284" s="15">
        <v>3.2822727272727274E-3</v>
      </c>
      <c r="BV284" s="15">
        <v>3.3015909090909094E-3</v>
      </c>
      <c r="BW284" s="15">
        <v>3.3209090909090909E-3</v>
      </c>
      <c r="BX284" s="15">
        <v>3.3402272727272729E-3</v>
      </c>
      <c r="BY284" s="15">
        <v>3.3595454545454545E-3</v>
      </c>
      <c r="BZ284" s="15">
        <v>3.3788636363636364E-3</v>
      </c>
      <c r="CA284" s="15">
        <v>3.3981818181818184E-3</v>
      </c>
      <c r="CB284" s="15">
        <v>3.4175E-3</v>
      </c>
      <c r="CC284" s="15">
        <v>3.4368181818181819E-3</v>
      </c>
      <c r="CD284" s="15">
        <v>3.4561363636363635E-3</v>
      </c>
      <c r="CE284" s="15">
        <v>3.4754545454545455E-3</v>
      </c>
      <c r="CF284" s="15">
        <v>3.4947727272727274E-3</v>
      </c>
      <c r="CG284" s="15">
        <v>3.5140909090909094E-3</v>
      </c>
      <c r="CH284" s="15">
        <v>3.533409090909091E-3</v>
      </c>
      <c r="CI284" s="15">
        <v>3.5527272727272729E-3</v>
      </c>
      <c r="CJ284" s="15">
        <v>3.5720454545454545E-3</v>
      </c>
      <c r="CK284" s="15">
        <v>3.5913636363636365E-3</v>
      </c>
      <c r="CL284" s="15">
        <v>3.6106818181818184E-3</v>
      </c>
      <c r="CM284" s="15">
        <v>3.63E-3</v>
      </c>
    </row>
    <row r="285" spans="1:91" x14ac:dyDescent="0.25">
      <c r="A285" s="99" t="s">
        <v>1</v>
      </c>
      <c r="B285" s="4">
        <v>0</v>
      </c>
      <c r="C285" s="4">
        <v>0</v>
      </c>
      <c r="D285" s="4">
        <v>0</v>
      </c>
      <c r="E285" s="4">
        <v>0</v>
      </c>
      <c r="F285" s="4">
        <v>0</v>
      </c>
      <c r="G285" s="4">
        <v>0</v>
      </c>
      <c r="H285" s="4">
        <v>0</v>
      </c>
      <c r="I285" s="4">
        <v>0</v>
      </c>
      <c r="J285" s="4">
        <v>0</v>
      </c>
      <c r="K285" s="4">
        <v>0</v>
      </c>
      <c r="L285" s="4">
        <v>0</v>
      </c>
      <c r="M285" s="4">
        <v>0</v>
      </c>
      <c r="N285" s="4">
        <v>0</v>
      </c>
      <c r="O285" s="4">
        <v>0</v>
      </c>
      <c r="P285" s="4">
        <v>0</v>
      </c>
      <c r="Q285" s="4">
        <v>0</v>
      </c>
      <c r="R285" s="4">
        <v>0</v>
      </c>
      <c r="S285" s="4">
        <v>0</v>
      </c>
      <c r="T285" s="4">
        <v>0</v>
      </c>
      <c r="U285" s="4">
        <v>0</v>
      </c>
      <c r="V285" s="4">
        <v>0</v>
      </c>
      <c r="W285" s="4">
        <v>0</v>
      </c>
      <c r="X285" s="4">
        <v>0</v>
      </c>
      <c r="Y285" s="4">
        <v>0</v>
      </c>
      <c r="Z285" s="4">
        <v>0</v>
      </c>
      <c r="AA285" s="4">
        <v>0</v>
      </c>
      <c r="AB285" s="4">
        <v>0</v>
      </c>
      <c r="AC285" s="4">
        <v>0</v>
      </c>
      <c r="AD285" s="4">
        <v>0</v>
      </c>
      <c r="AE285" s="4">
        <v>0</v>
      </c>
      <c r="AF285" s="15">
        <v>3.4209090909090912E-3</v>
      </c>
      <c r="AG285" s="15">
        <v>3.4681818181818186E-3</v>
      </c>
      <c r="AH285" s="15">
        <v>3.5154545454545456E-3</v>
      </c>
      <c r="AI285" s="15">
        <v>3.562727272727273E-3</v>
      </c>
      <c r="AJ285" s="15">
        <v>3.6100000000000004E-3</v>
      </c>
      <c r="AK285" s="15">
        <v>3.6572727272727278E-3</v>
      </c>
      <c r="AL285" s="15">
        <v>3.7045454545454552E-3</v>
      </c>
      <c r="AM285" s="15">
        <v>3.7518181818181826E-3</v>
      </c>
      <c r="AN285" s="15">
        <v>3.7990909090909099E-3</v>
      </c>
      <c r="AO285" s="15">
        <v>3.8463636363636369E-3</v>
      </c>
      <c r="AP285" s="15">
        <v>3.8936363636363643E-3</v>
      </c>
      <c r="AQ285" s="15">
        <v>3.9409090909090913E-3</v>
      </c>
      <c r="AR285" s="15">
        <v>3.9881818181818187E-3</v>
      </c>
      <c r="AS285" s="15">
        <v>4.0354545454545461E-3</v>
      </c>
      <c r="AT285" s="15">
        <v>4.0827272727272735E-3</v>
      </c>
      <c r="AU285" s="15">
        <v>4.1300000000000009E-3</v>
      </c>
      <c r="AV285" s="15">
        <v>4.1579545454545463E-3</v>
      </c>
      <c r="AW285" s="15">
        <v>4.1859090909090917E-3</v>
      </c>
      <c r="AX285" s="15">
        <v>4.2138636363636371E-3</v>
      </c>
      <c r="AY285" s="15">
        <v>4.2418181818181825E-3</v>
      </c>
      <c r="AZ285" s="15">
        <v>4.269772727272728E-3</v>
      </c>
      <c r="BA285" s="15">
        <v>4.2977272727272734E-3</v>
      </c>
      <c r="BB285" s="15">
        <v>4.3256818181818188E-3</v>
      </c>
      <c r="BC285" s="15">
        <v>4.3536363636363642E-3</v>
      </c>
      <c r="BD285" s="15">
        <v>4.3815909090909096E-3</v>
      </c>
      <c r="BE285" s="15">
        <v>4.4095454545454551E-3</v>
      </c>
      <c r="BF285" s="15">
        <v>4.4375000000000005E-3</v>
      </c>
      <c r="BG285" s="15">
        <v>4.4654545454545459E-3</v>
      </c>
      <c r="BH285" s="15">
        <v>4.4934090909090913E-3</v>
      </c>
      <c r="BI285" s="15">
        <v>4.5213636363636367E-3</v>
      </c>
      <c r="BJ285" s="15">
        <v>4.5493181818181821E-3</v>
      </c>
      <c r="BK285" s="15">
        <v>4.5772727272727276E-3</v>
      </c>
      <c r="BL285" s="15">
        <v>4.605227272727273E-3</v>
      </c>
      <c r="BM285" s="15">
        <v>4.6331818181818184E-3</v>
      </c>
      <c r="BN285" s="15">
        <v>4.6611363636363638E-3</v>
      </c>
      <c r="BO285" s="15">
        <v>4.6890909090909101E-3</v>
      </c>
      <c r="BP285" s="15">
        <v>4.7170454545454547E-3</v>
      </c>
      <c r="BQ285" s="15">
        <v>4.745000000000001E-3</v>
      </c>
      <c r="BR285" s="15">
        <v>4.7729545454545455E-3</v>
      </c>
      <c r="BS285" s="15">
        <v>4.8009090909090918E-3</v>
      </c>
      <c r="BT285" s="15">
        <v>4.8288636363636372E-3</v>
      </c>
      <c r="BU285" s="15">
        <v>4.8568181818181826E-3</v>
      </c>
      <c r="BV285" s="15">
        <v>4.8847727272727281E-3</v>
      </c>
      <c r="BW285" s="15">
        <v>4.9127272727272735E-3</v>
      </c>
      <c r="BX285" s="15">
        <v>4.9406818181818189E-3</v>
      </c>
      <c r="BY285" s="15">
        <v>4.9686363636363643E-3</v>
      </c>
      <c r="BZ285" s="15">
        <v>4.9965909090909097E-3</v>
      </c>
      <c r="CA285" s="15">
        <v>5.0245454545454551E-3</v>
      </c>
      <c r="CB285" s="15">
        <v>5.0525000000000006E-3</v>
      </c>
      <c r="CC285" s="15">
        <v>5.080454545454546E-3</v>
      </c>
      <c r="CD285" s="15">
        <v>5.1084090909090914E-3</v>
      </c>
      <c r="CE285" s="15">
        <v>5.1363636363636368E-3</v>
      </c>
      <c r="CF285" s="15">
        <v>5.1643181818181822E-3</v>
      </c>
      <c r="CG285" s="15">
        <v>5.1922727272727277E-3</v>
      </c>
      <c r="CH285" s="15">
        <v>5.2202272727272731E-3</v>
      </c>
      <c r="CI285" s="15">
        <v>5.2481818181818185E-3</v>
      </c>
      <c r="CJ285" s="15">
        <v>5.2761363636363639E-3</v>
      </c>
      <c r="CK285" s="15">
        <v>5.3040909090909093E-3</v>
      </c>
      <c r="CL285" s="15">
        <v>5.3320454545454548E-3</v>
      </c>
      <c r="CM285" s="15">
        <v>5.3600000000000002E-3</v>
      </c>
    </row>
    <row r="286" spans="1:91" x14ac:dyDescent="0.25">
      <c r="A286" s="99" t="s">
        <v>1</v>
      </c>
      <c r="B286" s="4">
        <v>0</v>
      </c>
      <c r="C286" s="4">
        <v>0</v>
      </c>
      <c r="D286" s="4">
        <v>0</v>
      </c>
      <c r="E286" s="4">
        <v>0</v>
      </c>
      <c r="F286" s="4">
        <v>0</v>
      </c>
      <c r="G286" s="4">
        <v>0</v>
      </c>
      <c r="H286" s="4">
        <v>0</v>
      </c>
      <c r="I286" s="4">
        <v>0</v>
      </c>
      <c r="J286" s="4">
        <v>0</v>
      </c>
      <c r="K286" s="4">
        <v>0</v>
      </c>
      <c r="L286" s="4">
        <v>0</v>
      </c>
      <c r="M286" s="4">
        <v>0</v>
      </c>
      <c r="N286" s="4">
        <v>0</v>
      </c>
      <c r="O286" s="4">
        <v>0</v>
      </c>
      <c r="P286" s="4">
        <v>0</v>
      </c>
      <c r="Q286" s="4">
        <v>0</v>
      </c>
      <c r="R286" s="4">
        <v>0</v>
      </c>
      <c r="S286" s="4">
        <v>0</v>
      </c>
      <c r="T286" s="4">
        <v>0</v>
      </c>
      <c r="U286" s="4">
        <v>0</v>
      </c>
      <c r="V286" s="4">
        <v>0</v>
      </c>
      <c r="W286" s="4">
        <v>0</v>
      </c>
      <c r="X286" s="4">
        <v>0</v>
      </c>
      <c r="Y286" s="4">
        <v>0</v>
      </c>
      <c r="Z286" s="4">
        <v>0</v>
      </c>
      <c r="AA286" s="4">
        <v>0</v>
      </c>
      <c r="AB286" s="4">
        <v>0</v>
      </c>
      <c r="AC286" s="4">
        <v>0</v>
      </c>
      <c r="AD286" s="4">
        <v>0</v>
      </c>
      <c r="AE286" s="4">
        <v>0</v>
      </c>
      <c r="AF286" s="15">
        <v>1.4251346260975674E-3</v>
      </c>
      <c r="AG286" s="15">
        <v>1.4394010133432368E-3</v>
      </c>
      <c r="AH286" s="15">
        <v>1.4536674005889063E-3</v>
      </c>
      <c r="AI286" s="15">
        <v>1.4679337878345756E-3</v>
      </c>
      <c r="AJ286" s="15">
        <v>1.4822001750802451E-3</v>
      </c>
      <c r="AK286" s="15">
        <v>1.4964665623259145E-3</v>
      </c>
      <c r="AL286" s="15">
        <v>1.510732949571584E-3</v>
      </c>
      <c r="AM286" s="15">
        <v>1.5249993368172533E-3</v>
      </c>
      <c r="AN286" s="15">
        <v>1.5392657240629226E-3</v>
      </c>
      <c r="AO286" s="15">
        <v>1.5535321113085922E-3</v>
      </c>
      <c r="AP286" s="15">
        <v>1.5677984985542617E-3</v>
      </c>
      <c r="AQ286" s="15">
        <v>1.582064885799931E-3</v>
      </c>
      <c r="AR286" s="15">
        <v>1.5963312730456003E-3</v>
      </c>
      <c r="AS286" s="15">
        <v>1.6105976602912699E-3</v>
      </c>
      <c r="AT286" s="15">
        <v>1.6248640475369394E-3</v>
      </c>
      <c r="AU286" s="15">
        <v>1.6391304347826087E-3</v>
      </c>
      <c r="AV286" s="15">
        <v>1.6512056578914659E-3</v>
      </c>
      <c r="AW286" s="15">
        <v>1.6632808810003231E-3</v>
      </c>
      <c r="AX286" s="15">
        <v>1.6753561041091805E-3</v>
      </c>
      <c r="AY286" s="15">
        <v>1.6874313272180377E-3</v>
      </c>
      <c r="AZ286" s="15">
        <v>1.6995065503268949E-3</v>
      </c>
      <c r="BA286" s="15">
        <v>1.7115817734357521E-3</v>
      </c>
      <c r="BB286" s="15">
        <v>1.7236569965446095E-3</v>
      </c>
      <c r="BC286" s="15">
        <v>1.7357322196534667E-3</v>
      </c>
      <c r="BD286" s="15">
        <v>1.7478074427623239E-3</v>
      </c>
      <c r="BE286" s="15">
        <v>1.759882665871181E-3</v>
      </c>
      <c r="BF286" s="15">
        <v>1.7719578889800382E-3</v>
      </c>
      <c r="BG286" s="15">
        <v>1.7840331120888956E-3</v>
      </c>
      <c r="BH286" s="15">
        <v>1.7961083351977528E-3</v>
      </c>
      <c r="BI286" s="15">
        <v>1.80818355830661E-3</v>
      </c>
      <c r="BJ286" s="15">
        <v>1.8202587814154672E-3</v>
      </c>
      <c r="BK286" s="15">
        <v>1.8323340045243246E-3</v>
      </c>
      <c r="BL286" s="15">
        <v>1.8444092276331818E-3</v>
      </c>
      <c r="BM286" s="15">
        <v>1.856484450742039E-3</v>
      </c>
      <c r="BN286" s="15">
        <v>1.8685596738508962E-3</v>
      </c>
      <c r="BO286" s="15">
        <v>1.8806348969597534E-3</v>
      </c>
      <c r="BP286" s="15">
        <v>1.8927101200686108E-3</v>
      </c>
      <c r="BQ286" s="15">
        <v>1.904785343177468E-3</v>
      </c>
      <c r="BR286" s="15">
        <v>1.9168605662863252E-3</v>
      </c>
      <c r="BS286" s="15">
        <v>1.9289357893951826E-3</v>
      </c>
      <c r="BT286" s="15">
        <v>1.9410110125040398E-3</v>
      </c>
      <c r="BU286" s="15">
        <v>1.953086235612897E-3</v>
      </c>
      <c r="BV286" s="15">
        <v>1.9651614587217541E-3</v>
      </c>
      <c r="BW286" s="15">
        <v>1.9772366818306113E-3</v>
      </c>
      <c r="BX286" s="15">
        <v>1.9893119049394685E-3</v>
      </c>
      <c r="BY286" s="15">
        <v>2.0013871280483257E-3</v>
      </c>
      <c r="BZ286" s="15">
        <v>2.0134623511571829E-3</v>
      </c>
      <c r="CA286" s="15">
        <v>2.0255375742660405E-3</v>
      </c>
      <c r="CB286" s="15">
        <v>2.0376127973748977E-3</v>
      </c>
      <c r="CC286" s="15">
        <v>2.0496880204837549E-3</v>
      </c>
      <c r="CD286" s="15">
        <v>2.0617632435926121E-3</v>
      </c>
      <c r="CE286" s="15">
        <v>2.0738384667014693E-3</v>
      </c>
      <c r="CF286" s="15">
        <v>2.0859136898103265E-3</v>
      </c>
      <c r="CG286" s="15">
        <v>2.0979889129191837E-3</v>
      </c>
      <c r="CH286" s="15">
        <v>2.1100641360280409E-3</v>
      </c>
      <c r="CI286" s="15">
        <v>2.1221393591368985E-3</v>
      </c>
      <c r="CJ286" s="15">
        <v>2.1342145822457557E-3</v>
      </c>
      <c r="CK286" s="15">
        <v>2.1462898053546129E-3</v>
      </c>
      <c r="CL286" s="15">
        <v>2.1583650284634701E-3</v>
      </c>
      <c r="CM286" s="15">
        <v>2.1704402515723272E-3</v>
      </c>
    </row>
    <row r="287" spans="1:91" x14ac:dyDescent="0.25">
      <c r="A287" s="99" t="s">
        <v>1</v>
      </c>
      <c r="B287" s="4">
        <v>0</v>
      </c>
      <c r="C287" s="4">
        <v>0</v>
      </c>
      <c r="D287" s="4">
        <v>0</v>
      </c>
      <c r="E287" s="4">
        <v>0</v>
      </c>
      <c r="F287" s="4">
        <v>0</v>
      </c>
      <c r="G287" s="4">
        <v>0</v>
      </c>
      <c r="H287" s="4">
        <v>0</v>
      </c>
      <c r="I287" s="4">
        <v>0</v>
      </c>
      <c r="J287" s="4">
        <v>0</v>
      </c>
      <c r="K287" s="4">
        <v>0</v>
      </c>
      <c r="L287" s="4">
        <v>0</v>
      </c>
      <c r="M287" s="4">
        <v>0</v>
      </c>
      <c r="N287" s="4">
        <v>0</v>
      </c>
      <c r="O287" s="4">
        <v>0</v>
      </c>
      <c r="P287" s="4">
        <v>0</v>
      </c>
      <c r="Q287" s="4">
        <v>0</v>
      </c>
      <c r="R287" s="4">
        <v>0</v>
      </c>
      <c r="S287" s="4">
        <v>0</v>
      </c>
      <c r="T287" s="4">
        <v>0</v>
      </c>
      <c r="U287" s="4">
        <v>0</v>
      </c>
      <c r="V287" s="4">
        <v>0</v>
      </c>
      <c r="W287" s="4">
        <v>0</v>
      </c>
      <c r="X287" s="4">
        <v>0</v>
      </c>
      <c r="Y287" s="4">
        <v>0</v>
      </c>
      <c r="Z287" s="4">
        <v>0</v>
      </c>
      <c r="AA287" s="4">
        <v>0</v>
      </c>
      <c r="AB287" s="4">
        <v>0</v>
      </c>
      <c r="AC287" s="4">
        <v>0</v>
      </c>
      <c r="AD287" s="4">
        <v>0</v>
      </c>
      <c r="AE287" s="4">
        <v>0</v>
      </c>
      <c r="AF287" s="15">
        <v>1.6577549140049139E-3</v>
      </c>
      <c r="AG287" s="15">
        <v>1.6804361179361179E-3</v>
      </c>
      <c r="AH287" s="15">
        <v>1.7031173218673219E-3</v>
      </c>
      <c r="AI287" s="15">
        <v>1.7257985257985258E-3</v>
      </c>
      <c r="AJ287" s="15">
        <v>1.7484797297297296E-3</v>
      </c>
      <c r="AK287" s="15">
        <v>1.7711609336609336E-3</v>
      </c>
      <c r="AL287" s="15">
        <v>1.7938421375921377E-3</v>
      </c>
      <c r="AM287" s="15">
        <v>1.8165233415233415E-3</v>
      </c>
      <c r="AN287" s="15">
        <v>1.8392045454545453E-3</v>
      </c>
      <c r="AO287" s="15">
        <v>1.8618857493857494E-3</v>
      </c>
      <c r="AP287" s="15">
        <v>1.8845669533169532E-3</v>
      </c>
      <c r="AQ287" s="15">
        <v>1.907248157248157E-3</v>
      </c>
      <c r="AR287" s="15">
        <v>1.9299293611793611E-3</v>
      </c>
      <c r="AS287" s="15">
        <v>1.9526105651105651E-3</v>
      </c>
      <c r="AT287" s="15">
        <v>1.9752917690417692E-3</v>
      </c>
      <c r="AU287" s="15">
        <v>1.9979729729729728E-3</v>
      </c>
      <c r="AV287" s="15">
        <v>2.0184735872235873E-3</v>
      </c>
      <c r="AW287" s="15">
        <v>2.0389742014742013E-3</v>
      </c>
      <c r="AX287" s="15">
        <v>2.0594748157248153E-3</v>
      </c>
      <c r="AY287" s="15">
        <v>2.0799754299754298E-3</v>
      </c>
      <c r="AZ287" s="15">
        <v>2.1004760442260443E-3</v>
      </c>
      <c r="BA287" s="15">
        <v>2.1209766584766583E-3</v>
      </c>
      <c r="BB287" s="15">
        <v>2.1414772727272723E-3</v>
      </c>
      <c r="BC287" s="15">
        <v>2.1619778869778868E-3</v>
      </c>
      <c r="BD287" s="15">
        <v>2.1824785012285013E-3</v>
      </c>
      <c r="BE287" s="15">
        <v>2.2029791154791153E-3</v>
      </c>
      <c r="BF287" s="15">
        <v>2.2234797297297293E-3</v>
      </c>
      <c r="BG287" s="15">
        <v>2.2439803439803438E-3</v>
      </c>
      <c r="BH287" s="15">
        <v>2.2644809582309583E-3</v>
      </c>
      <c r="BI287" s="15">
        <v>2.2849815724815723E-3</v>
      </c>
      <c r="BJ287" s="15">
        <v>2.3054821867321863E-3</v>
      </c>
      <c r="BK287" s="15">
        <v>2.3259828009828008E-3</v>
      </c>
      <c r="BL287" s="15">
        <v>2.3464834152334153E-3</v>
      </c>
      <c r="BM287" s="15">
        <v>2.3669840294840293E-3</v>
      </c>
      <c r="BN287" s="15">
        <v>2.3874846437346433E-3</v>
      </c>
      <c r="BO287" s="15">
        <v>2.4079852579852578E-3</v>
      </c>
      <c r="BP287" s="15">
        <v>2.4284858722358723E-3</v>
      </c>
      <c r="BQ287" s="15">
        <v>2.4489864864864863E-3</v>
      </c>
      <c r="BR287" s="15">
        <v>2.4694871007371003E-3</v>
      </c>
      <c r="BS287" s="15">
        <v>2.4899877149877148E-3</v>
      </c>
      <c r="BT287" s="15">
        <v>2.5104883292383293E-3</v>
      </c>
      <c r="BU287" s="15">
        <v>2.5309889434889433E-3</v>
      </c>
      <c r="BV287" s="15">
        <v>2.5514895577395573E-3</v>
      </c>
      <c r="BW287" s="15">
        <v>2.5719901719901718E-3</v>
      </c>
      <c r="BX287" s="15">
        <v>2.5924907862407863E-3</v>
      </c>
      <c r="BY287" s="15">
        <v>2.6129914004914003E-3</v>
      </c>
      <c r="BZ287" s="15">
        <v>2.6334920147420143E-3</v>
      </c>
      <c r="CA287" s="15">
        <v>2.6539926289926288E-3</v>
      </c>
      <c r="CB287" s="15">
        <v>2.6744932432432433E-3</v>
      </c>
      <c r="CC287" s="15">
        <v>2.6949938574938573E-3</v>
      </c>
      <c r="CD287" s="15">
        <v>2.7154944717444713E-3</v>
      </c>
      <c r="CE287" s="15">
        <v>2.7359950859950858E-3</v>
      </c>
      <c r="CF287" s="15">
        <v>2.7564957002457003E-3</v>
      </c>
      <c r="CG287" s="15">
        <v>2.7769963144963143E-3</v>
      </c>
      <c r="CH287" s="15">
        <v>2.7974969287469283E-3</v>
      </c>
      <c r="CI287" s="15">
        <v>2.8179975429975428E-3</v>
      </c>
      <c r="CJ287" s="15">
        <v>2.8384981572481573E-3</v>
      </c>
      <c r="CK287" s="15">
        <v>2.8589987714987713E-3</v>
      </c>
      <c r="CL287" s="15">
        <v>2.8794993857493853E-3</v>
      </c>
      <c r="CM287" s="15">
        <v>2.8999999999999998E-3</v>
      </c>
    </row>
    <row r="288" spans="1:91" x14ac:dyDescent="0.25">
      <c r="A288" s="99" t="s">
        <v>1</v>
      </c>
      <c r="B288" s="4">
        <v>0</v>
      </c>
      <c r="C288" s="4">
        <v>0</v>
      </c>
      <c r="D288" s="4">
        <v>0</v>
      </c>
      <c r="E288" s="4">
        <v>0</v>
      </c>
      <c r="F288" s="4">
        <v>0</v>
      </c>
      <c r="G288" s="4">
        <v>0</v>
      </c>
      <c r="H288" s="4">
        <v>0</v>
      </c>
      <c r="I288" s="4">
        <v>0</v>
      </c>
      <c r="J288" s="4">
        <v>0</v>
      </c>
      <c r="K288" s="4">
        <v>0</v>
      </c>
      <c r="L288" s="4">
        <v>0</v>
      </c>
      <c r="M288" s="4">
        <v>0</v>
      </c>
      <c r="N288" s="4">
        <v>0</v>
      </c>
      <c r="O288" s="4">
        <v>0</v>
      </c>
      <c r="P288" s="4">
        <v>0</v>
      </c>
      <c r="Q288" s="4">
        <v>0</v>
      </c>
      <c r="R288" s="4">
        <v>0</v>
      </c>
      <c r="S288" s="4">
        <v>0</v>
      </c>
      <c r="T288" s="4">
        <v>0</v>
      </c>
      <c r="U288" s="4">
        <v>0</v>
      </c>
      <c r="V288" s="4">
        <v>0</v>
      </c>
      <c r="W288" s="4">
        <v>0</v>
      </c>
      <c r="X288" s="4">
        <v>0</v>
      </c>
      <c r="Y288" s="4">
        <v>0</v>
      </c>
      <c r="Z288" s="4">
        <v>0</v>
      </c>
      <c r="AA288" s="4">
        <v>0</v>
      </c>
      <c r="AB288" s="4">
        <v>0</v>
      </c>
      <c r="AC288" s="4">
        <v>0</v>
      </c>
      <c r="AD288" s="4">
        <v>0</v>
      </c>
      <c r="AE288" s="4">
        <v>0</v>
      </c>
      <c r="AF288" s="15">
        <v>6.1522727272727278E-2</v>
      </c>
      <c r="AG288" s="15">
        <v>6.1954545454545457E-2</v>
      </c>
      <c r="AH288" s="15">
        <v>6.2386363636363643E-2</v>
      </c>
      <c r="AI288" s="15">
        <v>6.2818181818181829E-2</v>
      </c>
      <c r="AJ288" s="15">
        <v>6.3250000000000001E-2</v>
      </c>
      <c r="AK288" s="15">
        <v>6.3681818181818187E-2</v>
      </c>
      <c r="AL288" s="15">
        <v>6.4113636363636373E-2</v>
      </c>
      <c r="AM288" s="15">
        <v>6.4545454545454545E-2</v>
      </c>
      <c r="AN288" s="15">
        <v>6.4977272727272731E-2</v>
      </c>
      <c r="AO288" s="15">
        <v>6.5409090909090917E-2</v>
      </c>
      <c r="AP288" s="15">
        <v>6.5840909090909089E-2</v>
      </c>
      <c r="AQ288" s="15">
        <v>6.6272727272727275E-2</v>
      </c>
      <c r="AR288" s="15">
        <v>6.6704545454545461E-2</v>
      </c>
      <c r="AS288" s="15">
        <v>6.7136363636363633E-2</v>
      </c>
      <c r="AT288" s="15">
        <v>6.7568181818181819E-2</v>
      </c>
      <c r="AU288" s="15">
        <v>6.8000000000000005E-2</v>
      </c>
      <c r="AV288" s="15">
        <v>6.881818181818182E-2</v>
      </c>
      <c r="AW288" s="15">
        <v>6.9636363636363635E-2</v>
      </c>
      <c r="AX288" s="15">
        <v>7.0454545454545464E-2</v>
      </c>
      <c r="AY288" s="15">
        <v>7.1272727272727279E-2</v>
      </c>
      <c r="AZ288" s="15">
        <v>7.2090909090909094E-2</v>
      </c>
      <c r="BA288" s="15">
        <v>7.290909090909091E-2</v>
      </c>
      <c r="BB288" s="15">
        <v>7.3727272727272725E-2</v>
      </c>
      <c r="BC288" s="15">
        <v>7.4545454545454554E-2</v>
      </c>
      <c r="BD288" s="15">
        <v>7.5363636363636369E-2</v>
      </c>
      <c r="BE288" s="15">
        <v>7.6181818181818184E-2</v>
      </c>
      <c r="BF288" s="15">
        <v>7.6999999999999999E-2</v>
      </c>
      <c r="BG288" s="15">
        <v>7.7818181818181814E-2</v>
      </c>
      <c r="BH288" s="15">
        <v>7.8636363636363643E-2</v>
      </c>
      <c r="BI288" s="15">
        <v>7.9454545454545458E-2</v>
      </c>
      <c r="BJ288" s="15">
        <v>8.0272727272727273E-2</v>
      </c>
      <c r="BK288" s="15">
        <v>8.1090909090909088E-2</v>
      </c>
      <c r="BL288" s="15">
        <v>8.1909090909090904E-2</v>
      </c>
      <c r="BM288" s="15">
        <v>8.2727272727272733E-2</v>
      </c>
      <c r="BN288" s="15">
        <v>8.3545454545454548E-2</v>
      </c>
      <c r="BO288" s="15">
        <v>8.4363636363636363E-2</v>
      </c>
      <c r="BP288" s="15">
        <v>8.5181818181818178E-2</v>
      </c>
      <c r="BQ288" s="15">
        <v>8.5999999999999993E-2</v>
      </c>
      <c r="BR288" s="15">
        <v>8.6818181818181822E-2</v>
      </c>
      <c r="BS288" s="15">
        <v>8.7636363636363637E-2</v>
      </c>
      <c r="BT288" s="15">
        <v>8.8454545454545452E-2</v>
      </c>
      <c r="BU288" s="15">
        <v>8.9272727272727267E-2</v>
      </c>
      <c r="BV288" s="15">
        <v>9.0090909090909083E-2</v>
      </c>
      <c r="BW288" s="15">
        <v>9.0909090909090912E-2</v>
      </c>
      <c r="BX288" s="15">
        <v>9.1727272727272727E-2</v>
      </c>
      <c r="BY288" s="15">
        <v>9.2545454545454542E-2</v>
      </c>
      <c r="BZ288" s="15">
        <v>9.3363636363636357E-2</v>
      </c>
      <c r="CA288" s="15">
        <v>9.4181818181818172E-2</v>
      </c>
      <c r="CB288" s="15">
        <v>9.5000000000000001E-2</v>
      </c>
      <c r="CC288" s="15">
        <v>9.5818181818181816E-2</v>
      </c>
      <c r="CD288" s="15">
        <v>9.6636363636363631E-2</v>
      </c>
      <c r="CE288" s="15">
        <v>9.7454545454545446E-2</v>
      </c>
      <c r="CF288" s="15">
        <v>9.8272727272727262E-2</v>
      </c>
      <c r="CG288" s="15">
        <v>9.9090909090909091E-2</v>
      </c>
      <c r="CH288" s="15">
        <v>9.9909090909090906E-2</v>
      </c>
      <c r="CI288" s="15">
        <v>0.10072727272727272</v>
      </c>
      <c r="CJ288" s="15">
        <v>0.10154545454545455</v>
      </c>
      <c r="CK288" s="15">
        <v>0.10236363636363635</v>
      </c>
      <c r="CL288" s="15">
        <v>0.10318181818181818</v>
      </c>
      <c r="CM288" s="15">
        <v>0.104</v>
      </c>
    </row>
    <row r="289" spans="1:91" x14ac:dyDescent="0.25">
      <c r="A289" s="99"/>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row>
    <row r="290" spans="1:91" x14ac:dyDescent="0.25">
      <c r="A290" s="99" t="s">
        <v>160</v>
      </c>
      <c r="B290" s="4">
        <v>0</v>
      </c>
      <c r="C290" s="4">
        <v>0</v>
      </c>
      <c r="D290" s="4">
        <v>0</v>
      </c>
      <c r="E290" s="4">
        <v>0</v>
      </c>
      <c r="F290" s="4">
        <v>0</v>
      </c>
      <c r="G290" s="4">
        <v>0</v>
      </c>
      <c r="H290" s="4">
        <v>0</v>
      </c>
      <c r="I290" s="4">
        <v>0</v>
      </c>
      <c r="J290" s="4">
        <v>0</v>
      </c>
      <c r="K290" s="4">
        <v>0</v>
      </c>
      <c r="L290" s="4">
        <v>0</v>
      </c>
      <c r="M290" s="4">
        <v>0</v>
      </c>
      <c r="N290" s="4">
        <v>0</v>
      </c>
      <c r="O290" s="4">
        <v>0</v>
      </c>
      <c r="P290" s="4">
        <v>0</v>
      </c>
      <c r="Q290" s="4">
        <v>0</v>
      </c>
      <c r="R290" s="4">
        <v>0</v>
      </c>
      <c r="S290" s="4">
        <v>0</v>
      </c>
      <c r="T290" s="4">
        <v>0</v>
      </c>
      <c r="U290" s="4">
        <v>0</v>
      </c>
      <c r="V290" s="4">
        <v>0</v>
      </c>
      <c r="W290" s="4">
        <v>0</v>
      </c>
      <c r="X290" s="4">
        <v>0</v>
      </c>
      <c r="Y290" s="4">
        <v>0</v>
      </c>
      <c r="Z290" s="4">
        <v>0</v>
      </c>
      <c r="AA290" s="4">
        <v>0</v>
      </c>
      <c r="AB290" s="4">
        <v>0</v>
      </c>
      <c r="AC290" s="4">
        <v>0</v>
      </c>
      <c r="AD290" s="4">
        <v>0</v>
      </c>
      <c r="AE290" s="4">
        <v>0</v>
      </c>
      <c r="AF290" s="15">
        <v>3.0288636363636368E-3</v>
      </c>
      <c r="AG290" s="15">
        <v>3.1022727272727278E-3</v>
      </c>
      <c r="AH290" s="15">
        <v>3.1756818181818188E-3</v>
      </c>
      <c r="AI290" s="15">
        <v>3.2490909090909098E-3</v>
      </c>
      <c r="AJ290" s="15">
        <v>3.3225000000000008E-3</v>
      </c>
      <c r="AK290" s="15">
        <v>3.3959090909090918E-3</v>
      </c>
      <c r="AL290" s="15">
        <v>3.4693181818181828E-3</v>
      </c>
      <c r="AM290" s="15">
        <v>3.5427272727272738E-3</v>
      </c>
      <c r="AN290" s="15">
        <v>3.6161363636363648E-3</v>
      </c>
      <c r="AO290" s="15">
        <v>3.6895454545454558E-3</v>
      </c>
      <c r="AP290" s="15">
        <v>3.7629545454545468E-3</v>
      </c>
      <c r="AQ290" s="15">
        <v>3.8363636363636378E-3</v>
      </c>
      <c r="AR290" s="15">
        <v>3.9097727272727287E-3</v>
      </c>
      <c r="AS290" s="15">
        <v>3.9831818181818197E-3</v>
      </c>
      <c r="AT290" s="15">
        <v>4.0565909090909107E-3</v>
      </c>
      <c r="AU290" s="15">
        <v>4.1300000000000009E-3</v>
      </c>
      <c r="AV290" s="15">
        <v>4.1579545454545463E-3</v>
      </c>
      <c r="AW290" s="15">
        <v>4.1859090909090917E-3</v>
      </c>
      <c r="AX290" s="15">
        <v>4.2138636363636371E-3</v>
      </c>
      <c r="AY290" s="15">
        <v>4.2418181818181825E-3</v>
      </c>
      <c r="AZ290" s="15">
        <v>4.269772727272728E-3</v>
      </c>
      <c r="BA290" s="15">
        <v>4.2977272727272734E-3</v>
      </c>
      <c r="BB290" s="15">
        <v>4.3256818181818188E-3</v>
      </c>
      <c r="BC290" s="15">
        <v>4.3536363636363642E-3</v>
      </c>
      <c r="BD290" s="15">
        <v>4.3815909090909096E-3</v>
      </c>
      <c r="BE290" s="15">
        <v>4.4095454545454551E-3</v>
      </c>
      <c r="BF290" s="15">
        <v>4.4375000000000005E-3</v>
      </c>
      <c r="BG290" s="15">
        <v>4.4654545454545459E-3</v>
      </c>
      <c r="BH290" s="15">
        <v>4.4934090909090913E-3</v>
      </c>
      <c r="BI290" s="15">
        <v>4.5213636363636367E-3</v>
      </c>
      <c r="BJ290" s="15">
        <v>4.5493181818181821E-3</v>
      </c>
      <c r="BK290" s="15">
        <v>4.5772727272727276E-3</v>
      </c>
      <c r="BL290" s="15">
        <v>4.605227272727273E-3</v>
      </c>
      <c r="BM290" s="15">
        <v>4.6331818181818184E-3</v>
      </c>
      <c r="BN290" s="15">
        <v>4.6611363636363638E-3</v>
      </c>
      <c r="BO290" s="15">
        <v>4.6890909090909101E-3</v>
      </c>
      <c r="BP290" s="15">
        <v>4.7170454545454547E-3</v>
      </c>
      <c r="BQ290" s="15">
        <v>4.745000000000001E-3</v>
      </c>
      <c r="BR290" s="15">
        <v>4.7729545454545455E-3</v>
      </c>
      <c r="BS290" s="15">
        <v>4.8009090909090918E-3</v>
      </c>
      <c r="BT290" s="15">
        <v>4.8288636363636372E-3</v>
      </c>
      <c r="BU290" s="15">
        <v>4.8568181818181826E-3</v>
      </c>
      <c r="BV290" s="15">
        <v>4.8847727272727281E-3</v>
      </c>
      <c r="BW290" s="15">
        <v>4.9127272727272735E-3</v>
      </c>
      <c r="BX290" s="15">
        <v>4.9406818181818189E-3</v>
      </c>
      <c r="BY290" s="15">
        <v>4.9686363636363643E-3</v>
      </c>
      <c r="BZ290" s="15">
        <v>4.9965909090909097E-3</v>
      </c>
      <c r="CA290" s="15">
        <v>5.0245454545454551E-3</v>
      </c>
      <c r="CB290" s="15">
        <v>5.0525000000000006E-3</v>
      </c>
      <c r="CC290" s="15">
        <v>5.080454545454546E-3</v>
      </c>
      <c r="CD290" s="15">
        <v>5.1084090909090914E-3</v>
      </c>
      <c r="CE290" s="15">
        <v>5.1363636363636368E-3</v>
      </c>
      <c r="CF290" s="15">
        <v>5.1643181818181822E-3</v>
      </c>
      <c r="CG290" s="15">
        <v>5.1922727272727277E-3</v>
      </c>
      <c r="CH290" s="15">
        <v>5.2202272727272731E-3</v>
      </c>
      <c r="CI290" s="15">
        <v>5.2481818181818185E-3</v>
      </c>
      <c r="CJ290" s="15">
        <v>5.2761363636363639E-3</v>
      </c>
      <c r="CK290" s="15">
        <v>5.3040909090909093E-3</v>
      </c>
      <c r="CL290" s="15">
        <v>5.3320454545454548E-3</v>
      </c>
      <c r="CM290" s="15">
        <v>5.3600000000000002E-3</v>
      </c>
    </row>
    <row r="291" spans="1:91" x14ac:dyDescent="0.25">
      <c r="A291" s="99"/>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row>
    <row r="292" spans="1:91" s="50" customFormat="1" x14ac:dyDescent="0.25">
      <c r="A292" s="99" t="s">
        <v>396</v>
      </c>
      <c r="B292" s="4">
        <v>0</v>
      </c>
      <c r="C292" s="4">
        <v>0</v>
      </c>
      <c r="D292" s="4">
        <v>0</v>
      </c>
      <c r="E292" s="4">
        <v>0</v>
      </c>
      <c r="F292" s="4">
        <v>0</v>
      </c>
      <c r="G292" s="4">
        <v>0</v>
      </c>
      <c r="H292" s="4">
        <v>0</v>
      </c>
      <c r="I292" s="4">
        <v>0</v>
      </c>
      <c r="J292" s="4">
        <v>0</v>
      </c>
      <c r="K292" s="4">
        <v>0</v>
      </c>
      <c r="L292" s="4">
        <v>0</v>
      </c>
      <c r="M292" s="4">
        <v>0</v>
      </c>
      <c r="N292" s="4">
        <v>0</v>
      </c>
      <c r="O292" s="4">
        <v>0</v>
      </c>
      <c r="P292" s="4">
        <v>0</v>
      </c>
      <c r="Q292" s="4">
        <v>0</v>
      </c>
      <c r="R292" s="4">
        <v>0</v>
      </c>
      <c r="S292" s="4">
        <v>0</v>
      </c>
      <c r="T292" s="4">
        <v>0</v>
      </c>
      <c r="U292" s="4">
        <v>0</v>
      </c>
      <c r="V292" s="4">
        <v>0</v>
      </c>
      <c r="W292" s="4">
        <v>0</v>
      </c>
      <c r="X292" s="4">
        <v>0</v>
      </c>
      <c r="Y292" s="4">
        <v>0</v>
      </c>
      <c r="Z292" s="4">
        <v>0</v>
      </c>
      <c r="AA292" s="4">
        <v>0</v>
      </c>
      <c r="AB292" s="4">
        <v>0</v>
      </c>
      <c r="AC292" s="4">
        <v>0</v>
      </c>
      <c r="AD292" s="4">
        <v>0</v>
      </c>
      <c r="AE292" s="4">
        <v>0</v>
      </c>
      <c r="AF292" s="51">
        <v>3.0288636363636368E-3</v>
      </c>
      <c r="AG292" s="51">
        <v>3.1022727272727278E-3</v>
      </c>
      <c r="AH292" s="51">
        <v>3.1756818181818188E-3</v>
      </c>
      <c r="AI292" s="51">
        <v>3.2490909090909098E-3</v>
      </c>
      <c r="AJ292" s="51">
        <v>3.3225000000000008E-3</v>
      </c>
      <c r="AK292" s="51">
        <v>3.3959090909090918E-3</v>
      </c>
      <c r="AL292" s="51">
        <v>3.4693181818181828E-3</v>
      </c>
      <c r="AM292" s="51">
        <v>3.5427272727272738E-3</v>
      </c>
      <c r="AN292" s="51">
        <v>3.6161363636363648E-3</v>
      </c>
      <c r="AO292" s="51">
        <v>3.6895454545454558E-3</v>
      </c>
      <c r="AP292" s="51">
        <v>3.7629545454545468E-3</v>
      </c>
      <c r="AQ292" s="51">
        <v>3.8363636363636378E-3</v>
      </c>
      <c r="AR292" s="51">
        <v>3.9097727272727287E-3</v>
      </c>
      <c r="AS292" s="51">
        <v>3.9831818181818197E-3</v>
      </c>
      <c r="AT292" s="51">
        <v>4.0565909090909107E-3</v>
      </c>
      <c r="AU292" s="51">
        <v>4.1300000000000009E-3</v>
      </c>
      <c r="AV292" s="51">
        <v>4.1579545454545463E-3</v>
      </c>
      <c r="AW292" s="51">
        <v>4.1859090909090917E-3</v>
      </c>
      <c r="AX292" s="51">
        <v>4.2138636363636371E-3</v>
      </c>
      <c r="AY292" s="51">
        <v>4.2418181818181825E-3</v>
      </c>
      <c r="AZ292" s="51">
        <v>4.269772727272728E-3</v>
      </c>
      <c r="BA292" s="51">
        <v>4.2977272727272734E-3</v>
      </c>
      <c r="BB292" s="51">
        <v>4.3256818181818188E-3</v>
      </c>
      <c r="BC292" s="51">
        <v>4.3536363636363642E-3</v>
      </c>
      <c r="BD292" s="51">
        <v>4.3815909090909096E-3</v>
      </c>
      <c r="BE292" s="51">
        <v>4.4095454545454551E-3</v>
      </c>
      <c r="BF292" s="51">
        <v>4.4375000000000005E-3</v>
      </c>
      <c r="BG292" s="51">
        <v>4.4654545454545459E-3</v>
      </c>
      <c r="BH292" s="51">
        <v>4.4934090909090913E-3</v>
      </c>
      <c r="BI292" s="51">
        <v>4.5213636363636367E-3</v>
      </c>
      <c r="BJ292" s="51">
        <v>4.5493181818181821E-3</v>
      </c>
      <c r="BK292" s="51">
        <v>4.5772727272727276E-3</v>
      </c>
      <c r="BL292" s="51">
        <v>4.605227272727273E-3</v>
      </c>
      <c r="BM292" s="51">
        <v>4.6331818181818184E-3</v>
      </c>
      <c r="BN292" s="51">
        <v>4.6611363636363638E-3</v>
      </c>
      <c r="BO292" s="51">
        <v>4.6890909090909101E-3</v>
      </c>
      <c r="BP292" s="51">
        <v>4.7170454545454547E-3</v>
      </c>
      <c r="BQ292" s="51">
        <v>4.745000000000001E-3</v>
      </c>
      <c r="BR292" s="51">
        <v>4.7729545454545455E-3</v>
      </c>
      <c r="BS292" s="51">
        <v>4.8009090909090918E-3</v>
      </c>
      <c r="BT292" s="51">
        <v>4.8288636363636372E-3</v>
      </c>
      <c r="BU292" s="51">
        <v>4.8568181818181826E-3</v>
      </c>
      <c r="BV292" s="51">
        <v>4.8847727272727281E-3</v>
      </c>
      <c r="BW292" s="51">
        <v>4.9127272727272735E-3</v>
      </c>
      <c r="BX292" s="51">
        <v>4.9406818181818189E-3</v>
      </c>
      <c r="BY292" s="51">
        <v>4.9686363636363643E-3</v>
      </c>
      <c r="BZ292" s="51">
        <v>4.9965909090909097E-3</v>
      </c>
      <c r="CA292" s="51">
        <v>5.0245454545454551E-3</v>
      </c>
      <c r="CB292" s="51">
        <v>5.0525000000000006E-3</v>
      </c>
      <c r="CC292" s="51">
        <v>5.080454545454546E-3</v>
      </c>
      <c r="CD292" s="51">
        <v>5.1084090909090914E-3</v>
      </c>
      <c r="CE292" s="51">
        <v>5.1363636363636368E-3</v>
      </c>
      <c r="CF292" s="51">
        <v>5.1643181818181822E-3</v>
      </c>
      <c r="CG292" s="51">
        <v>5.1922727272727277E-3</v>
      </c>
      <c r="CH292" s="51">
        <v>5.2202272727272731E-3</v>
      </c>
      <c r="CI292" s="51">
        <v>5.2481818181818185E-3</v>
      </c>
      <c r="CJ292" s="51">
        <v>5.2761363636363639E-3</v>
      </c>
      <c r="CK292" s="51">
        <v>5.3040909090909093E-3</v>
      </c>
      <c r="CL292" s="51">
        <v>5.3320454545454548E-3</v>
      </c>
      <c r="CM292" s="51">
        <v>5.3600000000000002E-3</v>
      </c>
    </row>
    <row r="293" spans="1:91" s="50" customFormat="1" x14ac:dyDescent="0.25">
      <c r="A293" s="9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1"/>
      <c r="BY293" s="51"/>
      <c r="BZ293" s="51"/>
      <c r="CA293" s="51"/>
      <c r="CB293" s="51"/>
      <c r="CC293" s="51"/>
      <c r="CD293" s="51"/>
      <c r="CE293" s="51"/>
      <c r="CF293" s="51"/>
      <c r="CG293" s="51"/>
      <c r="CH293" s="51"/>
      <c r="CI293" s="51"/>
      <c r="CJ293" s="51"/>
      <c r="CK293" s="51"/>
      <c r="CL293" s="51"/>
      <c r="CM293" s="51"/>
    </row>
    <row r="294" spans="1:91" x14ac:dyDescent="0.25">
      <c r="A294" s="99" t="s">
        <v>342</v>
      </c>
      <c r="B294" s="4">
        <v>0</v>
      </c>
      <c r="C294" s="4">
        <v>0</v>
      </c>
      <c r="D294" s="4">
        <v>0</v>
      </c>
      <c r="E294" s="4">
        <v>0</v>
      </c>
      <c r="F294" s="4">
        <v>0</v>
      </c>
      <c r="G294" s="4">
        <v>0</v>
      </c>
      <c r="H294" s="4">
        <v>0</v>
      </c>
      <c r="I294" s="4">
        <v>0</v>
      </c>
      <c r="J294" s="4">
        <v>0</v>
      </c>
      <c r="K294" s="4">
        <v>0</v>
      </c>
      <c r="L294" s="4">
        <v>0</v>
      </c>
      <c r="M294" s="4">
        <v>0</v>
      </c>
      <c r="N294" s="4">
        <v>0</v>
      </c>
      <c r="O294" s="4">
        <v>0</v>
      </c>
      <c r="P294" s="4">
        <v>0</v>
      </c>
      <c r="Q294" s="4">
        <v>0</v>
      </c>
      <c r="R294" s="4">
        <v>0</v>
      </c>
      <c r="S294" s="4">
        <v>0</v>
      </c>
      <c r="T294" s="4">
        <v>0</v>
      </c>
      <c r="U294" s="4">
        <v>0</v>
      </c>
      <c r="V294" s="4">
        <v>0</v>
      </c>
      <c r="W294" s="4">
        <v>0</v>
      </c>
      <c r="X294" s="4">
        <v>0</v>
      </c>
      <c r="Y294" s="4">
        <v>0</v>
      </c>
      <c r="Z294" s="4">
        <v>0</v>
      </c>
      <c r="AA294" s="4">
        <v>0</v>
      </c>
      <c r="AB294" s="4">
        <v>0</v>
      </c>
      <c r="AC294" s="4">
        <v>0</v>
      </c>
      <c r="AD294" s="4">
        <v>0</v>
      </c>
      <c r="AE294" s="4">
        <v>0</v>
      </c>
      <c r="AF294" s="15">
        <v>8.6618671127481966E-4</v>
      </c>
      <c r="AG294" s="15">
        <v>8.7332065560907562E-4</v>
      </c>
      <c r="AH294" s="15">
        <v>8.8045459994333169E-4</v>
      </c>
      <c r="AI294" s="15">
        <v>8.8758854427758765E-4</v>
      </c>
      <c r="AJ294" s="15">
        <v>8.9472248861184372E-4</v>
      </c>
      <c r="AK294" s="15">
        <v>9.0185643294609969E-4</v>
      </c>
      <c r="AL294" s="15">
        <v>9.0899037728035576E-4</v>
      </c>
      <c r="AM294" s="15">
        <v>9.1612432161461172E-4</v>
      </c>
      <c r="AN294" s="15">
        <v>9.2325826594886768E-4</v>
      </c>
      <c r="AO294" s="15">
        <v>9.3039221028312375E-4</v>
      </c>
      <c r="AP294" s="15">
        <v>9.3752615461737982E-4</v>
      </c>
      <c r="AQ294" s="15">
        <v>9.4466009895163578E-4</v>
      </c>
      <c r="AR294" s="15">
        <v>9.5179404328589175E-4</v>
      </c>
      <c r="AS294" s="15">
        <v>9.5892798762014782E-4</v>
      </c>
      <c r="AT294" s="15">
        <v>9.6606193195440389E-4</v>
      </c>
      <c r="AU294" s="15">
        <v>9.7319587628865985E-4</v>
      </c>
      <c r="AV294" s="15">
        <v>9.9072164948453621E-4</v>
      </c>
      <c r="AW294" s="15">
        <v>1.0082474226804125E-3</v>
      </c>
      <c r="AX294" s="15">
        <v>1.0257731958762887E-3</v>
      </c>
      <c r="AY294" s="15">
        <v>1.043298969072165E-3</v>
      </c>
      <c r="AZ294" s="15">
        <v>1.0608247422680412E-3</v>
      </c>
      <c r="BA294" s="15">
        <v>1.0783505154639175E-3</v>
      </c>
      <c r="BB294" s="15">
        <v>1.095876288659794E-3</v>
      </c>
      <c r="BC294" s="15">
        <v>1.1134020618556702E-3</v>
      </c>
      <c r="BD294" s="15">
        <v>1.1309278350515465E-3</v>
      </c>
      <c r="BE294" s="15">
        <v>1.1484536082474227E-3</v>
      </c>
      <c r="BF294" s="15">
        <v>1.165979381443299E-3</v>
      </c>
      <c r="BG294" s="15">
        <v>1.1835051546391752E-3</v>
      </c>
      <c r="BH294" s="15">
        <v>1.2010309278350515E-3</v>
      </c>
      <c r="BI294" s="15">
        <v>1.2185567010309277E-3</v>
      </c>
      <c r="BJ294" s="15">
        <v>1.236082474226804E-3</v>
      </c>
      <c r="BK294" s="15">
        <v>1.2536082474226805E-3</v>
      </c>
      <c r="BL294" s="15">
        <v>1.2711340206185567E-3</v>
      </c>
      <c r="BM294" s="15">
        <v>1.288659793814433E-3</v>
      </c>
      <c r="BN294" s="15">
        <v>1.3061855670103092E-3</v>
      </c>
      <c r="BO294" s="15">
        <v>1.3237113402061855E-3</v>
      </c>
      <c r="BP294" s="15">
        <v>1.3412371134020619E-3</v>
      </c>
      <c r="BQ294" s="15">
        <v>1.3587628865979382E-3</v>
      </c>
      <c r="BR294" s="15">
        <v>1.3762886597938145E-3</v>
      </c>
      <c r="BS294" s="15">
        <v>1.3938144329896907E-3</v>
      </c>
      <c r="BT294" s="15">
        <v>1.411340206185567E-3</v>
      </c>
      <c r="BU294" s="15">
        <v>1.4288659793814432E-3</v>
      </c>
      <c r="BV294" s="15">
        <v>1.4463917525773195E-3</v>
      </c>
      <c r="BW294" s="15">
        <v>1.4639175257731957E-3</v>
      </c>
      <c r="BX294" s="15">
        <v>1.481443298969072E-3</v>
      </c>
      <c r="BY294" s="15">
        <v>1.4989690721649482E-3</v>
      </c>
      <c r="BZ294" s="15">
        <v>1.5164948453608247E-3</v>
      </c>
      <c r="CA294" s="15">
        <v>1.534020618556701E-3</v>
      </c>
      <c r="CB294" s="15">
        <v>1.5515463917525772E-3</v>
      </c>
      <c r="CC294" s="15">
        <v>1.5690721649484537E-3</v>
      </c>
      <c r="CD294" s="15">
        <v>1.5865979381443299E-3</v>
      </c>
      <c r="CE294" s="15">
        <v>1.6041237113402062E-3</v>
      </c>
      <c r="CF294" s="15">
        <v>1.6216494845360824E-3</v>
      </c>
      <c r="CG294" s="15">
        <v>1.6391752577319587E-3</v>
      </c>
      <c r="CH294" s="15">
        <v>1.656701030927835E-3</v>
      </c>
      <c r="CI294" s="15">
        <v>1.6742268041237112E-3</v>
      </c>
      <c r="CJ294" s="15">
        <v>1.6917525773195875E-3</v>
      </c>
      <c r="CK294" s="15">
        <v>1.7092783505154637E-3</v>
      </c>
      <c r="CL294" s="15">
        <v>1.72680412371134E-3</v>
      </c>
      <c r="CM294" s="15">
        <v>1.7443298969072164E-3</v>
      </c>
    </row>
    <row r="295" spans="1:91" x14ac:dyDescent="0.25">
      <c r="A295" s="44"/>
    </row>
    <row r="296" spans="1:91" s="50" customFormat="1" x14ac:dyDescent="0.25">
      <c r="A296" s="99" t="s">
        <v>361</v>
      </c>
      <c r="B296" s="4">
        <v>0</v>
      </c>
      <c r="C296" s="4">
        <v>0</v>
      </c>
      <c r="D296" s="4">
        <v>0</v>
      </c>
      <c r="E296" s="4">
        <v>0</v>
      </c>
      <c r="F296" s="4">
        <v>0</v>
      </c>
      <c r="G296" s="4">
        <v>0</v>
      </c>
      <c r="H296" s="4">
        <v>0</v>
      </c>
      <c r="I296" s="4">
        <v>0</v>
      </c>
      <c r="J296" s="4">
        <v>0</v>
      </c>
      <c r="K296" s="4">
        <v>0</v>
      </c>
      <c r="L296" s="4">
        <v>0</v>
      </c>
      <c r="M296" s="4">
        <v>0</v>
      </c>
      <c r="N296" s="4">
        <v>0</v>
      </c>
      <c r="O296" s="4">
        <v>0</v>
      </c>
      <c r="P296" s="4">
        <v>0</v>
      </c>
      <c r="Q296" s="4">
        <v>0</v>
      </c>
      <c r="R296" s="4">
        <v>0</v>
      </c>
      <c r="S296" s="4">
        <v>0</v>
      </c>
      <c r="T296" s="4">
        <v>0</v>
      </c>
      <c r="U296" s="4">
        <v>0</v>
      </c>
      <c r="V296" s="4">
        <v>0</v>
      </c>
      <c r="W296" s="4">
        <v>0</v>
      </c>
      <c r="X296" s="4">
        <v>0</v>
      </c>
      <c r="Y296" s="4">
        <v>0</v>
      </c>
      <c r="Z296" s="4">
        <v>0</v>
      </c>
      <c r="AA296" s="4">
        <v>0</v>
      </c>
      <c r="AB296" s="4">
        <v>0</v>
      </c>
      <c r="AC296" s="4">
        <v>0</v>
      </c>
      <c r="AD296" s="4">
        <v>0</v>
      </c>
      <c r="AE296" s="4">
        <v>0</v>
      </c>
      <c r="AF296" s="51">
        <v>8.6618671127481966E-4</v>
      </c>
      <c r="AG296" s="51">
        <v>8.7332065560907562E-4</v>
      </c>
      <c r="AH296" s="51">
        <v>8.8045459994333169E-4</v>
      </c>
      <c r="AI296" s="51">
        <v>8.8758854427758765E-4</v>
      </c>
      <c r="AJ296" s="51">
        <v>8.9472248861184372E-4</v>
      </c>
      <c r="AK296" s="51">
        <v>9.0185643294609969E-4</v>
      </c>
      <c r="AL296" s="51">
        <v>9.0899037728035576E-4</v>
      </c>
      <c r="AM296" s="51">
        <v>9.1612432161461172E-4</v>
      </c>
      <c r="AN296" s="51">
        <v>9.2325826594886768E-4</v>
      </c>
      <c r="AO296" s="51">
        <v>9.3039221028312375E-4</v>
      </c>
      <c r="AP296" s="51">
        <v>9.3752615461737982E-4</v>
      </c>
      <c r="AQ296" s="51">
        <v>9.4466009895163578E-4</v>
      </c>
      <c r="AR296" s="51">
        <v>9.5179404328589175E-4</v>
      </c>
      <c r="AS296" s="51">
        <v>9.5892798762014782E-4</v>
      </c>
      <c r="AT296" s="51">
        <v>9.6606193195440389E-4</v>
      </c>
      <c r="AU296" s="51">
        <v>9.7319587628865985E-4</v>
      </c>
      <c r="AV296" s="51">
        <v>9.9072164948453621E-4</v>
      </c>
      <c r="AW296" s="51">
        <v>1.0082474226804125E-3</v>
      </c>
      <c r="AX296" s="51">
        <v>1.0257731958762887E-3</v>
      </c>
      <c r="AY296" s="51">
        <v>1.043298969072165E-3</v>
      </c>
      <c r="AZ296" s="51">
        <v>1.0608247422680412E-3</v>
      </c>
      <c r="BA296" s="51">
        <v>1.0783505154639175E-3</v>
      </c>
      <c r="BB296" s="51">
        <v>1.095876288659794E-3</v>
      </c>
      <c r="BC296" s="51">
        <v>1.1134020618556702E-3</v>
      </c>
      <c r="BD296" s="51">
        <v>1.1309278350515465E-3</v>
      </c>
      <c r="BE296" s="51">
        <v>1.1484536082474227E-3</v>
      </c>
      <c r="BF296" s="51">
        <v>1.165979381443299E-3</v>
      </c>
      <c r="BG296" s="51">
        <v>1.1835051546391752E-3</v>
      </c>
      <c r="BH296" s="51">
        <v>1.2010309278350515E-3</v>
      </c>
      <c r="BI296" s="51">
        <v>1.2185567010309277E-3</v>
      </c>
      <c r="BJ296" s="51">
        <v>1.236082474226804E-3</v>
      </c>
      <c r="BK296" s="51">
        <v>1.2536082474226805E-3</v>
      </c>
      <c r="BL296" s="51">
        <v>1.2711340206185567E-3</v>
      </c>
      <c r="BM296" s="51">
        <v>1.288659793814433E-3</v>
      </c>
      <c r="BN296" s="51">
        <v>1.3061855670103092E-3</v>
      </c>
      <c r="BO296" s="51">
        <v>1.3237113402061855E-3</v>
      </c>
      <c r="BP296" s="51">
        <v>1.3412371134020619E-3</v>
      </c>
      <c r="BQ296" s="51">
        <v>1.3587628865979382E-3</v>
      </c>
      <c r="BR296" s="51">
        <v>1.3762886597938145E-3</v>
      </c>
      <c r="BS296" s="51">
        <v>1.3938144329896907E-3</v>
      </c>
      <c r="BT296" s="51">
        <v>1.411340206185567E-3</v>
      </c>
      <c r="BU296" s="51">
        <v>1.4288659793814432E-3</v>
      </c>
      <c r="BV296" s="51">
        <v>1.4463917525773195E-3</v>
      </c>
      <c r="BW296" s="51">
        <v>1.4639175257731957E-3</v>
      </c>
      <c r="BX296" s="51">
        <v>1.481443298969072E-3</v>
      </c>
      <c r="BY296" s="51">
        <v>1.4989690721649482E-3</v>
      </c>
      <c r="BZ296" s="51">
        <v>1.5164948453608247E-3</v>
      </c>
      <c r="CA296" s="51">
        <v>1.534020618556701E-3</v>
      </c>
      <c r="CB296" s="51">
        <v>1.5515463917525772E-3</v>
      </c>
      <c r="CC296" s="51">
        <v>1.5690721649484537E-3</v>
      </c>
      <c r="CD296" s="51">
        <v>1.5865979381443299E-3</v>
      </c>
      <c r="CE296" s="51">
        <v>1.6041237113402062E-3</v>
      </c>
      <c r="CF296" s="51">
        <v>1.6216494845360824E-3</v>
      </c>
      <c r="CG296" s="51">
        <v>1.6391752577319587E-3</v>
      </c>
      <c r="CH296" s="51">
        <v>1.656701030927835E-3</v>
      </c>
      <c r="CI296" s="51">
        <v>1.6742268041237112E-3</v>
      </c>
      <c r="CJ296" s="51">
        <v>1.6917525773195875E-3</v>
      </c>
      <c r="CK296" s="51">
        <v>1.7092783505154637E-3</v>
      </c>
      <c r="CL296" s="51">
        <v>1.72680412371134E-3</v>
      </c>
      <c r="CM296" s="51">
        <v>1.7443298969072164E-3</v>
      </c>
    </row>
    <row r="297" spans="1:91" s="50" customFormat="1" x14ac:dyDescent="0.25">
      <c r="A297" s="4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91" s="50" customFormat="1" x14ac:dyDescent="0.25">
      <c r="A298" s="99" t="s">
        <v>161</v>
      </c>
      <c r="B298" s="4">
        <v>0</v>
      </c>
      <c r="C298" s="4">
        <v>0</v>
      </c>
      <c r="D298" s="4">
        <v>0</v>
      </c>
      <c r="E298" s="4">
        <v>0</v>
      </c>
      <c r="F298" s="4">
        <v>0</v>
      </c>
      <c r="G298" s="4">
        <v>0</v>
      </c>
      <c r="H298" s="4">
        <v>0</v>
      </c>
      <c r="I298" s="4">
        <v>0</v>
      </c>
      <c r="J298" s="4">
        <v>0</v>
      </c>
      <c r="K298" s="4">
        <v>0</v>
      </c>
      <c r="L298" s="4">
        <v>0</v>
      </c>
      <c r="M298" s="4">
        <v>0</v>
      </c>
      <c r="N298" s="4">
        <v>0</v>
      </c>
      <c r="O298" s="4">
        <v>0</v>
      </c>
      <c r="P298" s="4">
        <v>0</v>
      </c>
      <c r="Q298" s="4">
        <v>0</v>
      </c>
      <c r="R298" s="4">
        <v>0</v>
      </c>
      <c r="S298" s="4">
        <v>0</v>
      </c>
      <c r="T298" s="4">
        <v>0</v>
      </c>
      <c r="U298" s="4">
        <v>0</v>
      </c>
      <c r="V298" s="4">
        <v>0</v>
      </c>
      <c r="W298" s="4">
        <v>0</v>
      </c>
      <c r="X298" s="4">
        <v>0</v>
      </c>
      <c r="Y298" s="4">
        <v>0</v>
      </c>
      <c r="Z298" s="4">
        <v>0</v>
      </c>
      <c r="AA298" s="4">
        <v>0</v>
      </c>
      <c r="AB298" s="4">
        <v>0</v>
      </c>
      <c r="AC298" s="4">
        <v>0</v>
      </c>
      <c r="AD298" s="4">
        <v>0</v>
      </c>
      <c r="AE298" s="4">
        <v>0</v>
      </c>
      <c r="AF298" s="51">
        <v>2.8586557155908612E-3</v>
      </c>
      <c r="AG298" s="51">
        <v>2.909963886131464E-3</v>
      </c>
      <c r="AH298" s="51">
        <v>2.9612720566720677E-3</v>
      </c>
      <c r="AI298" s="51">
        <v>3.0125802272126705E-3</v>
      </c>
      <c r="AJ298" s="51">
        <v>3.0638883977532742E-3</v>
      </c>
      <c r="AK298" s="51">
        <v>3.1151965682938766E-3</v>
      </c>
      <c r="AL298" s="51">
        <v>3.1665047388344802E-3</v>
      </c>
      <c r="AM298" s="51">
        <v>3.2178129093750835E-3</v>
      </c>
      <c r="AN298" s="51">
        <v>3.2691210799156863E-3</v>
      </c>
      <c r="AO298" s="51">
        <v>3.3204292504562887E-3</v>
      </c>
      <c r="AP298" s="51">
        <v>3.3717374209968911E-3</v>
      </c>
      <c r="AQ298" s="51">
        <v>3.4230455915374956E-3</v>
      </c>
      <c r="AR298" s="51">
        <v>3.474353762078098E-3</v>
      </c>
      <c r="AS298" s="51">
        <v>3.5256619326187004E-3</v>
      </c>
      <c r="AT298" s="51">
        <v>3.5769701031593041E-3</v>
      </c>
      <c r="AU298" s="51">
        <v>3.6282782736999073E-3</v>
      </c>
      <c r="AV298" s="51">
        <v>3.6601435786098075E-3</v>
      </c>
      <c r="AW298" s="51">
        <v>3.6920088835197063E-3</v>
      </c>
      <c r="AX298" s="51">
        <v>3.7238741884296055E-3</v>
      </c>
      <c r="AY298" s="51">
        <v>3.7557394933395052E-3</v>
      </c>
      <c r="AZ298" s="51">
        <v>3.7876047982494045E-3</v>
      </c>
      <c r="BA298" s="51">
        <v>3.8194701031593042E-3</v>
      </c>
      <c r="BB298" s="51">
        <v>3.8513354080692043E-3</v>
      </c>
      <c r="BC298" s="51">
        <v>3.8832007129791031E-3</v>
      </c>
      <c r="BD298" s="51">
        <v>3.9150660178890037E-3</v>
      </c>
      <c r="BE298" s="51">
        <v>3.9469313227989029E-3</v>
      </c>
      <c r="BF298" s="51">
        <v>3.9787966277088022E-3</v>
      </c>
      <c r="BG298" s="51">
        <v>4.0106619326187015E-3</v>
      </c>
      <c r="BH298" s="51">
        <v>4.0425272375286016E-3</v>
      </c>
      <c r="BI298" s="51">
        <v>4.0743925424385008E-3</v>
      </c>
      <c r="BJ298" s="51">
        <v>4.1062578473483992E-3</v>
      </c>
      <c r="BK298" s="51">
        <v>4.1381231522582993E-3</v>
      </c>
      <c r="BL298" s="51">
        <v>4.1699884571681986E-3</v>
      </c>
      <c r="BM298" s="51">
        <v>4.2018537620780979E-3</v>
      </c>
      <c r="BN298" s="51">
        <v>4.233719066987998E-3</v>
      </c>
      <c r="BO298" s="51">
        <v>4.2655843718978972E-3</v>
      </c>
      <c r="BP298" s="51">
        <v>4.2974496768077956E-3</v>
      </c>
      <c r="BQ298" s="51">
        <v>4.3293149817176958E-3</v>
      </c>
      <c r="BR298" s="51">
        <v>4.3611802866275959E-3</v>
      </c>
      <c r="BS298" s="51">
        <v>4.3930455915374969E-3</v>
      </c>
      <c r="BT298" s="51">
        <v>4.4249108964473944E-3</v>
      </c>
      <c r="BU298" s="51">
        <v>4.4567762013572945E-3</v>
      </c>
      <c r="BV298" s="51">
        <v>4.4886415062671938E-3</v>
      </c>
      <c r="BW298" s="51">
        <v>4.520506811177093E-3</v>
      </c>
      <c r="BX298" s="51">
        <v>4.5523721160869923E-3</v>
      </c>
      <c r="BY298" s="51">
        <v>4.5842374209968924E-3</v>
      </c>
      <c r="BZ298" s="51">
        <v>4.6161027259067908E-3</v>
      </c>
      <c r="CA298" s="51">
        <v>4.6479680308166918E-3</v>
      </c>
      <c r="CB298" s="51">
        <v>4.6798333357265902E-3</v>
      </c>
      <c r="CC298" s="51">
        <v>4.7116986406364903E-3</v>
      </c>
      <c r="CD298" s="51">
        <v>4.7435639455463896E-3</v>
      </c>
      <c r="CE298" s="51">
        <v>4.7754292504562897E-3</v>
      </c>
      <c r="CF298" s="51">
        <v>4.8072945553661881E-3</v>
      </c>
      <c r="CG298" s="51">
        <v>4.8391598602760891E-3</v>
      </c>
      <c r="CH298" s="51">
        <v>4.8710251651859866E-3</v>
      </c>
      <c r="CI298" s="51">
        <v>4.9028904700958876E-3</v>
      </c>
      <c r="CJ298" s="51">
        <v>4.9347557750057851E-3</v>
      </c>
      <c r="CK298" s="51">
        <v>4.9666210799156861E-3</v>
      </c>
      <c r="CL298" s="51">
        <v>4.9984863848255862E-3</v>
      </c>
      <c r="CM298" s="51">
        <v>5.0303516897354846E-3</v>
      </c>
    </row>
    <row r="299" spans="1:91" s="50" customFormat="1" x14ac:dyDescent="0.25">
      <c r="A299" s="99" t="s">
        <v>1</v>
      </c>
      <c r="B299" s="4">
        <v>0</v>
      </c>
      <c r="C299" s="4">
        <v>0</v>
      </c>
      <c r="D299" s="4">
        <v>0</v>
      </c>
      <c r="E299" s="4">
        <v>0</v>
      </c>
      <c r="F299" s="4">
        <v>0</v>
      </c>
      <c r="G299" s="4">
        <v>0</v>
      </c>
      <c r="H299" s="4">
        <v>0</v>
      </c>
      <c r="I299" s="4">
        <v>0</v>
      </c>
      <c r="J299" s="4">
        <v>0</v>
      </c>
      <c r="K299" s="4">
        <v>0</v>
      </c>
      <c r="L299" s="4">
        <v>0</v>
      </c>
      <c r="M299" s="4">
        <v>0</v>
      </c>
      <c r="N299" s="4">
        <v>0</v>
      </c>
      <c r="O299" s="4">
        <v>0</v>
      </c>
      <c r="P299" s="4">
        <v>0</v>
      </c>
      <c r="Q299" s="4">
        <v>0</v>
      </c>
      <c r="R299" s="4">
        <v>0</v>
      </c>
      <c r="S299" s="4">
        <v>0</v>
      </c>
      <c r="T299" s="4">
        <v>0</v>
      </c>
      <c r="U299" s="4">
        <v>0</v>
      </c>
      <c r="V299" s="4">
        <v>0</v>
      </c>
      <c r="W299" s="4">
        <v>0</v>
      </c>
      <c r="X299" s="4">
        <v>0</v>
      </c>
      <c r="Y299" s="4">
        <v>0</v>
      </c>
      <c r="Z299" s="4">
        <v>0</v>
      </c>
      <c r="AA299" s="4">
        <v>0</v>
      </c>
      <c r="AB299" s="4">
        <v>0</v>
      </c>
      <c r="AC299" s="4">
        <v>0</v>
      </c>
      <c r="AD299" s="4">
        <v>0</v>
      </c>
      <c r="AE299" s="4">
        <v>0</v>
      </c>
      <c r="AF299" s="51">
        <v>2.21991625074704E-3</v>
      </c>
      <c r="AG299" s="51">
        <v>2.2566263371078163E-3</v>
      </c>
      <c r="AH299" s="51">
        <v>2.2933364234685931E-3</v>
      </c>
      <c r="AI299" s="51">
        <v>2.3300465098293689E-3</v>
      </c>
      <c r="AJ299" s="51">
        <v>2.3667565961901457E-3</v>
      </c>
      <c r="AK299" s="51">
        <v>2.403466682550922E-3</v>
      </c>
      <c r="AL299" s="51">
        <v>2.4401767689116983E-3</v>
      </c>
      <c r="AM299" s="51">
        <v>2.4768868552724754E-3</v>
      </c>
      <c r="AN299" s="51">
        <v>2.5135969416332517E-3</v>
      </c>
      <c r="AO299" s="51">
        <v>2.5503070279940276E-3</v>
      </c>
      <c r="AP299" s="51">
        <v>2.5870171143548043E-3</v>
      </c>
      <c r="AQ299" s="51">
        <v>2.6237272007155811E-3</v>
      </c>
      <c r="AR299" s="51">
        <v>2.6604372870763569E-3</v>
      </c>
      <c r="AS299" s="51">
        <v>2.6971473734371336E-3</v>
      </c>
      <c r="AT299" s="51">
        <v>2.7338574597979095E-3</v>
      </c>
      <c r="AU299" s="51">
        <v>2.7705675461586858E-3</v>
      </c>
      <c r="AV299" s="51">
        <v>2.7941732069956472E-3</v>
      </c>
      <c r="AW299" s="51">
        <v>2.8177788678326082E-3</v>
      </c>
      <c r="AX299" s="51">
        <v>2.8413845286695688E-3</v>
      </c>
      <c r="AY299" s="51">
        <v>2.8649901895065294E-3</v>
      </c>
      <c r="AZ299" s="51">
        <v>2.8885958503434904E-3</v>
      </c>
      <c r="BA299" s="51">
        <v>2.9122015111804514E-3</v>
      </c>
      <c r="BB299" s="51">
        <v>2.9358071720174115E-3</v>
      </c>
      <c r="BC299" s="51">
        <v>2.9594128328543738E-3</v>
      </c>
      <c r="BD299" s="51">
        <v>2.9830184936913344E-3</v>
      </c>
      <c r="BE299" s="51">
        <v>3.0066241545282949E-3</v>
      </c>
      <c r="BF299" s="51">
        <v>3.030229815365256E-3</v>
      </c>
      <c r="BG299" s="51">
        <v>3.0538354762022174E-3</v>
      </c>
      <c r="BH299" s="51">
        <v>3.0774411370391771E-3</v>
      </c>
      <c r="BI299" s="51">
        <v>3.1010467978761381E-3</v>
      </c>
      <c r="BJ299" s="51">
        <v>3.1246524587130987E-3</v>
      </c>
      <c r="BK299" s="51">
        <v>3.1482581195500597E-3</v>
      </c>
      <c r="BL299" s="51">
        <v>3.1718637803870211E-3</v>
      </c>
      <c r="BM299" s="51">
        <v>3.1954694412239821E-3</v>
      </c>
      <c r="BN299" s="51">
        <v>3.2190751020609435E-3</v>
      </c>
      <c r="BO299" s="51">
        <v>3.2426807628979037E-3</v>
      </c>
      <c r="BP299" s="51">
        <v>3.2662864237348651E-3</v>
      </c>
      <c r="BQ299" s="51">
        <v>3.2898920845718252E-3</v>
      </c>
      <c r="BR299" s="51">
        <v>3.3134977454087858E-3</v>
      </c>
      <c r="BS299" s="51">
        <v>3.3371034062457468E-3</v>
      </c>
      <c r="BT299" s="51">
        <v>3.3607090670827078E-3</v>
      </c>
      <c r="BU299" s="51">
        <v>3.3843147279196684E-3</v>
      </c>
      <c r="BV299" s="51">
        <v>3.4079203887566302E-3</v>
      </c>
      <c r="BW299" s="51">
        <v>3.4315260495935899E-3</v>
      </c>
      <c r="BX299" s="51">
        <v>3.4551317104305514E-3</v>
      </c>
      <c r="BY299" s="51">
        <v>3.4787373712675128E-3</v>
      </c>
      <c r="BZ299" s="51">
        <v>3.5023430321044729E-3</v>
      </c>
      <c r="CA299" s="51">
        <v>3.5259486929414339E-3</v>
      </c>
      <c r="CB299" s="51">
        <v>3.5495543537783945E-3</v>
      </c>
      <c r="CC299" s="51">
        <v>3.5731600146153551E-3</v>
      </c>
      <c r="CD299" s="51">
        <v>3.5967656754523165E-3</v>
      </c>
      <c r="CE299" s="51">
        <v>3.6203713362892771E-3</v>
      </c>
      <c r="CF299" s="51">
        <v>3.6439769971262381E-3</v>
      </c>
      <c r="CG299" s="51">
        <v>3.6675826579631995E-3</v>
      </c>
      <c r="CH299" s="51">
        <v>3.6911883188001609E-3</v>
      </c>
      <c r="CI299" s="51">
        <v>3.7147939796371206E-3</v>
      </c>
      <c r="CJ299" s="51">
        <v>3.7383996404740821E-3</v>
      </c>
      <c r="CK299" s="51">
        <v>3.7620053013110422E-3</v>
      </c>
      <c r="CL299" s="51">
        <v>3.7856109621480032E-3</v>
      </c>
      <c r="CM299" s="51">
        <v>3.8092166229849646E-3</v>
      </c>
    </row>
    <row r="300" spans="1:91" s="50" customFormat="1" x14ac:dyDescent="0.25">
      <c r="A300" s="99" t="s">
        <v>1</v>
      </c>
      <c r="B300" s="4">
        <v>0</v>
      </c>
      <c r="C300" s="4">
        <v>0</v>
      </c>
      <c r="D300" s="4">
        <v>0</v>
      </c>
      <c r="E300" s="4">
        <v>0</v>
      </c>
      <c r="F300" s="4">
        <v>0</v>
      </c>
      <c r="G300" s="4">
        <v>0</v>
      </c>
      <c r="H300" s="4">
        <v>0</v>
      </c>
      <c r="I300" s="4">
        <v>0</v>
      </c>
      <c r="J300" s="4">
        <v>0</v>
      </c>
      <c r="K300" s="4">
        <v>0</v>
      </c>
      <c r="L300" s="4">
        <v>0</v>
      </c>
      <c r="M300" s="4">
        <v>0</v>
      </c>
      <c r="N300" s="4">
        <v>0</v>
      </c>
      <c r="O300" s="4">
        <v>0</v>
      </c>
      <c r="P300" s="4">
        <v>0</v>
      </c>
      <c r="Q300" s="4">
        <v>0</v>
      </c>
      <c r="R300" s="4">
        <v>0</v>
      </c>
      <c r="S300" s="4">
        <v>0</v>
      </c>
      <c r="T300" s="4">
        <v>0</v>
      </c>
      <c r="U300" s="4">
        <v>0</v>
      </c>
      <c r="V300" s="4">
        <v>0</v>
      </c>
      <c r="W300" s="4">
        <v>0</v>
      </c>
      <c r="X300" s="4">
        <v>0</v>
      </c>
      <c r="Y300" s="4">
        <v>0</v>
      </c>
      <c r="Z300" s="4">
        <v>0</v>
      </c>
      <c r="AA300" s="4">
        <v>0</v>
      </c>
      <c r="AB300" s="4">
        <v>0</v>
      </c>
      <c r="AC300" s="4">
        <v>0</v>
      </c>
      <c r="AD300" s="4">
        <v>0</v>
      </c>
      <c r="AE300" s="4">
        <v>0</v>
      </c>
      <c r="AF300" s="51">
        <v>3.2695631189309741E-3</v>
      </c>
      <c r="AG300" s="51">
        <v>3.3190680876783053E-3</v>
      </c>
      <c r="AH300" s="51">
        <v>3.3685730564256351E-3</v>
      </c>
      <c r="AI300" s="51">
        <v>3.4180780251729654E-3</v>
      </c>
      <c r="AJ300" s="51">
        <v>3.4675829939202975E-3</v>
      </c>
      <c r="AK300" s="51">
        <v>3.5170879626676278E-3</v>
      </c>
      <c r="AL300" s="51">
        <v>3.566592931414959E-3</v>
      </c>
      <c r="AM300" s="51">
        <v>3.6160979001622893E-3</v>
      </c>
      <c r="AN300" s="51">
        <v>3.66560286890962E-3</v>
      </c>
      <c r="AO300" s="51">
        <v>3.7151078376569512E-3</v>
      </c>
      <c r="AP300" s="51">
        <v>3.764612806404282E-3</v>
      </c>
      <c r="AQ300" s="51">
        <v>3.8141177751516123E-3</v>
      </c>
      <c r="AR300" s="51">
        <v>3.8636227438989435E-3</v>
      </c>
      <c r="AS300" s="51">
        <v>3.9131277126462733E-3</v>
      </c>
      <c r="AT300" s="51">
        <v>3.9626326813936045E-3</v>
      </c>
      <c r="AU300" s="51">
        <v>4.0121376501409357E-3</v>
      </c>
      <c r="AV300" s="51">
        <v>4.0409850921853223E-3</v>
      </c>
      <c r="AW300" s="51">
        <v>4.0698325342297097E-3</v>
      </c>
      <c r="AX300" s="51">
        <v>4.0986799762740963E-3</v>
      </c>
      <c r="AY300" s="51">
        <v>4.127527418318482E-3</v>
      </c>
      <c r="AZ300" s="51">
        <v>4.1563748603628704E-3</v>
      </c>
      <c r="BA300" s="51">
        <v>4.1852223024072561E-3</v>
      </c>
      <c r="BB300" s="51">
        <v>4.2140697444516435E-3</v>
      </c>
      <c r="BC300" s="51">
        <v>4.2429171864960301E-3</v>
      </c>
      <c r="BD300" s="51">
        <v>4.2717646285404158E-3</v>
      </c>
      <c r="BE300" s="51">
        <v>4.3006120705848042E-3</v>
      </c>
      <c r="BF300" s="51">
        <v>4.3294595126291899E-3</v>
      </c>
      <c r="BG300" s="51">
        <v>4.3583069546735782E-3</v>
      </c>
      <c r="BH300" s="51">
        <v>4.3871543967179639E-3</v>
      </c>
      <c r="BI300" s="51">
        <v>4.4160018387623514E-3</v>
      </c>
      <c r="BJ300" s="51">
        <v>4.444849280806738E-3</v>
      </c>
      <c r="BK300" s="51">
        <v>4.4736967228511245E-3</v>
      </c>
      <c r="BL300" s="51">
        <v>4.5025441648955111E-3</v>
      </c>
      <c r="BM300" s="51">
        <v>4.5313916069398994E-3</v>
      </c>
      <c r="BN300" s="51">
        <v>4.5602390489842852E-3</v>
      </c>
      <c r="BO300" s="51">
        <v>4.5890864910286726E-3</v>
      </c>
      <c r="BP300" s="51">
        <v>4.6179339330730601E-3</v>
      </c>
      <c r="BQ300" s="51">
        <v>4.6467813751174458E-3</v>
      </c>
      <c r="BR300" s="51">
        <v>4.6756288171618332E-3</v>
      </c>
      <c r="BS300" s="51">
        <v>4.7044762592062198E-3</v>
      </c>
      <c r="BT300" s="51">
        <v>4.7333237012506073E-3</v>
      </c>
      <c r="BU300" s="51">
        <v>4.762171143294993E-3</v>
      </c>
      <c r="BV300" s="51">
        <v>4.7910185853393805E-3</v>
      </c>
      <c r="BW300" s="51">
        <v>4.8198660273837679E-3</v>
      </c>
      <c r="BX300" s="51">
        <v>4.8487134694281545E-3</v>
      </c>
      <c r="BY300" s="51">
        <v>4.8775609114725419E-3</v>
      </c>
      <c r="BZ300" s="51">
        <v>4.9064083535169277E-3</v>
      </c>
      <c r="CA300" s="51">
        <v>4.9352557955613151E-3</v>
      </c>
      <c r="CB300" s="51">
        <v>4.9641032376057017E-3</v>
      </c>
      <c r="CC300" s="51">
        <v>4.9929506796500883E-3</v>
      </c>
      <c r="CD300" s="51">
        <v>5.0217981216944757E-3</v>
      </c>
      <c r="CE300" s="51">
        <v>5.0506455637388623E-3</v>
      </c>
      <c r="CF300" s="51">
        <v>5.0794930057832489E-3</v>
      </c>
      <c r="CG300" s="51">
        <v>5.1083404478276355E-3</v>
      </c>
      <c r="CH300" s="51">
        <v>5.1371878898720212E-3</v>
      </c>
      <c r="CI300" s="51">
        <v>5.1660353319164087E-3</v>
      </c>
      <c r="CJ300" s="51">
        <v>5.1948827739607961E-3</v>
      </c>
      <c r="CK300" s="51">
        <v>5.2237302160051836E-3</v>
      </c>
      <c r="CL300" s="51">
        <v>5.252577658049571E-3</v>
      </c>
      <c r="CM300" s="51">
        <v>5.2814251000939559E-3</v>
      </c>
    </row>
    <row r="301" spans="1:91" s="50" customFormat="1" x14ac:dyDescent="0.25">
      <c r="A301" s="99" t="s">
        <v>1</v>
      </c>
      <c r="B301" s="4">
        <v>0</v>
      </c>
      <c r="C301" s="4">
        <v>0</v>
      </c>
      <c r="D301" s="4">
        <v>0</v>
      </c>
      <c r="E301" s="4">
        <v>0</v>
      </c>
      <c r="F301" s="4">
        <v>0</v>
      </c>
      <c r="G301" s="4">
        <v>0</v>
      </c>
      <c r="H301" s="4">
        <v>0</v>
      </c>
      <c r="I301" s="4">
        <v>0</v>
      </c>
      <c r="J301" s="4">
        <v>0</v>
      </c>
      <c r="K301" s="4">
        <v>0</v>
      </c>
      <c r="L301" s="4">
        <v>0</v>
      </c>
      <c r="M301" s="4">
        <v>0</v>
      </c>
      <c r="N301" s="4">
        <v>0</v>
      </c>
      <c r="O301" s="4">
        <v>0</v>
      </c>
      <c r="P301" s="4">
        <v>0</v>
      </c>
      <c r="Q301" s="4">
        <v>0</v>
      </c>
      <c r="R301" s="4">
        <v>0</v>
      </c>
      <c r="S301" s="4">
        <v>0</v>
      </c>
      <c r="T301" s="4">
        <v>0</v>
      </c>
      <c r="U301" s="4">
        <v>0</v>
      </c>
      <c r="V301" s="4">
        <v>0</v>
      </c>
      <c r="W301" s="4">
        <v>0</v>
      </c>
      <c r="X301" s="4">
        <v>0</v>
      </c>
      <c r="Y301" s="4">
        <v>0</v>
      </c>
      <c r="Z301" s="4">
        <v>0</v>
      </c>
      <c r="AA301" s="4">
        <v>0</v>
      </c>
      <c r="AB301" s="4">
        <v>0</v>
      </c>
      <c r="AC301" s="4">
        <v>0</v>
      </c>
      <c r="AD301" s="4">
        <v>0</v>
      </c>
      <c r="AE301" s="4">
        <v>0</v>
      </c>
      <c r="AF301" s="51">
        <v>1.4251346260975677E-3</v>
      </c>
      <c r="AG301" s="51">
        <v>1.4394010133432365E-3</v>
      </c>
      <c r="AH301" s="51">
        <v>1.4536674005889065E-3</v>
      </c>
      <c r="AI301" s="51">
        <v>1.4679337878345756E-3</v>
      </c>
      <c r="AJ301" s="51">
        <v>1.4822001750802451E-3</v>
      </c>
      <c r="AK301" s="51">
        <v>1.4964665623259147E-3</v>
      </c>
      <c r="AL301" s="51">
        <v>1.5107329495715842E-3</v>
      </c>
      <c r="AM301" s="51">
        <v>1.5249993368172535E-3</v>
      </c>
      <c r="AN301" s="51">
        <v>1.5392657240629226E-3</v>
      </c>
      <c r="AO301" s="51">
        <v>1.5535321113085924E-3</v>
      </c>
      <c r="AP301" s="51">
        <v>1.5677984985542617E-3</v>
      </c>
      <c r="AQ301" s="51">
        <v>1.5820648857999312E-3</v>
      </c>
      <c r="AR301" s="51">
        <v>1.5963312730456008E-3</v>
      </c>
      <c r="AS301" s="51">
        <v>1.6105976602912699E-3</v>
      </c>
      <c r="AT301" s="51">
        <v>1.6248640475369394E-3</v>
      </c>
      <c r="AU301" s="51">
        <v>1.6391304347826087E-3</v>
      </c>
      <c r="AV301" s="51">
        <v>1.6512056578914661E-3</v>
      </c>
      <c r="AW301" s="51">
        <v>1.6632808810003231E-3</v>
      </c>
      <c r="AX301" s="51">
        <v>1.6753561041091803E-3</v>
      </c>
      <c r="AY301" s="51">
        <v>1.6874313272180379E-3</v>
      </c>
      <c r="AZ301" s="51">
        <v>1.6995065503268951E-3</v>
      </c>
      <c r="BA301" s="51">
        <v>1.7115817734357521E-3</v>
      </c>
      <c r="BB301" s="51">
        <v>1.7236569965446093E-3</v>
      </c>
      <c r="BC301" s="51">
        <v>1.7357322196534667E-3</v>
      </c>
      <c r="BD301" s="51">
        <v>1.7478074427623236E-3</v>
      </c>
      <c r="BE301" s="51">
        <v>1.759882665871181E-3</v>
      </c>
      <c r="BF301" s="51">
        <v>1.7719578889800382E-3</v>
      </c>
      <c r="BG301" s="51">
        <v>1.7840331120888959E-3</v>
      </c>
      <c r="BH301" s="51">
        <v>1.7961083351977531E-3</v>
      </c>
      <c r="BI301" s="51">
        <v>1.8081835583066094E-3</v>
      </c>
      <c r="BJ301" s="51">
        <v>1.8202587814154672E-3</v>
      </c>
      <c r="BK301" s="51">
        <v>1.8323340045243244E-3</v>
      </c>
      <c r="BL301" s="51">
        <v>1.844409227633182E-3</v>
      </c>
      <c r="BM301" s="51">
        <v>1.8564844507420388E-3</v>
      </c>
      <c r="BN301" s="51">
        <v>1.8685596738508962E-3</v>
      </c>
      <c r="BO301" s="51">
        <v>1.8806348969597534E-3</v>
      </c>
      <c r="BP301" s="51">
        <v>1.8927101200686108E-3</v>
      </c>
      <c r="BQ301" s="51">
        <v>1.9047853431774678E-3</v>
      </c>
      <c r="BR301" s="51">
        <v>1.9168605662863256E-3</v>
      </c>
      <c r="BS301" s="51">
        <v>1.9289357893951824E-3</v>
      </c>
      <c r="BT301" s="51">
        <v>1.9410110125040402E-3</v>
      </c>
      <c r="BU301" s="51">
        <v>1.9530862356128972E-3</v>
      </c>
      <c r="BV301" s="51">
        <v>1.9651614587217541E-3</v>
      </c>
      <c r="BW301" s="51">
        <v>1.9772366818306113E-3</v>
      </c>
      <c r="BX301" s="51">
        <v>1.989311904939469E-3</v>
      </c>
      <c r="BY301" s="51">
        <v>2.0013871280483257E-3</v>
      </c>
      <c r="BZ301" s="51">
        <v>2.0134623511571829E-3</v>
      </c>
      <c r="CA301" s="51">
        <v>2.0255375742660405E-3</v>
      </c>
      <c r="CB301" s="51">
        <v>2.0376127973748973E-3</v>
      </c>
      <c r="CC301" s="51">
        <v>2.0496880204837549E-3</v>
      </c>
      <c r="CD301" s="51">
        <v>2.0617632435926121E-3</v>
      </c>
      <c r="CE301" s="51">
        <v>2.0738384667014697E-3</v>
      </c>
      <c r="CF301" s="51">
        <v>2.0859136898103261E-3</v>
      </c>
      <c r="CG301" s="51">
        <v>2.0979889129191837E-3</v>
      </c>
      <c r="CH301" s="51">
        <v>2.1100641360280409E-3</v>
      </c>
      <c r="CI301" s="51">
        <v>2.1221393591368985E-3</v>
      </c>
      <c r="CJ301" s="51">
        <v>2.1342145822457557E-3</v>
      </c>
      <c r="CK301" s="51">
        <v>2.1462898053546129E-3</v>
      </c>
      <c r="CL301" s="51">
        <v>2.1583650284634701E-3</v>
      </c>
      <c r="CM301" s="51">
        <v>2.1704402515723277E-3</v>
      </c>
    </row>
    <row r="302" spans="1:91" s="50" customFormat="1" x14ac:dyDescent="0.25">
      <c r="A302" s="99" t="s">
        <v>1</v>
      </c>
      <c r="B302" s="4">
        <v>0</v>
      </c>
      <c r="C302" s="4">
        <v>0</v>
      </c>
      <c r="D302" s="4">
        <v>0</v>
      </c>
      <c r="E302" s="4">
        <v>0</v>
      </c>
      <c r="F302" s="4">
        <v>0</v>
      </c>
      <c r="G302" s="4">
        <v>0</v>
      </c>
      <c r="H302" s="4">
        <v>0</v>
      </c>
      <c r="I302" s="4">
        <v>0</v>
      </c>
      <c r="J302" s="4">
        <v>0</v>
      </c>
      <c r="K302" s="4">
        <v>0</v>
      </c>
      <c r="L302" s="4">
        <v>0</v>
      </c>
      <c r="M302" s="4">
        <v>0</v>
      </c>
      <c r="N302" s="4">
        <v>0</v>
      </c>
      <c r="O302" s="4">
        <v>0</v>
      </c>
      <c r="P302" s="4">
        <v>0</v>
      </c>
      <c r="Q302" s="4">
        <v>0</v>
      </c>
      <c r="R302" s="4">
        <v>0</v>
      </c>
      <c r="S302" s="4">
        <v>0</v>
      </c>
      <c r="T302" s="4">
        <v>0</v>
      </c>
      <c r="U302" s="4">
        <v>0</v>
      </c>
      <c r="V302" s="4">
        <v>0</v>
      </c>
      <c r="W302" s="4">
        <v>0</v>
      </c>
      <c r="X302" s="4">
        <v>0</v>
      </c>
      <c r="Y302" s="4">
        <v>0</v>
      </c>
      <c r="Z302" s="4">
        <v>0</v>
      </c>
      <c r="AA302" s="4">
        <v>0</v>
      </c>
      <c r="AB302" s="4">
        <v>0</v>
      </c>
      <c r="AC302" s="4">
        <v>0</v>
      </c>
      <c r="AD302" s="4">
        <v>0</v>
      </c>
      <c r="AE302" s="4">
        <v>0</v>
      </c>
      <c r="AF302" s="51">
        <v>1.6577549140049134E-3</v>
      </c>
      <c r="AG302" s="51">
        <v>1.6804361179361179E-3</v>
      </c>
      <c r="AH302" s="51">
        <v>1.7031173218673219E-3</v>
      </c>
      <c r="AI302" s="51">
        <v>1.7257985257985258E-3</v>
      </c>
      <c r="AJ302" s="51">
        <v>1.7484797297297294E-3</v>
      </c>
      <c r="AK302" s="51">
        <v>1.7711609336609332E-3</v>
      </c>
      <c r="AL302" s="51">
        <v>1.7938421375921377E-3</v>
      </c>
      <c r="AM302" s="51">
        <v>1.8165233415233415E-3</v>
      </c>
      <c r="AN302" s="51">
        <v>1.8392045454545453E-3</v>
      </c>
      <c r="AO302" s="51">
        <v>1.8618857493857496E-3</v>
      </c>
      <c r="AP302" s="51">
        <v>1.8845669533169532E-3</v>
      </c>
      <c r="AQ302" s="51">
        <v>1.9072481572481575E-3</v>
      </c>
      <c r="AR302" s="51">
        <v>1.9299293611793611E-3</v>
      </c>
      <c r="AS302" s="51">
        <v>1.9526105651105647E-3</v>
      </c>
      <c r="AT302" s="51">
        <v>1.9752917690417696E-3</v>
      </c>
      <c r="AU302" s="51">
        <v>1.9979729729729728E-3</v>
      </c>
      <c r="AV302" s="51">
        <v>2.0184735872235877E-3</v>
      </c>
      <c r="AW302" s="51">
        <v>2.0389742014742013E-3</v>
      </c>
      <c r="AX302" s="51">
        <v>2.0594748157248153E-3</v>
      </c>
      <c r="AY302" s="51">
        <v>2.0799754299754298E-3</v>
      </c>
      <c r="AZ302" s="51">
        <v>2.1004760442260443E-3</v>
      </c>
      <c r="BA302" s="51">
        <v>2.1209766584766587E-3</v>
      </c>
      <c r="BB302" s="51">
        <v>2.1414772727272723E-3</v>
      </c>
      <c r="BC302" s="51">
        <v>2.1619778869778868E-3</v>
      </c>
      <c r="BD302" s="51">
        <v>2.1824785012285013E-3</v>
      </c>
      <c r="BE302" s="51">
        <v>2.2029791154791153E-3</v>
      </c>
      <c r="BF302" s="51">
        <v>2.2234797297297293E-3</v>
      </c>
      <c r="BG302" s="51">
        <v>2.2439803439803438E-3</v>
      </c>
      <c r="BH302" s="51">
        <v>2.2644809582309583E-3</v>
      </c>
      <c r="BI302" s="51">
        <v>2.2849815724815723E-3</v>
      </c>
      <c r="BJ302" s="51">
        <v>2.3054821867321868E-3</v>
      </c>
      <c r="BK302" s="51">
        <v>2.3259828009828008E-3</v>
      </c>
      <c r="BL302" s="51">
        <v>2.3464834152334153E-3</v>
      </c>
      <c r="BM302" s="51">
        <v>2.3669840294840293E-3</v>
      </c>
      <c r="BN302" s="51">
        <v>2.3874846437346438E-3</v>
      </c>
      <c r="BO302" s="51">
        <v>2.4079852579852574E-3</v>
      </c>
      <c r="BP302" s="51">
        <v>2.4284858722358718E-3</v>
      </c>
      <c r="BQ302" s="51">
        <v>2.4489864864864859E-3</v>
      </c>
      <c r="BR302" s="51">
        <v>2.4694871007371003E-3</v>
      </c>
      <c r="BS302" s="51">
        <v>2.4899877149877148E-3</v>
      </c>
      <c r="BT302" s="51">
        <v>2.5104883292383293E-3</v>
      </c>
      <c r="BU302" s="51">
        <v>2.5309889434889433E-3</v>
      </c>
      <c r="BV302" s="51">
        <v>2.5514895577395573E-3</v>
      </c>
      <c r="BW302" s="51">
        <v>2.5719901719901722E-3</v>
      </c>
      <c r="BX302" s="51">
        <v>2.5924907862407863E-3</v>
      </c>
      <c r="BY302" s="51">
        <v>2.6129914004914007E-3</v>
      </c>
      <c r="BZ302" s="51">
        <v>2.6334920147420139E-3</v>
      </c>
      <c r="CA302" s="51">
        <v>2.6539926289926284E-3</v>
      </c>
      <c r="CB302" s="51">
        <v>2.6744932432432428E-3</v>
      </c>
      <c r="CC302" s="51">
        <v>2.6949938574938573E-3</v>
      </c>
      <c r="CD302" s="51">
        <v>2.7154944717444713E-3</v>
      </c>
      <c r="CE302" s="51">
        <v>2.7359950859950858E-3</v>
      </c>
      <c r="CF302" s="51">
        <v>2.7564957002457007E-3</v>
      </c>
      <c r="CG302" s="51">
        <v>2.7769963144963143E-3</v>
      </c>
      <c r="CH302" s="51">
        <v>2.7974969287469288E-3</v>
      </c>
      <c r="CI302" s="51">
        <v>2.8179975429975424E-3</v>
      </c>
      <c r="CJ302" s="51">
        <v>2.8384981572481573E-3</v>
      </c>
      <c r="CK302" s="51">
        <v>2.8589987714987713E-3</v>
      </c>
      <c r="CL302" s="51">
        <v>2.8794993857493853E-3</v>
      </c>
      <c r="CM302" s="51">
        <v>2.8999999999999998E-3</v>
      </c>
    </row>
    <row r="303" spans="1:91" s="50" customFormat="1" x14ac:dyDescent="0.25">
      <c r="A303" s="99" t="s">
        <v>1</v>
      </c>
      <c r="B303" s="4">
        <v>0</v>
      </c>
      <c r="C303" s="4">
        <v>0</v>
      </c>
      <c r="D303" s="4">
        <v>0</v>
      </c>
      <c r="E303" s="4">
        <v>0</v>
      </c>
      <c r="F303" s="4">
        <v>0</v>
      </c>
      <c r="G303" s="4">
        <v>0</v>
      </c>
      <c r="H303" s="4">
        <v>0</v>
      </c>
      <c r="I303" s="4">
        <v>0</v>
      </c>
      <c r="J303" s="4">
        <v>0</v>
      </c>
      <c r="K303" s="4">
        <v>0</v>
      </c>
      <c r="L303" s="4">
        <v>0</v>
      </c>
      <c r="M303" s="4">
        <v>0</v>
      </c>
      <c r="N303" s="4">
        <v>0</v>
      </c>
      <c r="O303" s="4">
        <v>0</v>
      </c>
      <c r="P303" s="4">
        <v>0</v>
      </c>
      <c r="Q303" s="4">
        <v>0</v>
      </c>
      <c r="R303" s="4">
        <v>0</v>
      </c>
      <c r="S303" s="4">
        <v>0</v>
      </c>
      <c r="T303" s="4">
        <v>0</v>
      </c>
      <c r="U303" s="4">
        <v>0</v>
      </c>
      <c r="V303" s="4">
        <v>0</v>
      </c>
      <c r="W303" s="4">
        <v>0</v>
      </c>
      <c r="X303" s="4">
        <v>0</v>
      </c>
      <c r="Y303" s="4">
        <v>0</v>
      </c>
      <c r="Z303" s="4">
        <v>0</v>
      </c>
      <c r="AA303" s="4">
        <v>0</v>
      </c>
      <c r="AB303" s="4">
        <v>0</v>
      </c>
      <c r="AC303" s="4">
        <v>0</v>
      </c>
      <c r="AD303" s="4">
        <v>0</v>
      </c>
      <c r="AE303" s="4">
        <v>0</v>
      </c>
      <c r="AF303" s="51">
        <v>6.1522727272727278E-2</v>
      </c>
      <c r="AG303" s="51">
        <v>6.1954545454545457E-2</v>
      </c>
      <c r="AH303" s="51">
        <v>6.2386363636363643E-2</v>
      </c>
      <c r="AI303" s="51">
        <v>6.2818181818181829E-2</v>
      </c>
      <c r="AJ303" s="51">
        <v>6.3250000000000001E-2</v>
      </c>
      <c r="AK303" s="51">
        <v>6.3681818181818187E-2</v>
      </c>
      <c r="AL303" s="51">
        <v>6.4113636363636373E-2</v>
      </c>
      <c r="AM303" s="51">
        <v>6.4545454545454545E-2</v>
      </c>
      <c r="AN303" s="51">
        <v>6.4977272727272731E-2</v>
      </c>
      <c r="AO303" s="51">
        <v>6.5409090909090917E-2</v>
      </c>
      <c r="AP303" s="51">
        <v>6.5840909090909089E-2</v>
      </c>
      <c r="AQ303" s="51">
        <v>6.6272727272727275E-2</v>
      </c>
      <c r="AR303" s="51">
        <v>6.6704545454545461E-2</v>
      </c>
      <c r="AS303" s="51">
        <v>6.7136363636363633E-2</v>
      </c>
      <c r="AT303" s="51">
        <v>6.7568181818181819E-2</v>
      </c>
      <c r="AU303" s="51">
        <v>6.8000000000000005E-2</v>
      </c>
      <c r="AV303" s="51">
        <v>6.881818181818182E-2</v>
      </c>
      <c r="AW303" s="51">
        <v>6.9636363636363635E-2</v>
      </c>
      <c r="AX303" s="51">
        <v>7.0454545454545464E-2</v>
      </c>
      <c r="AY303" s="51">
        <v>7.1272727272727279E-2</v>
      </c>
      <c r="AZ303" s="51">
        <v>7.2090909090909094E-2</v>
      </c>
      <c r="BA303" s="51">
        <v>7.290909090909091E-2</v>
      </c>
      <c r="BB303" s="51">
        <v>7.3727272727272725E-2</v>
      </c>
      <c r="BC303" s="51">
        <v>7.4545454545454554E-2</v>
      </c>
      <c r="BD303" s="51">
        <v>7.5363636363636369E-2</v>
      </c>
      <c r="BE303" s="51">
        <v>7.6181818181818184E-2</v>
      </c>
      <c r="BF303" s="51">
        <v>7.6999999999999999E-2</v>
      </c>
      <c r="BG303" s="51">
        <v>7.7818181818181814E-2</v>
      </c>
      <c r="BH303" s="51">
        <v>7.8636363636363643E-2</v>
      </c>
      <c r="BI303" s="51">
        <v>7.9454545454545458E-2</v>
      </c>
      <c r="BJ303" s="51">
        <v>8.0272727272727273E-2</v>
      </c>
      <c r="BK303" s="51">
        <v>8.1090909090909088E-2</v>
      </c>
      <c r="BL303" s="51">
        <v>8.1909090909090904E-2</v>
      </c>
      <c r="BM303" s="51">
        <v>8.2727272727272733E-2</v>
      </c>
      <c r="BN303" s="51">
        <v>8.3545454545454548E-2</v>
      </c>
      <c r="BO303" s="51">
        <v>8.4363636363636363E-2</v>
      </c>
      <c r="BP303" s="51">
        <v>8.5181818181818178E-2</v>
      </c>
      <c r="BQ303" s="51">
        <v>8.5999999999999993E-2</v>
      </c>
      <c r="BR303" s="51">
        <v>8.6818181818181822E-2</v>
      </c>
      <c r="BS303" s="51">
        <v>8.7636363636363637E-2</v>
      </c>
      <c r="BT303" s="51">
        <v>8.8454545454545452E-2</v>
      </c>
      <c r="BU303" s="51">
        <v>8.9272727272727267E-2</v>
      </c>
      <c r="BV303" s="51">
        <v>9.0090909090909083E-2</v>
      </c>
      <c r="BW303" s="51">
        <v>9.0909090909090912E-2</v>
      </c>
      <c r="BX303" s="51">
        <v>9.1727272727272727E-2</v>
      </c>
      <c r="BY303" s="51">
        <v>9.2545454545454542E-2</v>
      </c>
      <c r="BZ303" s="51">
        <v>9.3363636363636357E-2</v>
      </c>
      <c r="CA303" s="51">
        <v>9.4181818181818172E-2</v>
      </c>
      <c r="CB303" s="51">
        <v>9.5000000000000001E-2</v>
      </c>
      <c r="CC303" s="51">
        <v>9.5818181818181816E-2</v>
      </c>
      <c r="CD303" s="51">
        <v>9.6636363636363631E-2</v>
      </c>
      <c r="CE303" s="51">
        <v>9.7454545454545446E-2</v>
      </c>
      <c r="CF303" s="51">
        <v>9.8272727272727262E-2</v>
      </c>
      <c r="CG303" s="51">
        <v>9.9090909090909091E-2</v>
      </c>
      <c r="CH303" s="51">
        <v>9.9909090909090906E-2</v>
      </c>
      <c r="CI303" s="51">
        <v>0.10072727272727272</v>
      </c>
      <c r="CJ303" s="51">
        <v>0.10154545454545455</v>
      </c>
      <c r="CK303" s="51">
        <v>0.10236363636363635</v>
      </c>
      <c r="CL303" s="51">
        <v>0.10318181818181818</v>
      </c>
      <c r="CM303" s="51">
        <v>0.104</v>
      </c>
    </row>
    <row r="304" spans="1:91" s="50" customFormat="1" x14ac:dyDescent="0.25">
      <c r="A304" s="4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91" s="50" customFormat="1" x14ac:dyDescent="0.25">
      <c r="A305" s="99" t="s">
        <v>162</v>
      </c>
      <c r="B305" s="4">
        <v>0</v>
      </c>
      <c r="C305" s="4">
        <v>0</v>
      </c>
      <c r="D305" s="4">
        <v>0</v>
      </c>
      <c r="E305" s="4">
        <v>0</v>
      </c>
      <c r="F305" s="4">
        <v>0</v>
      </c>
      <c r="G305" s="4">
        <v>0</v>
      </c>
      <c r="H305" s="4">
        <v>0</v>
      </c>
      <c r="I305" s="4">
        <v>0</v>
      </c>
      <c r="J305" s="4">
        <v>0</v>
      </c>
      <c r="K305" s="4">
        <v>0</v>
      </c>
      <c r="L305" s="4">
        <v>0</v>
      </c>
      <c r="M305" s="4">
        <v>0</v>
      </c>
      <c r="N305" s="4">
        <v>0</v>
      </c>
      <c r="O305" s="4">
        <v>0</v>
      </c>
      <c r="P305" s="4">
        <v>0</v>
      </c>
      <c r="Q305" s="4">
        <v>0</v>
      </c>
      <c r="R305" s="4">
        <v>0</v>
      </c>
      <c r="S305" s="4">
        <v>0</v>
      </c>
      <c r="T305" s="4">
        <v>0</v>
      </c>
      <c r="U305" s="4">
        <v>0</v>
      </c>
      <c r="V305" s="4">
        <v>0</v>
      </c>
      <c r="W305" s="4">
        <v>0</v>
      </c>
      <c r="X305" s="4">
        <v>0</v>
      </c>
      <c r="Y305" s="4">
        <v>0</v>
      </c>
      <c r="Z305" s="4">
        <v>0</v>
      </c>
      <c r="AA305" s="4">
        <v>0</v>
      </c>
      <c r="AB305" s="4">
        <v>0</v>
      </c>
      <c r="AC305" s="4">
        <v>0</v>
      </c>
      <c r="AD305" s="4">
        <v>0</v>
      </c>
      <c r="AE305" s="4">
        <v>0</v>
      </c>
      <c r="AF305" s="51">
        <v>9.6590909090909095E-4</v>
      </c>
      <c r="AG305" s="51">
        <v>9.6818181818181823E-4</v>
      </c>
      <c r="AH305" s="51">
        <v>9.704545454545454E-4</v>
      </c>
      <c r="AI305" s="51">
        <v>9.7272727272727268E-4</v>
      </c>
      <c r="AJ305" s="51">
        <v>9.7499999999999996E-4</v>
      </c>
      <c r="AK305" s="51">
        <v>9.7727272727272723E-4</v>
      </c>
      <c r="AL305" s="51">
        <v>9.7954545454545451E-4</v>
      </c>
      <c r="AM305" s="51">
        <v>9.8181818181818179E-4</v>
      </c>
      <c r="AN305" s="51">
        <v>9.8409090909090907E-4</v>
      </c>
      <c r="AO305" s="51">
        <v>9.8636363636363635E-4</v>
      </c>
      <c r="AP305" s="51">
        <v>9.8863636363636363E-4</v>
      </c>
      <c r="AQ305" s="51">
        <v>9.9090909090909091E-4</v>
      </c>
      <c r="AR305" s="51">
        <v>9.9318181818181818E-4</v>
      </c>
      <c r="AS305" s="51">
        <v>9.9545454545454546E-4</v>
      </c>
      <c r="AT305" s="51">
        <v>9.9772727272727274E-4</v>
      </c>
      <c r="AU305" s="51">
        <v>1E-3</v>
      </c>
      <c r="AV305" s="51">
        <v>1.0363636363636365E-3</v>
      </c>
      <c r="AW305" s="51">
        <v>1.0727272727272727E-3</v>
      </c>
      <c r="AX305" s="51">
        <v>1.1090909090909092E-3</v>
      </c>
      <c r="AY305" s="51">
        <v>1.1454545454545454E-3</v>
      </c>
      <c r="AZ305" s="51">
        <v>1.1818181818181819E-3</v>
      </c>
      <c r="BA305" s="51">
        <v>1.2181818181818181E-3</v>
      </c>
      <c r="BB305" s="51">
        <v>1.2545454545454546E-3</v>
      </c>
      <c r="BC305" s="51">
        <v>1.2909090909090908E-3</v>
      </c>
      <c r="BD305" s="51">
        <v>1.3272727272727273E-3</v>
      </c>
      <c r="BE305" s="51">
        <v>1.3636363636363635E-3</v>
      </c>
      <c r="BF305" s="51">
        <v>1.4E-3</v>
      </c>
      <c r="BG305" s="51">
        <v>1.4363636363636362E-3</v>
      </c>
      <c r="BH305" s="51">
        <v>1.4727272727272727E-3</v>
      </c>
      <c r="BI305" s="51">
        <v>1.5090909090909091E-3</v>
      </c>
      <c r="BJ305" s="51">
        <v>1.5454545454545454E-3</v>
      </c>
      <c r="BK305" s="51">
        <v>1.5818181818181816E-3</v>
      </c>
      <c r="BL305" s="51">
        <v>1.6181818181818181E-3</v>
      </c>
      <c r="BM305" s="51">
        <v>1.6545454545454545E-3</v>
      </c>
      <c r="BN305" s="51">
        <v>1.6909090909090908E-3</v>
      </c>
      <c r="BO305" s="51">
        <v>1.727272727272727E-3</v>
      </c>
      <c r="BP305" s="51">
        <v>1.7636363636363635E-3</v>
      </c>
      <c r="BQ305" s="51">
        <v>1.8E-3</v>
      </c>
      <c r="BR305" s="51">
        <v>1.8363636363636362E-3</v>
      </c>
      <c r="BS305" s="51">
        <v>1.8727272727272727E-3</v>
      </c>
      <c r="BT305" s="51">
        <v>1.9090909090909089E-3</v>
      </c>
      <c r="BU305" s="51">
        <v>1.9454545454545454E-3</v>
      </c>
      <c r="BV305" s="51">
        <v>1.9818181818181818E-3</v>
      </c>
      <c r="BW305" s="51">
        <v>2.0181818181818183E-3</v>
      </c>
      <c r="BX305" s="51">
        <v>2.0545454545454543E-3</v>
      </c>
      <c r="BY305" s="51">
        <v>2.0909090909090908E-3</v>
      </c>
      <c r="BZ305" s="51">
        <v>2.1272727272727268E-3</v>
      </c>
      <c r="CA305" s="51">
        <v>2.1636363636363632E-3</v>
      </c>
      <c r="CB305" s="51">
        <v>2.1999999999999997E-3</v>
      </c>
      <c r="CC305" s="51">
        <v>2.2363636363636362E-3</v>
      </c>
      <c r="CD305" s="51">
        <v>2.2727272727272726E-3</v>
      </c>
      <c r="CE305" s="51">
        <v>2.3090909090909091E-3</v>
      </c>
      <c r="CF305" s="51">
        <v>2.3454545454545455E-3</v>
      </c>
      <c r="CG305" s="51">
        <v>2.3818181818181816E-3</v>
      </c>
      <c r="CH305" s="51">
        <v>2.418181818181818E-3</v>
      </c>
      <c r="CI305" s="51">
        <v>2.454545454545454E-3</v>
      </c>
      <c r="CJ305" s="51">
        <v>2.4909090909090905E-3</v>
      </c>
      <c r="CK305" s="51">
        <v>2.527272727272727E-3</v>
      </c>
      <c r="CL305" s="51">
        <v>2.5636363636363634E-3</v>
      </c>
      <c r="CM305" s="51">
        <v>2.5999999999999999E-3</v>
      </c>
    </row>
    <row r="306" spans="1:91" s="50" customFormat="1" x14ac:dyDescent="0.25">
      <c r="A306" s="9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91" s="50" customFormat="1" x14ac:dyDescent="0.25">
      <c r="A307" s="99" t="s">
        <v>395</v>
      </c>
      <c r="B307" s="4">
        <v>0</v>
      </c>
      <c r="C307" s="4">
        <v>0</v>
      </c>
      <c r="D307" s="4">
        <v>0</v>
      </c>
      <c r="E307" s="4">
        <v>0</v>
      </c>
      <c r="F307" s="4">
        <v>0</v>
      </c>
      <c r="G307" s="4">
        <v>0</v>
      </c>
      <c r="H307" s="4">
        <v>0</v>
      </c>
      <c r="I307" s="4">
        <v>0</v>
      </c>
      <c r="J307" s="4">
        <v>0</v>
      </c>
      <c r="K307" s="4">
        <v>0</v>
      </c>
      <c r="L307" s="4">
        <v>0</v>
      </c>
      <c r="M307" s="4">
        <v>0</v>
      </c>
      <c r="N307" s="4">
        <v>0</v>
      </c>
      <c r="O307" s="4">
        <v>0</v>
      </c>
      <c r="P307" s="4">
        <v>0</v>
      </c>
      <c r="Q307" s="4">
        <v>0</v>
      </c>
      <c r="R307" s="4">
        <v>0</v>
      </c>
      <c r="S307" s="4">
        <v>0</v>
      </c>
      <c r="T307" s="4">
        <v>0</v>
      </c>
      <c r="U307" s="4">
        <v>0</v>
      </c>
      <c r="V307" s="4">
        <v>0</v>
      </c>
      <c r="W307" s="4">
        <v>0</v>
      </c>
      <c r="X307" s="4">
        <v>0</v>
      </c>
      <c r="Y307" s="4">
        <v>0</v>
      </c>
      <c r="Z307" s="4">
        <v>0</v>
      </c>
      <c r="AA307" s="4">
        <v>0</v>
      </c>
      <c r="AB307" s="4">
        <v>0</v>
      </c>
      <c r="AC307" s="4">
        <v>0</v>
      </c>
      <c r="AD307" s="4">
        <v>0</v>
      </c>
      <c r="AE307" s="4">
        <v>0</v>
      </c>
      <c r="AF307" s="51">
        <v>9.6590909090909095E-4</v>
      </c>
      <c r="AG307" s="51">
        <v>9.6818181818181823E-4</v>
      </c>
      <c r="AH307" s="51">
        <v>9.704545454545454E-4</v>
      </c>
      <c r="AI307" s="51">
        <v>9.7272727272727268E-4</v>
      </c>
      <c r="AJ307" s="51">
        <v>9.7499999999999996E-4</v>
      </c>
      <c r="AK307" s="51">
        <v>9.7727272727272723E-4</v>
      </c>
      <c r="AL307" s="51">
        <v>9.7954545454545451E-4</v>
      </c>
      <c r="AM307" s="51">
        <v>9.8181818181818179E-4</v>
      </c>
      <c r="AN307" s="51">
        <v>9.8409090909090907E-4</v>
      </c>
      <c r="AO307" s="51">
        <v>9.8636363636363635E-4</v>
      </c>
      <c r="AP307" s="51">
        <v>9.8863636363636363E-4</v>
      </c>
      <c r="AQ307" s="51">
        <v>9.9090909090909091E-4</v>
      </c>
      <c r="AR307" s="51">
        <v>9.9318181818181818E-4</v>
      </c>
      <c r="AS307" s="51">
        <v>9.9545454545454546E-4</v>
      </c>
      <c r="AT307" s="51">
        <v>9.9772727272727274E-4</v>
      </c>
      <c r="AU307" s="51">
        <v>1E-3</v>
      </c>
      <c r="AV307" s="51">
        <v>1.0363636363636365E-3</v>
      </c>
      <c r="AW307" s="51">
        <v>1.0727272727272727E-3</v>
      </c>
      <c r="AX307" s="51">
        <v>1.1090909090909092E-3</v>
      </c>
      <c r="AY307" s="51">
        <v>1.1454545454545454E-3</v>
      </c>
      <c r="AZ307" s="51">
        <v>1.1818181818181819E-3</v>
      </c>
      <c r="BA307" s="51">
        <v>1.2181818181818181E-3</v>
      </c>
      <c r="BB307" s="51">
        <v>1.2545454545454546E-3</v>
      </c>
      <c r="BC307" s="51">
        <v>1.2909090909090908E-3</v>
      </c>
      <c r="BD307" s="51">
        <v>1.3272727272727273E-3</v>
      </c>
      <c r="BE307" s="51">
        <v>1.3636363636363635E-3</v>
      </c>
      <c r="BF307" s="51">
        <v>1.4E-3</v>
      </c>
      <c r="BG307" s="51">
        <v>1.4363636363636362E-3</v>
      </c>
      <c r="BH307" s="51">
        <v>1.4727272727272727E-3</v>
      </c>
      <c r="BI307" s="51">
        <v>1.5090909090909091E-3</v>
      </c>
      <c r="BJ307" s="51">
        <v>1.5454545454545454E-3</v>
      </c>
      <c r="BK307" s="51">
        <v>1.5818181818181816E-3</v>
      </c>
      <c r="BL307" s="51">
        <v>1.6181818181818181E-3</v>
      </c>
      <c r="BM307" s="51">
        <v>1.6545454545454545E-3</v>
      </c>
      <c r="BN307" s="51">
        <v>1.6909090909090908E-3</v>
      </c>
      <c r="BO307" s="51">
        <v>1.727272727272727E-3</v>
      </c>
      <c r="BP307" s="51">
        <v>1.7636363636363635E-3</v>
      </c>
      <c r="BQ307" s="51">
        <v>1.8E-3</v>
      </c>
      <c r="BR307" s="51">
        <v>1.8363636363636362E-3</v>
      </c>
      <c r="BS307" s="51">
        <v>1.8727272727272727E-3</v>
      </c>
      <c r="BT307" s="51">
        <v>1.9090909090909089E-3</v>
      </c>
      <c r="BU307" s="51">
        <v>1.9454545454545454E-3</v>
      </c>
      <c r="BV307" s="51">
        <v>1.9818181818181818E-3</v>
      </c>
      <c r="BW307" s="51">
        <v>2.0181818181818183E-3</v>
      </c>
      <c r="BX307" s="51">
        <v>2.0545454545454543E-3</v>
      </c>
      <c r="BY307" s="51">
        <v>2.0909090909090908E-3</v>
      </c>
      <c r="BZ307" s="51">
        <v>2.1272727272727268E-3</v>
      </c>
      <c r="CA307" s="51">
        <v>2.1636363636363632E-3</v>
      </c>
      <c r="CB307" s="51">
        <v>2.1999999999999997E-3</v>
      </c>
      <c r="CC307" s="51">
        <v>2.2363636363636362E-3</v>
      </c>
      <c r="CD307" s="51">
        <v>2.2727272727272726E-3</v>
      </c>
      <c r="CE307" s="51">
        <v>2.3090909090909091E-3</v>
      </c>
      <c r="CF307" s="51">
        <v>2.3454545454545455E-3</v>
      </c>
      <c r="CG307" s="51">
        <v>2.3818181818181816E-3</v>
      </c>
      <c r="CH307" s="51">
        <v>2.418181818181818E-3</v>
      </c>
      <c r="CI307" s="51">
        <v>2.454545454545454E-3</v>
      </c>
      <c r="CJ307" s="51">
        <v>2.4909090909090905E-3</v>
      </c>
      <c r="CK307" s="51">
        <v>2.527272727272727E-3</v>
      </c>
      <c r="CL307" s="51">
        <v>2.5636363636363634E-3</v>
      </c>
      <c r="CM307" s="51">
        <v>2.5999999999999999E-3</v>
      </c>
    </row>
    <row r="308" spans="1:91" s="50" customFormat="1" x14ac:dyDescent="0.25">
      <c r="A308" s="9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91" s="50" customFormat="1" x14ac:dyDescent="0.25">
      <c r="A309" s="99" t="s">
        <v>343</v>
      </c>
      <c r="B309" s="4">
        <v>0</v>
      </c>
      <c r="C309" s="4">
        <v>0</v>
      </c>
      <c r="D309" s="4">
        <v>0</v>
      </c>
      <c r="E309" s="4">
        <v>0</v>
      </c>
      <c r="F309" s="4">
        <v>0</v>
      </c>
      <c r="G309" s="4">
        <v>0</v>
      </c>
      <c r="H309" s="4">
        <v>0</v>
      </c>
      <c r="I309" s="4">
        <v>0</v>
      </c>
      <c r="J309" s="4">
        <v>0</v>
      </c>
      <c r="K309" s="4">
        <v>0</v>
      </c>
      <c r="L309" s="4">
        <v>0</v>
      </c>
      <c r="M309" s="4">
        <v>0</v>
      </c>
      <c r="N309" s="4">
        <v>0</v>
      </c>
      <c r="O309" s="4">
        <v>0</v>
      </c>
      <c r="P309" s="4">
        <v>0</v>
      </c>
      <c r="Q309" s="4">
        <v>0</v>
      </c>
      <c r="R309" s="4">
        <v>0</v>
      </c>
      <c r="S309" s="4">
        <v>0</v>
      </c>
      <c r="T309" s="4">
        <v>0</v>
      </c>
      <c r="U309" s="4">
        <v>0</v>
      </c>
      <c r="V309" s="4">
        <v>0</v>
      </c>
      <c r="W309" s="4">
        <v>0</v>
      </c>
      <c r="X309" s="4">
        <v>0</v>
      </c>
      <c r="Y309" s="4">
        <v>0</v>
      </c>
      <c r="Z309" s="4">
        <v>0</v>
      </c>
      <c r="AA309" s="4">
        <v>0</v>
      </c>
      <c r="AB309" s="4">
        <v>0</v>
      </c>
      <c r="AC309" s="4">
        <v>0</v>
      </c>
      <c r="AD309" s="4">
        <v>0</v>
      </c>
      <c r="AE309" s="4">
        <v>0</v>
      </c>
      <c r="AF309" s="51">
        <v>8.6618671127481966E-4</v>
      </c>
      <c r="AG309" s="51">
        <v>8.7332065560907562E-4</v>
      </c>
      <c r="AH309" s="51">
        <v>8.8045459994333169E-4</v>
      </c>
      <c r="AI309" s="51">
        <v>8.8758854427758765E-4</v>
      </c>
      <c r="AJ309" s="51">
        <v>8.9472248861184372E-4</v>
      </c>
      <c r="AK309" s="51">
        <v>9.0185643294609969E-4</v>
      </c>
      <c r="AL309" s="51">
        <v>9.0899037728035576E-4</v>
      </c>
      <c r="AM309" s="51">
        <v>9.1612432161461172E-4</v>
      </c>
      <c r="AN309" s="51">
        <v>9.2325826594886768E-4</v>
      </c>
      <c r="AO309" s="51">
        <v>9.3039221028312375E-4</v>
      </c>
      <c r="AP309" s="51">
        <v>9.3752615461737982E-4</v>
      </c>
      <c r="AQ309" s="51">
        <v>9.4466009895163578E-4</v>
      </c>
      <c r="AR309" s="51">
        <v>9.5179404328589175E-4</v>
      </c>
      <c r="AS309" s="51">
        <v>9.5892798762014782E-4</v>
      </c>
      <c r="AT309" s="51">
        <v>9.6606193195440389E-4</v>
      </c>
      <c r="AU309" s="51">
        <v>9.7319587628865985E-4</v>
      </c>
      <c r="AV309" s="51">
        <v>9.9072164948453621E-4</v>
      </c>
      <c r="AW309" s="51">
        <v>1.0082474226804125E-3</v>
      </c>
      <c r="AX309" s="51">
        <v>1.0257731958762887E-3</v>
      </c>
      <c r="AY309" s="51">
        <v>1.043298969072165E-3</v>
      </c>
      <c r="AZ309" s="51">
        <v>1.0608247422680412E-3</v>
      </c>
      <c r="BA309" s="51">
        <v>1.0783505154639175E-3</v>
      </c>
      <c r="BB309" s="51">
        <v>1.095876288659794E-3</v>
      </c>
      <c r="BC309" s="51">
        <v>1.1134020618556702E-3</v>
      </c>
      <c r="BD309" s="51">
        <v>1.1309278350515465E-3</v>
      </c>
      <c r="BE309" s="51">
        <v>1.1484536082474227E-3</v>
      </c>
      <c r="BF309" s="51">
        <v>1.165979381443299E-3</v>
      </c>
      <c r="BG309" s="51">
        <v>1.1835051546391752E-3</v>
      </c>
      <c r="BH309" s="51">
        <v>1.2010309278350515E-3</v>
      </c>
      <c r="BI309" s="51">
        <v>1.2185567010309277E-3</v>
      </c>
      <c r="BJ309" s="51">
        <v>1.236082474226804E-3</v>
      </c>
      <c r="BK309" s="51">
        <v>1.2536082474226805E-3</v>
      </c>
      <c r="BL309" s="51">
        <v>1.2711340206185567E-3</v>
      </c>
      <c r="BM309" s="51">
        <v>1.288659793814433E-3</v>
      </c>
      <c r="BN309" s="51">
        <v>1.3061855670103092E-3</v>
      </c>
      <c r="BO309" s="51">
        <v>1.3237113402061855E-3</v>
      </c>
      <c r="BP309" s="51">
        <v>1.3412371134020619E-3</v>
      </c>
      <c r="BQ309" s="51">
        <v>1.3587628865979382E-3</v>
      </c>
      <c r="BR309" s="51">
        <v>1.3762886597938145E-3</v>
      </c>
      <c r="BS309" s="51">
        <v>1.3938144329896907E-3</v>
      </c>
      <c r="BT309" s="51">
        <v>1.411340206185567E-3</v>
      </c>
      <c r="BU309" s="51">
        <v>1.4288659793814432E-3</v>
      </c>
      <c r="BV309" s="51">
        <v>1.4463917525773195E-3</v>
      </c>
      <c r="BW309" s="51">
        <v>1.4639175257731957E-3</v>
      </c>
      <c r="BX309" s="51">
        <v>1.481443298969072E-3</v>
      </c>
      <c r="BY309" s="51">
        <v>1.4989690721649482E-3</v>
      </c>
      <c r="BZ309" s="51">
        <v>1.5164948453608247E-3</v>
      </c>
      <c r="CA309" s="51">
        <v>1.534020618556701E-3</v>
      </c>
      <c r="CB309" s="51">
        <v>1.5515463917525772E-3</v>
      </c>
      <c r="CC309" s="51">
        <v>1.5690721649484537E-3</v>
      </c>
      <c r="CD309" s="51">
        <v>1.5865979381443299E-3</v>
      </c>
      <c r="CE309" s="51">
        <v>1.6041237113402062E-3</v>
      </c>
      <c r="CF309" s="51">
        <v>1.6216494845360824E-3</v>
      </c>
      <c r="CG309" s="51">
        <v>1.6391752577319587E-3</v>
      </c>
      <c r="CH309" s="51">
        <v>1.656701030927835E-3</v>
      </c>
      <c r="CI309" s="51">
        <v>1.6742268041237112E-3</v>
      </c>
      <c r="CJ309" s="51">
        <v>1.6917525773195875E-3</v>
      </c>
      <c r="CK309" s="51">
        <v>1.7092783505154637E-3</v>
      </c>
      <c r="CL309" s="51">
        <v>1.72680412371134E-3</v>
      </c>
      <c r="CM309" s="51">
        <v>1.7443298969072164E-3</v>
      </c>
    </row>
    <row r="310" spans="1:91" s="50" customFormat="1" x14ac:dyDescent="0.25">
      <c r="A310" s="4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91" s="50" customFormat="1" x14ac:dyDescent="0.25">
      <c r="A311" s="99" t="s">
        <v>362</v>
      </c>
      <c r="B311" s="4">
        <v>0</v>
      </c>
      <c r="C311" s="4">
        <v>0</v>
      </c>
      <c r="D311" s="4">
        <v>0</v>
      </c>
      <c r="E311" s="4">
        <v>0</v>
      </c>
      <c r="F311" s="4">
        <v>0</v>
      </c>
      <c r="G311" s="4">
        <v>0</v>
      </c>
      <c r="H311" s="4">
        <v>0</v>
      </c>
      <c r="I311" s="4">
        <v>0</v>
      </c>
      <c r="J311" s="4">
        <v>0</v>
      </c>
      <c r="K311" s="4">
        <v>0</v>
      </c>
      <c r="L311" s="4">
        <v>0</v>
      </c>
      <c r="M311" s="4">
        <v>0</v>
      </c>
      <c r="N311" s="4">
        <v>0</v>
      </c>
      <c r="O311" s="4">
        <v>0</v>
      </c>
      <c r="P311" s="4">
        <v>0</v>
      </c>
      <c r="Q311" s="4">
        <v>0</v>
      </c>
      <c r="R311" s="4">
        <v>0</v>
      </c>
      <c r="S311" s="4">
        <v>0</v>
      </c>
      <c r="T311" s="4">
        <v>0</v>
      </c>
      <c r="U311" s="4">
        <v>0</v>
      </c>
      <c r="V311" s="4">
        <v>0</v>
      </c>
      <c r="W311" s="4">
        <v>0</v>
      </c>
      <c r="X311" s="4">
        <v>0</v>
      </c>
      <c r="Y311" s="4">
        <v>0</v>
      </c>
      <c r="Z311" s="4">
        <v>0</v>
      </c>
      <c r="AA311" s="4">
        <v>0</v>
      </c>
      <c r="AB311" s="4">
        <v>0</v>
      </c>
      <c r="AC311" s="4">
        <v>0</v>
      </c>
      <c r="AD311" s="4">
        <v>0</v>
      </c>
      <c r="AE311" s="4">
        <v>0</v>
      </c>
      <c r="AF311" s="51">
        <v>8.6618671127481966E-4</v>
      </c>
      <c r="AG311" s="51">
        <v>8.7332065560907562E-4</v>
      </c>
      <c r="AH311" s="51">
        <v>8.8045459994333169E-4</v>
      </c>
      <c r="AI311" s="51">
        <v>8.8758854427758765E-4</v>
      </c>
      <c r="AJ311" s="51">
        <v>8.9472248861184372E-4</v>
      </c>
      <c r="AK311" s="51">
        <v>9.0185643294609969E-4</v>
      </c>
      <c r="AL311" s="51">
        <v>9.0899037728035576E-4</v>
      </c>
      <c r="AM311" s="51">
        <v>9.1612432161461172E-4</v>
      </c>
      <c r="AN311" s="51">
        <v>9.2325826594886768E-4</v>
      </c>
      <c r="AO311" s="51">
        <v>9.3039221028312375E-4</v>
      </c>
      <c r="AP311" s="51">
        <v>9.3752615461737982E-4</v>
      </c>
      <c r="AQ311" s="51">
        <v>9.4466009895163578E-4</v>
      </c>
      <c r="AR311" s="51">
        <v>9.5179404328589175E-4</v>
      </c>
      <c r="AS311" s="51">
        <v>9.5892798762014782E-4</v>
      </c>
      <c r="AT311" s="51">
        <v>9.6606193195440389E-4</v>
      </c>
      <c r="AU311" s="51">
        <v>9.7319587628865985E-4</v>
      </c>
      <c r="AV311" s="51">
        <v>9.9072164948453621E-4</v>
      </c>
      <c r="AW311" s="51">
        <v>1.0082474226804125E-3</v>
      </c>
      <c r="AX311" s="51">
        <v>1.0257731958762887E-3</v>
      </c>
      <c r="AY311" s="51">
        <v>1.043298969072165E-3</v>
      </c>
      <c r="AZ311" s="51">
        <v>1.0608247422680412E-3</v>
      </c>
      <c r="BA311" s="51">
        <v>1.0783505154639175E-3</v>
      </c>
      <c r="BB311" s="51">
        <v>1.095876288659794E-3</v>
      </c>
      <c r="BC311" s="51">
        <v>1.1134020618556702E-3</v>
      </c>
      <c r="BD311" s="51">
        <v>1.1309278350515465E-3</v>
      </c>
      <c r="BE311" s="51">
        <v>1.1484536082474227E-3</v>
      </c>
      <c r="BF311" s="51">
        <v>1.165979381443299E-3</v>
      </c>
      <c r="BG311" s="51">
        <v>1.1835051546391752E-3</v>
      </c>
      <c r="BH311" s="51">
        <v>1.2010309278350515E-3</v>
      </c>
      <c r="BI311" s="51">
        <v>1.2185567010309277E-3</v>
      </c>
      <c r="BJ311" s="51">
        <v>1.236082474226804E-3</v>
      </c>
      <c r="BK311" s="51">
        <v>1.2536082474226805E-3</v>
      </c>
      <c r="BL311" s="51">
        <v>1.2711340206185567E-3</v>
      </c>
      <c r="BM311" s="51">
        <v>1.288659793814433E-3</v>
      </c>
      <c r="BN311" s="51">
        <v>1.3061855670103092E-3</v>
      </c>
      <c r="BO311" s="51">
        <v>1.3237113402061855E-3</v>
      </c>
      <c r="BP311" s="51">
        <v>1.3412371134020619E-3</v>
      </c>
      <c r="BQ311" s="51">
        <v>1.3587628865979382E-3</v>
      </c>
      <c r="BR311" s="51">
        <v>1.3762886597938145E-3</v>
      </c>
      <c r="BS311" s="51">
        <v>1.3938144329896907E-3</v>
      </c>
      <c r="BT311" s="51">
        <v>1.411340206185567E-3</v>
      </c>
      <c r="BU311" s="51">
        <v>1.4288659793814432E-3</v>
      </c>
      <c r="BV311" s="51">
        <v>1.4463917525773195E-3</v>
      </c>
      <c r="BW311" s="51">
        <v>1.4639175257731957E-3</v>
      </c>
      <c r="BX311" s="51">
        <v>1.481443298969072E-3</v>
      </c>
      <c r="BY311" s="51">
        <v>1.4989690721649482E-3</v>
      </c>
      <c r="BZ311" s="51">
        <v>1.5164948453608247E-3</v>
      </c>
      <c r="CA311" s="51">
        <v>1.534020618556701E-3</v>
      </c>
      <c r="CB311" s="51">
        <v>1.5515463917525772E-3</v>
      </c>
      <c r="CC311" s="51">
        <v>1.5690721649484537E-3</v>
      </c>
      <c r="CD311" s="51">
        <v>1.5865979381443299E-3</v>
      </c>
      <c r="CE311" s="51">
        <v>1.6041237113402062E-3</v>
      </c>
      <c r="CF311" s="51">
        <v>1.6216494845360824E-3</v>
      </c>
      <c r="CG311" s="51">
        <v>1.6391752577319587E-3</v>
      </c>
      <c r="CH311" s="51">
        <v>1.656701030927835E-3</v>
      </c>
      <c r="CI311" s="51">
        <v>1.6742268041237112E-3</v>
      </c>
      <c r="CJ311" s="51">
        <v>1.6917525773195875E-3</v>
      </c>
      <c r="CK311" s="51">
        <v>1.7092783505154637E-3</v>
      </c>
      <c r="CL311" s="51">
        <v>1.72680412371134E-3</v>
      </c>
      <c r="CM311" s="51">
        <v>1.7443298969072164E-3</v>
      </c>
    </row>
    <row r="312" spans="1:91" s="50" customFormat="1" x14ac:dyDescent="0.25">
      <c r="A312" s="4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91" s="50" customFormat="1" x14ac:dyDescent="0.25">
      <c r="A313" s="99" t="s">
        <v>163</v>
      </c>
      <c r="B313" s="4">
        <v>0</v>
      </c>
      <c r="C313" s="4">
        <v>0</v>
      </c>
      <c r="D313" s="4">
        <v>0</v>
      </c>
      <c r="E313" s="4">
        <v>0</v>
      </c>
      <c r="F313" s="4">
        <v>0</v>
      </c>
      <c r="G313" s="4">
        <v>0</v>
      </c>
      <c r="H313" s="4">
        <v>0</v>
      </c>
      <c r="I313" s="4">
        <v>0</v>
      </c>
      <c r="J313" s="4">
        <v>0</v>
      </c>
      <c r="K313" s="4">
        <v>0</v>
      </c>
      <c r="L313" s="4">
        <v>0</v>
      </c>
      <c r="M313" s="4">
        <v>0</v>
      </c>
      <c r="N313" s="4">
        <v>0</v>
      </c>
      <c r="O313" s="4">
        <v>0</v>
      </c>
      <c r="P313" s="4">
        <v>0</v>
      </c>
      <c r="Q313" s="4">
        <v>0</v>
      </c>
      <c r="R313" s="4">
        <v>0</v>
      </c>
      <c r="S313" s="4">
        <v>0</v>
      </c>
      <c r="T313" s="4">
        <v>0</v>
      </c>
      <c r="U313" s="4">
        <v>0</v>
      </c>
      <c r="V313" s="4">
        <v>0</v>
      </c>
      <c r="W313" s="4">
        <v>0</v>
      </c>
      <c r="X313" s="4">
        <v>0</v>
      </c>
      <c r="Y313" s="4">
        <v>0</v>
      </c>
      <c r="Z313" s="4">
        <v>0</v>
      </c>
      <c r="AA313" s="4">
        <v>0</v>
      </c>
      <c r="AB313" s="4">
        <v>0</v>
      </c>
      <c r="AC313" s="4">
        <v>0</v>
      </c>
      <c r="AD313" s="4">
        <v>0</v>
      </c>
      <c r="AE313" s="4">
        <v>0</v>
      </c>
      <c r="AF313" s="51">
        <v>5.0675000000000008E-3</v>
      </c>
      <c r="AG313" s="51">
        <v>5.1450000000000003E-3</v>
      </c>
      <c r="AH313" s="51">
        <v>5.2225000000000006E-3</v>
      </c>
      <c r="AI313" s="51">
        <v>5.3000000000000009E-3</v>
      </c>
      <c r="AJ313" s="51">
        <v>5.3775000000000003E-3</v>
      </c>
      <c r="AK313" s="51">
        <v>5.4550000000000006E-3</v>
      </c>
      <c r="AL313" s="51">
        <v>5.532500000000001E-3</v>
      </c>
      <c r="AM313" s="51">
        <v>5.6100000000000004E-3</v>
      </c>
      <c r="AN313" s="51">
        <v>5.6874999999999998E-3</v>
      </c>
      <c r="AO313" s="51">
        <v>5.765000000000001E-3</v>
      </c>
      <c r="AP313" s="51">
        <v>5.8425000000000005E-3</v>
      </c>
      <c r="AQ313" s="51">
        <v>5.9199999999999999E-3</v>
      </c>
      <c r="AR313" s="51">
        <v>5.9975000000000011E-3</v>
      </c>
      <c r="AS313" s="51">
        <v>6.0750000000000005E-3</v>
      </c>
      <c r="AT313" s="51">
        <v>6.1525E-3</v>
      </c>
      <c r="AU313" s="51">
        <v>6.2300000000000003E-3</v>
      </c>
      <c r="AV313" s="51">
        <v>6.2575E-3</v>
      </c>
      <c r="AW313" s="51">
        <v>6.2850000000000007E-3</v>
      </c>
      <c r="AX313" s="51">
        <v>6.3125000000000004E-3</v>
      </c>
      <c r="AY313" s="51">
        <v>6.3400000000000001E-3</v>
      </c>
      <c r="AZ313" s="51">
        <v>6.3674999999999999E-3</v>
      </c>
      <c r="BA313" s="51">
        <v>6.3950000000000005E-3</v>
      </c>
      <c r="BB313" s="51">
        <v>6.4225000000000003E-3</v>
      </c>
      <c r="BC313" s="51">
        <v>6.45E-3</v>
      </c>
      <c r="BD313" s="51">
        <v>6.4774999999999998E-3</v>
      </c>
      <c r="BE313" s="51">
        <v>6.5050000000000004E-3</v>
      </c>
      <c r="BF313" s="51">
        <v>6.5325000000000001E-3</v>
      </c>
      <c r="BG313" s="51">
        <v>6.5599999999999999E-3</v>
      </c>
      <c r="BH313" s="51">
        <v>6.5875000000000005E-3</v>
      </c>
      <c r="BI313" s="51">
        <v>6.6150000000000002E-3</v>
      </c>
      <c r="BJ313" s="51">
        <v>6.6425E-3</v>
      </c>
      <c r="BK313" s="51">
        <v>6.6699999999999997E-3</v>
      </c>
      <c r="BL313" s="51">
        <v>6.6975000000000003E-3</v>
      </c>
      <c r="BM313" s="51">
        <v>6.7250000000000001E-3</v>
      </c>
      <c r="BN313" s="51">
        <v>6.7524999999999998E-3</v>
      </c>
      <c r="BO313" s="51">
        <v>6.7799999999999996E-3</v>
      </c>
      <c r="BP313" s="51">
        <v>6.8075000000000002E-3</v>
      </c>
      <c r="BQ313" s="51">
        <v>6.8349999999999999E-3</v>
      </c>
      <c r="BR313" s="51">
        <v>6.8624999999999997E-3</v>
      </c>
      <c r="BS313" s="51">
        <v>6.8900000000000003E-3</v>
      </c>
      <c r="BT313" s="51">
        <v>6.9175E-3</v>
      </c>
      <c r="BU313" s="51">
        <v>6.9449999999999998E-3</v>
      </c>
      <c r="BV313" s="51">
        <v>6.9724999999999995E-3</v>
      </c>
      <c r="BW313" s="51">
        <v>7.0000000000000001E-3</v>
      </c>
      <c r="BX313" s="51">
        <v>7.0274999999999999E-3</v>
      </c>
      <c r="BY313" s="51">
        <v>7.0549999999999996E-3</v>
      </c>
      <c r="BZ313" s="51">
        <v>7.0825000000000003E-3</v>
      </c>
      <c r="CA313" s="51">
        <v>7.11E-3</v>
      </c>
      <c r="CB313" s="51">
        <v>7.1374999999999997E-3</v>
      </c>
      <c r="CC313" s="51">
        <v>7.1649999999999995E-3</v>
      </c>
      <c r="CD313" s="51">
        <v>7.1925000000000001E-3</v>
      </c>
      <c r="CE313" s="51">
        <v>7.2199999999999999E-3</v>
      </c>
      <c r="CF313" s="51">
        <v>7.2474999999999996E-3</v>
      </c>
      <c r="CG313" s="51">
        <v>7.2750000000000002E-3</v>
      </c>
      <c r="CH313" s="51">
        <v>7.3025E-3</v>
      </c>
      <c r="CI313" s="51">
        <v>7.3299999999999997E-3</v>
      </c>
      <c r="CJ313" s="51">
        <v>7.3574999999999995E-3</v>
      </c>
      <c r="CK313" s="51">
        <v>7.3849999999999992E-3</v>
      </c>
      <c r="CL313" s="51">
        <v>7.4124999999999998E-3</v>
      </c>
      <c r="CM313" s="51">
        <v>7.4399999999999996E-3</v>
      </c>
    </row>
    <row r="314" spans="1:91" s="50" customFormat="1" x14ac:dyDescent="0.25">
      <c r="A314" s="99" t="s">
        <v>1</v>
      </c>
      <c r="B314" s="4">
        <v>0</v>
      </c>
      <c r="C314" s="4">
        <v>0</v>
      </c>
      <c r="D314" s="4">
        <v>0</v>
      </c>
      <c r="E314" s="4">
        <v>0</v>
      </c>
      <c r="F314" s="4">
        <v>0</v>
      </c>
      <c r="G314" s="4">
        <v>0</v>
      </c>
      <c r="H314" s="4">
        <v>0</v>
      </c>
      <c r="I314" s="4">
        <v>0</v>
      </c>
      <c r="J314" s="4">
        <v>0</v>
      </c>
      <c r="K314" s="4">
        <v>0</v>
      </c>
      <c r="L314" s="4">
        <v>0</v>
      </c>
      <c r="M314" s="4">
        <v>0</v>
      </c>
      <c r="N314" s="4">
        <v>0</v>
      </c>
      <c r="O314" s="4">
        <v>0</v>
      </c>
      <c r="P314" s="4">
        <v>0</v>
      </c>
      <c r="Q314" s="4">
        <v>0</v>
      </c>
      <c r="R314" s="4">
        <v>0</v>
      </c>
      <c r="S314" s="4">
        <v>0</v>
      </c>
      <c r="T314" s="4">
        <v>0</v>
      </c>
      <c r="U314" s="4">
        <v>0</v>
      </c>
      <c r="V314" s="4">
        <v>0</v>
      </c>
      <c r="W314" s="4">
        <v>0</v>
      </c>
      <c r="X314" s="4">
        <v>0</v>
      </c>
      <c r="Y314" s="4">
        <v>0</v>
      </c>
      <c r="Z314" s="4">
        <v>0</v>
      </c>
      <c r="AA314" s="4">
        <v>0</v>
      </c>
      <c r="AB314" s="4">
        <v>0</v>
      </c>
      <c r="AC314" s="4">
        <v>0</v>
      </c>
      <c r="AD314" s="4">
        <v>0</v>
      </c>
      <c r="AE314" s="4">
        <v>0</v>
      </c>
      <c r="AF314" s="51">
        <v>2.3129545454545456E-3</v>
      </c>
      <c r="AG314" s="51">
        <v>2.3440909090909094E-3</v>
      </c>
      <c r="AH314" s="51">
        <v>2.3752272727272728E-3</v>
      </c>
      <c r="AI314" s="51">
        <v>2.4063636363636366E-3</v>
      </c>
      <c r="AJ314" s="51">
        <v>2.4375000000000004E-3</v>
      </c>
      <c r="AK314" s="51">
        <v>2.4686363636363638E-3</v>
      </c>
      <c r="AL314" s="51">
        <v>2.4997727272727276E-3</v>
      </c>
      <c r="AM314" s="51">
        <v>2.5309090909090915E-3</v>
      </c>
      <c r="AN314" s="51">
        <v>2.5620454545454549E-3</v>
      </c>
      <c r="AO314" s="51">
        <v>2.5931818181818183E-3</v>
      </c>
      <c r="AP314" s="51">
        <v>2.6243181818181821E-3</v>
      </c>
      <c r="AQ314" s="51">
        <v>2.6554545454545459E-3</v>
      </c>
      <c r="AR314" s="51">
        <v>2.6865909090909093E-3</v>
      </c>
      <c r="AS314" s="51">
        <v>2.7177272727272731E-3</v>
      </c>
      <c r="AT314" s="51">
        <v>2.748863636363637E-3</v>
      </c>
      <c r="AU314" s="51">
        <v>2.7800000000000004E-3</v>
      </c>
      <c r="AV314" s="51">
        <v>2.7993181818181823E-3</v>
      </c>
      <c r="AW314" s="51">
        <v>2.8186363636363639E-3</v>
      </c>
      <c r="AX314" s="51">
        <v>2.8379545454545459E-3</v>
      </c>
      <c r="AY314" s="51">
        <v>2.8572727272727274E-3</v>
      </c>
      <c r="AZ314" s="51">
        <v>2.8765909090909094E-3</v>
      </c>
      <c r="BA314" s="51">
        <v>2.8959090909090913E-3</v>
      </c>
      <c r="BB314" s="51">
        <v>2.9152272727272729E-3</v>
      </c>
      <c r="BC314" s="51">
        <v>2.9345454545454549E-3</v>
      </c>
      <c r="BD314" s="51">
        <v>2.9538636363636368E-3</v>
      </c>
      <c r="BE314" s="51">
        <v>2.9731818181818184E-3</v>
      </c>
      <c r="BF314" s="51">
        <v>2.9925000000000004E-3</v>
      </c>
      <c r="BG314" s="51">
        <v>3.0118181818181819E-3</v>
      </c>
      <c r="BH314" s="51">
        <v>3.0311363636363639E-3</v>
      </c>
      <c r="BI314" s="51">
        <v>3.0504545454545459E-3</v>
      </c>
      <c r="BJ314" s="51">
        <v>3.0697727272727274E-3</v>
      </c>
      <c r="BK314" s="51">
        <v>3.0890909090909094E-3</v>
      </c>
      <c r="BL314" s="51">
        <v>3.1084090909090914E-3</v>
      </c>
      <c r="BM314" s="51">
        <v>3.1277272727272729E-3</v>
      </c>
      <c r="BN314" s="51">
        <v>3.1470454545454549E-3</v>
      </c>
      <c r="BO314" s="51">
        <v>3.1663636363636364E-3</v>
      </c>
      <c r="BP314" s="51">
        <v>3.1856818181818184E-3</v>
      </c>
      <c r="BQ314" s="51">
        <v>3.2050000000000004E-3</v>
      </c>
      <c r="BR314" s="51">
        <v>3.2243181818181819E-3</v>
      </c>
      <c r="BS314" s="51">
        <v>3.2436363636363639E-3</v>
      </c>
      <c r="BT314" s="51">
        <v>3.2629545454545454E-3</v>
      </c>
      <c r="BU314" s="51">
        <v>3.2822727272727274E-3</v>
      </c>
      <c r="BV314" s="51">
        <v>3.3015909090909094E-3</v>
      </c>
      <c r="BW314" s="51">
        <v>3.3209090909090909E-3</v>
      </c>
      <c r="BX314" s="51">
        <v>3.3402272727272729E-3</v>
      </c>
      <c r="BY314" s="51">
        <v>3.3595454545454545E-3</v>
      </c>
      <c r="BZ314" s="51">
        <v>3.3788636363636364E-3</v>
      </c>
      <c r="CA314" s="51">
        <v>3.3981818181818184E-3</v>
      </c>
      <c r="CB314" s="51">
        <v>3.4175E-3</v>
      </c>
      <c r="CC314" s="51">
        <v>3.4368181818181819E-3</v>
      </c>
      <c r="CD314" s="51">
        <v>3.4561363636363635E-3</v>
      </c>
      <c r="CE314" s="51">
        <v>3.4754545454545455E-3</v>
      </c>
      <c r="CF314" s="51">
        <v>3.4947727272727274E-3</v>
      </c>
      <c r="CG314" s="51">
        <v>3.5140909090909094E-3</v>
      </c>
      <c r="CH314" s="51">
        <v>3.533409090909091E-3</v>
      </c>
      <c r="CI314" s="51">
        <v>3.5527272727272729E-3</v>
      </c>
      <c r="CJ314" s="51">
        <v>3.5720454545454545E-3</v>
      </c>
      <c r="CK314" s="51">
        <v>3.5913636363636365E-3</v>
      </c>
      <c r="CL314" s="51">
        <v>3.6106818181818184E-3</v>
      </c>
      <c r="CM314" s="51">
        <v>3.63E-3</v>
      </c>
    </row>
    <row r="315" spans="1:91" s="50" customFormat="1" x14ac:dyDescent="0.25">
      <c r="A315" s="99" t="s">
        <v>1</v>
      </c>
      <c r="B315" s="4">
        <v>0</v>
      </c>
      <c r="C315" s="4">
        <v>0</v>
      </c>
      <c r="D315" s="4">
        <v>0</v>
      </c>
      <c r="E315" s="4">
        <v>0</v>
      </c>
      <c r="F315" s="4">
        <v>0</v>
      </c>
      <c r="G315" s="4">
        <v>0</v>
      </c>
      <c r="H315" s="4">
        <v>0</v>
      </c>
      <c r="I315" s="4">
        <v>0</v>
      </c>
      <c r="J315" s="4">
        <v>0</v>
      </c>
      <c r="K315" s="4">
        <v>0</v>
      </c>
      <c r="L315" s="4">
        <v>0</v>
      </c>
      <c r="M315" s="4">
        <v>0</v>
      </c>
      <c r="N315" s="4">
        <v>0</v>
      </c>
      <c r="O315" s="4">
        <v>0</v>
      </c>
      <c r="P315" s="4">
        <v>0</v>
      </c>
      <c r="Q315" s="4">
        <v>0</v>
      </c>
      <c r="R315" s="4">
        <v>0</v>
      </c>
      <c r="S315" s="4">
        <v>0</v>
      </c>
      <c r="T315" s="4">
        <v>0</v>
      </c>
      <c r="U315" s="4">
        <v>0</v>
      </c>
      <c r="V315" s="4">
        <v>0</v>
      </c>
      <c r="W315" s="4">
        <v>0</v>
      </c>
      <c r="X315" s="4">
        <v>0</v>
      </c>
      <c r="Y315" s="4">
        <v>0</v>
      </c>
      <c r="Z315" s="4">
        <v>0</v>
      </c>
      <c r="AA315" s="4">
        <v>0</v>
      </c>
      <c r="AB315" s="4">
        <v>0</v>
      </c>
      <c r="AC315" s="4">
        <v>0</v>
      </c>
      <c r="AD315" s="4">
        <v>0</v>
      </c>
      <c r="AE315" s="4">
        <v>0</v>
      </c>
      <c r="AF315" s="51">
        <v>3.4209090909090912E-3</v>
      </c>
      <c r="AG315" s="51">
        <v>3.4681818181818186E-3</v>
      </c>
      <c r="AH315" s="51">
        <v>3.5154545454545456E-3</v>
      </c>
      <c r="AI315" s="51">
        <v>3.562727272727273E-3</v>
      </c>
      <c r="AJ315" s="51">
        <v>3.6100000000000004E-3</v>
      </c>
      <c r="AK315" s="51">
        <v>3.6572727272727278E-3</v>
      </c>
      <c r="AL315" s="51">
        <v>3.7045454545454552E-3</v>
      </c>
      <c r="AM315" s="51">
        <v>3.7518181818181826E-3</v>
      </c>
      <c r="AN315" s="51">
        <v>3.7990909090909099E-3</v>
      </c>
      <c r="AO315" s="51">
        <v>3.8463636363636369E-3</v>
      </c>
      <c r="AP315" s="51">
        <v>3.8936363636363643E-3</v>
      </c>
      <c r="AQ315" s="51">
        <v>3.9409090909090913E-3</v>
      </c>
      <c r="AR315" s="51">
        <v>3.9881818181818187E-3</v>
      </c>
      <c r="AS315" s="51">
        <v>4.0354545454545461E-3</v>
      </c>
      <c r="AT315" s="51">
        <v>4.0827272727272735E-3</v>
      </c>
      <c r="AU315" s="51">
        <v>4.1300000000000009E-3</v>
      </c>
      <c r="AV315" s="51">
        <v>4.1579545454545463E-3</v>
      </c>
      <c r="AW315" s="51">
        <v>4.1859090909090917E-3</v>
      </c>
      <c r="AX315" s="51">
        <v>4.2138636363636371E-3</v>
      </c>
      <c r="AY315" s="51">
        <v>4.2418181818181825E-3</v>
      </c>
      <c r="AZ315" s="51">
        <v>4.269772727272728E-3</v>
      </c>
      <c r="BA315" s="51">
        <v>4.2977272727272734E-3</v>
      </c>
      <c r="BB315" s="51">
        <v>4.3256818181818188E-3</v>
      </c>
      <c r="BC315" s="51">
        <v>4.3536363636363642E-3</v>
      </c>
      <c r="BD315" s="51">
        <v>4.3815909090909096E-3</v>
      </c>
      <c r="BE315" s="51">
        <v>4.4095454545454551E-3</v>
      </c>
      <c r="BF315" s="51">
        <v>4.4375000000000005E-3</v>
      </c>
      <c r="BG315" s="51">
        <v>4.4654545454545459E-3</v>
      </c>
      <c r="BH315" s="51">
        <v>4.4934090909090913E-3</v>
      </c>
      <c r="BI315" s="51">
        <v>4.5213636363636367E-3</v>
      </c>
      <c r="BJ315" s="51">
        <v>4.5493181818181821E-3</v>
      </c>
      <c r="BK315" s="51">
        <v>4.5772727272727276E-3</v>
      </c>
      <c r="BL315" s="51">
        <v>4.605227272727273E-3</v>
      </c>
      <c r="BM315" s="51">
        <v>4.6331818181818184E-3</v>
      </c>
      <c r="BN315" s="51">
        <v>4.6611363636363638E-3</v>
      </c>
      <c r="BO315" s="51">
        <v>4.6890909090909101E-3</v>
      </c>
      <c r="BP315" s="51">
        <v>4.7170454545454547E-3</v>
      </c>
      <c r="BQ315" s="51">
        <v>4.745000000000001E-3</v>
      </c>
      <c r="BR315" s="51">
        <v>4.7729545454545455E-3</v>
      </c>
      <c r="BS315" s="51">
        <v>4.8009090909090918E-3</v>
      </c>
      <c r="BT315" s="51">
        <v>4.8288636363636372E-3</v>
      </c>
      <c r="BU315" s="51">
        <v>4.8568181818181826E-3</v>
      </c>
      <c r="BV315" s="51">
        <v>4.8847727272727281E-3</v>
      </c>
      <c r="BW315" s="51">
        <v>4.9127272727272735E-3</v>
      </c>
      <c r="BX315" s="51">
        <v>4.9406818181818189E-3</v>
      </c>
      <c r="BY315" s="51">
        <v>4.9686363636363643E-3</v>
      </c>
      <c r="BZ315" s="51">
        <v>4.9965909090909097E-3</v>
      </c>
      <c r="CA315" s="51">
        <v>5.0245454545454551E-3</v>
      </c>
      <c r="CB315" s="51">
        <v>5.0525000000000006E-3</v>
      </c>
      <c r="CC315" s="51">
        <v>5.080454545454546E-3</v>
      </c>
      <c r="CD315" s="51">
        <v>5.1084090909090914E-3</v>
      </c>
      <c r="CE315" s="51">
        <v>5.1363636363636368E-3</v>
      </c>
      <c r="CF315" s="51">
        <v>5.1643181818181822E-3</v>
      </c>
      <c r="CG315" s="51">
        <v>5.1922727272727277E-3</v>
      </c>
      <c r="CH315" s="51">
        <v>5.2202272727272731E-3</v>
      </c>
      <c r="CI315" s="51">
        <v>5.2481818181818185E-3</v>
      </c>
      <c r="CJ315" s="51">
        <v>5.2761363636363639E-3</v>
      </c>
      <c r="CK315" s="51">
        <v>5.3040909090909093E-3</v>
      </c>
      <c r="CL315" s="51">
        <v>5.3320454545454548E-3</v>
      </c>
      <c r="CM315" s="51">
        <v>5.3600000000000002E-3</v>
      </c>
    </row>
    <row r="316" spans="1:91" s="50" customFormat="1" x14ac:dyDescent="0.25">
      <c r="A316" s="99" t="s">
        <v>1</v>
      </c>
      <c r="B316" s="4">
        <v>0</v>
      </c>
      <c r="C316" s="4">
        <v>0</v>
      </c>
      <c r="D316" s="4">
        <v>0</v>
      </c>
      <c r="E316" s="4">
        <v>0</v>
      </c>
      <c r="F316" s="4">
        <v>0</v>
      </c>
      <c r="G316" s="4">
        <v>0</v>
      </c>
      <c r="H316" s="4">
        <v>0</v>
      </c>
      <c r="I316" s="4">
        <v>0</v>
      </c>
      <c r="J316" s="4">
        <v>0</v>
      </c>
      <c r="K316" s="4">
        <v>0</v>
      </c>
      <c r="L316" s="4">
        <v>0</v>
      </c>
      <c r="M316" s="4">
        <v>0</v>
      </c>
      <c r="N316" s="4">
        <v>0</v>
      </c>
      <c r="O316" s="4">
        <v>0</v>
      </c>
      <c r="P316" s="4">
        <v>0</v>
      </c>
      <c r="Q316" s="4">
        <v>0</v>
      </c>
      <c r="R316" s="4">
        <v>0</v>
      </c>
      <c r="S316" s="4">
        <v>0</v>
      </c>
      <c r="T316" s="4">
        <v>0</v>
      </c>
      <c r="U316" s="4">
        <v>0</v>
      </c>
      <c r="V316" s="4">
        <v>0</v>
      </c>
      <c r="W316" s="4">
        <v>0</v>
      </c>
      <c r="X316" s="4">
        <v>0</v>
      </c>
      <c r="Y316" s="4">
        <v>0</v>
      </c>
      <c r="Z316" s="4">
        <v>0</v>
      </c>
      <c r="AA316" s="4">
        <v>0</v>
      </c>
      <c r="AB316" s="4">
        <v>0</v>
      </c>
      <c r="AC316" s="4">
        <v>0</v>
      </c>
      <c r="AD316" s="4">
        <v>0</v>
      </c>
      <c r="AE316" s="4">
        <v>0</v>
      </c>
      <c r="AF316" s="51">
        <v>1.4251346260975674E-3</v>
      </c>
      <c r="AG316" s="51">
        <v>1.4394010133432368E-3</v>
      </c>
      <c r="AH316" s="51">
        <v>1.4536674005889063E-3</v>
      </c>
      <c r="AI316" s="51">
        <v>1.4679337878345756E-3</v>
      </c>
      <c r="AJ316" s="51">
        <v>1.4822001750802451E-3</v>
      </c>
      <c r="AK316" s="51">
        <v>1.4964665623259145E-3</v>
      </c>
      <c r="AL316" s="51">
        <v>1.510732949571584E-3</v>
      </c>
      <c r="AM316" s="51">
        <v>1.5249993368172533E-3</v>
      </c>
      <c r="AN316" s="51">
        <v>1.5392657240629226E-3</v>
      </c>
      <c r="AO316" s="51">
        <v>1.5535321113085922E-3</v>
      </c>
      <c r="AP316" s="51">
        <v>1.5677984985542617E-3</v>
      </c>
      <c r="AQ316" s="51">
        <v>1.582064885799931E-3</v>
      </c>
      <c r="AR316" s="51">
        <v>1.5963312730456003E-3</v>
      </c>
      <c r="AS316" s="51">
        <v>1.6105976602912699E-3</v>
      </c>
      <c r="AT316" s="51">
        <v>1.6248640475369394E-3</v>
      </c>
      <c r="AU316" s="51">
        <v>1.6391304347826087E-3</v>
      </c>
      <c r="AV316" s="51">
        <v>1.6512056578914659E-3</v>
      </c>
      <c r="AW316" s="51">
        <v>1.6632808810003231E-3</v>
      </c>
      <c r="AX316" s="51">
        <v>1.6753561041091805E-3</v>
      </c>
      <c r="AY316" s="51">
        <v>1.6874313272180377E-3</v>
      </c>
      <c r="AZ316" s="51">
        <v>1.6995065503268949E-3</v>
      </c>
      <c r="BA316" s="51">
        <v>1.7115817734357521E-3</v>
      </c>
      <c r="BB316" s="51">
        <v>1.7236569965446095E-3</v>
      </c>
      <c r="BC316" s="51">
        <v>1.7357322196534667E-3</v>
      </c>
      <c r="BD316" s="51">
        <v>1.7478074427623239E-3</v>
      </c>
      <c r="BE316" s="51">
        <v>1.759882665871181E-3</v>
      </c>
      <c r="BF316" s="51">
        <v>1.7719578889800382E-3</v>
      </c>
      <c r="BG316" s="51">
        <v>1.7840331120888956E-3</v>
      </c>
      <c r="BH316" s="51">
        <v>1.7961083351977528E-3</v>
      </c>
      <c r="BI316" s="51">
        <v>1.80818355830661E-3</v>
      </c>
      <c r="BJ316" s="51">
        <v>1.8202587814154672E-3</v>
      </c>
      <c r="BK316" s="51">
        <v>1.8323340045243246E-3</v>
      </c>
      <c r="BL316" s="51">
        <v>1.8444092276331818E-3</v>
      </c>
      <c r="BM316" s="51">
        <v>1.856484450742039E-3</v>
      </c>
      <c r="BN316" s="51">
        <v>1.8685596738508962E-3</v>
      </c>
      <c r="BO316" s="51">
        <v>1.8806348969597534E-3</v>
      </c>
      <c r="BP316" s="51">
        <v>1.8927101200686108E-3</v>
      </c>
      <c r="BQ316" s="51">
        <v>1.904785343177468E-3</v>
      </c>
      <c r="BR316" s="51">
        <v>1.9168605662863252E-3</v>
      </c>
      <c r="BS316" s="51">
        <v>1.9289357893951826E-3</v>
      </c>
      <c r="BT316" s="51">
        <v>1.9410110125040398E-3</v>
      </c>
      <c r="BU316" s="51">
        <v>1.953086235612897E-3</v>
      </c>
      <c r="BV316" s="51">
        <v>1.9651614587217541E-3</v>
      </c>
      <c r="BW316" s="51">
        <v>1.9772366818306113E-3</v>
      </c>
      <c r="BX316" s="51">
        <v>1.9893119049394685E-3</v>
      </c>
      <c r="BY316" s="51">
        <v>2.0013871280483257E-3</v>
      </c>
      <c r="BZ316" s="51">
        <v>2.0134623511571829E-3</v>
      </c>
      <c r="CA316" s="51">
        <v>2.0255375742660405E-3</v>
      </c>
      <c r="CB316" s="51">
        <v>2.0376127973748977E-3</v>
      </c>
      <c r="CC316" s="51">
        <v>2.0496880204837549E-3</v>
      </c>
      <c r="CD316" s="51">
        <v>2.0617632435926121E-3</v>
      </c>
      <c r="CE316" s="51">
        <v>2.0738384667014693E-3</v>
      </c>
      <c r="CF316" s="51">
        <v>2.0859136898103265E-3</v>
      </c>
      <c r="CG316" s="51">
        <v>2.0979889129191837E-3</v>
      </c>
      <c r="CH316" s="51">
        <v>2.1100641360280409E-3</v>
      </c>
      <c r="CI316" s="51">
        <v>2.1221393591368985E-3</v>
      </c>
      <c r="CJ316" s="51">
        <v>2.1342145822457557E-3</v>
      </c>
      <c r="CK316" s="51">
        <v>2.1462898053546129E-3</v>
      </c>
      <c r="CL316" s="51">
        <v>2.1583650284634701E-3</v>
      </c>
      <c r="CM316" s="51">
        <v>2.1704402515723272E-3</v>
      </c>
    </row>
    <row r="317" spans="1:91" s="50" customFormat="1" x14ac:dyDescent="0.25">
      <c r="A317" s="99" t="s">
        <v>1</v>
      </c>
      <c r="B317" s="4">
        <v>0</v>
      </c>
      <c r="C317" s="4">
        <v>0</v>
      </c>
      <c r="D317" s="4">
        <v>0</v>
      </c>
      <c r="E317" s="4">
        <v>0</v>
      </c>
      <c r="F317" s="4">
        <v>0</v>
      </c>
      <c r="G317" s="4">
        <v>0</v>
      </c>
      <c r="H317" s="4">
        <v>0</v>
      </c>
      <c r="I317" s="4">
        <v>0</v>
      </c>
      <c r="J317" s="4">
        <v>0</v>
      </c>
      <c r="K317" s="4">
        <v>0</v>
      </c>
      <c r="L317" s="4">
        <v>0</v>
      </c>
      <c r="M317" s="4">
        <v>0</v>
      </c>
      <c r="N317" s="4">
        <v>0</v>
      </c>
      <c r="O317" s="4">
        <v>0</v>
      </c>
      <c r="P317" s="4">
        <v>0</v>
      </c>
      <c r="Q317" s="4">
        <v>0</v>
      </c>
      <c r="R317" s="4">
        <v>0</v>
      </c>
      <c r="S317" s="4">
        <v>0</v>
      </c>
      <c r="T317" s="4">
        <v>0</v>
      </c>
      <c r="U317" s="4">
        <v>0</v>
      </c>
      <c r="V317" s="4">
        <v>0</v>
      </c>
      <c r="W317" s="4">
        <v>0</v>
      </c>
      <c r="X317" s="4">
        <v>0</v>
      </c>
      <c r="Y317" s="4">
        <v>0</v>
      </c>
      <c r="Z317" s="4">
        <v>0</v>
      </c>
      <c r="AA317" s="4">
        <v>0</v>
      </c>
      <c r="AB317" s="4">
        <v>0</v>
      </c>
      <c r="AC317" s="4">
        <v>0</v>
      </c>
      <c r="AD317" s="4">
        <v>0</v>
      </c>
      <c r="AE317" s="4">
        <v>0</v>
      </c>
      <c r="AF317" s="51">
        <v>1.6577549140049139E-3</v>
      </c>
      <c r="AG317" s="51">
        <v>1.6804361179361179E-3</v>
      </c>
      <c r="AH317" s="51">
        <v>1.7031173218673219E-3</v>
      </c>
      <c r="AI317" s="51">
        <v>1.7257985257985258E-3</v>
      </c>
      <c r="AJ317" s="51">
        <v>1.7484797297297296E-3</v>
      </c>
      <c r="AK317" s="51">
        <v>1.7711609336609336E-3</v>
      </c>
      <c r="AL317" s="51">
        <v>1.7938421375921377E-3</v>
      </c>
      <c r="AM317" s="51">
        <v>1.8165233415233415E-3</v>
      </c>
      <c r="AN317" s="51">
        <v>1.8392045454545453E-3</v>
      </c>
      <c r="AO317" s="51">
        <v>1.8618857493857494E-3</v>
      </c>
      <c r="AP317" s="51">
        <v>1.8845669533169532E-3</v>
      </c>
      <c r="AQ317" s="51">
        <v>1.907248157248157E-3</v>
      </c>
      <c r="AR317" s="51">
        <v>1.9299293611793611E-3</v>
      </c>
      <c r="AS317" s="51">
        <v>1.9526105651105651E-3</v>
      </c>
      <c r="AT317" s="51">
        <v>1.9752917690417692E-3</v>
      </c>
      <c r="AU317" s="51">
        <v>1.9979729729729728E-3</v>
      </c>
      <c r="AV317" s="51">
        <v>2.0184735872235873E-3</v>
      </c>
      <c r="AW317" s="51">
        <v>2.0389742014742013E-3</v>
      </c>
      <c r="AX317" s="51">
        <v>2.0594748157248153E-3</v>
      </c>
      <c r="AY317" s="51">
        <v>2.0799754299754298E-3</v>
      </c>
      <c r="AZ317" s="51">
        <v>2.1004760442260443E-3</v>
      </c>
      <c r="BA317" s="51">
        <v>2.1209766584766583E-3</v>
      </c>
      <c r="BB317" s="51">
        <v>2.1414772727272723E-3</v>
      </c>
      <c r="BC317" s="51">
        <v>2.1619778869778868E-3</v>
      </c>
      <c r="BD317" s="51">
        <v>2.1824785012285013E-3</v>
      </c>
      <c r="BE317" s="51">
        <v>2.2029791154791153E-3</v>
      </c>
      <c r="BF317" s="51">
        <v>2.2234797297297293E-3</v>
      </c>
      <c r="BG317" s="51">
        <v>2.2439803439803438E-3</v>
      </c>
      <c r="BH317" s="51">
        <v>2.2644809582309583E-3</v>
      </c>
      <c r="BI317" s="51">
        <v>2.2849815724815723E-3</v>
      </c>
      <c r="BJ317" s="51">
        <v>2.3054821867321863E-3</v>
      </c>
      <c r="BK317" s="51">
        <v>2.3259828009828008E-3</v>
      </c>
      <c r="BL317" s="51">
        <v>2.3464834152334153E-3</v>
      </c>
      <c r="BM317" s="51">
        <v>2.3669840294840293E-3</v>
      </c>
      <c r="BN317" s="51">
        <v>2.3874846437346433E-3</v>
      </c>
      <c r="BO317" s="51">
        <v>2.4079852579852578E-3</v>
      </c>
      <c r="BP317" s="51">
        <v>2.4284858722358723E-3</v>
      </c>
      <c r="BQ317" s="51">
        <v>2.4489864864864863E-3</v>
      </c>
      <c r="BR317" s="51">
        <v>2.4694871007371003E-3</v>
      </c>
      <c r="BS317" s="51">
        <v>2.4899877149877148E-3</v>
      </c>
      <c r="BT317" s="51">
        <v>2.5104883292383293E-3</v>
      </c>
      <c r="BU317" s="51">
        <v>2.5309889434889433E-3</v>
      </c>
      <c r="BV317" s="51">
        <v>2.5514895577395573E-3</v>
      </c>
      <c r="BW317" s="51">
        <v>2.5719901719901718E-3</v>
      </c>
      <c r="BX317" s="51">
        <v>2.5924907862407863E-3</v>
      </c>
      <c r="BY317" s="51">
        <v>2.6129914004914003E-3</v>
      </c>
      <c r="BZ317" s="51">
        <v>2.6334920147420143E-3</v>
      </c>
      <c r="CA317" s="51">
        <v>2.6539926289926288E-3</v>
      </c>
      <c r="CB317" s="51">
        <v>2.6744932432432433E-3</v>
      </c>
      <c r="CC317" s="51">
        <v>2.6949938574938573E-3</v>
      </c>
      <c r="CD317" s="51">
        <v>2.7154944717444713E-3</v>
      </c>
      <c r="CE317" s="51">
        <v>2.7359950859950858E-3</v>
      </c>
      <c r="CF317" s="51">
        <v>2.7564957002457003E-3</v>
      </c>
      <c r="CG317" s="51">
        <v>2.7769963144963143E-3</v>
      </c>
      <c r="CH317" s="51">
        <v>2.7974969287469283E-3</v>
      </c>
      <c r="CI317" s="51">
        <v>2.8179975429975428E-3</v>
      </c>
      <c r="CJ317" s="51">
        <v>2.8384981572481573E-3</v>
      </c>
      <c r="CK317" s="51">
        <v>2.8589987714987713E-3</v>
      </c>
      <c r="CL317" s="51">
        <v>2.8794993857493853E-3</v>
      </c>
      <c r="CM317" s="51">
        <v>2.8999999999999998E-3</v>
      </c>
    </row>
    <row r="318" spans="1:91" s="50" customFormat="1" x14ac:dyDescent="0.25">
      <c r="A318" s="99" t="s">
        <v>1</v>
      </c>
      <c r="B318" s="4">
        <v>0</v>
      </c>
      <c r="C318" s="4">
        <v>0</v>
      </c>
      <c r="D318" s="4">
        <v>0</v>
      </c>
      <c r="E318" s="4">
        <v>0</v>
      </c>
      <c r="F318" s="4">
        <v>0</v>
      </c>
      <c r="G318" s="4">
        <v>0</v>
      </c>
      <c r="H318" s="4">
        <v>0</v>
      </c>
      <c r="I318" s="4">
        <v>0</v>
      </c>
      <c r="J318" s="4">
        <v>0</v>
      </c>
      <c r="K318" s="4">
        <v>0</v>
      </c>
      <c r="L318" s="4">
        <v>0</v>
      </c>
      <c r="M318" s="4">
        <v>0</v>
      </c>
      <c r="N318" s="4">
        <v>0</v>
      </c>
      <c r="O318" s="4">
        <v>0</v>
      </c>
      <c r="P318" s="4">
        <v>0</v>
      </c>
      <c r="Q318" s="4">
        <v>0</v>
      </c>
      <c r="R318" s="4">
        <v>0</v>
      </c>
      <c r="S318" s="4">
        <v>0</v>
      </c>
      <c r="T318" s="4">
        <v>0</v>
      </c>
      <c r="U318" s="4">
        <v>0</v>
      </c>
      <c r="V318" s="4">
        <v>0</v>
      </c>
      <c r="W318" s="4">
        <v>0</v>
      </c>
      <c r="X318" s="4">
        <v>0</v>
      </c>
      <c r="Y318" s="4">
        <v>0</v>
      </c>
      <c r="Z318" s="4">
        <v>0</v>
      </c>
      <c r="AA318" s="4">
        <v>0</v>
      </c>
      <c r="AB318" s="4">
        <v>0</v>
      </c>
      <c r="AC318" s="4">
        <v>0</v>
      </c>
      <c r="AD318" s="4">
        <v>0</v>
      </c>
      <c r="AE318" s="4">
        <v>0</v>
      </c>
      <c r="AF318" s="51">
        <v>6.1522727272727278E-2</v>
      </c>
      <c r="AG318" s="51">
        <v>6.1954545454545457E-2</v>
      </c>
      <c r="AH318" s="51">
        <v>6.2386363636363643E-2</v>
      </c>
      <c r="AI318" s="51">
        <v>6.2818181818181829E-2</v>
      </c>
      <c r="AJ318" s="51">
        <v>6.3250000000000001E-2</v>
      </c>
      <c r="AK318" s="51">
        <v>6.3681818181818187E-2</v>
      </c>
      <c r="AL318" s="51">
        <v>6.4113636363636373E-2</v>
      </c>
      <c r="AM318" s="51">
        <v>6.4545454545454545E-2</v>
      </c>
      <c r="AN318" s="51">
        <v>6.4977272727272731E-2</v>
      </c>
      <c r="AO318" s="51">
        <v>6.5409090909090917E-2</v>
      </c>
      <c r="AP318" s="51">
        <v>6.5840909090909089E-2</v>
      </c>
      <c r="AQ318" s="51">
        <v>6.6272727272727275E-2</v>
      </c>
      <c r="AR318" s="51">
        <v>6.6704545454545461E-2</v>
      </c>
      <c r="AS318" s="51">
        <v>6.7136363636363633E-2</v>
      </c>
      <c r="AT318" s="51">
        <v>6.7568181818181819E-2</v>
      </c>
      <c r="AU318" s="51">
        <v>6.8000000000000005E-2</v>
      </c>
      <c r="AV318" s="51">
        <v>6.881818181818182E-2</v>
      </c>
      <c r="AW318" s="51">
        <v>6.9636363636363635E-2</v>
      </c>
      <c r="AX318" s="51">
        <v>7.0454545454545464E-2</v>
      </c>
      <c r="AY318" s="51">
        <v>7.1272727272727279E-2</v>
      </c>
      <c r="AZ318" s="51">
        <v>7.2090909090909094E-2</v>
      </c>
      <c r="BA318" s="51">
        <v>7.290909090909091E-2</v>
      </c>
      <c r="BB318" s="51">
        <v>7.3727272727272725E-2</v>
      </c>
      <c r="BC318" s="51">
        <v>7.4545454545454554E-2</v>
      </c>
      <c r="BD318" s="51">
        <v>7.5363636363636369E-2</v>
      </c>
      <c r="BE318" s="51">
        <v>7.6181818181818184E-2</v>
      </c>
      <c r="BF318" s="51">
        <v>7.6999999999999999E-2</v>
      </c>
      <c r="BG318" s="51">
        <v>7.7818181818181814E-2</v>
      </c>
      <c r="BH318" s="51">
        <v>7.8636363636363643E-2</v>
      </c>
      <c r="BI318" s="51">
        <v>7.9454545454545458E-2</v>
      </c>
      <c r="BJ318" s="51">
        <v>8.0272727272727273E-2</v>
      </c>
      <c r="BK318" s="51">
        <v>8.1090909090909088E-2</v>
      </c>
      <c r="BL318" s="51">
        <v>8.1909090909090904E-2</v>
      </c>
      <c r="BM318" s="51">
        <v>8.2727272727272733E-2</v>
      </c>
      <c r="BN318" s="51">
        <v>8.3545454545454548E-2</v>
      </c>
      <c r="BO318" s="51">
        <v>8.4363636363636363E-2</v>
      </c>
      <c r="BP318" s="51">
        <v>8.5181818181818178E-2</v>
      </c>
      <c r="BQ318" s="51">
        <v>8.5999999999999993E-2</v>
      </c>
      <c r="BR318" s="51">
        <v>8.6818181818181822E-2</v>
      </c>
      <c r="BS318" s="51">
        <v>8.7636363636363637E-2</v>
      </c>
      <c r="BT318" s="51">
        <v>8.8454545454545452E-2</v>
      </c>
      <c r="BU318" s="51">
        <v>8.9272727272727267E-2</v>
      </c>
      <c r="BV318" s="51">
        <v>9.0090909090909083E-2</v>
      </c>
      <c r="BW318" s="51">
        <v>9.0909090909090912E-2</v>
      </c>
      <c r="BX318" s="51">
        <v>9.1727272727272727E-2</v>
      </c>
      <c r="BY318" s="51">
        <v>9.2545454545454542E-2</v>
      </c>
      <c r="BZ318" s="51">
        <v>9.3363636363636357E-2</v>
      </c>
      <c r="CA318" s="51">
        <v>9.4181818181818172E-2</v>
      </c>
      <c r="CB318" s="51">
        <v>9.5000000000000001E-2</v>
      </c>
      <c r="CC318" s="51">
        <v>9.5818181818181816E-2</v>
      </c>
      <c r="CD318" s="51">
        <v>9.6636363636363631E-2</v>
      </c>
      <c r="CE318" s="51">
        <v>9.7454545454545446E-2</v>
      </c>
      <c r="CF318" s="51">
        <v>9.8272727272727262E-2</v>
      </c>
      <c r="CG318" s="51">
        <v>9.9090909090909091E-2</v>
      </c>
      <c r="CH318" s="51">
        <v>9.9909090909090906E-2</v>
      </c>
      <c r="CI318" s="51">
        <v>0.10072727272727272</v>
      </c>
      <c r="CJ318" s="51">
        <v>0.10154545454545455</v>
      </c>
      <c r="CK318" s="51">
        <v>0.10236363636363635</v>
      </c>
      <c r="CL318" s="51">
        <v>0.10318181818181818</v>
      </c>
      <c r="CM318" s="51">
        <v>0.104</v>
      </c>
    </row>
    <row r="319" spans="1:91" s="50" customFormat="1" x14ac:dyDescent="0.25">
      <c r="A319" s="9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c r="BS319" s="51"/>
      <c r="BT319" s="51"/>
      <c r="BU319" s="51"/>
      <c r="BV319" s="51"/>
      <c r="BW319" s="51"/>
      <c r="BX319" s="51"/>
      <c r="BY319" s="51"/>
      <c r="BZ319" s="51"/>
      <c r="CA319" s="51"/>
      <c r="CB319" s="51"/>
      <c r="CC319" s="51"/>
      <c r="CD319" s="51"/>
      <c r="CE319" s="51"/>
      <c r="CF319" s="51"/>
      <c r="CG319" s="51"/>
      <c r="CH319" s="51"/>
      <c r="CI319" s="51"/>
      <c r="CJ319" s="51"/>
      <c r="CK319" s="51"/>
      <c r="CL319" s="51"/>
      <c r="CM319" s="51"/>
    </row>
    <row r="320" spans="1:91" s="50" customFormat="1" x14ac:dyDescent="0.25">
      <c r="A320" s="99" t="s">
        <v>164</v>
      </c>
      <c r="B320" s="4">
        <v>0</v>
      </c>
      <c r="C320" s="4">
        <v>0</v>
      </c>
      <c r="D320" s="4">
        <v>0</v>
      </c>
      <c r="E320" s="4">
        <v>0</v>
      </c>
      <c r="F320" s="4">
        <v>0</v>
      </c>
      <c r="G320" s="4">
        <v>0</v>
      </c>
      <c r="H320" s="4">
        <v>0</v>
      </c>
      <c r="I320" s="4">
        <v>0</v>
      </c>
      <c r="J320" s="4">
        <v>0</v>
      </c>
      <c r="K320" s="4">
        <v>0</v>
      </c>
      <c r="L320" s="4">
        <v>0</v>
      </c>
      <c r="M320" s="4">
        <v>0</v>
      </c>
      <c r="N320" s="4">
        <v>0</v>
      </c>
      <c r="O320" s="4">
        <v>0</v>
      </c>
      <c r="P320" s="4">
        <v>0</v>
      </c>
      <c r="Q320" s="4">
        <v>0</v>
      </c>
      <c r="R320" s="4">
        <v>0</v>
      </c>
      <c r="S320" s="4">
        <v>0</v>
      </c>
      <c r="T320" s="4">
        <v>0</v>
      </c>
      <c r="U320" s="4">
        <v>0</v>
      </c>
      <c r="V320" s="4">
        <v>0</v>
      </c>
      <c r="W320" s="4">
        <v>0</v>
      </c>
      <c r="X320" s="4">
        <v>0</v>
      </c>
      <c r="Y320" s="4">
        <v>0</v>
      </c>
      <c r="Z320" s="4">
        <v>0</v>
      </c>
      <c r="AA320" s="4">
        <v>0</v>
      </c>
      <c r="AB320" s="4">
        <v>0</v>
      </c>
      <c r="AC320" s="4">
        <v>0</v>
      </c>
      <c r="AD320" s="4">
        <v>0</v>
      </c>
      <c r="AE320" s="4">
        <v>0</v>
      </c>
      <c r="AF320" s="51">
        <v>3.0288636363636368E-3</v>
      </c>
      <c r="AG320" s="51">
        <v>3.1022727272727278E-3</v>
      </c>
      <c r="AH320" s="51">
        <v>3.1756818181818188E-3</v>
      </c>
      <c r="AI320" s="51">
        <v>3.2490909090909098E-3</v>
      </c>
      <c r="AJ320" s="51">
        <v>3.3225000000000008E-3</v>
      </c>
      <c r="AK320" s="51">
        <v>3.3959090909090918E-3</v>
      </c>
      <c r="AL320" s="51">
        <v>3.4693181818181828E-3</v>
      </c>
      <c r="AM320" s="51">
        <v>3.5427272727272738E-3</v>
      </c>
      <c r="AN320" s="51">
        <v>3.6161363636363648E-3</v>
      </c>
      <c r="AO320" s="51">
        <v>3.6895454545454558E-3</v>
      </c>
      <c r="AP320" s="51">
        <v>3.7629545454545468E-3</v>
      </c>
      <c r="AQ320" s="51">
        <v>3.8363636363636378E-3</v>
      </c>
      <c r="AR320" s="51">
        <v>3.9097727272727287E-3</v>
      </c>
      <c r="AS320" s="51">
        <v>3.9831818181818197E-3</v>
      </c>
      <c r="AT320" s="51">
        <v>4.0565909090909107E-3</v>
      </c>
      <c r="AU320" s="51">
        <v>4.1300000000000009E-3</v>
      </c>
      <c r="AV320" s="51">
        <v>4.1579545454545463E-3</v>
      </c>
      <c r="AW320" s="51">
        <v>4.1859090909090917E-3</v>
      </c>
      <c r="AX320" s="51">
        <v>4.2138636363636371E-3</v>
      </c>
      <c r="AY320" s="51">
        <v>4.2418181818181825E-3</v>
      </c>
      <c r="AZ320" s="51">
        <v>4.269772727272728E-3</v>
      </c>
      <c r="BA320" s="51">
        <v>4.2977272727272734E-3</v>
      </c>
      <c r="BB320" s="51">
        <v>4.3256818181818188E-3</v>
      </c>
      <c r="BC320" s="51">
        <v>4.3536363636363642E-3</v>
      </c>
      <c r="BD320" s="51">
        <v>4.3815909090909096E-3</v>
      </c>
      <c r="BE320" s="51">
        <v>4.4095454545454551E-3</v>
      </c>
      <c r="BF320" s="51">
        <v>4.4375000000000005E-3</v>
      </c>
      <c r="BG320" s="51">
        <v>4.4654545454545459E-3</v>
      </c>
      <c r="BH320" s="51">
        <v>4.4934090909090913E-3</v>
      </c>
      <c r="BI320" s="51">
        <v>4.5213636363636367E-3</v>
      </c>
      <c r="BJ320" s="51">
        <v>4.5493181818181821E-3</v>
      </c>
      <c r="BK320" s="51">
        <v>4.5772727272727276E-3</v>
      </c>
      <c r="BL320" s="51">
        <v>4.605227272727273E-3</v>
      </c>
      <c r="BM320" s="51">
        <v>4.6331818181818184E-3</v>
      </c>
      <c r="BN320" s="51">
        <v>4.6611363636363638E-3</v>
      </c>
      <c r="BO320" s="51">
        <v>4.6890909090909101E-3</v>
      </c>
      <c r="BP320" s="51">
        <v>4.7170454545454547E-3</v>
      </c>
      <c r="BQ320" s="51">
        <v>4.745000000000001E-3</v>
      </c>
      <c r="BR320" s="51">
        <v>4.7729545454545455E-3</v>
      </c>
      <c r="BS320" s="51">
        <v>4.8009090909090918E-3</v>
      </c>
      <c r="BT320" s="51">
        <v>4.8288636363636372E-3</v>
      </c>
      <c r="BU320" s="51">
        <v>4.8568181818181826E-3</v>
      </c>
      <c r="BV320" s="51">
        <v>4.8847727272727281E-3</v>
      </c>
      <c r="BW320" s="51">
        <v>4.9127272727272735E-3</v>
      </c>
      <c r="BX320" s="51">
        <v>4.9406818181818189E-3</v>
      </c>
      <c r="BY320" s="51">
        <v>4.9686363636363643E-3</v>
      </c>
      <c r="BZ320" s="51">
        <v>4.9965909090909097E-3</v>
      </c>
      <c r="CA320" s="51">
        <v>5.0245454545454551E-3</v>
      </c>
      <c r="CB320" s="51">
        <v>5.0525000000000006E-3</v>
      </c>
      <c r="CC320" s="51">
        <v>5.080454545454546E-3</v>
      </c>
      <c r="CD320" s="51">
        <v>5.1084090909090914E-3</v>
      </c>
      <c r="CE320" s="51">
        <v>5.1363636363636368E-3</v>
      </c>
      <c r="CF320" s="51">
        <v>5.1643181818181822E-3</v>
      </c>
      <c r="CG320" s="51">
        <v>5.1922727272727277E-3</v>
      </c>
      <c r="CH320" s="51">
        <v>5.2202272727272731E-3</v>
      </c>
      <c r="CI320" s="51">
        <v>5.2481818181818185E-3</v>
      </c>
      <c r="CJ320" s="51">
        <v>5.2761363636363639E-3</v>
      </c>
      <c r="CK320" s="51">
        <v>5.3040909090909093E-3</v>
      </c>
      <c r="CL320" s="51">
        <v>5.3320454545454548E-3</v>
      </c>
      <c r="CM320" s="51">
        <v>5.3600000000000002E-3</v>
      </c>
    </row>
    <row r="321" spans="1:91" s="50" customFormat="1" x14ac:dyDescent="0.25">
      <c r="A321" s="9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c r="BS321" s="51"/>
      <c r="BT321" s="51"/>
      <c r="BU321" s="51"/>
      <c r="BV321" s="51"/>
      <c r="BW321" s="51"/>
      <c r="BX321" s="51"/>
      <c r="BY321" s="51"/>
      <c r="BZ321" s="51"/>
      <c r="CA321" s="51"/>
      <c r="CB321" s="51"/>
      <c r="CC321" s="51"/>
      <c r="CD321" s="51"/>
      <c r="CE321" s="51"/>
      <c r="CF321" s="51"/>
      <c r="CG321" s="51"/>
      <c r="CH321" s="51"/>
      <c r="CI321" s="51"/>
      <c r="CJ321" s="51"/>
      <c r="CK321" s="51"/>
      <c r="CL321" s="51"/>
      <c r="CM321" s="51"/>
    </row>
    <row r="322" spans="1:91" s="50" customFormat="1" x14ac:dyDescent="0.25">
      <c r="A322" s="99" t="s">
        <v>394</v>
      </c>
      <c r="B322" s="4">
        <v>0</v>
      </c>
      <c r="C322" s="4">
        <v>0</v>
      </c>
      <c r="D322" s="4">
        <v>0</v>
      </c>
      <c r="E322" s="4">
        <v>0</v>
      </c>
      <c r="F322" s="4">
        <v>0</v>
      </c>
      <c r="G322" s="4">
        <v>0</v>
      </c>
      <c r="H322" s="4">
        <v>0</v>
      </c>
      <c r="I322" s="4">
        <v>0</v>
      </c>
      <c r="J322" s="4">
        <v>0</v>
      </c>
      <c r="K322" s="4">
        <v>0</v>
      </c>
      <c r="L322" s="4">
        <v>0</v>
      </c>
      <c r="M322" s="4">
        <v>0</v>
      </c>
      <c r="N322" s="4">
        <v>0</v>
      </c>
      <c r="O322" s="4">
        <v>0</v>
      </c>
      <c r="P322" s="4">
        <v>0</v>
      </c>
      <c r="Q322" s="4">
        <v>0</v>
      </c>
      <c r="R322" s="4">
        <v>0</v>
      </c>
      <c r="S322" s="4">
        <v>0</v>
      </c>
      <c r="T322" s="4">
        <v>0</v>
      </c>
      <c r="U322" s="4">
        <v>0</v>
      </c>
      <c r="V322" s="4">
        <v>0</v>
      </c>
      <c r="W322" s="4">
        <v>0</v>
      </c>
      <c r="X322" s="4">
        <v>0</v>
      </c>
      <c r="Y322" s="4">
        <v>0</v>
      </c>
      <c r="Z322" s="4">
        <v>0</v>
      </c>
      <c r="AA322" s="4">
        <v>0</v>
      </c>
      <c r="AB322" s="4">
        <v>0</v>
      </c>
      <c r="AC322" s="4">
        <v>0</v>
      </c>
      <c r="AD322" s="4">
        <v>0</v>
      </c>
      <c r="AE322" s="4">
        <v>0</v>
      </c>
      <c r="AF322" s="51">
        <v>3.0288636363636368E-3</v>
      </c>
      <c r="AG322" s="51">
        <v>3.1022727272727278E-3</v>
      </c>
      <c r="AH322" s="51">
        <v>3.1756818181818188E-3</v>
      </c>
      <c r="AI322" s="51">
        <v>3.2490909090909098E-3</v>
      </c>
      <c r="AJ322" s="51">
        <v>3.3225000000000008E-3</v>
      </c>
      <c r="AK322" s="51">
        <v>3.3959090909090918E-3</v>
      </c>
      <c r="AL322" s="51">
        <v>3.4693181818181828E-3</v>
      </c>
      <c r="AM322" s="51">
        <v>3.5427272727272738E-3</v>
      </c>
      <c r="AN322" s="51">
        <v>3.6161363636363648E-3</v>
      </c>
      <c r="AO322" s="51">
        <v>3.6895454545454558E-3</v>
      </c>
      <c r="AP322" s="51">
        <v>3.7629545454545468E-3</v>
      </c>
      <c r="AQ322" s="51">
        <v>3.8363636363636378E-3</v>
      </c>
      <c r="AR322" s="51">
        <v>3.9097727272727287E-3</v>
      </c>
      <c r="AS322" s="51">
        <v>3.9831818181818197E-3</v>
      </c>
      <c r="AT322" s="51">
        <v>4.0565909090909107E-3</v>
      </c>
      <c r="AU322" s="51">
        <v>4.1300000000000009E-3</v>
      </c>
      <c r="AV322" s="51">
        <v>4.1579545454545463E-3</v>
      </c>
      <c r="AW322" s="51">
        <v>4.1859090909090917E-3</v>
      </c>
      <c r="AX322" s="51">
        <v>4.2138636363636371E-3</v>
      </c>
      <c r="AY322" s="51">
        <v>4.2418181818181825E-3</v>
      </c>
      <c r="AZ322" s="51">
        <v>4.269772727272728E-3</v>
      </c>
      <c r="BA322" s="51">
        <v>4.2977272727272734E-3</v>
      </c>
      <c r="BB322" s="51">
        <v>4.3256818181818188E-3</v>
      </c>
      <c r="BC322" s="51">
        <v>4.3536363636363642E-3</v>
      </c>
      <c r="BD322" s="51">
        <v>4.3815909090909096E-3</v>
      </c>
      <c r="BE322" s="51">
        <v>4.4095454545454551E-3</v>
      </c>
      <c r="BF322" s="51">
        <v>4.4375000000000005E-3</v>
      </c>
      <c r="BG322" s="51">
        <v>4.4654545454545459E-3</v>
      </c>
      <c r="BH322" s="51">
        <v>4.4934090909090913E-3</v>
      </c>
      <c r="BI322" s="51">
        <v>4.5213636363636367E-3</v>
      </c>
      <c r="BJ322" s="51">
        <v>4.5493181818181821E-3</v>
      </c>
      <c r="BK322" s="51">
        <v>4.5772727272727276E-3</v>
      </c>
      <c r="BL322" s="51">
        <v>4.605227272727273E-3</v>
      </c>
      <c r="BM322" s="51">
        <v>4.6331818181818184E-3</v>
      </c>
      <c r="BN322" s="51">
        <v>4.6611363636363638E-3</v>
      </c>
      <c r="BO322" s="51">
        <v>4.6890909090909101E-3</v>
      </c>
      <c r="BP322" s="51">
        <v>4.7170454545454547E-3</v>
      </c>
      <c r="BQ322" s="51">
        <v>4.745000000000001E-3</v>
      </c>
      <c r="BR322" s="51">
        <v>4.7729545454545455E-3</v>
      </c>
      <c r="BS322" s="51">
        <v>4.8009090909090918E-3</v>
      </c>
      <c r="BT322" s="51">
        <v>4.8288636363636372E-3</v>
      </c>
      <c r="BU322" s="51">
        <v>4.8568181818181826E-3</v>
      </c>
      <c r="BV322" s="51">
        <v>4.8847727272727281E-3</v>
      </c>
      <c r="BW322" s="51">
        <v>4.9127272727272735E-3</v>
      </c>
      <c r="BX322" s="51">
        <v>4.9406818181818189E-3</v>
      </c>
      <c r="BY322" s="51">
        <v>4.9686363636363643E-3</v>
      </c>
      <c r="BZ322" s="51">
        <v>4.9965909090909097E-3</v>
      </c>
      <c r="CA322" s="51">
        <v>5.0245454545454551E-3</v>
      </c>
      <c r="CB322" s="51">
        <v>5.0525000000000006E-3</v>
      </c>
      <c r="CC322" s="51">
        <v>5.080454545454546E-3</v>
      </c>
      <c r="CD322" s="51">
        <v>5.1084090909090914E-3</v>
      </c>
      <c r="CE322" s="51">
        <v>5.1363636363636368E-3</v>
      </c>
      <c r="CF322" s="51">
        <v>5.1643181818181822E-3</v>
      </c>
      <c r="CG322" s="51">
        <v>5.1922727272727277E-3</v>
      </c>
      <c r="CH322" s="51">
        <v>5.2202272727272731E-3</v>
      </c>
      <c r="CI322" s="51">
        <v>5.2481818181818185E-3</v>
      </c>
      <c r="CJ322" s="51">
        <v>5.2761363636363639E-3</v>
      </c>
      <c r="CK322" s="51">
        <v>5.3040909090909093E-3</v>
      </c>
      <c r="CL322" s="51">
        <v>5.3320454545454548E-3</v>
      </c>
      <c r="CM322" s="51">
        <v>5.3600000000000002E-3</v>
      </c>
    </row>
    <row r="323" spans="1:91" s="50" customFormat="1" x14ac:dyDescent="0.25">
      <c r="A323" s="9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c r="BS323" s="51"/>
      <c r="BT323" s="51"/>
      <c r="BU323" s="51"/>
      <c r="BV323" s="51"/>
      <c r="BW323" s="51"/>
      <c r="BX323" s="51"/>
      <c r="BY323" s="51"/>
      <c r="BZ323" s="51"/>
      <c r="CA323" s="51"/>
      <c r="CB323" s="51"/>
      <c r="CC323" s="51"/>
      <c r="CD323" s="51"/>
      <c r="CE323" s="51"/>
      <c r="CF323" s="51"/>
      <c r="CG323" s="51"/>
      <c r="CH323" s="51"/>
      <c r="CI323" s="51"/>
      <c r="CJ323" s="51"/>
      <c r="CK323" s="51"/>
      <c r="CL323" s="51"/>
      <c r="CM323" s="51"/>
    </row>
    <row r="324" spans="1:91" s="50" customFormat="1" x14ac:dyDescent="0.25">
      <c r="A324" s="99" t="s">
        <v>344</v>
      </c>
      <c r="B324" s="4">
        <v>0</v>
      </c>
      <c r="C324" s="4">
        <v>0</v>
      </c>
      <c r="D324" s="4">
        <v>0</v>
      </c>
      <c r="E324" s="4">
        <v>0</v>
      </c>
      <c r="F324" s="4">
        <v>0</v>
      </c>
      <c r="G324" s="4">
        <v>0</v>
      </c>
      <c r="H324" s="4">
        <v>0</v>
      </c>
      <c r="I324" s="4">
        <v>0</v>
      </c>
      <c r="J324" s="4">
        <v>0</v>
      </c>
      <c r="K324" s="4">
        <v>0</v>
      </c>
      <c r="L324" s="4">
        <v>0</v>
      </c>
      <c r="M324" s="4">
        <v>0</v>
      </c>
      <c r="N324" s="4">
        <v>0</v>
      </c>
      <c r="O324" s="4">
        <v>0</v>
      </c>
      <c r="P324" s="4">
        <v>0</v>
      </c>
      <c r="Q324" s="4">
        <v>0</v>
      </c>
      <c r="R324" s="4">
        <v>0</v>
      </c>
      <c r="S324" s="4">
        <v>0</v>
      </c>
      <c r="T324" s="4">
        <v>0</v>
      </c>
      <c r="U324" s="4">
        <v>0</v>
      </c>
      <c r="V324" s="4">
        <v>0</v>
      </c>
      <c r="W324" s="4">
        <v>0</v>
      </c>
      <c r="X324" s="4">
        <v>0</v>
      </c>
      <c r="Y324" s="4">
        <v>0</v>
      </c>
      <c r="Z324" s="4">
        <v>0</v>
      </c>
      <c r="AA324" s="4">
        <v>0</v>
      </c>
      <c r="AB324" s="4">
        <v>0</v>
      </c>
      <c r="AC324" s="4">
        <v>0</v>
      </c>
      <c r="AD324" s="4">
        <v>0</v>
      </c>
      <c r="AE324" s="4">
        <v>0</v>
      </c>
      <c r="AF324" s="51">
        <v>8.6618671127481966E-4</v>
      </c>
      <c r="AG324" s="51">
        <v>8.7332065560907562E-4</v>
      </c>
      <c r="AH324" s="51">
        <v>8.8045459994333169E-4</v>
      </c>
      <c r="AI324" s="51">
        <v>8.8758854427758765E-4</v>
      </c>
      <c r="AJ324" s="51">
        <v>8.9472248861184372E-4</v>
      </c>
      <c r="AK324" s="51">
        <v>9.0185643294609969E-4</v>
      </c>
      <c r="AL324" s="51">
        <v>9.0899037728035576E-4</v>
      </c>
      <c r="AM324" s="51">
        <v>9.1612432161461172E-4</v>
      </c>
      <c r="AN324" s="51">
        <v>9.2325826594886768E-4</v>
      </c>
      <c r="AO324" s="51">
        <v>9.3039221028312375E-4</v>
      </c>
      <c r="AP324" s="51">
        <v>9.3752615461737982E-4</v>
      </c>
      <c r="AQ324" s="51">
        <v>9.4466009895163578E-4</v>
      </c>
      <c r="AR324" s="51">
        <v>9.5179404328589175E-4</v>
      </c>
      <c r="AS324" s="51">
        <v>9.5892798762014782E-4</v>
      </c>
      <c r="AT324" s="51">
        <v>9.6606193195440389E-4</v>
      </c>
      <c r="AU324" s="51">
        <v>9.7319587628865985E-4</v>
      </c>
      <c r="AV324" s="51">
        <v>9.9072164948453621E-4</v>
      </c>
      <c r="AW324" s="51">
        <v>1.0082474226804125E-3</v>
      </c>
      <c r="AX324" s="51">
        <v>1.0257731958762887E-3</v>
      </c>
      <c r="AY324" s="51">
        <v>1.043298969072165E-3</v>
      </c>
      <c r="AZ324" s="51">
        <v>1.0608247422680412E-3</v>
      </c>
      <c r="BA324" s="51">
        <v>1.0783505154639175E-3</v>
      </c>
      <c r="BB324" s="51">
        <v>1.095876288659794E-3</v>
      </c>
      <c r="BC324" s="51">
        <v>1.1134020618556702E-3</v>
      </c>
      <c r="BD324" s="51">
        <v>1.1309278350515465E-3</v>
      </c>
      <c r="BE324" s="51">
        <v>1.1484536082474227E-3</v>
      </c>
      <c r="BF324" s="51">
        <v>1.165979381443299E-3</v>
      </c>
      <c r="BG324" s="51">
        <v>1.1835051546391752E-3</v>
      </c>
      <c r="BH324" s="51">
        <v>1.2010309278350515E-3</v>
      </c>
      <c r="BI324" s="51">
        <v>1.2185567010309277E-3</v>
      </c>
      <c r="BJ324" s="51">
        <v>1.236082474226804E-3</v>
      </c>
      <c r="BK324" s="51">
        <v>1.2536082474226805E-3</v>
      </c>
      <c r="BL324" s="51">
        <v>1.2711340206185567E-3</v>
      </c>
      <c r="BM324" s="51">
        <v>1.288659793814433E-3</v>
      </c>
      <c r="BN324" s="51">
        <v>1.3061855670103092E-3</v>
      </c>
      <c r="BO324" s="51">
        <v>1.3237113402061855E-3</v>
      </c>
      <c r="BP324" s="51">
        <v>1.3412371134020619E-3</v>
      </c>
      <c r="BQ324" s="51">
        <v>1.3587628865979382E-3</v>
      </c>
      <c r="BR324" s="51">
        <v>1.3762886597938145E-3</v>
      </c>
      <c r="BS324" s="51">
        <v>1.3938144329896907E-3</v>
      </c>
      <c r="BT324" s="51">
        <v>1.411340206185567E-3</v>
      </c>
      <c r="BU324" s="51">
        <v>1.4288659793814432E-3</v>
      </c>
      <c r="BV324" s="51">
        <v>1.4463917525773195E-3</v>
      </c>
      <c r="BW324" s="51">
        <v>1.4639175257731957E-3</v>
      </c>
      <c r="BX324" s="51">
        <v>1.481443298969072E-3</v>
      </c>
      <c r="BY324" s="51">
        <v>1.4989690721649482E-3</v>
      </c>
      <c r="BZ324" s="51">
        <v>1.5164948453608247E-3</v>
      </c>
      <c r="CA324" s="51">
        <v>1.534020618556701E-3</v>
      </c>
      <c r="CB324" s="51">
        <v>1.5515463917525772E-3</v>
      </c>
      <c r="CC324" s="51">
        <v>1.5690721649484537E-3</v>
      </c>
      <c r="CD324" s="51">
        <v>1.5865979381443299E-3</v>
      </c>
      <c r="CE324" s="51">
        <v>1.6041237113402062E-3</v>
      </c>
      <c r="CF324" s="51">
        <v>1.6216494845360824E-3</v>
      </c>
      <c r="CG324" s="51">
        <v>1.6391752577319587E-3</v>
      </c>
      <c r="CH324" s="51">
        <v>1.656701030927835E-3</v>
      </c>
      <c r="CI324" s="51">
        <v>1.6742268041237112E-3</v>
      </c>
      <c r="CJ324" s="51">
        <v>1.6917525773195875E-3</v>
      </c>
      <c r="CK324" s="51">
        <v>1.7092783505154637E-3</v>
      </c>
      <c r="CL324" s="51">
        <v>1.72680412371134E-3</v>
      </c>
      <c r="CM324" s="51">
        <v>1.7443298969072164E-3</v>
      </c>
    </row>
    <row r="325" spans="1:91" s="50" customFormat="1" x14ac:dyDescent="0.25">
      <c r="A325" s="9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c r="BS325" s="51"/>
      <c r="BT325" s="51"/>
      <c r="BU325" s="51"/>
      <c r="BV325" s="51"/>
      <c r="BW325" s="51"/>
      <c r="BX325" s="51"/>
      <c r="BY325" s="51"/>
      <c r="BZ325" s="51"/>
      <c r="CA325" s="51"/>
      <c r="CB325" s="51"/>
      <c r="CC325" s="51"/>
      <c r="CD325" s="51"/>
      <c r="CE325" s="51"/>
      <c r="CF325" s="51"/>
      <c r="CG325" s="51"/>
      <c r="CH325" s="51"/>
      <c r="CI325" s="51"/>
      <c r="CJ325" s="51"/>
      <c r="CK325" s="51"/>
      <c r="CL325" s="51"/>
      <c r="CM325" s="51"/>
    </row>
    <row r="326" spans="1:91" s="50" customFormat="1" x14ac:dyDescent="0.25">
      <c r="A326" s="99" t="s">
        <v>363</v>
      </c>
      <c r="B326" s="4">
        <v>0</v>
      </c>
      <c r="C326" s="4">
        <v>0</v>
      </c>
      <c r="D326" s="4">
        <v>0</v>
      </c>
      <c r="E326" s="4">
        <v>0</v>
      </c>
      <c r="F326" s="4">
        <v>0</v>
      </c>
      <c r="G326" s="4">
        <v>0</v>
      </c>
      <c r="H326" s="4">
        <v>0</v>
      </c>
      <c r="I326" s="4">
        <v>0</v>
      </c>
      <c r="J326" s="4">
        <v>0</v>
      </c>
      <c r="K326" s="4">
        <v>0</v>
      </c>
      <c r="L326" s="4">
        <v>0</v>
      </c>
      <c r="M326" s="4">
        <v>0</v>
      </c>
      <c r="N326" s="4">
        <v>0</v>
      </c>
      <c r="O326" s="4">
        <v>0</v>
      </c>
      <c r="P326" s="4">
        <v>0</v>
      </c>
      <c r="Q326" s="4">
        <v>0</v>
      </c>
      <c r="R326" s="4">
        <v>0</v>
      </c>
      <c r="S326" s="4">
        <v>0</v>
      </c>
      <c r="T326" s="4">
        <v>0</v>
      </c>
      <c r="U326" s="4">
        <v>0</v>
      </c>
      <c r="V326" s="4">
        <v>0</v>
      </c>
      <c r="W326" s="4">
        <v>0</v>
      </c>
      <c r="X326" s="4">
        <v>0</v>
      </c>
      <c r="Y326" s="4">
        <v>0</v>
      </c>
      <c r="Z326" s="4">
        <v>0</v>
      </c>
      <c r="AA326" s="4">
        <v>0</v>
      </c>
      <c r="AB326" s="4">
        <v>0</v>
      </c>
      <c r="AC326" s="4">
        <v>0</v>
      </c>
      <c r="AD326" s="4">
        <v>0</v>
      </c>
      <c r="AE326" s="4">
        <v>0</v>
      </c>
      <c r="AF326" s="51">
        <v>8.6618671127481966E-4</v>
      </c>
      <c r="AG326" s="51">
        <v>8.7332065560907562E-4</v>
      </c>
      <c r="AH326" s="51">
        <v>8.8045459994333169E-4</v>
      </c>
      <c r="AI326" s="51">
        <v>8.8758854427758765E-4</v>
      </c>
      <c r="AJ326" s="51">
        <v>8.9472248861184372E-4</v>
      </c>
      <c r="AK326" s="51">
        <v>9.0185643294609969E-4</v>
      </c>
      <c r="AL326" s="51">
        <v>9.0899037728035576E-4</v>
      </c>
      <c r="AM326" s="51">
        <v>9.1612432161461172E-4</v>
      </c>
      <c r="AN326" s="51">
        <v>9.2325826594886768E-4</v>
      </c>
      <c r="AO326" s="51">
        <v>9.3039221028312375E-4</v>
      </c>
      <c r="AP326" s="51">
        <v>9.3752615461737982E-4</v>
      </c>
      <c r="AQ326" s="51">
        <v>9.4466009895163578E-4</v>
      </c>
      <c r="AR326" s="51">
        <v>9.5179404328589175E-4</v>
      </c>
      <c r="AS326" s="51">
        <v>9.5892798762014782E-4</v>
      </c>
      <c r="AT326" s="51">
        <v>9.6606193195440389E-4</v>
      </c>
      <c r="AU326" s="51">
        <v>9.7319587628865985E-4</v>
      </c>
      <c r="AV326" s="51">
        <v>9.9072164948453621E-4</v>
      </c>
      <c r="AW326" s="51">
        <v>1.0082474226804125E-3</v>
      </c>
      <c r="AX326" s="51">
        <v>1.0257731958762887E-3</v>
      </c>
      <c r="AY326" s="51">
        <v>1.043298969072165E-3</v>
      </c>
      <c r="AZ326" s="51">
        <v>1.0608247422680412E-3</v>
      </c>
      <c r="BA326" s="51">
        <v>1.0783505154639175E-3</v>
      </c>
      <c r="BB326" s="51">
        <v>1.095876288659794E-3</v>
      </c>
      <c r="BC326" s="51">
        <v>1.1134020618556702E-3</v>
      </c>
      <c r="BD326" s="51">
        <v>1.1309278350515465E-3</v>
      </c>
      <c r="BE326" s="51">
        <v>1.1484536082474227E-3</v>
      </c>
      <c r="BF326" s="51">
        <v>1.165979381443299E-3</v>
      </c>
      <c r="BG326" s="51">
        <v>1.1835051546391752E-3</v>
      </c>
      <c r="BH326" s="51">
        <v>1.2010309278350515E-3</v>
      </c>
      <c r="BI326" s="51">
        <v>1.2185567010309277E-3</v>
      </c>
      <c r="BJ326" s="51">
        <v>1.236082474226804E-3</v>
      </c>
      <c r="BK326" s="51">
        <v>1.2536082474226805E-3</v>
      </c>
      <c r="BL326" s="51">
        <v>1.2711340206185567E-3</v>
      </c>
      <c r="BM326" s="51">
        <v>1.288659793814433E-3</v>
      </c>
      <c r="BN326" s="51">
        <v>1.3061855670103092E-3</v>
      </c>
      <c r="BO326" s="51">
        <v>1.3237113402061855E-3</v>
      </c>
      <c r="BP326" s="51">
        <v>1.3412371134020619E-3</v>
      </c>
      <c r="BQ326" s="51">
        <v>1.3587628865979382E-3</v>
      </c>
      <c r="BR326" s="51">
        <v>1.3762886597938145E-3</v>
      </c>
      <c r="BS326" s="51">
        <v>1.3938144329896907E-3</v>
      </c>
      <c r="BT326" s="51">
        <v>1.411340206185567E-3</v>
      </c>
      <c r="BU326" s="51">
        <v>1.4288659793814432E-3</v>
      </c>
      <c r="BV326" s="51">
        <v>1.4463917525773195E-3</v>
      </c>
      <c r="BW326" s="51">
        <v>1.4639175257731957E-3</v>
      </c>
      <c r="BX326" s="51">
        <v>1.481443298969072E-3</v>
      </c>
      <c r="BY326" s="51">
        <v>1.4989690721649482E-3</v>
      </c>
      <c r="BZ326" s="51">
        <v>1.5164948453608247E-3</v>
      </c>
      <c r="CA326" s="51">
        <v>1.534020618556701E-3</v>
      </c>
      <c r="CB326" s="51">
        <v>1.5515463917525772E-3</v>
      </c>
      <c r="CC326" s="51">
        <v>1.5690721649484537E-3</v>
      </c>
      <c r="CD326" s="51">
        <v>1.5865979381443299E-3</v>
      </c>
      <c r="CE326" s="51">
        <v>1.6041237113402062E-3</v>
      </c>
      <c r="CF326" s="51">
        <v>1.6216494845360824E-3</v>
      </c>
      <c r="CG326" s="51">
        <v>1.6391752577319587E-3</v>
      </c>
      <c r="CH326" s="51">
        <v>1.656701030927835E-3</v>
      </c>
      <c r="CI326" s="51">
        <v>1.6742268041237112E-3</v>
      </c>
      <c r="CJ326" s="51">
        <v>1.6917525773195875E-3</v>
      </c>
      <c r="CK326" s="51">
        <v>1.7092783505154637E-3</v>
      </c>
      <c r="CL326" s="51">
        <v>1.72680412371134E-3</v>
      </c>
      <c r="CM326" s="51">
        <v>1.7443298969072164E-3</v>
      </c>
    </row>
    <row r="327" spans="1:91" s="50" customFormat="1" x14ac:dyDescent="0.25">
      <c r="A327" s="9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c r="BS327" s="51"/>
      <c r="BT327" s="51"/>
      <c r="BU327" s="51"/>
      <c r="BV327" s="51"/>
      <c r="BW327" s="51"/>
      <c r="BX327" s="51"/>
      <c r="BY327" s="51"/>
      <c r="BZ327" s="51"/>
      <c r="CA327" s="51"/>
      <c r="CB327" s="51"/>
      <c r="CC327" s="51"/>
      <c r="CD327" s="51"/>
      <c r="CE327" s="51"/>
      <c r="CF327" s="51"/>
      <c r="CG327" s="51"/>
      <c r="CH327" s="51"/>
      <c r="CI327" s="51"/>
      <c r="CJ327" s="51"/>
      <c r="CK327" s="51"/>
      <c r="CL327" s="51"/>
      <c r="CM327" s="51"/>
    </row>
    <row r="328" spans="1:91" s="50" customFormat="1" x14ac:dyDescent="0.25">
      <c r="A328" s="99" t="s">
        <v>165</v>
      </c>
      <c r="B328" s="4">
        <v>0</v>
      </c>
      <c r="C328" s="4">
        <v>0</v>
      </c>
      <c r="D328" s="4">
        <v>0</v>
      </c>
      <c r="E328" s="4">
        <v>0</v>
      </c>
      <c r="F328" s="4">
        <v>0</v>
      </c>
      <c r="G328" s="4">
        <v>0</v>
      </c>
      <c r="H328" s="4">
        <v>0</v>
      </c>
      <c r="I328" s="4">
        <v>0</v>
      </c>
      <c r="J328" s="4">
        <v>0</v>
      </c>
      <c r="K328" s="4">
        <v>0</v>
      </c>
      <c r="L328" s="4">
        <v>0</v>
      </c>
      <c r="M328" s="4">
        <v>0</v>
      </c>
      <c r="N328" s="4">
        <v>0</v>
      </c>
      <c r="O328" s="4">
        <v>0</v>
      </c>
      <c r="P328" s="4">
        <v>0</v>
      </c>
      <c r="Q328" s="4">
        <v>0</v>
      </c>
      <c r="R328" s="4">
        <v>0</v>
      </c>
      <c r="S328" s="4">
        <v>0</v>
      </c>
      <c r="T328" s="4">
        <v>0</v>
      </c>
      <c r="U328" s="4">
        <v>0</v>
      </c>
      <c r="V328" s="4">
        <v>0</v>
      </c>
      <c r="W328" s="4">
        <v>0</v>
      </c>
      <c r="X328" s="4">
        <v>0</v>
      </c>
      <c r="Y328" s="4">
        <v>0</v>
      </c>
      <c r="Z328" s="4">
        <v>0</v>
      </c>
      <c r="AA328" s="4">
        <v>0</v>
      </c>
      <c r="AB328" s="4">
        <v>0</v>
      </c>
      <c r="AC328" s="4">
        <v>0</v>
      </c>
      <c r="AD328" s="4">
        <v>0</v>
      </c>
      <c r="AE328" s="4">
        <v>0</v>
      </c>
      <c r="AF328" s="51">
        <v>2.8586557155908612E-3</v>
      </c>
      <c r="AG328" s="51">
        <v>2.909963886131464E-3</v>
      </c>
      <c r="AH328" s="51">
        <v>2.9612720566720677E-3</v>
      </c>
      <c r="AI328" s="51">
        <v>3.0125802272126705E-3</v>
      </c>
      <c r="AJ328" s="51">
        <v>3.0638883977532742E-3</v>
      </c>
      <c r="AK328" s="51">
        <v>3.1151965682938766E-3</v>
      </c>
      <c r="AL328" s="51">
        <v>3.1665047388344802E-3</v>
      </c>
      <c r="AM328" s="51">
        <v>3.2178129093750835E-3</v>
      </c>
      <c r="AN328" s="51">
        <v>3.2691210799156863E-3</v>
      </c>
      <c r="AO328" s="51">
        <v>3.3204292504562887E-3</v>
      </c>
      <c r="AP328" s="51">
        <v>3.3717374209968911E-3</v>
      </c>
      <c r="AQ328" s="51">
        <v>3.4230455915374956E-3</v>
      </c>
      <c r="AR328" s="51">
        <v>3.474353762078098E-3</v>
      </c>
      <c r="AS328" s="51">
        <v>3.5256619326187004E-3</v>
      </c>
      <c r="AT328" s="51">
        <v>3.5769701031593041E-3</v>
      </c>
      <c r="AU328" s="51">
        <v>3.6282782736999073E-3</v>
      </c>
      <c r="AV328" s="51">
        <v>3.6601435786098075E-3</v>
      </c>
      <c r="AW328" s="51">
        <v>3.6920088835197063E-3</v>
      </c>
      <c r="AX328" s="51">
        <v>3.7238741884296055E-3</v>
      </c>
      <c r="AY328" s="51">
        <v>3.7557394933395052E-3</v>
      </c>
      <c r="AZ328" s="51">
        <v>3.7876047982494045E-3</v>
      </c>
      <c r="BA328" s="51">
        <v>3.8194701031593042E-3</v>
      </c>
      <c r="BB328" s="51">
        <v>3.8513354080692043E-3</v>
      </c>
      <c r="BC328" s="51">
        <v>3.8832007129791031E-3</v>
      </c>
      <c r="BD328" s="51">
        <v>3.9150660178890037E-3</v>
      </c>
      <c r="BE328" s="51">
        <v>3.9469313227989029E-3</v>
      </c>
      <c r="BF328" s="51">
        <v>3.9787966277088022E-3</v>
      </c>
      <c r="BG328" s="51">
        <v>4.0106619326187015E-3</v>
      </c>
      <c r="BH328" s="51">
        <v>4.0425272375286016E-3</v>
      </c>
      <c r="BI328" s="51">
        <v>4.0743925424385008E-3</v>
      </c>
      <c r="BJ328" s="51">
        <v>4.1062578473483992E-3</v>
      </c>
      <c r="BK328" s="51">
        <v>4.1381231522582993E-3</v>
      </c>
      <c r="BL328" s="51">
        <v>4.1699884571681986E-3</v>
      </c>
      <c r="BM328" s="51">
        <v>4.2018537620780979E-3</v>
      </c>
      <c r="BN328" s="51">
        <v>4.233719066987998E-3</v>
      </c>
      <c r="BO328" s="51">
        <v>4.2655843718978972E-3</v>
      </c>
      <c r="BP328" s="51">
        <v>4.2974496768077956E-3</v>
      </c>
      <c r="BQ328" s="51">
        <v>4.3293149817176958E-3</v>
      </c>
      <c r="BR328" s="51">
        <v>4.3611802866275959E-3</v>
      </c>
      <c r="BS328" s="51">
        <v>4.3930455915374969E-3</v>
      </c>
      <c r="BT328" s="51">
        <v>4.4249108964473944E-3</v>
      </c>
      <c r="BU328" s="51">
        <v>4.4567762013572945E-3</v>
      </c>
      <c r="BV328" s="51">
        <v>4.4886415062671938E-3</v>
      </c>
      <c r="BW328" s="51">
        <v>4.520506811177093E-3</v>
      </c>
      <c r="BX328" s="51">
        <v>4.5523721160869923E-3</v>
      </c>
      <c r="BY328" s="51">
        <v>4.5842374209968924E-3</v>
      </c>
      <c r="BZ328" s="51">
        <v>4.6161027259067908E-3</v>
      </c>
      <c r="CA328" s="51">
        <v>4.6479680308166918E-3</v>
      </c>
      <c r="CB328" s="51">
        <v>4.6798333357265902E-3</v>
      </c>
      <c r="CC328" s="51">
        <v>4.7116986406364903E-3</v>
      </c>
      <c r="CD328" s="51">
        <v>4.7435639455463896E-3</v>
      </c>
      <c r="CE328" s="51">
        <v>4.7754292504562897E-3</v>
      </c>
      <c r="CF328" s="51">
        <v>4.8072945553661881E-3</v>
      </c>
      <c r="CG328" s="51">
        <v>4.8391598602760891E-3</v>
      </c>
      <c r="CH328" s="51">
        <v>4.8710251651859866E-3</v>
      </c>
      <c r="CI328" s="51">
        <v>4.9028904700958876E-3</v>
      </c>
      <c r="CJ328" s="51">
        <v>4.9347557750057851E-3</v>
      </c>
      <c r="CK328" s="51">
        <v>4.9666210799156861E-3</v>
      </c>
      <c r="CL328" s="51">
        <v>4.9984863848255862E-3</v>
      </c>
      <c r="CM328" s="51">
        <v>5.0303516897354846E-3</v>
      </c>
    </row>
    <row r="329" spans="1:91" s="50" customFormat="1" x14ac:dyDescent="0.25">
      <c r="A329" s="99" t="s">
        <v>1</v>
      </c>
      <c r="B329" s="4">
        <v>0</v>
      </c>
      <c r="C329" s="4">
        <v>0</v>
      </c>
      <c r="D329" s="4">
        <v>0</v>
      </c>
      <c r="E329" s="4">
        <v>0</v>
      </c>
      <c r="F329" s="4">
        <v>0</v>
      </c>
      <c r="G329" s="4">
        <v>0</v>
      </c>
      <c r="H329" s="4">
        <v>0</v>
      </c>
      <c r="I329" s="4">
        <v>0</v>
      </c>
      <c r="J329" s="4">
        <v>0</v>
      </c>
      <c r="K329" s="4">
        <v>0</v>
      </c>
      <c r="L329" s="4">
        <v>0</v>
      </c>
      <c r="M329" s="4">
        <v>0</v>
      </c>
      <c r="N329" s="4">
        <v>0</v>
      </c>
      <c r="O329" s="4">
        <v>0</v>
      </c>
      <c r="P329" s="4">
        <v>0</v>
      </c>
      <c r="Q329" s="4">
        <v>0</v>
      </c>
      <c r="R329" s="4">
        <v>0</v>
      </c>
      <c r="S329" s="4">
        <v>0</v>
      </c>
      <c r="T329" s="4">
        <v>0</v>
      </c>
      <c r="U329" s="4">
        <v>0</v>
      </c>
      <c r="V329" s="4">
        <v>0</v>
      </c>
      <c r="W329" s="4">
        <v>0</v>
      </c>
      <c r="X329" s="4">
        <v>0</v>
      </c>
      <c r="Y329" s="4">
        <v>0</v>
      </c>
      <c r="Z329" s="4">
        <v>0</v>
      </c>
      <c r="AA329" s="4">
        <v>0</v>
      </c>
      <c r="AB329" s="4">
        <v>0</v>
      </c>
      <c r="AC329" s="4">
        <v>0</v>
      </c>
      <c r="AD329" s="4">
        <v>0</v>
      </c>
      <c r="AE329" s="4">
        <v>0</v>
      </c>
      <c r="AF329" s="51">
        <v>2.21991625074704E-3</v>
      </c>
      <c r="AG329" s="51">
        <v>2.2566263371078163E-3</v>
      </c>
      <c r="AH329" s="51">
        <v>2.2933364234685931E-3</v>
      </c>
      <c r="AI329" s="51">
        <v>2.3300465098293689E-3</v>
      </c>
      <c r="AJ329" s="51">
        <v>2.3667565961901457E-3</v>
      </c>
      <c r="AK329" s="51">
        <v>2.403466682550922E-3</v>
      </c>
      <c r="AL329" s="51">
        <v>2.4401767689116983E-3</v>
      </c>
      <c r="AM329" s="51">
        <v>2.4768868552724754E-3</v>
      </c>
      <c r="AN329" s="51">
        <v>2.5135969416332517E-3</v>
      </c>
      <c r="AO329" s="51">
        <v>2.5503070279940276E-3</v>
      </c>
      <c r="AP329" s="51">
        <v>2.5870171143548043E-3</v>
      </c>
      <c r="AQ329" s="51">
        <v>2.6237272007155811E-3</v>
      </c>
      <c r="AR329" s="51">
        <v>2.6604372870763569E-3</v>
      </c>
      <c r="AS329" s="51">
        <v>2.6971473734371336E-3</v>
      </c>
      <c r="AT329" s="51">
        <v>2.7338574597979095E-3</v>
      </c>
      <c r="AU329" s="51">
        <v>2.7705675461586858E-3</v>
      </c>
      <c r="AV329" s="51">
        <v>2.7941732069956472E-3</v>
      </c>
      <c r="AW329" s="51">
        <v>2.8177788678326082E-3</v>
      </c>
      <c r="AX329" s="51">
        <v>2.8413845286695688E-3</v>
      </c>
      <c r="AY329" s="51">
        <v>2.8649901895065294E-3</v>
      </c>
      <c r="AZ329" s="51">
        <v>2.8885958503434904E-3</v>
      </c>
      <c r="BA329" s="51">
        <v>2.9122015111804514E-3</v>
      </c>
      <c r="BB329" s="51">
        <v>2.9358071720174115E-3</v>
      </c>
      <c r="BC329" s="51">
        <v>2.9594128328543738E-3</v>
      </c>
      <c r="BD329" s="51">
        <v>2.9830184936913344E-3</v>
      </c>
      <c r="BE329" s="51">
        <v>3.0066241545282949E-3</v>
      </c>
      <c r="BF329" s="51">
        <v>3.030229815365256E-3</v>
      </c>
      <c r="BG329" s="51">
        <v>3.0538354762022174E-3</v>
      </c>
      <c r="BH329" s="51">
        <v>3.0774411370391771E-3</v>
      </c>
      <c r="BI329" s="51">
        <v>3.1010467978761381E-3</v>
      </c>
      <c r="BJ329" s="51">
        <v>3.1246524587130987E-3</v>
      </c>
      <c r="BK329" s="51">
        <v>3.1482581195500597E-3</v>
      </c>
      <c r="BL329" s="51">
        <v>3.1718637803870211E-3</v>
      </c>
      <c r="BM329" s="51">
        <v>3.1954694412239821E-3</v>
      </c>
      <c r="BN329" s="51">
        <v>3.2190751020609435E-3</v>
      </c>
      <c r="BO329" s="51">
        <v>3.2426807628979037E-3</v>
      </c>
      <c r="BP329" s="51">
        <v>3.2662864237348651E-3</v>
      </c>
      <c r="BQ329" s="51">
        <v>3.2898920845718252E-3</v>
      </c>
      <c r="BR329" s="51">
        <v>3.3134977454087858E-3</v>
      </c>
      <c r="BS329" s="51">
        <v>3.3371034062457468E-3</v>
      </c>
      <c r="BT329" s="51">
        <v>3.3607090670827078E-3</v>
      </c>
      <c r="BU329" s="51">
        <v>3.3843147279196684E-3</v>
      </c>
      <c r="BV329" s="51">
        <v>3.4079203887566302E-3</v>
      </c>
      <c r="BW329" s="51">
        <v>3.4315260495935899E-3</v>
      </c>
      <c r="BX329" s="51">
        <v>3.4551317104305514E-3</v>
      </c>
      <c r="BY329" s="51">
        <v>3.4787373712675128E-3</v>
      </c>
      <c r="BZ329" s="51">
        <v>3.5023430321044729E-3</v>
      </c>
      <c r="CA329" s="51">
        <v>3.5259486929414339E-3</v>
      </c>
      <c r="CB329" s="51">
        <v>3.5495543537783945E-3</v>
      </c>
      <c r="CC329" s="51">
        <v>3.5731600146153551E-3</v>
      </c>
      <c r="CD329" s="51">
        <v>3.5967656754523165E-3</v>
      </c>
      <c r="CE329" s="51">
        <v>3.6203713362892771E-3</v>
      </c>
      <c r="CF329" s="51">
        <v>3.6439769971262381E-3</v>
      </c>
      <c r="CG329" s="51">
        <v>3.6675826579631995E-3</v>
      </c>
      <c r="CH329" s="51">
        <v>3.6911883188001609E-3</v>
      </c>
      <c r="CI329" s="51">
        <v>3.7147939796371206E-3</v>
      </c>
      <c r="CJ329" s="51">
        <v>3.7383996404740821E-3</v>
      </c>
      <c r="CK329" s="51">
        <v>3.7620053013110422E-3</v>
      </c>
      <c r="CL329" s="51">
        <v>3.7856109621480032E-3</v>
      </c>
      <c r="CM329" s="51">
        <v>3.8092166229849646E-3</v>
      </c>
    </row>
    <row r="330" spans="1:91" s="50" customFormat="1" x14ac:dyDescent="0.25">
      <c r="A330" s="99" t="s">
        <v>1</v>
      </c>
      <c r="B330" s="4">
        <v>0</v>
      </c>
      <c r="C330" s="4">
        <v>0</v>
      </c>
      <c r="D330" s="4">
        <v>0</v>
      </c>
      <c r="E330" s="4">
        <v>0</v>
      </c>
      <c r="F330" s="4">
        <v>0</v>
      </c>
      <c r="G330" s="4">
        <v>0</v>
      </c>
      <c r="H330" s="4">
        <v>0</v>
      </c>
      <c r="I330" s="4">
        <v>0</v>
      </c>
      <c r="J330" s="4">
        <v>0</v>
      </c>
      <c r="K330" s="4">
        <v>0</v>
      </c>
      <c r="L330" s="4">
        <v>0</v>
      </c>
      <c r="M330" s="4">
        <v>0</v>
      </c>
      <c r="N330" s="4">
        <v>0</v>
      </c>
      <c r="O330" s="4">
        <v>0</v>
      </c>
      <c r="P330" s="4">
        <v>0</v>
      </c>
      <c r="Q330" s="4">
        <v>0</v>
      </c>
      <c r="R330" s="4">
        <v>0</v>
      </c>
      <c r="S330" s="4">
        <v>0</v>
      </c>
      <c r="T330" s="4">
        <v>0</v>
      </c>
      <c r="U330" s="4">
        <v>0</v>
      </c>
      <c r="V330" s="4">
        <v>0</v>
      </c>
      <c r="W330" s="4">
        <v>0</v>
      </c>
      <c r="X330" s="4">
        <v>0</v>
      </c>
      <c r="Y330" s="4">
        <v>0</v>
      </c>
      <c r="Z330" s="4">
        <v>0</v>
      </c>
      <c r="AA330" s="4">
        <v>0</v>
      </c>
      <c r="AB330" s="4">
        <v>0</v>
      </c>
      <c r="AC330" s="4">
        <v>0</v>
      </c>
      <c r="AD330" s="4">
        <v>0</v>
      </c>
      <c r="AE330" s="4">
        <v>0</v>
      </c>
      <c r="AF330" s="51">
        <v>3.2695631189309741E-3</v>
      </c>
      <c r="AG330" s="51">
        <v>3.3190680876783053E-3</v>
      </c>
      <c r="AH330" s="51">
        <v>3.3685730564256351E-3</v>
      </c>
      <c r="AI330" s="51">
        <v>3.4180780251729654E-3</v>
      </c>
      <c r="AJ330" s="51">
        <v>3.4675829939202975E-3</v>
      </c>
      <c r="AK330" s="51">
        <v>3.5170879626676278E-3</v>
      </c>
      <c r="AL330" s="51">
        <v>3.566592931414959E-3</v>
      </c>
      <c r="AM330" s="51">
        <v>3.6160979001622893E-3</v>
      </c>
      <c r="AN330" s="51">
        <v>3.66560286890962E-3</v>
      </c>
      <c r="AO330" s="51">
        <v>3.7151078376569512E-3</v>
      </c>
      <c r="AP330" s="51">
        <v>3.764612806404282E-3</v>
      </c>
      <c r="AQ330" s="51">
        <v>3.8141177751516123E-3</v>
      </c>
      <c r="AR330" s="51">
        <v>3.8636227438989435E-3</v>
      </c>
      <c r="AS330" s="51">
        <v>3.9131277126462733E-3</v>
      </c>
      <c r="AT330" s="51">
        <v>3.9626326813936045E-3</v>
      </c>
      <c r="AU330" s="51">
        <v>4.0121376501409357E-3</v>
      </c>
      <c r="AV330" s="51">
        <v>4.0409850921853223E-3</v>
      </c>
      <c r="AW330" s="51">
        <v>4.0698325342297097E-3</v>
      </c>
      <c r="AX330" s="51">
        <v>4.0986799762740963E-3</v>
      </c>
      <c r="AY330" s="51">
        <v>4.127527418318482E-3</v>
      </c>
      <c r="AZ330" s="51">
        <v>4.1563748603628704E-3</v>
      </c>
      <c r="BA330" s="51">
        <v>4.1852223024072561E-3</v>
      </c>
      <c r="BB330" s="51">
        <v>4.2140697444516435E-3</v>
      </c>
      <c r="BC330" s="51">
        <v>4.2429171864960301E-3</v>
      </c>
      <c r="BD330" s="51">
        <v>4.2717646285404158E-3</v>
      </c>
      <c r="BE330" s="51">
        <v>4.3006120705848042E-3</v>
      </c>
      <c r="BF330" s="51">
        <v>4.3294595126291899E-3</v>
      </c>
      <c r="BG330" s="51">
        <v>4.3583069546735782E-3</v>
      </c>
      <c r="BH330" s="51">
        <v>4.3871543967179639E-3</v>
      </c>
      <c r="BI330" s="51">
        <v>4.4160018387623514E-3</v>
      </c>
      <c r="BJ330" s="51">
        <v>4.444849280806738E-3</v>
      </c>
      <c r="BK330" s="51">
        <v>4.4736967228511245E-3</v>
      </c>
      <c r="BL330" s="51">
        <v>4.5025441648955111E-3</v>
      </c>
      <c r="BM330" s="51">
        <v>4.5313916069398994E-3</v>
      </c>
      <c r="BN330" s="51">
        <v>4.5602390489842852E-3</v>
      </c>
      <c r="BO330" s="51">
        <v>4.5890864910286726E-3</v>
      </c>
      <c r="BP330" s="51">
        <v>4.6179339330730601E-3</v>
      </c>
      <c r="BQ330" s="51">
        <v>4.6467813751174458E-3</v>
      </c>
      <c r="BR330" s="51">
        <v>4.6756288171618332E-3</v>
      </c>
      <c r="BS330" s="51">
        <v>4.7044762592062198E-3</v>
      </c>
      <c r="BT330" s="51">
        <v>4.7333237012506073E-3</v>
      </c>
      <c r="BU330" s="51">
        <v>4.762171143294993E-3</v>
      </c>
      <c r="BV330" s="51">
        <v>4.7910185853393805E-3</v>
      </c>
      <c r="BW330" s="51">
        <v>4.8198660273837679E-3</v>
      </c>
      <c r="BX330" s="51">
        <v>4.8487134694281545E-3</v>
      </c>
      <c r="BY330" s="51">
        <v>4.8775609114725419E-3</v>
      </c>
      <c r="BZ330" s="51">
        <v>4.9064083535169277E-3</v>
      </c>
      <c r="CA330" s="51">
        <v>4.9352557955613151E-3</v>
      </c>
      <c r="CB330" s="51">
        <v>4.9641032376057017E-3</v>
      </c>
      <c r="CC330" s="51">
        <v>4.9929506796500883E-3</v>
      </c>
      <c r="CD330" s="51">
        <v>5.0217981216944757E-3</v>
      </c>
      <c r="CE330" s="51">
        <v>5.0506455637388623E-3</v>
      </c>
      <c r="CF330" s="51">
        <v>5.0794930057832489E-3</v>
      </c>
      <c r="CG330" s="51">
        <v>5.1083404478276355E-3</v>
      </c>
      <c r="CH330" s="51">
        <v>5.1371878898720212E-3</v>
      </c>
      <c r="CI330" s="51">
        <v>5.1660353319164087E-3</v>
      </c>
      <c r="CJ330" s="51">
        <v>5.1948827739607961E-3</v>
      </c>
      <c r="CK330" s="51">
        <v>5.2237302160051836E-3</v>
      </c>
      <c r="CL330" s="51">
        <v>5.252577658049571E-3</v>
      </c>
      <c r="CM330" s="51">
        <v>5.2814251000939559E-3</v>
      </c>
    </row>
    <row r="331" spans="1:91" s="50" customFormat="1" x14ac:dyDescent="0.25">
      <c r="A331" s="99" t="s">
        <v>1</v>
      </c>
      <c r="B331" s="4">
        <v>0</v>
      </c>
      <c r="C331" s="4">
        <v>0</v>
      </c>
      <c r="D331" s="4">
        <v>0</v>
      </c>
      <c r="E331" s="4">
        <v>0</v>
      </c>
      <c r="F331" s="4">
        <v>0</v>
      </c>
      <c r="G331" s="4">
        <v>0</v>
      </c>
      <c r="H331" s="4">
        <v>0</v>
      </c>
      <c r="I331" s="4">
        <v>0</v>
      </c>
      <c r="J331" s="4">
        <v>0</v>
      </c>
      <c r="K331" s="4">
        <v>0</v>
      </c>
      <c r="L331" s="4">
        <v>0</v>
      </c>
      <c r="M331" s="4">
        <v>0</v>
      </c>
      <c r="N331" s="4">
        <v>0</v>
      </c>
      <c r="O331" s="4">
        <v>0</v>
      </c>
      <c r="P331" s="4">
        <v>0</v>
      </c>
      <c r="Q331" s="4">
        <v>0</v>
      </c>
      <c r="R331" s="4">
        <v>0</v>
      </c>
      <c r="S331" s="4">
        <v>0</v>
      </c>
      <c r="T331" s="4">
        <v>0</v>
      </c>
      <c r="U331" s="4">
        <v>0</v>
      </c>
      <c r="V331" s="4">
        <v>0</v>
      </c>
      <c r="W331" s="4">
        <v>0</v>
      </c>
      <c r="X331" s="4">
        <v>0</v>
      </c>
      <c r="Y331" s="4">
        <v>0</v>
      </c>
      <c r="Z331" s="4">
        <v>0</v>
      </c>
      <c r="AA331" s="4">
        <v>0</v>
      </c>
      <c r="AB331" s="4">
        <v>0</v>
      </c>
      <c r="AC331" s="4">
        <v>0</v>
      </c>
      <c r="AD331" s="4">
        <v>0</v>
      </c>
      <c r="AE331" s="4">
        <v>0</v>
      </c>
      <c r="AF331" s="51">
        <v>1.4251346260975677E-3</v>
      </c>
      <c r="AG331" s="51">
        <v>1.4394010133432365E-3</v>
      </c>
      <c r="AH331" s="51">
        <v>1.4536674005889065E-3</v>
      </c>
      <c r="AI331" s="51">
        <v>1.4679337878345756E-3</v>
      </c>
      <c r="AJ331" s="51">
        <v>1.4822001750802451E-3</v>
      </c>
      <c r="AK331" s="51">
        <v>1.4964665623259147E-3</v>
      </c>
      <c r="AL331" s="51">
        <v>1.5107329495715842E-3</v>
      </c>
      <c r="AM331" s="51">
        <v>1.5249993368172535E-3</v>
      </c>
      <c r="AN331" s="51">
        <v>1.5392657240629226E-3</v>
      </c>
      <c r="AO331" s="51">
        <v>1.5535321113085924E-3</v>
      </c>
      <c r="AP331" s="51">
        <v>1.5677984985542617E-3</v>
      </c>
      <c r="AQ331" s="51">
        <v>1.5820648857999312E-3</v>
      </c>
      <c r="AR331" s="51">
        <v>1.5963312730456008E-3</v>
      </c>
      <c r="AS331" s="51">
        <v>1.6105976602912699E-3</v>
      </c>
      <c r="AT331" s="51">
        <v>1.6248640475369394E-3</v>
      </c>
      <c r="AU331" s="51">
        <v>1.6391304347826087E-3</v>
      </c>
      <c r="AV331" s="51">
        <v>1.6512056578914661E-3</v>
      </c>
      <c r="AW331" s="51">
        <v>1.6632808810003231E-3</v>
      </c>
      <c r="AX331" s="51">
        <v>1.6753561041091803E-3</v>
      </c>
      <c r="AY331" s="51">
        <v>1.6874313272180379E-3</v>
      </c>
      <c r="AZ331" s="51">
        <v>1.6995065503268951E-3</v>
      </c>
      <c r="BA331" s="51">
        <v>1.7115817734357521E-3</v>
      </c>
      <c r="BB331" s="51">
        <v>1.7236569965446093E-3</v>
      </c>
      <c r="BC331" s="51">
        <v>1.7357322196534667E-3</v>
      </c>
      <c r="BD331" s="51">
        <v>1.7478074427623236E-3</v>
      </c>
      <c r="BE331" s="51">
        <v>1.759882665871181E-3</v>
      </c>
      <c r="BF331" s="51">
        <v>1.7719578889800382E-3</v>
      </c>
      <c r="BG331" s="51">
        <v>1.7840331120888959E-3</v>
      </c>
      <c r="BH331" s="51">
        <v>1.7961083351977531E-3</v>
      </c>
      <c r="BI331" s="51">
        <v>1.8081835583066094E-3</v>
      </c>
      <c r="BJ331" s="51">
        <v>1.8202587814154672E-3</v>
      </c>
      <c r="BK331" s="51">
        <v>1.8323340045243244E-3</v>
      </c>
      <c r="BL331" s="51">
        <v>1.844409227633182E-3</v>
      </c>
      <c r="BM331" s="51">
        <v>1.8564844507420388E-3</v>
      </c>
      <c r="BN331" s="51">
        <v>1.8685596738508962E-3</v>
      </c>
      <c r="BO331" s="51">
        <v>1.8806348969597534E-3</v>
      </c>
      <c r="BP331" s="51">
        <v>1.8927101200686108E-3</v>
      </c>
      <c r="BQ331" s="51">
        <v>1.9047853431774678E-3</v>
      </c>
      <c r="BR331" s="51">
        <v>1.9168605662863256E-3</v>
      </c>
      <c r="BS331" s="51">
        <v>1.9289357893951824E-3</v>
      </c>
      <c r="BT331" s="51">
        <v>1.9410110125040402E-3</v>
      </c>
      <c r="BU331" s="51">
        <v>1.9530862356128972E-3</v>
      </c>
      <c r="BV331" s="51">
        <v>1.9651614587217541E-3</v>
      </c>
      <c r="BW331" s="51">
        <v>1.9772366818306113E-3</v>
      </c>
      <c r="BX331" s="51">
        <v>1.989311904939469E-3</v>
      </c>
      <c r="BY331" s="51">
        <v>2.0013871280483257E-3</v>
      </c>
      <c r="BZ331" s="51">
        <v>2.0134623511571829E-3</v>
      </c>
      <c r="CA331" s="51">
        <v>2.0255375742660405E-3</v>
      </c>
      <c r="CB331" s="51">
        <v>2.0376127973748973E-3</v>
      </c>
      <c r="CC331" s="51">
        <v>2.0496880204837549E-3</v>
      </c>
      <c r="CD331" s="51">
        <v>2.0617632435926121E-3</v>
      </c>
      <c r="CE331" s="51">
        <v>2.0738384667014697E-3</v>
      </c>
      <c r="CF331" s="51">
        <v>2.0859136898103261E-3</v>
      </c>
      <c r="CG331" s="51">
        <v>2.0979889129191837E-3</v>
      </c>
      <c r="CH331" s="51">
        <v>2.1100641360280409E-3</v>
      </c>
      <c r="CI331" s="51">
        <v>2.1221393591368985E-3</v>
      </c>
      <c r="CJ331" s="51">
        <v>2.1342145822457557E-3</v>
      </c>
      <c r="CK331" s="51">
        <v>2.1462898053546129E-3</v>
      </c>
      <c r="CL331" s="51">
        <v>2.1583650284634701E-3</v>
      </c>
      <c r="CM331" s="51">
        <v>2.1704402515723277E-3</v>
      </c>
    </row>
    <row r="332" spans="1:91" s="50" customFormat="1" x14ac:dyDescent="0.25">
      <c r="A332" s="99" t="s">
        <v>1</v>
      </c>
      <c r="B332" s="4">
        <v>0</v>
      </c>
      <c r="C332" s="4">
        <v>0</v>
      </c>
      <c r="D332" s="4">
        <v>0</v>
      </c>
      <c r="E332" s="4">
        <v>0</v>
      </c>
      <c r="F332" s="4">
        <v>0</v>
      </c>
      <c r="G332" s="4">
        <v>0</v>
      </c>
      <c r="H332" s="4">
        <v>0</v>
      </c>
      <c r="I332" s="4">
        <v>0</v>
      </c>
      <c r="J332" s="4">
        <v>0</v>
      </c>
      <c r="K332" s="4">
        <v>0</v>
      </c>
      <c r="L332" s="4">
        <v>0</v>
      </c>
      <c r="M332" s="4">
        <v>0</v>
      </c>
      <c r="N332" s="4">
        <v>0</v>
      </c>
      <c r="O332" s="4">
        <v>0</v>
      </c>
      <c r="P332" s="4">
        <v>0</v>
      </c>
      <c r="Q332" s="4">
        <v>0</v>
      </c>
      <c r="R332" s="4">
        <v>0</v>
      </c>
      <c r="S332" s="4">
        <v>0</v>
      </c>
      <c r="T332" s="4">
        <v>0</v>
      </c>
      <c r="U332" s="4">
        <v>0</v>
      </c>
      <c r="V332" s="4">
        <v>0</v>
      </c>
      <c r="W332" s="4">
        <v>0</v>
      </c>
      <c r="X332" s="4">
        <v>0</v>
      </c>
      <c r="Y332" s="4">
        <v>0</v>
      </c>
      <c r="Z332" s="4">
        <v>0</v>
      </c>
      <c r="AA332" s="4">
        <v>0</v>
      </c>
      <c r="AB332" s="4">
        <v>0</v>
      </c>
      <c r="AC332" s="4">
        <v>0</v>
      </c>
      <c r="AD332" s="4">
        <v>0</v>
      </c>
      <c r="AE332" s="4">
        <v>0</v>
      </c>
      <c r="AF332" s="51">
        <v>1.6577549140049134E-3</v>
      </c>
      <c r="AG332" s="51">
        <v>1.6804361179361179E-3</v>
      </c>
      <c r="AH332" s="51">
        <v>1.7031173218673219E-3</v>
      </c>
      <c r="AI332" s="51">
        <v>1.7257985257985258E-3</v>
      </c>
      <c r="AJ332" s="51">
        <v>1.7484797297297294E-3</v>
      </c>
      <c r="AK332" s="51">
        <v>1.7711609336609332E-3</v>
      </c>
      <c r="AL332" s="51">
        <v>1.7938421375921377E-3</v>
      </c>
      <c r="AM332" s="51">
        <v>1.8165233415233415E-3</v>
      </c>
      <c r="AN332" s="51">
        <v>1.8392045454545453E-3</v>
      </c>
      <c r="AO332" s="51">
        <v>1.8618857493857496E-3</v>
      </c>
      <c r="AP332" s="51">
        <v>1.8845669533169532E-3</v>
      </c>
      <c r="AQ332" s="51">
        <v>1.9072481572481575E-3</v>
      </c>
      <c r="AR332" s="51">
        <v>1.9299293611793611E-3</v>
      </c>
      <c r="AS332" s="51">
        <v>1.9526105651105647E-3</v>
      </c>
      <c r="AT332" s="51">
        <v>1.9752917690417696E-3</v>
      </c>
      <c r="AU332" s="51">
        <v>1.9979729729729728E-3</v>
      </c>
      <c r="AV332" s="51">
        <v>2.0184735872235877E-3</v>
      </c>
      <c r="AW332" s="51">
        <v>2.0389742014742013E-3</v>
      </c>
      <c r="AX332" s="51">
        <v>2.0594748157248153E-3</v>
      </c>
      <c r="AY332" s="51">
        <v>2.0799754299754298E-3</v>
      </c>
      <c r="AZ332" s="51">
        <v>2.1004760442260443E-3</v>
      </c>
      <c r="BA332" s="51">
        <v>2.1209766584766587E-3</v>
      </c>
      <c r="BB332" s="51">
        <v>2.1414772727272723E-3</v>
      </c>
      <c r="BC332" s="51">
        <v>2.1619778869778868E-3</v>
      </c>
      <c r="BD332" s="51">
        <v>2.1824785012285013E-3</v>
      </c>
      <c r="BE332" s="51">
        <v>2.2029791154791153E-3</v>
      </c>
      <c r="BF332" s="51">
        <v>2.2234797297297293E-3</v>
      </c>
      <c r="BG332" s="51">
        <v>2.2439803439803438E-3</v>
      </c>
      <c r="BH332" s="51">
        <v>2.2644809582309583E-3</v>
      </c>
      <c r="BI332" s="51">
        <v>2.2849815724815723E-3</v>
      </c>
      <c r="BJ332" s="51">
        <v>2.3054821867321868E-3</v>
      </c>
      <c r="BK332" s="51">
        <v>2.3259828009828008E-3</v>
      </c>
      <c r="BL332" s="51">
        <v>2.3464834152334153E-3</v>
      </c>
      <c r="BM332" s="51">
        <v>2.3669840294840293E-3</v>
      </c>
      <c r="BN332" s="51">
        <v>2.3874846437346438E-3</v>
      </c>
      <c r="BO332" s="51">
        <v>2.4079852579852574E-3</v>
      </c>
      <c r="BP332" s="51">
        <v>2.4284858722358718E-3</v>
      </c>
      <c r="BQ332" s="51">
        <v>2.4489864864864859E-3</v>
      </c>
      <c r="BR332" s="51">
        <v>2.4694871007371003E-3</v>
      </c>
      <c r="BS332" s="51">
        <v>2.4899877149877148E-3</v>
      </c>
      <c r="BT332" s="51">
        <v>2.5104883292383293E-3</v>
      </c>
      <c r="BU332" s="51">
        <v>2.5309889434889433E-3</v>
      </c>
      <c r="BV332" s="51">
        <v>2.5514895577395573E-3</v>
      </c>
      <c r="BW332" s="51">
        <v>2.5719901719901722E-3</v>
      </c>
      <c r="BX332" s="51">
        <v>2.5924907862407863E-3</v>
      </c>
      <c r="BY332" s="51">
        <v>2.6129914004914007E-3</v>
      </c>
      <c r="BZ332" s="51">
        <v>2.6334920147420139E-3</v>
      </c>
      <c r="CA332" s="51">
        <v>2.6539926289926284E-3</v>
      </c>
      <c r="CB332" s="51">
        <v>2.6744932432432428E-3</v>
      </c>
      <c r="CC332" s="51">
        <v>2.6949938574938573E-3</v>
      </c>
      <c r="CD332" s="51">
        <v>2.7154944717444713E-3</v>
      </c>
      <c r="CE332" s="51">
        <v>2.7359950859950858E-3</v>
      </c>
      <c r="CF332" s="51">
        <v>2.7564957002457007E-3</v>
      </c>
      <c r="CG332" s="51">
        <v>2.7769963144963143E-3</v>
      </c>
      <c r="CH332" s="51">
        <v>2.7974969287469288E-3</v>
      </c>
      <c r="CI332" s="51">
        <v>2.8179975429975424E-3</v>
      </c>
      <c r="CJ332" s="51">
        <v>2.8384981572481573E-3</v>
      </c>
      <c r="CK332" s="51">
        <v>2.8589987714987713E-3</v>
      </c>
      <c r="CL332" s="51">
        <v>2.8794993857493853E-3</v>
      </c>
      <c r="CM332" s="51">
        <v>2.8999999999999998E-3</v>
      </c>
    </row>
    <row r="333" spans="1:91" s="50" customFormat="1" x14ac:dyDescent="0.25">
      <c r="A333" s="99" t="s">
        <v>1</v>
      </c>
      <c r="B333" s="4">
        <v>0</v>
      </c>
      <c r="C333" s="4">
        <v>0</v>
      </c>
      <c r="D333" s="4">
        <v>0</v>
      </c>
      <c r="E333" s="4">
        <v>0</v>
      </c>
      <c r="F333" s="4">
        <v>0</v>
      </c>
      <c r="G333" s="4">
        <v>0</v>
      </c>
      <c r="H333" s="4">
        <v>0</v>
      </c>
      <c r="I333" s="4">
        <v>0</v>
      </c>
      <c r="J333" s="4">
        <v>0</v>
      </c>
      <c r="K333" s="4">
        <v>0</v>
      </c>
      <c r="L333" s="4">
        <v>0</v>
      </c>
      <c r="M333" s="4">
        <v>0</v>
      </c>
      <c r="N333" s="4">
        <v>0</v>
      </c>
      <c r="O333" s="4">
        <v>0</v>
      </c>
      <c r="P333" s="4">
        <v>0</v>
      </c>
      <c r="Q333" s="4">
        <v>0</v>
      </c>
      <c r="R333" s="4">
        <v>0</v>
      </c>
      <c r="S333" s="4">
        <v>0</v>
      </c>
      <c r="T333" s="4">
        <v>0</v>
      </c>
      <c r="U333" s="4">
        <v>0</v>
      </c>
      <c r="V333" s="4">
        <v>0</v>
      </c>
      <c r="W333" s="4">
        <v>0</v>
      </c>
      <c r="X333" s="4">
        <v>0</v>
      </c>
      <c r="Y333" s="4">
        <v>0</v>
      </c>
      <c r="Z333" s="4">
        <v>0</v>
      </c>
      <c r="AA333" s="4">
        <v>0</v>
      </c>
      <c r="AB333" s="4">
        <v>0</v>
      </c>
      <c r="AC333" s="4">
        <v>0</v>
      </c>
      <c r="AD333" s="4">
        <v>0</v>
      </c>
      <c r="AE333" s="4">
        <v>0</v>
      </c>
      <c r="AF333" s="51">
        <v>6.1522727272727278E-2</v>
      </c>
      <c r="AG333" s="51">
        <v>6.1954545454545457E-2</v>
      </c>
      <c r="AH333" s="51">
        <v>6.2386363636363643E-2</v>
      </c>
      <c r="AI333" s="51">
        <v>6.2818181818181829E-2</v>
      </c>
      <c r="AJ333" s="51">
        <v>6.3250000000000001E-2</v>
      </c>
      <c r="AK333" s="51">
        <v>6.3681818181818187E-2</v>
      </c>
      <c r="AL333" s="51">
        <v>6.4113636363636373E-2</v>
      </c>
      <c r="AM333" s="51">
        <v>6.4545454545454545E-2</v>
      </c>
      <c r="AN333" s="51">
        <v>6.4977272727272731E-2</v>
      </c>
      <c r="AO333" s="51">
        <v>6.5409090909090917E-2</v>
      </c>
      <c r="AP333" s="51">
        <v>6.5840909090909089E-2</v>
      </c>
      <c r="AQ333" s="51">
        <v>6.6272727272727275E-2</v>
      </c>
      <c r="AR333" s="51">
        <v>6.6704545454545461E-2</v>
      </c>
      <c r="AS333" s="51">
        <v>6.7136363636363633E-2</v>
      </c>
      <c r="AT333" s="51">
        <v>6.7568181818181819E-2</v>
      </c>
      <c r="AU333" s="51">
        <v>6.8000000000000005E-2</v>
      </c>
      <c r="AV333" s="51">
        <v>6.881818181818182E-2</v>
      </c>
      <c r="AW333" s="51">
        <v>6.9636363636363635E-2</v>
      </c>
      <c r="AX333" s="51">
        <v>7.0454545454545464E-2</v>
      </c>
      <c r="AY333" s="51">
        <v>7.1272727272727279E-2</v>
      </c>
      <c r="AZ333" s="51">
        <v>7.2090909090909094E-2</v>
      </c>
      <c r="BA333" s="51">
        <v>7.290909090909091E-2</v>
      </c>
      <c r="BB333" s="51">
        <v>7.3727272727272725E-2</v>
      </c>
      <c r="BC333" s="51">
        <v>7.4545454545454554E-2</v>
      </c>
      <c r="BD333" s="51">
        <v>7.5363636363636369E-2</v>
      </c>
      <c r="BE333" s="51">
        <v>7.6181818181818184E-2</v>
      </c>
      <c r="BF333" s="51">
        <v>7.6999999999999999E-2</v>
      </c>
      <c r="BG333" s="51">
        <v>7.7818181818181814E-2</v>
      </c>
      <c r="BH333" s="51">
        <v>7.8636363636363643E-2</v>
      </c>
      <c r="BI333" s="51">
        <v>7.9454545454545458E-2</v>
      </c>
      <c r="BJ333" s="51">
        <v>8.0272727272727273E-2</v>
      </c>
      <c r="BK333" s="51">
        <v>8.1090909090909088E-2</v>
      </c>
      <c r="BL333" s="51">
        <v>8.1909090909090904E-2</v>
      </c>
      <c r="BM333" s="51">
        <v>8.2727272727272733E-2</v>
      </c>
      <c r="BN333" s="51">
        <v>8.3545454545454548E-2</v>
      </c>
      <c r="BO333" s="51">
        <v>8.4363636363636363E-2</v>
      </c>
      <c r="BP333" s="51">
        <v>8.5181818181818178E-2</v>
      </c>
      <c r="BQ333" s="51">
        <v>8.5999999999999993E-2</v>
      </c>
      <c r="BR333" s="51">
        <v>8.6818181818181822E-2</v>
      </c>
      <c r="BS333" s="51">
        <v>8.7636363636363637E-2</v>
      </c>
      <c r="BT333" s="51">
        <v>8.8454545454545452E-2</v>
      </c>
      <c r="BU333" s="51">
        <v>8.9272727272727267E-2</v>
      </c>
      <c r="BV333" s="51">
        <v>9.0090909090909083E-2</v>
      </c>
      <c r="BW333" s="51">
        <v>9.0909090909090912E-2</v>
      </c>
      <c r="BX333" s="51">
        <v>9.1727272727272727E-2</v>
      </c>
      <c r="BY333" s="51">
        <v>9.2545454545454542E-2</v>
      </c>
      <c r="BZ333" s="51">
        <v>9.3363636363636357E-2</v>
      </c>
      <c r="CA333" s="51">
        <v>9.4181818181818172E-2</v>
      </c>
      <c r="CB333" s="51">
        <v>9.5000000000000001E-2</v>
      </c>
      <c r="CC333" s="51">
        <v>9.5818181818181816E-2</v>
      </c>
      <c r="CD333" s="51">
        <v>9.6636363636363631E-2</v>
      </c>
      <c r="CE333" s="51">
        <v>9.7454545454545446E-2</v>
      </c>
      <c r="CF333" s="51">
        <v>9.8272727272727262E-2</v>
      </c>
      <c r="CG333" s="51">
        <v>9.9090909090909091E-2</v>
      </c>
      <c r="CH333" s="51">
        <v>9.9909090909090906E-2</v>
      </c>
      <c r="CI333" s="51">
        <v>0.10072727272727272</v>
      </c>
      <c r="CJ333" s="51">
        <v>0.10154545454545455</v>
      </c>
      <c r="CK333" s="51">
        <v>0.10236363636363635</v>
      </c>
      <c r="CL333" s="51">
        <v>0.10318181818181818</v>
      </c>
      <c r="CM333" s="51">
        <v>0.104</v>
      </c>
    </row>
    <row r="334" spans="1:91" s="50" customFormat="1" x14ac:dyDescent="0.25">
      <c r="A334" s="4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91" s="50" customFormat="1" x14ac:dyDescent="0.25">
      <c r="A335" s="99" t="s">
        <v>166</v>
      </c>
      <c r="B335" s="4">
        <v>0</v>
      </c>
      <c r="C335" s="4">
        <v>0</v>
      </c>
      <c r="D335" s="4">
        <v>0</v>
      </c>
      <c r="E335" s="4">
        <v>0</v>
      </c>
      <c r="F335" s="4">
        <v>0</v>
      </c>
      <c r="G335" s="4">
        <v>0</v>
      </c>
      <c r="H335" s="4">
        <v>0</v>
      </c>
      <c r="I335" s="4">
        <v>0</v>
      </c>
      <c r="J335" s="4">
        <v>0</v>
      </c>
      <c r="K335" s="4">
        <v>0</v>
      </c>
      <c r="L335" s="4">
        <v>0</v>
      </c>
      <c r="M335" s="4">
        <v>0</v>
      </c>
      <c r="N335" s="4">
        <v>0</v>
      </c>
      <c r="O335" s="4">
        <v>0</v>
      </c>
      <c r="P335" s="4">
        <v>0</v>
      </c>
      <c r="Q335" s="4">
        <v>0</v>
      </c>
      <c r="R335" s="4">
        <v>0</v>
      </c>
      <c r="S335" s="4">
        <v>0</v>
      </c>
      <c r="T335" s="4">
        <v>0</v>
      </c>
      <c r="U335" s="4">
        <v>0</v>
      </c>
      <c r="V335" s="4">
        <v>0</v>
      </c>
      <c r="W335" s="4">
        <v>0</v>
      </c>
      <c r="X335" s="4">
        <v>0</v>
      </c>
      <c r="Y335" s="4">
        <v>0</v>
      </c>
      <c r="Z335" s="4">
        <v>0</v>
      </c>
      <c r="AA335" s="4">
        <v>0</v>
      </c>
      <c r="AB335" s="4">
        <v>0</v>
      </c>
      <c r="AC335" s="4">
        <v>0</v>
      </c>
      <c r="AD335" s="4">
        <v>0</v>
      </c>
      <c r="AE335" s="4">
        <v>0</v>
      </c>
      <c r="AF335" s="51">
        <v>9.6590909090909095E-4</v>
      </c>
      <c r="AG335" s="51">
        <v>9.6818181818181823E-4</v>
      </c>
      <c r="AH335" s="51">
        <v>9.704545454545454E-4</v>
      </c>
      <c r="AI335" s="51">
        <v>9.7272727272727268E-4</v>
      </c>
      <c r="AJ335" s="51">
        <v>9.7499999999999996E-4</v>
      </c>
      <c r="AK335" s="51">
        <v>9.7727272727272723E-4</v>
      </c>
      <c r="AL335" s="51">
        <v>9.7954545454545451E-4</v>
      </c>
      <c r="AM335" s="51">
        <v>9.8181818181818179E-4</v>
      </c>
      <c r="AN335" s="51">
        <v>9.8409090909090907E-4</v>
      </c>
      <c r="AO335" s="51">
        <v>9.8636363636363635E-4</v>
      </c>
      <c r="AP335" s="51">
        <v>9.8863636363636363E-4</v>
      </c>
      <c r="AQ335" s="51">
        <v>9.9090909090909091E-4</v>
      </c>
      <c r="AR335" s="51">
        <v>9.9318181818181818E-4</v>
      </c>
      <c r="AS335" s="51">
        <v>9.9545454545454546E-4</v>
      </c>
      <c r="AT335" s="51">
        <v>9.9772727272727274E-4</v>
      </c>
      <c r="AU335" s="51">
        <v>1E-3</v>
      </c>
      <c r="AV335" s="51">
        <v>1.0363636363636365E-3</v>
      </c>
      <c r="AW335" s="51">
        <v>1.0727272727272727E-3</v>
      </c>
      <c r="AX335" s="51">
        <v>1.1090909090909092E-3</v>
      </c>
      <c r="AY335" s="51">
        <v>1.1454545454545454E-3</v>
      </c>
      <c r="AZ335" s="51">
        <v>1.1818181818181819E-3</v>
      </c>
      <c r="BA335" s="51">
        <v>1.2181818181818181E-3</v>
      </c>
      <c r="BB335" s="51">
        <v>1.2545454545454546E-3</v>
      </c>
      <c r="BC335" s="51">
        <v>1.2909090909090908E-3</v>
      </c>
      <c r="BD335" s="51">
        <v>1.3272727272727273E-3</v>
      </c>
      <c r="BE335" s="51">
        <v>1.3636363636363635E-3</v>
      </c>
      <c r="BF335" s="51">
        <v>1.4E-3</v>
      </c>
      <c r="BG335" s="51">
        <v>1.4363636363636362E-3</v>
      </c>
      <c r="BH335" s="51">
        <v>1.4727272727272727E-3</v>
      </c>
      <c r="BI335" s="51">
        <v>1.5090909090909091E-3</v>
      </c>
      <c r="BJ335" s="51">
        <v>1.5454545454545454E-3</v>
      </c>
      <c r="BK335" s="51">
        <v>1.5818181818181816E-3</v>
      </c>
      <c r="BL335" s="51">
        <v>1.6181818181818181E-3</v>
      </c>
      <c r="BM335" s="51">
        <v>1.6545454545454545E-3</v>
      </c>
      <c r="BN335" s="51">
        <v>1.6909090909090908E-3</v>
      </c>
      <c r="BO335" s="51">
        <v>1.727272727272727E-3</v>
      </c>
      <c r="BP335" s="51">
        <v>1.7636363636363635E-3</v>
      </c>
      <c r="BQ335" s="51">
        <v>1.8E-3</v>
      </c>
      <c r="BR335" s="51">
        <v>1.8363636363636362E-3</v>
      </c>
      <c r="BS335" s="51">
        <v>1.8727272727272727E-3</v>
      </c>
      <c r="BT335" s="51">
        <v>1.9090909090909089E-3</v>
      </c>
      <c r="BU335" s="51">
        <v>1.9454545454545454E-3</v>
      </c>
      <c r="BV335" s="51">
        <v>1.9818181818181818E-3</v>
      </c>
      <c r="BW335" s="51">
        <v>2.0181818181818183E-3</v>
      </c>
      <c r="BX335" s="51">
        <v>2.0545454545454543E-3</v>
      </c>
      <c r="BY335" s="51">
        <v>2.0909090909090908E-3</v>
      </c>
      <c r="BZ335" s="51">
        <v>2.1272727272727268E-3</v>
      </c>
      <c r="CA335" s="51">
        <v>2.1636363636363632E-3</v>
      </c>
      <c r="CB335" s="51">
        <v>2.1999999999999997E-3</v>
      </c>
      <c r="CC335" s="51">
        <v>2.2363636363636362E-3</v>
      </c>
      <c r="CD335" s="51">
        <v>2.2727272727272726E-3</v>
      </c>
      <c r="CE335" s="51">
        <v>2.3090909090909091E-3</v>
      </c>
      <c r="CF335" s="51">
        <v>2.3454545454545455E-3</v>
      </c>
      <c r="CG335" s="51">
        <v>2.3818181818181816E-3</v>
      </c>
      <c r="CH335" s="51">
        <v>2.418181818181818E-3</v>
      </c>
      <c r="CI335" s="51">
        <v>2.454545454545454E-3</v>
      </c>
      <c r="CJ335" s="51">
        <v>2.4909090909090905E-3</v>
      </c>
      <c r="CK335" s="51">
        <v>2.527272727272727E-3</v>
      </c>
      <c r="CL335" s="51">
        <v>2.5636363636363634E-3</v>
      </c>
      <c r="CM335" s="51">
        <v>2.5999999999999999E-3</v>
      </c>
    </row>
    <row r="336" spans="1:91" s="50" customFormat="1" x14ac:dyDescent="0.25">
      <c r="A336" s="9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91" s="50" customFormat="1" x14ac:dyDescent="0.25">
      <c r="A337" s="99" t="s">
        <v>393</v>
      </c>
      <c r="B337" s="4">
        <v>0</v>
      </c>
      <c r="C337" s="4">
        <v>0</v>
      </c>
      <c r="D337" s="4">
        <v>0</v>
      </c>
      <c r="E337" s="4">
        <v>0</v>
      </c>
      <c r="F337" s="4">
        <v>0</v>
      </c>
      <c r="G337" s="4">
        <v>0</v>
      </c>
      <c r="H337" s="4">
        <v>0</v>
      </c>
      <c r="I337" s="4">
        <v>0</v>
      </c>
      <c r="J337" s="4">
        <v>0</v>
      </c>
      <c r="K337" s="4">
        <v>0</v>
      </c>
      <c r="L337" s="4">
        <v>0</v>
      </c>
      <c r="M337" s="4">
        <v>0</v>
      </c>
      <c r="N337" s="4">
        <v>0</v>
      </c>
      <c r="O337" s="4">
        <v>0</v>
      </c>
      <c r="P337" s="4">
        <v>0</v>
      </c>
      <c r="Q337" s="4">
        <v>0</v>
      </c>
      <c r="R337" s="4">
        <v>0</v>
      </c>
      <c r="S337" s="4">
        <v>0</v>
      </c>
      <c r="T337" s="4">
        <v>0</v>
      </c>
      <c r="U337" s="4">
        <v>0</v>
      </c>
      <c r="V337" s="4">
        <v>0</v>
      </c>
      <c r="W337" s="4">
        <v>0</v>
      </c>
      <c r="X337" s="4">
        <v>0</v>
      </c>
      <c r="Y337" s="4">
        <v>0</v>
      </c>
      <c r="Z337" s="4">
        <v>0</v>
      </c>
      <c r="AA337" s="4">
        <v>0</v>
      </c>
      <c r="AB337" s="4">
        <v>0</v>
      </c>
      <c r="AC337" s="4">
        <v>0</v>
      </c>
      <c r="AD337" s="4">
        <v>0</v>
      </c>
      <c r="AE337" s="4">
        <v>0</v>
      </c>
      <c r="AF337" s="51">
        <v>9.6590909090909095E-4</v>
      </c>
      <c r="AG337" s="51">
        <v>9.6818181818181823E-4</v>
      </c>
      <c r="AH337" s="51">
        <v>9.704545454545454E-4</v>
      </c>
      <c r="AI337" s="51">
        <v>9.7272727272727268E-4</v>
      </c>
      <c r="AJ337" s="51">
        <v>9.7499999999999996E-4</v>
      </c>
      <c r="AK337" s="51">
        <v>9.7727272727272723E-4</v>
      </c>
      <c r="AL337" s="51">
        <v>9.7954545454545451E-4</v>
      </c>
      <c r="AM337" s="51">
        <v>9.8181818181818179E-4</v>
      </c>
      <c r="AN337" s="51">
        <v>9.8409090909090907E-4</v>
      </c>
      <c r="AO337" s="51">
        <v>9.8636363636363635E-4</v>
      </c>
      <c r="AP337" s="51">
        <v>9.8863636363636363E-4</v>
      </c>
      <c r="AQ337" s="51">
        <v>9.9090909090909091E-4</v>
      </c>
      <c r="AR337" s="51">
        <v>9.9318181818181818E-4</v>
      </c>
      <c r="AS337" s="51">
        <v>9.9545454545454546E-4</v>
      </c>
      <c r="AT337" s="51">
        <v>9.9772727272727274E-4</v>
      </c>
      <c r="AU337" s="51">
        <v>1E-3</v>
      </c>
      <c r="AV337" s="51">
        <v>1.0363636363636365E-3</v>
      </c>
      <c r="AW337" s="51">
        <v>1.0727272727272727E-3</v>
      </c>
      <c r="AX337" s="51">
        <v>1.1090909090909092E-3</v>
      </c>
      <c r="AY337" s="51">
        <v>1.1454545454545454E-3</v>
      </c>
      <c r="AZ337" s="51">
        <v>1.1818181818181819E-3</v>
      </c>
      <c r="BA337" s="51">
        <v>1.2181818181818181E-3</v>
      </c>
      <c r="BB337" s="51">
        <v>1.2545454545454546E-3</v>
      </c>
      <c r="BC337" s="51">
        <v>1.2909090909090908E-3</v>
      </c>
      <c r="BD337" s="51">
        <v>1.3272727272727273E-3</v>
      </c>
      <c r="BE337" s="51">
        <v>1.3636363636363635E-3</v>
      </c>
      <c r="BF337" s="51">
        <v>1.4E-3</v>
      </c>
      <c r="BG337" s="51">
        <v>1.4363636363636362E-3</v>
      </c>
      <c r="BH337" s="51">
        <v>1.4727272727272727E-3</v>
      </c>
      <c r="BI337" s="51">
        <v>1.5090909090909091E-3</v>
      </c>
      <c r="BJ337" s="51">
        <v>1.5454545454545454E-3</v>
      </c>
      <c r="BK337" s="51">
        <v>1.5818181818181816E-3</v>
      </c>
      <c r="BL337" s="51">
        <v>1.6181818181818181E-3</v>
      </c>
      <c r="BM337" s="51">
        <v>1.6545454545454545E-3</v>
      </c>
      <c r="BN337" s="51">
        <v>1.6909090909090908E-3</v>
      </c>
      <c r="BO337" s="51">
        <v>1.727272727272727E-3</v>
      </c>
      <c r="BP337" s="51">
        <v>1.7636363636363635E-3</v>
      </c>
      <c r="BQ337" s="51">
        <v>1.8E-3</v>
      </c>
      <c r="BR337" s="51">
        <v>1.8363636363636362E-3</v>
      </c>
      <c r="BS337" s="51">
        <v>1.8727272727272727E-3</v>
      </c>
      <c r="BT337" s="51">
        <v>1.9090909090909089E-3</v>
      </c>
      <c r="BU337" s="51">
        <v>1.9454545454545454E-3</v>
      </c>
      <c r="BV337" s="51">
        <v>1.9818181818181818E-3</v>
      </c>
      <c r="BW337" s="51">
        <v>2.0181818181818183E-3</v>
      </c>
      <c r="BX337" s="51">
        <v>2.0545454545454543E-3</v>
      </c>
      <c r="BY337" s="51">
        <v>2.0909090909090908E-3</v>
      </c>
      <c r="BZ337" s="51">
        <v>2.1272727272727268E-3</v>
      </c>
      <c r="CA337" s="51">
        <v>2.1636363636363632E-3</v>
      </c>
      <c r="CB337" s="51">
        <v>2.1999999999999997E-3</v>
      </c>
      <c r="CC337" s="51">
        <v>2.2363636363636362E-3</v>
      </c>
      <c r="CD337" s="51">
        <v>2.2727272727272726E-3</v>
      </c>
      <c r="CE337" s="51">
        <v>2.3090909090909091E-3</v>
      </c>
      <c r="CF337" s="51">
        <v>2.3454545454545455E-3</v>
      </c>
      <c r="CG337" s="51">
        <v>2.3818181818181816E-3</v>
      </c>
      <c r="CH337" s="51">
        <v>2.418181818181818E-3</v>
      </c>
      <c r="CI337" s="51">
        <v>2.454545454545454E-3</v>
      </c>
      <c r="CJ337" s="51">
        <v>2.4909090909090905E-3</v>
      </c>
      <c r="CK337" s="51">
        <v>2.527272727272727E-3</v>
      </c>
      <c r="CL337" s="51">
        <v>2.5636363636363634E-3</v>
      </c>
      <c r="CM337" s="51">
        <v>2.5999999999999999E-3</v>
      </c>
    </row>
    <row r="338" spans="1:91" s="50" customFormat="1" x14ac:dyDescent="0.25">
      <c r="A338" s="9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91" s="50" customFormat="1" x14ac:dyDescent="0.25">
      <c r="A339" s="99" t="s">
        <v>345</v>
      </c>
      <c r="B339" s="4">
        <v>0</v>
      </c>
      <c r="C339" s="4">
        <v>0</v>
      </c>
      <c r="D339" s="4">
        <v>0</v>
      </c>
      <c r="E339" s="4">
        <v>0</v>
      </c>
      <c r="F339" s="4">
        <v>0</v>
      </c>
      <c r="G339" s="4">
        <v>0</v>
      </c>
      <c r="H339" s="4">
        <v>0</v>
      </c>
      <c r="I339" s="4">
        <v>0</v>
      </c>
      <c r="J339" s="4">
        <v>0</v>
      </c>
      <c r="K339" s="4">
        <v>0</v>
      </c>
      <c r="L339" s="4">
        <v>0</v>
      </c>
      <c r="M339" s="4">
        <v>0</v>
      </c>
      <c r="N339" s="4">
        <v>0</v>
      </c>
      <c r="O339" s="4">
        <v>0</v>
      </c>
      <c r="P339" s="4">
        <v>0</v>
      </c>
      <c r="Q339" s="4">
        <v>0</v>
      </c>
      <c r="R339" s="4">
        <v>0</v>
      </c>
      <c r="S339" s="4">
        <v>0</v>
      </c>
      <c r="T339" s="4">
        <v>0</v>
      </c>
      <c r="U339" s="4">
        <v>0</v>
      </c>
      <c r="V339" s="4">
        <v>0</v>
      </c>
      <c r="W339" s="4">
        <v>0</v>
      </c>
      <c r="X339" s="4">
        <v>0</v>
      </c>
      <c r="Y339" s="4">
        <v>0</v>
      </c>
      <c r="Z339" s="4">
        <v>0</v>
      </c>
      <c r="AA339" s="4">
        <v>0</v>
      </c>
      <c r="AB339" s="4">
        <v>0</v>
      </c>
      <c r="AC339" s="4">
        <v>0</v>
      </c>
      <c r="AD339" s="4">
        <v>0</v>
      </c>
      <c r="AE339" s="4">
        <v>0</v>
      </c>
      <c r="AF339" s="51">
        <v>8.6618671127481966E-4</v>
      </c>
      <c r="AG339" s="51">
        <v>8.7332065560907562E-4</v>
      </c>
      <c r="AH339" s="51">
        <v>8.8045459994333169E-4</v>
      </c>
      <c r="AI339" s="51">
        <v>8.8758854427758765E-4</v>
      </c>
      <c r="AJ339" s="51">
        <v>8.9472248861184372E-4</v>
      </c>
      <c r="AK339" s="51">
        <v>9.0185643294609969E-4</v>
      </c>
      <c r="AL339" s="51">
        <v>9.0899037728035576E-4</v>
      </c>
      <c r="AM339" s="51">
        <v>9.1612432161461172E-4</v>
      </c>
      <c r="AN339" s="51">
        <v>9.2325826594886768E-4</v>
      </c>
      <c r="AO339" s="51">
        <v>9.3039221028312375E-4</v>
      </c>
      <c r="AP339" s="51">
        <v>9.3752615461737982E-4</v>
      </c>
      <c r="AQ339" s="51">
        <v>9.4466009895163578E-4</v>
      </c>
      <c r="AR339" s="51">
        <v>9.5179404328589175E-4</v>
      </c>
      <c r="AS339" s="51">
        <v>9.5892798762014782E-4</v>
      </c>
      <c r="AT339" s="51">
        <v>9.6606193195440389E-4</v>
      </c>
      <c r="AU339" s="51">
        <v>9.7319587628865985E-4</v>
      </c>
      <c r="AV339" s="51">
        <v>9.9072164948453621E-4</v>
      </c>
      <c r="AW339" s="51">
        <v>1.0082474226804125E-3</v>
      </c>
      <c r="AX339" s="51">
        <v>1.0257731958762887E-3</v>
      </c>
      <c r="AY339" s="51">
        <v>1.043298969072165E-3</v>
      </c>
      <c r="AZ339" s="51">
        <v>1.0608247422680412E-3</v>
      </c>
      <c r="BA339" s="51">
        <v>1.0783505154639175E-3</v>
      </c>
      <c r="BB339" s="51">
        <v>1.095876288659794E-3</v>
      </c>
      <c r="BC339" s="51">
        <v>1.1134020618556702E-3</v>
      </c>
      <c r="BD339" s="51">
        <v>1.1309278350515465E-3</v>
      </c>
      <c r="BE339" s="51">
        <v>1.1484536082474227E-3</v>
      </c>
      <c r="BF339" s="51">
        <v>1.165979381443299E-3</v>
      </c>
      <c r="BG339" s="51">
        <v>1.1835051546391752E-3</v>
      </c>
      <c r="BH339" s="51">
        <v>1.2010309278350515E-3</v>
      </c>
      <c r="BI339" s="51">
        <v>1.2185567010309277E-3</v>
      </c>
      <c r="BJ339" s="51">
        <v>1.236082474226804E-3</v>
      </c>
      <c r="BK339" s="51">
        <v>1.2536082474226805E-3</v>
      </c>
      <c r="BL339" s="51">
        <v>1.2711340206185567E-3</v>
      </c>
      <c r="BM339" s="51">
        <v>1.288659793814433E-3</v>
      </c>
      <c r="BN339" s="51">
        <v>1.3061855670103092E-3</v>
      </c>
      <c r="BO339" s="51">
        <v>1.3237113402061855E-3</v>
      </c>
      <c r="BP339" s="51">
        <v>1.3412371134020619E-3</v>
      </c>
      <c r="BQ339" s="51">
        <v>1.3587628865979382E-3</v>
      </c>
      <c r="BR339" s="51">
        <v>1.3762886597938145E-3</v>
      </c>
      <c r="BS339" s="51">
        <v>1.3938144329896907E-3</v>
      </c>
      <c r="BT339" s="51">
        <v>1.411340206185567E-3</v>
      </c>
      <c r="BU339" s="51">
        <v>1.4288659793814432E-3</v>
      </c>
      <c r="BV339" s="51">
        <v>1.4463917525773195E-3</v>
      </c>
      <c r="BW339" s="51">
        <v>1.4639175257731957E-3</v>
      </c>
      <c r="BX339" s="51">
        <v>1.481443298969072E-3</v>
      </c>
      <c r="BY339" s="51">
        <v>1.4989690721649482E-3</v>
      </c>
      <c r="BZ339" s="51">
        <v>1.5164948453608247E-3</v>
      </c>
      <c r="CA339" s="51">
        <v>1.534020618556701E-3</v>
      </c>
      <c r="CB339" s="51">
        <v>1.5515463917525772E-3</v>
      </c>
      <c r="CC339" s="51">
        <v>1.5690721649484537E-3</v>
      </c>
      <c r="CD339" s="51">
        <v>1.5865979381443299E-3</v>
      </c>
      <c r="CE339" s="51">
        <v>1.6041237113402062E-3</v>
      </c>
      <c r="CF339" s="51">
        <v>1.6216494845360824E-3</v>
      </c>
      <c r="CG339" s="51">
        <v>1.6391752577319587E-3</v>
      </c>
      <c r="CH339" s="51">
        <v>1.656701030927835E-3</v>
      </c>
      <c r="CI339" s="51">
        <v>1.6742268041237112E-3</v>
      </c>
      <c r="CJ339" s="51">
        <v>1.6917525773195875E-3</v>
      </c>
      <c r="CK339" s="51">
        <v>1.7092783505154637E-3</v>
      </c>
      <c r="CL339" s="51">
        <v>1.72680412371134E-3</v>
      </c>
      <c r="CM339" s="51">
        <v>1.7443298969072164E-3</v>
      </c>
    </row>
    <row r="340" spans="1:91" s="50" customFormat="1" x14ac:dyDescent="0.25">
      <c r="A340" s="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91" s="50" customFormat="1" x14ac:dyDescent="0.25">
      <c r="A341" s="99" t="s">
        <v>364</v>
      </c>
      <c r="B341" s="4">
        <v>0</v>
      </c>
      <c r="C341" s="4">
        <v>0</v>
      </c>
      <c r="D341" s="4">
        <v>0</v>
      </c>
      <c r="E341" s="4">
        <v>0</v>
      </c>
      <c r="F341" s="4">
        <v>0</v>
      </c>
      <c r="G341" s="4">
        <v>0</v>
      </c>
      <c r="H341" s="4">
        <v>0</v>
      </c>
      <c r="I341" s="4">
        <v>0</v>
      </c>
      <c r="J341" s="4">
        <v>0</v>
      </c>
      <c r="K341" s="4">
        <v>0</v>
      </c>
      <c r="L341" s="4">
        <v>0</v>
      </c>
      <c r="M341" s="4">
        <v>0</v>
      </c>
      <c r="N341" s="4">
        <v>0</v>
      </c>
      <c r="O341" s="4">
        <v>0</v>
      </c>
      <c r="P341" s="4">
        <v>0</v>
      </c>
      <c r="Q341" s="4">
        <v>0</v>
      </c>
      <c r="R341" s="4">
        <v>0</v>
      </c>
      <c r="S341" s="4">
        <v>0</v>
      </c>
      <c r="T341" s="4">
        <v>0</v>
      </c>
      <c r="U341" s="4">
        <v>0</v>
      </c>
      <c r="V341" s="4">
        <v>0</v>
      </c>
      <c r="W341" s="4">
        <v>0</v>
      </c>
      <c r="X341" s="4">
        <v>0</v>
      </c>
      <c r="Y341" s="4">
        <v>0</v>
      </c>
      <c r="Z341" s="4">
        <v>0</v>
      </c>
      <c r="AA341" s="4">
        <v>0</v>
      </c>
      <c r="AB341" s="4">
        <v>0</v>
      </c>
      <c r="AC341" s="4">
        <v>0</v>
      </c>
      <c r="AD341" s="4">
        <v>0</v>
      </c>
      <c r="AE341" s="4">
        <v>0</v>
      </c>
      <c r="AF341" s="51">
        <v>8.6618671127481966E-4</v>
      </c>
      <c r="AG341" s="51">
        <v>8.7332065560907562E-4</v>
      </c>
      <c r="AH341" s="51">
        <v>8.8045459994333169E-4</v>
      </c>
      <c r="AI341" s="51">
        <v>8.8758854427758765E-4</v>
      </c>
      <c r="AJ341" s="51">
        <v>8.9472248861184372E-4</v>
      </c>
      <c r="AK341" s="51">
        <v>9.0185643294609969E-4</v>
      </c>
      <c r="AL341" s="51">
        <v>9.0899037728035576E-4</v>
      </c>
      <c r="AM341" s="51">
        <v>9.1612432161461172E-4</v>
      </c>
      <c r="AN341" s="51">
        <v>9.2325826594886768E-4</v>
      </c>
      <c r="AO341" s="51">
        <v>9.3039221028312375E-4</v>
      </c>
      <c r="AP341" s="51">
        <v>9.3752615461737982E-4</v>
      </c>
      <c r="AQ341" s="51">
        <v>9.4466009895163578E-4</v>
      </c>
      <c r="AR341" s="51">
        <v>9.5179404328589175E-4</v>
      </c>
      <c r="AS341" s="51">
        <v>9.5892798762014782E-4</v>
      </c>
      <c r="AT341" s="51">
        <v>9.6606193195440389E-4</v>
      </c>
      <c r="AU341" s="51">
        <v>9.7319587628865985E-4</v>
      </c>
      <c r="AV341" s="51">
        <v>9.9072164948453621E-4</v>
      </c>
      <c r="AW341" s="51">
        <v>1.0082474226804125E-3</v>
      </c>
      <c r="AX341" s="51">
        <v>1.0257731958762887E-3</v>
      </c>
      <c r="AY341" s="51">
        <v>1.043298969072165E-3</v>
      </c>
      <c r="AZ341" s="51">
        <v>1.0608247422680412E-3</v>
      </c>
      <c r="BA341" s="51">
        <v>1.0783505154639175E-3</v>
      </c>
      <c r="BB341" s="51">
        <v>1.095876288659794E-3</v>
      </c>
      <c r="BC341" s="51">
        <v>1.1134020618556702E-3</v>
      </c>
      <c r="BD341" s="51">
        <v>1.1309278350515465E-3</v>
      </c>
      <c r="BE341" s="51">
        <v>1.1484536082474227E-3</v>
      </c>
      <c r="BF341" s="51">
        <v>1.165979381443299E-3</v>
      </c>
      <c r="BG341" s="51">
        <v>1.1835051546391752E-3</v>
      </c>
      <c r="BH341" s="51">
        <v>1.2010309278350515E-3</v>
      </c>
      <c r="BI341" s="51">
        <v>1.2185567010309277E-3</v>
      </c>
      <c r="BJ341" s="51">
        <v>1.236082474226804E-3</v>
      </c>
      <c r="BK341" s="51">
        <v>1.2536082474226805E-3</v>
      </c>
      <c r="BL341" s="51">
        <v>1.2711340206185567E-3</v>
      </c>
      <c r="BM341" s="51">
        <v>1.288659793814433E-3</v>
      </c>
      <c r="BN341" s="51">
        <v>1.3061855670103092E-3</v>
      </c>
      <c r="BO341" s="51">
        <v>1.3237113402061855E-3</v>
      </c>
      <c r="BP341" s="51">
        <v>1.3412371134020619E-3</v>
      </c>
      <c r="BQ341" s="51">
        <v>1.3587628865979382E-3</v>
      </c>
      <c r="BR341" s="51">
        <v>1.3762886597938145E-3</v>
      </c>
      <c r="BS341" s="51">
        <v>1.3938144329896907E-3</v>
      </c>
      <c r="BT341" s="51">
        <v>1.411340206185567E-3</v>
      </c>
      <c r="BU341" s="51">
        <v>1.4288659793814432E-3</v>
      </c>
      <c r="BV341" s="51">
        <v>1.4463917525773195E-3</v>
      </c>
      <c r="BW341" s="51">
        <v>1.4639175257731957E-3</v>
      </c>
      <c r="BX341" s="51">
        <v>1.481443298969072E-3</v>
      </c>
      <c r="BY341" s="51">
        <v>1.4989690721649482E-3</v>
      </c>
      <c r="BZ341" s="51">
        <v>1.5164948453608247E-3</v>
      </c>
      <c r="CA341" s="51">
        <v>1.534020618556701E-3</v>
      </c>
      <c r="CB341" s="51">
        <v>1.5515463917525772E-3</v>
      </c>
      <c r="CC341" s="51">
        <v>1.5690721649484537E-3</v>
      </c>
      <c r="CD341" s="51">
        <v>1.5865979381443299E-3</v>
      </c>
      <c r="CE341" s="51">
        <v>1.6041237113402062E-3</v>
      </c>
      <c r="CF341" s="51">
        <v>1.6216494845360824E-3</v>
      </c>
      <c r="CG341" s="51">
        <v>1.6391752577319587E-3</v>
      </c>
      <c r="CH341" s="51">
        <v>1.656701030927835E-3</v>
      </c>
      <c r="CI341" s="51">
        <v>1.6742268041237112E-3</v>
      </c>
      <c r="CJ341" s="51">
        <v>1.6917525773195875E-3</v>
      </c>
      <c r="CK341" s="51">
        <v>1.7092783505154637E-3</v>
      </c>
      <c r="CL341" s="51">
        <v>1.72680412371134E-3</v>
      </c>
      <c r="CM341" s="51">
        <v>1.7443298969072164E-3</v>
      </c>
    </row>
    <row r="342" spans="1:91" s="50" customFormat="1" x14ac:dyDescent="0.25">
      <c r="A342" s="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91" s="50" customFormat="1" x14ac:dyDescent="0.25">
      <c r="A343" s="99" t="s">
        <v>167</v>
      </c>
      <c r="B343" s="4">
        <v>0</v>
      </c>
      <c r="C343" s="4">
        <v>0</v>
      </c>
      <c r="D343" s="4">
        <v>0</v>
      </c>
      <c r="E343" s="4">
        <v>0</v>
      </c>
      <c r="F343" s="4">
        <v>0</v>
      </c>
      <c r="G343" s="4">
        <v>0</v>
      </c>
      <c r="H343" s="4">
        <v>0</v>
      </c>
      <c r="I343" s="4">
        <v>0</v>
      </c>
      <c r="J343" s="4">
        <v>0</v>
      </c>
      <c r="K343" s="4">
        <v>0</v>
      </c>
      <c r="L343" s="4">
        <v>0</v>
      </c>
      <c r="M343" s="4">
        <v>0</v>
      </c>
      <c r="N343" s="4">
        <v>0</v>
      </c>
      <c r="O343" s="4">
        <v>0</v>
      </c>
      <c r="P343" s="4">
        <v>0</v>
      </c>
      <c r="Q343" s="4">
        <v>0</v>
      </c>
      <c r="R343" s="4">
        <v>0</v>
      </c>
      <c r="S343" s="4">
        <v>0</v>
      </c>
      <c r="T343" s="4">
        <v>0</v>
      </c>
      <c r="U343" s="4">
        <v>0</v>
      </c>
      <c r="V343" s="4">
        <v>0</v>
      </c>
      <c r="W343" s="4">
        <v>0</v>
      </c>
      <c r="X343" s="4">
        <v>0</v>
      </c>
      <c r="Y343" s="4">
        <v>0</v>
      </c>
      <c r="Z343" s="4">
        <v>0</v>
      </c>
      <c r="AA343" s="4">
        <v>0</v>
      </c>
      <c r="AB343" s="4">
        <v>0</v>
      </c>
      <c r="AC343" s="4">
        <v>0</v>
      </c>
      <c r="AD343" s="4">
        <v>0</v>
      </c>
      <c r="AE343" s="4">
        <v>0</v>
      </c>
      <c r="AF343" s="51">
        <v>5.0675000000000008E-3</v>
      </c>
      <c r="AG343" s="51">
        <v>5.1450000000000003E-3</v>
      </c>
      <c r="AH343" s="51">
        <v>5.2225000000000006E-3</v>
      </c>
      <c r="AI343" s="51">
        <v>5.3000000000000009E-3</v>
      </c>
      <c r="AJ343" s="51">
        <v>5.3775000000000003E-3</v>
      </c>
      <c r="AK343" s="51">
        <v>5.4550000000000006E-3</v>
      </c>
      <c r="AL343" s="51">
        <v>5.532500000000001E-3</v>
      </c>
      <c r="AM343" s="51">
        <v>5.6100000000000004E-3</v>
      </c>
      <c r="AN343" s="51">
        <v>5.6874999999999998E-3</v>
      </c>
      <c r="AO343" s="51">
        <v>5.765000000000001E-3</v>
      </c>
      <c r="AP343" s="51">
        <v>5.8425000000000005E-3</v>
      </c>
      <c r="AQ343" s="51">
        <v>5.9199999999999999E-3</v>
      </c>
      <c r="AR343" s="51">
        <v>5.9975000000000011E-3</v>
      </c>
      <c r="AS343" s="51">
        <v>6.0750000000000005E-3</v>
      </c>
      <c r="AT343" s="51">
        <v>6.1525E-3</v>
      </c>
      <c r="AU343" s="51">
        <v>6.2300000000000003E-3</v>
      </c>
      <c r="AV343" s="51">
        <v>6.2575E-3</v>
      </c>
      <c r="AW343" s="51">
        <v>6.2850000000000007E-3</v>
      </c>
      <c r="AX343" s="51">
        <v>6.3125000000000004E-3</v>
      </c>
      <c r="AY343" s="51">
        <v>6.3400000000000001E-3</v>
      </c>
      <c r="AZ343" s="51">
        <v>6.3674999999999999E-3</v>
      </c>
      <c r="BA343" s="51">
        <v>6.3950000000000005E-3</v>
      </c>
      <c r="BB343" s="51">
        <v>6.4225000000000003E-3</v>
      </c>
      <c r="BC343" s="51">
        <v>6.45E-3</v>
      </c>
      <c r="BD343" s="51">
        <v>6.4774999999999998E-3</v>
      </c>
      <c r="BE343" s="51">
        <v>6.5050000000000004E-3</v>
      </c>
      <c r="BF343" s="51">
        <v>6.5325000000000001E-3</v>
      </c>
      <c r="BG343" s="51">
        <v>6.5599999999999999E-3</v>
      </c>
      <c r="BH343" s="51">
        <v>6.5875000000000005E-3</v>
      </c>
      <c r="BI343" s="51">
        <v>6.6150000000000002E-3</v>
      </c>
      <c r="BJ343" s="51">
        <v>6.6425E-3</v>
      </c>
      <c r="BK343" s="51">
        <v>6.6699999999999997E-3</v>
      </c>
      <c r="BL343" s="51">
        <v>6.6975000000000003E-3</v>
      </c>
      <c r="BM343" s="51">
        <v>6.7250000000000001E-3</v>
      </c>
      <c r="BN343" s="51">
        <v>6.7524999999999998E-3</v>
      </c>
      <c r="BO343" s="51">
        <v>6.7799999999999996E-3</v>
      </c>
      <c r="BP343" s="51">
        <v>6.8075000000000002E-3</v>
      </c>
      <c r="BQ343" s="51">
        <v>6.8349999999999999E-3</v>
      </c>
      <c r="BR343" s="51">
        <v>6.8624999999999997E-3</v>
      </c>
      <c r="BS343" s="51">
        <v>6.8900000000000003E-3</v>
      </c>
      <c r="BT343" s="51">
        <v>6.9175E-3</v>
      </c>
      <c r="BU343" s="51">
        <v>6.9449999999999998E-3</v>
      </c>
      <c r="BV343" s="51">
        <v>6.9724999999999995E-3</v>
      </c>
      <c r="BW343" s="51">
        <v>7.0000000000000001E-3</v>
      </c>
      <c r="BX343" s="51">
        <v>7.0274999999999999E-3</v>
      </c>
      <c r="BY343" s="51">
        <v>7.0549999999999996E-3</v>
      </c>
      <c r="BZ343" s="51">
        <v>7.0825000000000003E-3</v>
      </c>
      <c r="CA343" s="51">
        <v>7.11E-3</v>
      </c>
      <c r="CB343" s="51">
        <v>7.1374999999999997E-3</v>
      </c>
      <c r="CC343" s="51">
        <v>7.1649999999999995E-3</v>
      </c>
      <c r="CD343" s="51">
        <v>7.1925000000000001E-3</v>
      </c>
      <c r="CE343" s="51">
        <v>7.2199999999999999E-3</v>
      </c>
      <c r="CF343" s="51">
        <v>7.2474999999999996E-3</v>
      </c>
      <c r="CG343" s="51">
        <v>7.2750000000000002E-3</v>
      </c>
      <c r="CH343" s="51">
        <v>7.3025E-3</v>
      </c>
      <c r="CI343" s="51">
        <v>7.3299999999999997E-3</v>
      </c>
      <c r="CJ343" s="51">
        <v>7.3574999999999995E-3</v>
      </c>
      <c r="CK343" s="51">
        <v>7.3849999999999992E-3</v>
      </c>
      <c r="CL343" s="51">
        <v>7.4124999999999998E-3</v>
      </c>
      <c r="CM343" s="51">
        <v>7.4399999999999996E-3</v>
      </c>
    </row>
    <row r="344" spans="1:91" s="50" customFormat="1" x14ac:dyDescent="0.25">
      <c r="A344" s="99" t="s">
        <v>1</v>
      </c>
      <c r="B344" s="4">
        <v>0</v>
      </c>
      <c r="C344" s="4">
        <v>0</v>
      </c>
      <c r="D344" s="4">
        <v>0</v>
      </c>
      <c r="E344" s="4">
        <v>0</v>
      </c>
      <c r="F344" s="4">
        <v>0</v>
      </c>
      <c r="G344" s="4">
        <v>0</v>
      </c>
      <c r="H344" s="4">
        <v>0</v>
      </c>
      <c r="I344" s="4">
        <v>0</v>
      </c>
      <c r="J344" s="4">
        <v>0</v>
      </c>
      <c r="K344" s="4">
        <v>0</v>
      </c>
      <c r="L344" s="4">
        <v>0</v>
      </c>
      <c r="M344" s="4">
        <v>0</v>
      </c>
      <c r="N344" s="4">
        <v>0</v>
      </c>
      <c r="O344" s="4">
        <v>0</v>
      </c>
      <c r="P344" s="4">
        <v>0</v>
      </c>
      <c r="Q344" s="4">
        <v>0</v>
      </c>
      <c r="R344" s="4">
        <v>0</v>
      </c>
      <c r="S344" s="4">
        <v>0</v>
      </c>
      <c r="T344" s="4">
        <v>0</v>
      </c>
      <c r="U344" s="4">
        <v>0</v>
      </c>
      <c r="V344" s="4">
        <v>0</v>
      </c>
      <c r="W344" s="4">
        <v>0</v>
      </c>
      <c r="X344" s="4">
        <v>0</v>
      </c>
      <c r="Y344" s="4">
        <v>0</v>
      </c>
      <c r="Z344" s="4">
        <v>0</v>
      </c>
      <c r="AA344" s="4">
        <v>0</v>
      </c>
      <c r="AB344" s="4">
        <v>0</v>
      </c>
      <c r="AC344" s="4">
        <v>0</v>
      </c>
      <c r="AD344" s="4">
        <v>0</v>
      </c>
      <c r="AE344" s="4">
        <v>0</v>
      </c>
      <c r="AF344" s="51">
        <v>2.3129545454545456E-3</v>
      </c>
      <c r="AG344" s="51">
        <v>2.3440909090909094E-3</v>
      </c>
      <c r="AH344" s="51">
        <v>2.3752272727272728E-3</v>
      </c>
      <c r="AI344" s="51">
        <v>2.4063636363636366E-3</v>
      </c>
      <c r="AJ344" s="51">
        <v>2.4375000000000004E-3</v>
      </c>
      <c r="AK344" s="51">
        <v>2.4686363636363638E-3</v>
      </c>
      <c r="AL344" s="51">
        <v>2.4997727272727276E-3</v>
      </c>
      <c r="AM344" s="51">
        <v>2.5309090909090915E-3</v>
      </c>
      <c r="AN344" s="51">
        <v>2.5620454545454549E-3</v>
      </c>
      <c r="AO344" s="51">
        <v>2.5931818181818183E-3</v>
      </c>
      <c r="AP344" s="51">
        <v>2.6243181818181821E-3</v>
      </c>
      <c r="AQ344" s="51">
        <v>2.6554545454545459E-3</v>
      </c>
      <c r="AR344" s="51">
        <v>2.6865909090909093E-3</v>
      </c>
      <c r="AS344" s="51">
        <v>2.7177272727272731E-3</v>
      </c>
      <c r="AT344" s="51">
        <v>2.748863636363637E-3</v>
      </c>
      <c r="AU344" s="51">
        <v>2.7800000000000004E-3</v>
      </c>
      <c r="AV344" s="51">
        <v>2.7993181818181823E-3</v>
      </c>
      <c r="AW344" s="51">
        <v>2.8186363636363639E-3</v>
      </c>
      <c r="AX344" s="51">
        <v>2.8379545454545459E-3</v>
      </c>
      <c r="AY344" s="51">
        <v>2.8572727272727274E-3</v>
      </c>
      <c r="AZ344" s="51">
        <v>2.8765909090909094E-3</v>
      </c>
      <c r="BA344" s="51">
        <v>2.8959090909090913E-3</v>
      </c>
      <c r="BB344" s="51">
        <v>2.9152272727272729E-3</v>
      </c>
      <c r="BC344" s="51">
        <v>2.9345454545454549E-3</v>
      </c>
      <c r="BD344" s="51">
        <v>2.9538636363636368E-3</v>
      </c>
      <c r="BE344" s="51">
        <v>2.9731818181818184E-3</v>
      </c>
      <c r="BF344" s="51">
        <v>2.9925000000000004E-3</v>
      </c>
      <c r="BG344" s="51">
        <v>3.0118181818181819E-3</v>
      </c>
      <c r="BH344" s="51">
        <v>3.0311363636363639E-3</v>
      </c>
      <c r="BI344" s="51">
        <v>3.0504545454545459E-3</v>
      </c>
      <c r="BJ344" s="51">
        <v>3.0697727272727274E-3</v>
      </c>
      <c r="BK344" s="51">
        <v>3.0890909090909094E-3</v>
      </c>
      <c r="BL344" s="51">
        <v>3.1084090909090914E-3</v>
      </c>
      <c r="BM344" s="51">
        <v>3.1277272727272729E-3</v>
      </c>
      <c r="BN344" s="51">
        <v>3.1470454545454549E-3</v>
      </c>
      <c r="BO344" s="51">
        <v>3.1663636363636364E-3</v>
      </c>
      <c r="BP344" s="51">
        <v>3.1856818181818184E-3</v>
      </c>
      <c r="BQ344" s="51">
        <v>3.2050000000000004E-3</v>
      </c>
      <c r="BR344" s="51">
        <v>3.2243181818181819E-3</v>
      </c>
      <c r="BS344" s="51">
        <v>3.2436363636363639E-3</v>
      </c>
      <c r="BT344" s="51">
        <v>3.2629545454545454E-3</v>
      </c>
      <c r="BU344" s="51">
        <v>3.2822727272727274E-3</v>
      </c>
      <c r="BV344" s="51">
        <v>3.3015909090909094E-3</v>
      </c>
      <c r="BW344" s="51">
        <v>3.3209090909090909E-3</v>
      </c>
      <c r="BX344" s="51">
        <v>3.3402272727272729E-3</v>
      </c>
      <c r="BY344" s="51">
        <v>3.3595454545454545E-3</v>
      </c>
      <c r="BZ344" s="51">
        <v>3.3788636363636364E-3</v>
      </c>
      <c r="CA344" s="51">
        <v>3.3981818181818184E-3</v>
      </c>
      <c r="CB344" s="51">
        <v>3.4175E-3</v>
      </c>
      <c r="CC344" s="51">
        <v>3.4368181818181819E-3</v>
      </c>
      <c r="CD344" s="51">
        <v>3.4561363636363635E-3</v>
      </c>
      <c r="CE344" s="51">
        <v>3.4754545454545455E-3</v>
      </c>
      <c r="CF344" s="51">
        <v>3.4947727272727274E-3</v>
      </c>
      <c r="CG344" s="51">
        <v>3.5140909090909094E-3</v>
      </c>
      <c r="CH344" s="51">
        <v>3.533409090909091E-3</v>
      </c>
      <c r="CI344" s="51">
        <v>3.5527272727272729E-3</v>
      </c>
      <c r="CJ344" s="51">
        <v>3.5720454545454545E-3</v>
      </c>
      <c r="CK344" s="51">
        <v>3.5913636363636365E-3</v>
      </c>
      <c r="CL344" s="51">
        <v>3.6106818181818184E-3</v>
      </c>
      <c r="CM344" s="51">
        <v>3.63E-3</v>
      </c>
    </row>
    <row r="345" spans="1:91" s="50" customFormat="1" x14ac:dyDescent="0.25">
      <c r="A345" s="99" t="s">
        <v>1</v>
      </c>
      <c r="B345" s="4">
        <v>0</v>
      </c>
      <c r="C345" s="4">
        <v>0</v>
      </c>
      <c r="D345" s="4">
        <v>0</v>
      </c>
      <c r="E345" s="4">
        <v>0</v>
      </c>
      <c r="F345" s="4">
        <v>0</v>
      </c>
      <c r="G345" s="4">
        <v>0</v>
      </c>
      <c r="H345" s="4">
        <v>0</v>
      </c>
      <c r="I345" s="4">
        <v>0</v>
      </c>
      <c r="J345" s="4">
        <v>0</v>
      </c>
      <c r="K345" s="4">
        <v>0</v>
      </c>
      <c r="L345" s="4">
        <v>0</v>
      </c>
      <c r="M345" s="4">
        <v>0</v>
      </c>
      <c r="N345" s="4">
        <v>0</v>
      </c>
      <c r="O345" s="4">
        <v>0</v>
      </c>
      <c r="P345" s="4">
        <v>0</v>
      </c>
      <c r="Q345" s="4">
        <v>0</v>
      </c>
      <c r="R345" s="4">
        <v>0</v>
      </c>
      <c r="S345" s="4">
        <v>0</v>
      </c>
      <c r="T345" s="4">
        <v>0</v>
      </c>
      <c r="U345" s="4">
        <v>0</v>
      </c>
      <c r="V345" s="4">
        <v>0</v>
      </c>
      <c r="W345" s="4">
        <v>0</v>
      </c>
      <c r="X345" s="4">
        <v>0</v>
      </c>
      <c r="Y345" s="4">
        <v>0</v>
      </c>
      <c r="Z345" s="4">
        <v>0</v>
      </c>
      <c r="AA345" s="4">
        <v>0</v>
      </c>
      <c r="AB345" s="4">
        <v>0</v>
      </c>
      <c r="AC345" s="4">
        <v>0</v>
      </c>
      <c r="AD345" s="4">
        <v>0</v>
      </c>
      <c r="AE345" s="4">
        <v>0</v>
      </c>
      <c r="AF345" s="51">
        <v>3.4209090909090912E-3</v>
      </c>
      <c r="AG345" s="51">
        <v>3.4681818181818186E-3</v>
      </c>
      <c r="AH345" s="51">
        <v>3.5154545454545456E-3</v>
      </c>
      <c r="AI345" s="51">
        <v>3.562727272727273E-3</v>
      </c>
      <c r="AJ345" s="51">
        <v>3.6100000000000004E-3</v>
      </c>
      <c r="AK345" s="51">
        <v>3.6572727272727278E-3</v>
      </c>
      <c r="AL345" s="51">
        <v>3.7045454545454552E-3</v>
      </c>
      <c r="AM345" s="51">
        <v>3.7518181818181826E-3</v>
      </c>
      <c r="AN345" s="51">
        <v>3.7990909090909099E-3</v>
      </c>
      <c r="AO345" s="51">
        <v>3.8463636363636369E-3</v>
      </c>
      <c r="AP345" s="51">
        <v>3.8936363636363643E-3</v>
      </c>
      <c r="AQ345" s="51">
        <v>3.9409090909090913E-3</v>
      </c>
      <c r="AR345" s="51">
        <v>3.9881818181818187E-3</v>
      </c>
      <c r="AS345" s="51">
        <v>4.0354545454545461E-3</v>
      </c>
      <c r="AT345" s="51">
        <v>4.0827272727272735E-3</v>
      </c>
      <c r="AU345" s="51">
        <v>4.1300000000000009E-3</v>
      </c>
      <c r="AV345" s="51">
        <v>4.1579545454545463E-3</v>
      </c>
      <c r="AW345" s="51">
        <v>4.1859090909090917E-3</v>
      </c>
      <c r="AX345" s="51">
        <v>4.2138636363636371E-3</v>
      </c>
      <c r="AY345" s="51">
        <v>4.2418181818181825E-3</v>
      </c>
      <c r="AZ345" s="51">
        <v>4.269772727272728E-3</v>
      </c>
      <c r="BA345" s="51">
        <v>4.2977272727272734E-3</v>
      </c>
      <c r="BB345" s="51">
        <v>4.3256818181818188E-3</v>
      </c>
      <c r="BC345" s="51">
        <v>4.3536363636363642E-3</v>
      </c>
      <c r="BD345" s="51">
        <v>4.3815909090909096E-3</v>
      </c>
      <c r="BE345" s="51">
        <v>4.4095454545454551E-3</v>
      </c>
      <c r="BF345" s="51">
        <v>4.4375000000000005E-3</v>
      </c>
      <c r="BG345" s="51">
        <v>4.4654545454545459E-3</v>
      </c>
      <c r="BH345" s="51">
        <v>4.4934090909090913E-3</v>
      </c>
      <c r="BI345" s="51">
        <v>4.5213636363636367E-3</v>
      </c>
      <c r="BJ345" s="51">
        <v>4.5493181818181821E-3</v>
      </c>
      <c r="BK345" s="51">
        <v>4.5772727272727276E-3</v>
      </c>
      <c r="BL345" s="51">
        <v>4.605227272727273E-3</v>
      </c>
      <c r="BM345" s="51">
        <v>4.6331818181818184E-3</v>
      </c>
      <c r="BN345" s="51">
        <v>4.6611363636363638E-3</v>
      </c>
      <c r="BO345" s="51">
        <v>4.6890909090909101E-3</v>
      </c>
      <c r="BP345" s="51">
        <v>4.7170454545454547E-3</v>
      </c>
      <c r="BQ345" s="51">
        <v>4.745000000000001E-3</v>
      </c>
      <c r="BR345" s="51">
        <v>4.7729545454545455E-3</v>
      </c>
      <c r="BS345" s="51">
        <v>4.8009090909090918E-3</v>
      </c>
      <c r="BT345" s="51">
        <v>4.8288636363636372E-3</v>
      </c>
      <c r="BU345" s="51">
        <v>4.8568181818181826E-3</v>
      </c>
      <c r="BV345" s="51">
        <v>4.8847727272727281E-3</v>
      </c>
      <c r="BW345" s="51">
        <v>4.9127272727272735E-3</v>
      </c>
      <c r="BX345" s="51">
        <v>4.9406818181818189E-3</v>
      </c>
      <c r="BY345" s="51">
        <v>4.9686363636363643E-3</v>
      </c>
      <c r="BZ345" s="51">
        <v>4.9965909090909097E-3</v>
      </c>
      <c r="CA345" s="51">
        <v>5.0245454545454551E-3</v>
      </c>
      <c r="CB345" s="51">
        <v>5.0525000000000006E-3</v>
      </c>
      <c r="CC345" s="51">
        <v>5.080454545454546E-3</v>
      </c>
      <c r="CD345" s="51">
        <v>5.1084090909090914E-3</v>
      </c>
      <c r="CE345" s="51">
        <v>5.1363636363636368E-3</v>
      </c>
      <c r="CF345" s="51">
        <v>5.1643181818181822E-3</v>
      </c>
      <c r="CG345" s="51">
        <v>5.1922727272727277E-3</v>
      </c>
      <c r="CH345" s="51">
        <v>5.2202272727272731E-3</v>
      </c>
      <c r="CI345" s="51">
        <v>5.2481818181818185E-3</v>
      </c>
      <c r="CJ345" s="51">
        <v>5.2761363636363639E-3</v>
      </c>
      <c r="CK345" s="51">
        <v>5.3040909090909093E-3</v>
      </c>
      <c r="CL345" s="51">
        <v>5.3320454545454548E-3</v>
      </c>
      <c r="CM345" s="51">
        <v>5.3600000000000002E-3</v>
      </c>
    </row>
    <row r="346" spans="1:91" s="50" customFormat="1" x14ac:dyDescent="0.25">
      <c r="A346" s="99" t="s">
        <v>1</v>
      </c>
      <c r="B346" s="4">
        <v>0</v>
      </c>
      <c r="C346" s="4">
        <v>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0</v>
      </c>
      <c r="X346" s="4">
        <v>0</v>
      </c>
      <c r="Y346" s="4">
        <v>0</v>
      </c>
      <c r="Z346" s="4">
        <v>0</v>
      </c>
      <c r="AA346" s="4">
        <v>0</v>
      </c>
      <c r="AB346" s="4">
        <v>0</v>
      </c>
      <c r="AC346" s="4">
        <v>0</v>
      </c>
      <c r="AD346" s="4">
        <v>0</v>
      </c>
      <c r="AE346" s="4">
        <v>0</v>
      </c>
      <c r="AF346" s="51">
        <v>1.4251346260975674E-3</v>
      </c>
      <c r="AG346" s="51">
        <v>1.4394010133432368E-3</v>
      </c>
      <c r="AH346" s="51">
        <v>1.4536674005889063E-3</v>
      </c>
      <c r="AI346" s="51">
        <v>1.4679337878345756E-3</v>
      </c>
      <c r="AJ346" s="51">
        <v>1.4822001750802451E-3</v>
      </c>
      <c r="AK346" s="51">
        <v>1.4964665623259145E-3</v>
      </c>
      <c r="AL346" s="51">
        <v>1.510732949571584E-3</v>
      </c>
      <c r="AM346" s="51">
        <v>1.5249993368172533E-3</v>
      </c>
      <c r="AN346" s="51">
        <v>1.5392657240629226E-3</v>
      </c>
      <c r="AO346" s="51">
        <v>1.5535321113085922E-3</v>
      </c>
      <c r="AP346" s="51">
        <v>1.5677984985542617E-3</v>
      </c>
      <c r="AQ346" s="51">
        <v>1.582064885799931E-3</v>
      </c>
      <c r="AR346" s="51">
        <v>1.5963312730456003E-3</v>
      </c>
      <c r="AS346" s="51">
        <v>1.6105976602912699E-3</v>
      </c>
      <c r="AT346" s="51">
        <v>1.6248640475369394E-3</v>
      </c>
      <c r="AU346" s="51">
        <v>1.6391304347826087E-3</v>
      </c>
      <c r="AV346" s="51">
        <v>1.6512056578914659E-3</v>
      </c>
      <c r="AW346" s="51">
        <v>1.6632808810003231E-3</v>
      </c>
      <c r="AX346" s="51">
        <v>1.6753561041091805E-3</v>
      </c>
      <c r="AY346" s="51">
        <v>1.6874313272180377E-3</v>
      </c>
      <c r="AZ346" s="51">
        <v>1.6995065503268949E-3</v>
      </c>
      <c r="BA346" s="51">
        <v>1.7115817734357521E-3</v>
      </c>
      <c r="BB346" s="51">
        <v>1.7236569965446095E-3</v>
      </c>
      <c r="BC346" s="51">
        <v>1.7357322196534667E-3</v>
      </c>
      <c r="BD346" s="51">
        <v>1.7478074427623239E-3</v>
      </c>
      <c r="BE346" s="51">
        <v>1.759882665871181E-3</v>
      </c>
      <c r="BF346" s="51">
        <v>1.7719578889800382E-3</v>
      </c>
      <c r="BG346" s="51">
        <v>1.7840331120888956E-3</v>
      </c>
      <c r="BH346" s="51">
        <v>1.7961083351977528E-3</v>
      </c>
      <c r="BI346" s="51">
        <v>1.80818355830661E-3</v>
      </c>
      <c r="BJ346" s="51">
        <v>1.8202587814154672E-3</v>
      </c>
      <c r="BK346" s="51">
        <v>1.8323340045243246E-3</v>
      </c>
      <c r="BL346" s="51">
        <v>1.8444092276331818E-3</v>
      </c>
      <c r="BM346" s="51">
        <v>1.856484450742039E-3</v>
      </c>
      <c r="BN346" s="51">
        <v>1.8685596738508962E-3</v>
      </c>
      <c r="BO346" s="51">
        <v>1.8806348969597534E-3</v>
      </c>
      <c r="BP346" s="51">
        <v>1.8927101200686108E-3</v>
      </c>
      <c r="BQ346" s="51">
        <v>1.904785343177468E-3</v>
      </c>
      <c r="BR346" s="51">
        <v>1.9168605662863252E-3</v>
      </c>
      <c r="BS346" s="51">
        <v>1.9289357893951826E-3</v>
      </c>
      <c r="BT346" s="51">
        <v>1.9410110125040398E-3</v>
      </c>
      <c r="BU346" s="51">
        <v>1.953086235612897E-3</v>
      </c>
      <c r="BV346" s="51">
        <v>1.9651614587217541E-3</v>
      </c>
      <c r="BW346" s="51">
        <v>1.9772366818306113E-3</v>
      </c>
      <c r="BX346" s="51">
        <v>1.9893119049394685E-3</v>
      </c>
      <c r="BY346" s="51">
        <v>2.0013871280483257E-3</v>
      </c>
      <c r="BZ346" s="51">
        <v>2.0134623511571829E-3</v>
      </c>
      <c r="CA346" s="51">
        <v>2.0255375742660405E-3</v>
      </c>
      <c r="CB346" s="51">
        <v>2.0376127973748977E-3</v>
      </c>
      <c r="CC346" s="51">
        <v>2.0496880204837549E-3</v>
      </c>
      <c r="CD346" s="51">
        <v>2.0617632435926121E-3</v>
      </c>
      <c r="CE346" s="51">
        <v>2.0738384667014693E-3</v>
      </c>
      <c r="CF346" s="51">
        <v>2.0859136898103265E-3</v>
      </c>
      <c r="CG346" s="51">
        <v>2.0979889129191837E-3</v>
      </c>
      <c r="CH346" s="51">
        <v>2.1100641360280409E-3</v>
      </c>
      <c r="CI346" s="51">
        <v>2.1221393591368985E-3</v>
      </c>
      <c r="CJ346" s="51">
        <v>2.1342145822457557E-3</v>
      </c>
      <c r="CK346" s="51">
        <v>2.1462898053546129E-3</v>
      </c>
      <c r="CL346" s="51">
        <v>2.1583650284634701E-3</v>
      </c>
      <c r="CM346" s="51">
        <v>2.1704402515723272E-3</v>
      </c>
    </row>
    <row r="347" spans="1:91" s="50" customFormat="1" x14ac:dyDescent="0.25">
      <c r="A347" s="99" t="s">
        <v>1</v>
      </c>
      <c r="B347" s="4">
        <v>0</v>
      </c>
      <c r="C347" s="4">
        <v>0</v>
      </c>
      <c r="D347" s="4">
        <v>0</v>
      </c>
      <c r="E347" s="4">
        <v>0</v>
      </c>
      <c r="F347" s="4">
        <v>0</v>
      </c>
      <c r="G347" s="4">
        <v>0</v>
      </c>
      <c r="H347" s="4">
        <v>0</v>
      </c>
      <c r="I347" s="4">
        <v>0</v>
      </c>
      <c r="J347" s="4">
        <v>0</v>
      </c>
      <c r="K347" s="4">
        <v>0</v>
      </c>
      <c r="L347" s="4">
        <v>0</v>
      </c>
      <c r="M347" s="4">
        <v>0</v>
      </c>
      <c r="N347" s="4">
        <v>0</v>
      </c>
      <c r="O347" s="4">
        <v>0</v>
      </c>
      <c r="P347" s="4">
        <v>0</v>
      </c>
      <c r="Q347" s="4">
        <v>0</v>
      </c>
      <c r="R347" s="4">
        <v>0</v>
      </c>
      <c r="S347" s="4">
        <v>0</v>
      </c>
      <c r="T347" s="4">
        <v>0</v>
      </c>
      <c r="U347" s="4">
        <v>0</v>
      </c>
      <c r="V347" s="4">
        <v>0</v>
      </c>
      <c r="W347" s="4">
        <v>0</v>
      </c>
      <c r="X347" s="4">
        <v>0</v>
      </c>
      <c r="Y347" s="4">
        <v>0</v>
      </c>
      <c r="Z347" s="4">
        <v>0</v>
      </c>
      <c r="AA347" s="4">
        <v>0</v>
      </c>
      <c r="AB347" s="4">
        <v>0</v>
      </c>
      <c r="AC347" s="4">
        <v>0</v>
      </c>
      <c r="AD347" s="4">
        <v>0</v>
      </c>
      <c r="AE347" s="4">
        <v>0</v>
      </c>
      <c r="AF347" s="51">
        <v>1.6577549140049139E-3</v>
      </c>
      <c r="AG347" s="51">
        <v>1.6804361179361179E-3</v>
      </c>
      <c r="AH347" s="51">
        <v>1.7031173218673219E-3</v>
      </c>
      <c r="AI347" s="51">
        <v>1.7257985257985258E-3</v>
      </c>
      <c r="AJ347" s="51">
        <v>1.7484797297297296E-3</v>
      </c>
      <c r="AK347" s="51">
        <v>1.7711609336609336E-3</v>
      </c>
      <c r="AL347" s="51">
        <v>1.7938421375921377E-3</v>
      </c>
      <c r="AM347" s="51">
        <v>1.8165233415233415E-3</v>
      </c>
      <c r="AN347" s="51">
        <v>1.8392045454545453E-3</v>
      </c>
      <c r="AO347" s="51">
        <v>1.8618857493857494E-3</v>
      </c>
      <c r="AP347" s="51">
        <v>1.8845669533169532E-3</v>
      </c>
      <c r="AQ347" s="51">
        <v>1.907248157248157E-3</v>
      </c>
      <c r="AR347" s="51">
        <v>1.9299293611793611E-3</v>
      </c>
      <c r="AS347" s="51">
        <v>1.9526105651105651E-3</v>
      </c>
      <c r="AT347" s="51">
        <v>1.9752917690417692E-3</v>
      </c>
      <c r="AU347" s="51">
        <v>1.9979729729729728E-3</v>
      </c>
      <c r="AV347" s="51">
        <v>2.0184735872235873E-3</v>
      </c>
      <c r="AW347" s="51">
        <v>2.0389742014742013E-3</v>
      </c>
      <c r="AX347" s="51">
        <v>2.0594748157248153E-3</v>
      </c>
      <c r="AY347" s="51">
        <v>2.0799754299754298E-3</v>
      </c>
      <c r="AZ347" s="51">
        <v>2.1004760442260443E-3</v>
      </c>
      <c r="BA347" s="51">
        <v>2.1209766584766583E-3</v>
      </c>
      <c r="BB347" s="51">
        <v>2.1414772727272723E-3</v>
      </c>
      <c r="BC347" s="51">
        <v>2.1619778869778868E-3</v>
      </c>
      <c r="BD347" s="51">
        <v>2.1824785012285013E-3</v>
      </c>
      <c r="BE347" s="51">
        <v>2.2029791154791153E-3</v>
      </c>
      <c r="BF347" s="51">
        <v>2.2234797297297293E-3</v>
      </c>
      <c r="BG347" s="51">
        <v>2.2439803439803438E-3</v>
      </c>
      <c r="BH347" s="51">
        <v>2.2644809582309583E-3</v>
      </c>
      <c r="BI347" s="51">
        <v>2.2849815724815723E-3</v>
      </c>
      <c r="BJ347" s="51">
        <v>2.3054821867321863E-3</v>
      </c>
      <c r="BK347" s="51">
        <v>2.3259828009828008E-3</v>
      </c>
      <c r="BL347" s="51">
        <v>2.3464834152334153E-3</v>
      </c>
      <c r="BM347" s="51">
        <v>2.3669840294840293E-3</v>
      </c>
      <c r="BN347" s="51">
        <v>2.3874846437346433E-3</v>
      </c>
      <c r="BO347" s="51">
        <v>2.4079852579852578E-3</v>
      </c>
      <c r="BP347" s="51">
        <v>2.4284858722358723E-3</v>
      </c>
      <c r="BQ347" s="51">
        <v>2.4489864864864863E-3</v>
      </c>
      <c r="BR347" s="51">
        <v>2.4694871007371003E-3</v>
      </c>
      <c r="BS347" s="51">
        <v>2.4899877149877148E-3</v>
      </c>
      <c r="BT347" s="51">
        <v>2.5104883292383293E-3</v>
      </c>
      <c r="BU347" s="51">
        <v>2.5309889434889433E-3</v>
      </c>
      <c r="BV347" s="51">
        <v>2.5514895577395573E-3</v>
      </c>
      <c r="BW347" s="51">
        <v>2.5719901719901718E-3</v>
      </c>
      <c r="BX347" s="51">
        <v>2.5924907862407863E-3</v>
      </c>
      <c r="BY347" s="51">
        <v>2.6129914004914003E-3</v>
      </c>
      <c r="BZ347" s="51">
        <v>2.6334920147420143E-3</v>
      </c>
      <c r="CA347" s="51">
        <v>2.6539926289926288E-3</v>
      </c>
      <c r="CB347" s="51">
        <v>2.6744932432432433E-3</v>
      </c>
      <c r="CC347" s="51">
        <v>2.6949938574938573E-3</v>
      </c>
      <c r="CD347" s="51">
        <v>2.7154944717444713E-3</v>
      </c>
      <c r="CE347" s="51">
        <v>2.7359950859950858E-3</v>
      </c>
      <c r="CF347" s="51">
        <v>2.7564957002457003E-3</v>
      </c>
      <c r="CG347" s="51">
        <v>2.7769963144963143E-3</v>
      </c>
      <c r="CH347" s="51">
        <v>2.7974969287469283E-3</v>
      </c>
      <c r="CI347" s="51">
        <v>2.8179975429975428E-3</v>
      </c>
      <c r="CJ347" s="51">
        <v>2.8384981572481573E-3</v>
      </c>
      <c r="CK347" s="51">
        <v>2.8589987714987713E-3</v>
      </c>
      <c r="CL347" s="51">
        <v>2.8794993857493853E-3</v>
      </c>
      <c r="CM347" s="51">
        <v>2.8999999999999998E-3</v>
      </c>
    </row>
    <row r="348" spans="1:91" s="50" customFormat="1" x14ac:dyDescent="0.25">
      <c r="A348" s="99" t="s">
        <v>1</v>
      </c>
      <c r="B348" s="4">
        <v>0</v>
      </c>
      <c r="C348" s="4">
        <v>0</v>
      </c>
      <c r="D348" s="4">
        <v>0</v>
      </c>
      <c r="E348" s="4">
        <v>0</v>
      </c>
      <c r="F348" s="4">
        <v>0</v>
      </c>
      <c r="G348" s="4">
        <v>0</v>
      </c>
      <c r="H348" s="4">
        <v>0</v>
      </c>
      <c r="I348" s="4">
        <v>0</v>
      </c>
      <c r="J348" s="4">
        <v>0</v>
      </c>
      <c r="K348" s="4">
        <v>0</v>
      </c>
      <c r="L348" s="4">
        <v>0</v>
      </c>
      <c r="M348" s="4">
        <v>0</v>
      </c>
      <c r="N348" s="4">
        <v>0</v>
      </c>
      <c r="O348" s="4">
        <v>0</v>
      </c>
      <c r="P348" s="4">
        <v>0</v>
      </c>
      <c r="Q348" s="4">
        <v>0</v>
      </c>
      <c r="R348" s="4">
        <v>0</v>
      </c>
      <c r="S348" s="4">
        <v>0</v>
      </c>
      <c r="T348" s="4">
        <v>0</v>
      </c>
      <c r="U348" s="4">
        <v>0</v>
      </c>
      <c r="V348" s="4">
        <v>0</v>
      </c>
      <c r="W348" s="4">
        <v>0</v>
      </c>
      <c r="X348" s="4">
        <v>0</v>
      </c>
      <c r="Y348" s="4">
        <v>0</v>
      </c>
      <c r="Z348" s="4">
        <v>0</v>
      </c>
      <c r="AA348" s="4">
        <v>0</v>
      </c>
      <c r="AB348" s="4">
        <v>0</v>
      </c>
      <c r="AC348" s="4">
        <v>0</v>
      </c>
      <c r="AD348" s="4">
        <v>0</v>
      </c>
      <c r="AE348" s="4">
        <v>0</v>
      </c>
      <c r="AF348" s="51">
        <v>6.1522727272727278E-2</v>
      </c>
      <c r="AG348" s="51">
        <v>6.1954545454545457E-2</v>
      </c>
      <c r="AH348" s="51">
        <v>6.2386363636363643E-2</v>
      </c>
      <c r="AI348" s="51">
        <v>6.2818181818181829E-2</v>
      </c>
      <c r="AJ348" s="51">
        <v>6.3250000000000001E-2</v>
      </c>
      <c r="AK348" s="51">
        <v>6.3681818181818187E-2</v>
      </c>
      <c r="AL348" s="51">
        <v>6.4113636363636373E-2</v>
      </c>
      <c r="AM348" s="51">
        <v>6.4545454545454545E-2</v>
      </c>
      <c r="AN348" s="51">
        <v>6.4977272727272731E-2</v>
      </c>
      <c r="AO348" s="51">
        <v>6.5409090909090917E-2</v>
      </c>
      <c r="AP348" s="51">
        <v>6.5840909090909089E-2</v>
      </c>
      <c r="AQ348" s="51">
        <v>6.6272727272727275E-2</v>
      </c>
      <c r="AR348" s="51">
        <v>6.6704545454545461E-2</v>
      </c>
      <c r="AS348" s="51">
        <v>6.7136363636363633E-2</v>
      </c>
      <c r="AT348" s="51">
        <v>6.7568181818181819E-2</v>
      </c>
      <c r="AU348" s="51">
        <v>6.8000000000000005E-2</v>
      </c>
      <c r="AV348" s="51">
        <v>6.881818181818182E-2</v>
      </c>
      <c r="AW348" s="51">
        <v>6.9636363636363635E-2</v>
      </c>
      <c r="AX348" s="51">
        <v>7.0454545454545464E-2</v>
      </c>
      <c r="AY348" s="51">
        <v>7.1272727272727279E-2</v>
      </c>
      <c r="AZ348" s="51">
        <v>7.2090909090909094E-2</v>
      </c>
      <c r="BA348" s="51">
        <v>7.290909090909091E-2</v>
      </c>
      <c r="BB348" s="51">
        <v>7.3727272727272725E-2</v>
      </c>
      <c r="BC348" s="51">
        <v>7.4545454545454554E-2</v>
      </c>
      <c r="BD348" s="51">
        <v>7.5363636363636369E-2</v>
      </c>
      <c r="BE348" s="51">
        <v>7.6181818181818184E-2</v>
      </c>
      <c r="BF348" s="51">
        <v>7.6999999999999999E-2</v>
      </c>
      <c r="BG348" s="51">
        <v>7.7818181818181814E-2</v>
      </c>
      <c r="BH348" s="51">
        <v>7.8636363636363643E-2</v>
      </c>
      <c r="BI348" s="51">
        <v>7.9454545454545458E-2</v>
      </c>
      <c r="BJ348" s="51">
        <v>8.0272727272727273E-2</v>
      </c>
      <c r="BK348" s="51">
        <v>8.1090909090909088E-2</v>
      </c>
      <c r="BL348" s="51">
        <v>8.1909090909090904E-2</v>
      </c>
      <c r="BM348" s="51">
        <v>8.2727272727272733E-2</v>
      </c>
      <c r="BN348" s="51">
        <v>8.3545454545454548E-2</v>
      </c>
      <c r="BO348" s="51">
        <v>8.4363636363636363E-2</v>
      </c>
      <c r="BP348" s="51">
        <v>8.5181818181818178E-2</v>
      </c>
      <c r="BQ348" s="51">
        <v>8.5999999999999993E-2</v>
      </c>
      <c r="BR348" s="51">
        <v>8.6818181818181822E-2</v>
      </c>
      <c r="BS348" s="51">
        <v>8.7636363636363637E-2</v>
      </c>
      <c r="BT348" s="51">
        <v>8.8454545454545452E-2</v>
      </c>
      <c r="BU348" s="51">
        <v>8.9272727272727267E-2</v>
      </c>
      <c r="BV348" s="51">
        <v>9.0090909090909083E-2</v>
      </c>
      <c r="BW348" s="51">
        <v>9.0909090909090912E-2</v>
      </c>
      <c r="BX348" s="51">
        <v>9.1727272727272727E-2</v>
      </c>
      <c r="BY348" s="51">
        <v>9.2545454545454542E-2</v>
      </c>
      <c r="BZ348" s="51">
        <v>9.3363636363636357E-2</v>
      </c>
      <c r="CA348" s="51">
        <v>9.4181818181818172E-2</v>
      </c>
      <c r="CB348" s="51">
        <v>9.5000000000000001E-2</v>
      </c>
      <c r="CC348" s="51">
        <v>9.5818181818181816E-2</v>
      </c>
      <c r="CD348" s="51">
        <v>9.6636363636363631E-2</v>
      </c>
      <c r="CE348" s="51">
        <v>9.7454545454545446E-2</v>
      </c>
      <c r="CF348" s="51">
        <v>9.8272727272727262E-2</v>
      </c>
      <c r="CG348" s="51">
        <v>9.9090909090909091E-2</v>
      </c>
      <c r="CH348" s="51">
        <v>9.9909090909090906E-2</v>
      </c>
      <c r="CI348" s="51">
        <v>0.10072727272727272</v>
      </c>
      <c r="CJ348" s="51">
        <v>0.10154545454545455</v>
      </c>
      <c r="CK348" s="51">
        <v>0.10236363636363635</v>
      </c>
      <c r="CL348" s="51">
        <v>0.10318181818181818</v>
      </c>
      <c r="CM348" s="51">
        <v>0.104</v>
      </c>
    </row>
    <row r="349" spans="1:91" s="50" customFormat="1" x14ac:dyDescent="0.25">
      <c r="A349" s="9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c r="BS349" s="51"/>
      <c r="BT349" s="51"/>
      <c r="BU349" s="51"/>
      <c r="BV349" s="51"/>
      <c r="BW349" s="51"/>
      <c r="BX349" s="51"/>
      <c r="BY349" s="51"/>
      <c r="BZ349" s="51"/>
      <c r="CA349" s="51"/>
      <c r="CB349" s="51"/>
      <c r="CC349" s="51"/>
      <c r="CD349" s="51"/>
      <c r="CE349" s="51"/>
      <c r="CF349" s="51"/>
      <c r="CG349" s="51"/>
      <c r="CH349" s="51"/>
      <c r="CI349" s="51"/>
      <c r="CJ349" s="51"/>
      <c r="CK349" s="51"/>
      <c r="CL349" s="51"/>
      <c r="CM349" s="51"/>
    </row>
    <row r="350" spans="1:91" s="50" customFormat="1" x14ac:dyDescent="0.25">
      <c r="A350" s="99" t="s">
        <v>168</v>
      </c>
      <c r="B350" s="4">
        <v>0</v>
      </c>
      <c r="C350" s="4">
        <v>0</v>
      </c>
      <c r="D350" s="4">
        <v>0</v>
      </c>
      <c r="E350" s="4">
        <v>0</v>
      </c>
      <c r="F350" s="4">
        <v>0</v>
      </c>
      <c r="G350" s="4">
        <v>0</v>
      </c>
      <c r="H350" s="4">
        <v>0</v>
      </c>
      <c r="I350" s="4">
        <v>0</v>
      </c>
      <c r="J350" s="4">
        <v>0</v>
      </c>
      <c r="K350" s="4">
        <v>0</v>
      </c>
      <c r="L350" s="4">
        <v>0</v>
      </c>
      <c r="M350" s="4">
        <v>0</v>
      </c>
      <c r="N350" s="4">
        <v>0</v>
      </c>
      <c r="O350" s="4">
        <v>0</v>
      </c>
      <c r="P350" s="4">
        <v>0</v>
      </c>
      <c r="Q350" s="4">
        <v>0</v>
      </c>
      <c r="R350" s="4">
        <v>0</v>
      </c>
      <c r="S350" s="4">
        <v>0</v>
      </c>
      <c r="T350" s="4">
        <v>0</v>
      </c>
      <c r="U350" s="4">
        <v>0</v>
      </c>
      <c r="V350" s="4">
        <v>0</v>
      </c>
      <c r="W350" s="4">
        <v>0</v>
      </c>
      <c r="X350" s="4">
        <v>0</v>
      </c>
      <c r="Y350" s="4">
        <v>0</v>
      </c>
      <c r="Z350" s="4">
        <v>0</v>
      </c>
      <c r="AA350" s="4">
        <v>0</v>
      </c>
      <c r="AB350" s="4">
        <v>0</v>
      </c>
      <c r="AC350" s="4">
        <v>0</v>
      </c>
      <c r="AD350" s="4">
        <v>0</v>
      </c>
      <c r="AE350" s="4">
        <v>0</v>
      </c>
      <c r="AF350" s="51">
        <v>3.0288636363636368E-3</v>
      </c>
      <c r="AG350" s="51">
        <v>3.1022727272727278E-3</v>
      </c>
      <c r="AH350" s="51">
        <v>3.1756818181818188E-3</v>
      </c>
      <c r="AI350" s="51">
        <v>3.2490909090909098E-3</v>
      </c>
      <c r="AJ350" s="51">
        <v>3.3225000000000008E-3</v>
      </c>
      <c r="AK350" s="51">
        <v>3.3959090909090918E-3</v>
      </c>
      <c r="AL350" s="51">
        <v>3.4693181818181828E-3</v>
      </c>
      <c r="AM350" s="51">
        <v>3.5427272727272738E-3</v>
      </c>
      <c r="AN350" s="51">
        <v>3.6161363636363648E-3</v>
      </c>
      <c r="AO350" s="51">
        <v>3.6895454545454558E-3</v>
      </c>
      <c r="AP350" s="51">
        <v>3.7629545454545468E-3</v>
      </c>
      <c r="AQ350" s="51">
        <v>3.8363636363636378E-3</v>
      </c>
      <c r="AR350" s="51">
        <v>3.9097727272727287E-3</v>
      </c>
      <c r="AS350" s="51">
        <v>3.9831818181818197E-3</v>
      </c>
      <c r="AT350" s="51">
        <v>4.0565909090909107E-3</v>
      </c>
      <c r="AU350" s="51">
        <v>4.1300000000000009E-3</v>
      </c>
      <c r="AV350" s="51">
        <v>4.1579545454545463E-3</v>
      </c>
      <c r="AW350" s="51">
        <v>4.1859090909090917E-3</v>
      </c>
      <c r="AX350" s="51">
        <v>4.2138636363636371E-3</v>
      </c>
      <c r="AY350" s="51">
        <v>4.2418181818181825E-3</v>
      </c>
      <c r="AZ350" s="51">
        <v>4.269772727272728E-3</v>
      </c>
      <c r="BA350" s="51">
        <v>4.2977272727272734E-3</v>
      </c>
      <c r="BB350" s="51">
        <v>4.3256818181818188E-3</v>
      </c>
      <c r="BC350" s="51">
        <v>4.3536363636363642E-3</v>
      </c>
      <c r="BD350" s="51">
        <v>4.3815909090909096E-3</v>
      </c>
      <c r="BE350" s="51">
        <v>4.4095454545454551E-3</v>
      </c>
      <c r="BF350" s="51">
        <v>4.4375000000000005E-3</v>
      </c>
      <c r="BG350" s="51">
        <v>4.4654545454545459E-3</v>
      </c>
      <c r="BH350" s="51">
        <v>4.4934090909090913E-3</v>
      </c>
      <c r="BI350" s="51">
        <v>4.5213636363636367E-3</v>
      </c>
      <c r="BJ350" s="51">
        <v>4.5493181818181821E-3</v>
      </c>
      <c r="BK350" s="51">
        <v>4.5772727272727276E-3</v>
      </c>
      <c r="BL350" s="51">
        <v>4.605227272727273E-3</v>
      </c>
      <c r="BM350" s="51">
        <v>4.6331818181818184E-3</v>
      </c>
      <c r="BN350" s="51">
        <v>4.6611363636363638E-3</v>
      </c>
      <c r="BO350" s="51">
        <v>4.6890909090909101E-3</v>
      </c>
      <c r="BP350" s="51">
        <v>4.7170454545454547E-3</v>
      </c>
      <c r="BQ350" s="51">
        <v>4.745000000000001E-3</v>
      </c>
      <c r="BR350" s="51">
        <v>4.7729545454545455E-3</v>
      </c>
      <c r="BS350" s="51">
        <v>4.8009090909090918E-3</v>
      </c>
      <c r="BT350" s="51">
        <v>4.8288636363636372E-3</v>
      </c>
      <c r="BU350" s="51">
        <v>4.8568181818181826E-3</v>
      </c>
      <c r="BV350" s="51">
        <v>4.8847727272727281E-3</v>
      </c>
      <c r="BW350" s="51">
        <v>4.9127272727272735E-3</v>
      </c>
      <c r="BX350" s="51">
        <v>4.9406818181818189E-3</v>
      </c>
      <c r="BY350" s="51">
        <v>4.9686363636363643E-3</v>
      </c>
      <c r="BZ350" s="51">
        <v>4.9965909090909097E-3</v>
      </c>
      <c r="CA350" s="51">
        <v>5.0245454545454551E-3</v>
      </c>
      <c r="CB350" s="51">
        <v>5.0525000000000006E-3</v>
      </c>
      <c r="CC350" s="51">
        <v>5.080454545454546E-3</v>
      </c>
      <c r="CD350" s="51">
        <v>5.1084090909090914E-3</v>
      </c>
      <c r="CE350" s="51">
        <v>5.1363636363636368E-3</v>
      </c>
      <c r="CF350" s="51">
        <v>5.1643181818181822E-3</v>
      </c>
      <c r="CG350" s="51">
        <v>5.1922727272727277E-3</v>
      </c>
      <c r="CH350" s="51">
        <v>5.2202272727272731E-3</v>
      </c>
      <c r="CI350" s="51">
        <v>5.2481818181818185E-3</v>
      </c>
      <c r="CJ350" s="51">
        <v>5.2761363636363639E-3</v>
      </c>
      <c r="CK350" s="51">
        <v>5.3040909090909093E-3</v>
      </c>
      <c r="CL350" s="51">
        <v>5.3320454545454548E-3</v>
      </c>
      <c r="CM350" s="51">
        <v>5.3600000000000002E-3</v>
      </c>
    </row>
    <row r="351" spans="1:91" s="50" customFormat="1" x14ac:dyDescent="0.25">
      <c r="A351" s="9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c r="BS351" s="51"/>
      <c r="BT351" s="51"/>
      <c r="BU351" s="51"/>
      <c r="BV351" s="51"/>
      <c r="BW351" s="51"/>
      <c r="BX351" s="51"/>
      <c r="BY351" s="51"/>
      <c r="BZ351" s="51"/>
      <c r="CA351" s="51"/>
      <c r="CB351" s="51"/>
      <c r="CC351" s="51"/>
      <c r="CD351" s="51"/>
      <c r="CE351" s="51"/>
      <c r="CF351" s="51"/>
      <c r="CG351" s="51"/>
      <c r="CH351" s="51"/>
      <c r="CI351" s="51"/>
      <c r="CJ351" s="51"/>
      <c r="CK351" s="51"/>
      <c r="CL351" s="51"/>
      <c r="CM351" s="51"/>
    </row>
    <row r="352" spans="1:91" s="50" customFormat="1" x14ac:dyDescent="0.25">
      <c r="A352" s="99" t="s">
        <v>392</v>
      </c>
      <c r="B352" s="4">
        <v>0</v>
      </c>
      <c r="C352" s="4">
        <v>0</v>
      </c>
      <c r="D352" s="4">
        <v>0</v>
      </c>
      <c r="E352" s="4">
        <v>0</v>
      </c>
      <c r="F352" s="4">
        <v>0</v>
      </c>
      <c r="G352" s="4">
        <v>0</v>
      </c>
      <c r="H352" s="4">
        <v>0</v>
      </c>
      <c r="I352" s="4">
        <v>0</v>
      </c>
      <c r="J352" s="4">
        <v>0</v>
      </c>
      <c r="K352" s="4">
        <v>0</v>
      </c>
      <c r="L352" s="4">
        <v>0</v>
      </c>
      <c r="M352" s="4">
        <v>0</v>
      </c>
      <c r="N352" s="4">
        <v>0</v>
      </c>
      <c r="O352" s="4">
        <v>0</v>
      </c>
      <c r="P352" s="4">
        <v>0</v>
      </c>
      <c r="Q352" s="4">
        <v>0</v>
      </c>
      <c r="R352" s="4">
        <v>0</v>
      </c>
      <c r="S352" s="4">
        <v>0</v>
      </c>
      <c r="T352" s="4">
        <v>0</v>
      </c>
      <c r="U352" s="4">
        <v>0</v>
      </c>
      <c r="V352" s="4">
        <v>0</v>
      </c>
      <c r="W352" s="4">
        <v>0</v>
      </c>
      <c r="X352" s="4">
        <v>0</v>
      </c>
      <c r="Y352" s="4">
        <v>0</v>
      </c>
      <c r="Z352" s="4">
        <v>0</v>
      </c>
      <c r="AA352" s="4">
        <v>0</v>
      </c>
      <c r="AB352" s="4">
        <v>0</v>
      </c>
      <c r="AC352" s="4">
        <v>0</v>
      </c>
      <c r="AD352" s="4">
        <v>0</v>
      </c>
      <c r="AE352" s="4">
        <v>0</v>
      </c>
      <c r="AF352" s="51">
        <v>3.0288636363636368E-3</v>
      </c>
      <c r="AG352" s="51">
        <v>3.1022727272727278E-3</v>
      </c>
      <c r="AH352" s="51">
        <v>3.1756818181818188E-3</v>
      </c>
      <c r="AI352" s="51">
        <v>3.2490909090909098E-3</v>
      </c>
      <c r="AJ352" s="51">
        <v>3.3225000000000008E-3</v>
      </c>
      <c r="AK352" s="51">
        <v>3.3959090909090918E-3</v>
      </c>
      <c r="AL352" s="51">
        <v>3.4693181818181828E-3</v>
      </c>
      <c r="AM352" s="51">
        <v>3.5427272727272738E-3</v>
      </c>
      <c r="AN352" s="51">
        <v>3.6161363636363648E-3</v>
      </c>
      <c r="AO352" s="51">
        <v>3.6895454545454558E-3</v>
      </c>
      <c r="AP352" s="51">
        <v>3.7629545454545468E-3</v>
      </c>
      <c r="AQ352" s="51">
        <v>3.8363636363636378E-3</v>
      </c>
      <c r="AR352" s="51">
        <v>3.9097727272727287E-3</v>
      </c>
      <c r="AS352" s="51">
        <v>3.9831818181818197E-3</v>
      </c>
      <c r="AT352" s="51">
        <v>4.0565909090909107E-3</v>
      </c>
      <c r="AU352" s="51">
        <v>4.1300000000000009E-3</v>
      </c>
      <c r="AV352" s="51">
        <v>4.1579545454545463E-3</v>
      </c>
      <c r="AW352" s="51">
        <v>4.1859090909090917E-3</v>
      </c>
      <c r="AX352" s="51">
        <v>4.2138636363636371E-3</v>
      </c>
      <c r="AY352" s="51">
        <v>4.2418181818181825E-3</v>
      </c>
      <c r="AZ352" s="51">
        <v>4.269772727272728E-3</v>
      </c>
      <c r="BA352" s="51">
        <v>4.2977272727272734E-3</v>
      </c>
      <c r="BB352" s="51">
        <v>4.3256818181818188E-3</v>
      </c>
      <c r="BC352" s="51">
        <v>4.3536363636363642E-3</v>
      </c>
      <c r="BD352" s="51">
        <v>4.3815909090909096E-3</v>
      </c>
      <c r="BE352" s="51">
        <v>4.4095454545454551E-3</v>
      </c>
      <c r="BF352" s="51">
        <v>4.4375000000000005E-3</v>
      </c>
      <c r="BG352" s="51">
        <v>4.4654545454545459E-3</v>
      </c>
      <c r="BH352" s="51">
        <v>4.4934090909090913E-3</v>
      </c>
      <c r="BI352" s="51">
        <v>4.5213636363636367E-3</v>
      </c>
      <c r="BJ352" s="51">
        <v>4.5493181818181821E-3</v>
      </c>
      <c r="BK352" s="51">
        <v>4.5772727272727276E-3</v>
      </c>
      <c r="BL352" s="51">
        <v>4.605227272727273E-3</v>
      </c>
      <c r="BM352" s="51">
        <v>4.6331818181818184E-3</v>
      </c>
      <c r="BN352" s="51">
        <v>4.6611363636363638E-3</v>
      </c>
      <c r="BO352" s="51">
        <v>4.6890909090909101E-3</v>
      </c>
      <c r="BP352" s="51">
        <v>4.7170454545454547E-3</v>
      </c>
      <c r="BQ352" s="51">
        <v>4.745000000000001E-3</v>
      </c>
      <c r="BR352" s="51">
        <v>4.7729545454545455E-3</v>
      </c>
      <c r="BS352" s="51">
        <v>4.8009090909090918E-3</v>
      </c>
      <c r="BT352" s="51">
        <v>4.8288636363636372E-3</v>
      </c>
      <c r="BU352" s="51">
        <v>4.8568181818181826E-3</v>
      </c>
      <c r="BV352" s="51">
        <v>4.8847727272727281E-3</v>
      </c>
      <c r="BW352" s="51">
        <v>4.9127272727272735E-3</v>
      </c>
      <c r="BX352" s="51">
        <v>4.9406818181818189E-3</v>
      </c>
      <c r="BY352" s="51">
        <v>4.9686363636363643E-3</v>
      </c>
      <c r="BZ352" s="51">
        <v>4.9965909090909097E-3</v>
      </c>
      <c r="CA352" s="51">
        <v>5.0245454545454551E-3</v>
      </c>
      <c r="CB352" s="51">
        <v>5.0525000000000006E-3</v>
      </c>
      <c r="CC352" s="51">
        <v>5.080454545454546E-3</v>
      </c>
      <c r="CD352" s="51">
        <v>5.1084090909090914E-3</v>
      </c>
      <c r="CE352" s="51">
        <v>5.1363636363636368E-3</v>
      </c>
      <c r="CF352" s="51">
        <v>5.1643181818181822E-3</v>
      </c>
      <c r="CG352" s="51">
        <v>5.1922727272727277E-3</v>
      </c>
      <c r="CH352" s="51">
        <v>5.2202272727272731E-3</v>
      </c>
      <c r="CI352" s="51">
        <v>5.2481818181818185E-3</v>
      </c>
      <c r="CJ352" s="51">
        <v>5.2761363636363639E-3</v>
      </c>
      <c r="CK352" s="51">
        <v>5.3040909090909093E-3</v>
      </c>
      <c r="CL352" s="51">
        <v>5.3320454545454548E-3</v>
      </c>
      <c r="CM352" s="51">
        <v>5.3600000000000002E-3</v>
      </c>
    </row>
    <row r="353" spans="1:91" s="50" customFormat="1" x14ac:dyDescent="0.25">
      <c r="A353" s="9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c r="BS353" s="51"/>
      <c r="BT353" s="51"/>
      <c r="BU353" s="51"/>
      <c r="BV353" s="51"/>
      <c r="BW353" s="51"/>
      <c r="BX353" s="51"/>
      <c r="BY353" s="51"/>
      <c r="BZ353" s="51"/>
      <c r="CA353" s="51"/>
      <c r="CB353" s="51"/>
      <c r="CC353" s="51"/>
      <c r="CD353" s="51"/>
      <c r="CE353" s="51"/>
      <c r="CF353" s="51"/>
      <c r="CG353" s="51"/>
      <c r="CH353" s="51"/>
      <c r="CI353" s="51"/>
      <c r="CJ353" s="51"/>
      <c r="CK353" s="51"/>
      <c r="CL353" s="51"/>
      <c r="CM353" s="51"/>
    </row>
    <row r="354" spans="1:91" s="50" customFormat="1" x14ac:dyDescent="0.25">
      <c r="A354" s="99" t="s">
        <v>346</v>
      </c>
      <c r="B354" s="4">
        <v>0</v>
      </c>
      <c r="C354" s="4">
        <v>0</v>
      </c>
      <c r="D354" s="4">
        <v>0</v>
      </c>
      <c r="E354" s="4">
        <v>0</v>
      </c>
      <c r="F354" s="4">
        <v>0</v>
      </c>
      <c r="G354" s="4">
        <v>0</v>
      </c>
      <c r="H354" s="4">
        <v>0</v>
      </c>
      <c r="I354" s="4">
        <v>0</v>
      </c>
      <c r="J354" s="4">
        <v>0</v>
      </c>
      <c r="K354" s="4">
        <v>0</v>
      </c>
      <c r="L354" s="4">
        <v>0</v>
      </c>
      <c r="M354" s="4">
        <v>0</v>
      </c>
      <c r="N354" s="4">
        <v>0</v>
      </c>
      <c r="O354" s="4">
        <v>0</v>
      </c>
      <c r="P354" s="4">
        <v>0</v>
      </c>
      <c r="Q354" s="4">
        <v>0</v>
      </c>
      <c r="R354" s="4">
        <v>0</v>
      </c>
      <c r="S354" s="4">
        <v>0</v>
      </c>
      <c r="T354" s="4">
        <v>0</v>
      </c>
      <c r="U354" s="4">
        <v>0</v>
      </c>
      <c r="V354" s="4">
        <v>0</v>
      </c>
      <c r="W354" s="4">
        <v>0</v>
      </c>
      <c r="X354" s="4">
        <v>0</v>
      </c>
      <c r="Y354" s="4">
        <v>0</v>
      </c>
      <c r="Z354" s="4">
        <v>0</v>
      </c>
      <c r="AA354" s="4">
        <v>0</v>
      </c>
      <c r="AB354" s="4">
        <v>0</v>
      </c>
      <c r="AC354" s="4">
        <v>0</v>
      </c>
      <c r="AD354" s="4">
        <v>0</v>
      </c>
      <c r="AE354" s="4">
        <v>0</v>
      </c>
      <c r="AF354" s="51">
        <v>8.6618671127481966E-4</v>
      </c>
      <c r="AG354" s="51">
        <v>8.7332065560907562E-4</v>
      </c>
      <c r="AH354" s="51">
        <v>8.8045459994333169E-4</v>
      </c>
      <c r="AI354" s="51">
        <v>8.8758854427758765E-4</v>
      </c>
      <c r="AJ354" s="51">
        <v>8.9472248861184372E-4</v>
      </c>
      <c r="AK354" s="51">
        <v>9.0185643294609969E-4</v>
      </c>
      <c r="AL354" s="51">
        <v>9.0899037728035576E-4</v>
      </c>
      <c r="AM354" s="51">
        <v>9.1612432161461172E-4</v>
      </c>
      <c r="AN354" s="51">
        <v>9.2325826594886768E-4</v>
      </c>
      <c r="AO354" s="51">
        <v>9.3039221028312375E-4</v>
      </c>
      <c r="AP354" s="51">
        <v>9.3752615461737982E-4</v>
      </c>
      <c r="AQ354" s="51">
        <v>9.4466009895163578E-4</v>
      </c>
      <c r="AR354" s="51">
        <v>9.5179404328589175E-4</v>
      </c>
      <c r="AS354" s="51">
        <v>9.5892798762014782E-4</v>
      </c>
      <c r="AT354" s="51">
        <v>9.6606193195440389E-4</v>
      </c>
      <c r="AU354" s="51">
        <v>9.7319587628865985E-4</v>
      </c>
      <c r="AV354" s="51">
        <v>9.9072164948453621E-4</v>
      </c>
      <c r="AW354" s="51">
        <v>1.0082474226804125E-3</v>
      </c>
      <c r="AX354" s="51">
        <v>1.0257731958762887E-3</v>
      </c>
      <c r="AY354" s="51">
        <v>1.043298969072165E-3</v>
      </c>
      <c r="AZ354" s="51">
        <v>1.0608247422680412E-3</v>
      </c>
      <c r="BA354" s="51">
        <v>1.0783505154639175E-3</v>
      </c>
      <c r="BB354" s="51">
        <v>1.095876288659794E-3</v>
      </c>
      <c r="BC354" s="51">
        <v>1.1134020618556702E-3</v>
      </c>
      <c r="BD354" s="51">
        <v>1.1309278350515465E-3</v>
      </c>
      <c r="BE354" s="51">
        <v>1.1484536082474227E-3</v>
      </c>
      <c r="BF354" s="51">
        <v>1.165979381443299E-3</v>
      </c>
      <c r="BG354" s="51">
        <v>1.1835051546391752E-3</v>
      </c>
      <c r="BH354" s="51">
        <v>1.2010309278350515E-3</v>
      </c>
      <c r="BI354" s="51">
        <v>1.2185567010309277E-3</v>
      </c>
      <c r="BJ354" s="51">
        <v>1.236082474226804E-3</v>
      </c>
      <c r="BK354" s="51">
        <v>1.2536082474226805E-3</v>
      </c>
      <c r="BL354" s="51">
        <v>1.2711340206185567E-3</v>
      </c>
      <c r="BM354" s="51">
        <v>1.288659793814433E-3</v>
      </c>
      <c r="BN354" s="51">
        <v>1.3061855670103092E-3</v>
      </c>
      <c r="BO354" s="51">
        <v>1.3237113402061855E-3</v>
      </c>
      <c r="BP354" s="51">
        <v>1.3412371134020619E-3</v>
      </c>
      <c r="BQ354" s="51">
        <v>1.3587628865979382E-3</v>
      </c>
      <c r="BR354" s="51">
        <v>1.3762886597938145E-3</v>
      </c>
      <c r="BS354" s="51">
        <v>1.3938144329896907E-3</v>
      </c>
      <c r="BT354" s="51">
        <v>1.411340206185567E-3</v>
      </c>
      <c r="BU354" s="51">
        <v>1.4288659793814432E-3</v>
      </c>
      <c r="BV354" s="51">
        <v>1.4463917525773195E-3</v>
      </c>
      <c r="BW354" s="51">
        <v>1.4639175257731957E-3</v>
      </c>
      <c r="BX354" s="51">
        <v>1.481443298969072E-3</v>
      </c>
      <c r="BY354" s="51">
        <v>1.4989690721649482E-3</v>
      </c>
      <c r="BZ354" s="51">
        <v>1.5164948453608247E-3</v>
      </c>
      <c r="CA354" s="51">
        <v>1.534020618556701E-3</v>
      </c>
      <c r="CB354" s="51">
        <v>1.5515463917525772E-3</v>
      </c>
      <c r="CC354" s="51">
        <v>1.5690721649484537E-3</v>
      </c>
      <c r="CD354" s="51">
        <v>1.5865979381443299E-3</v>
      </c>
      <c r="CE354" s="51">
        <v>1.6041237113402062E-3</v>
      </c>
      <c r="CF354" s="51">
        <v>1.6216494845360824E-3</v>
      </c>
      <c r="CG354" s="51">
        <v>1.6391752577319587E-3</v>
      </c>
      <c r="CH354" s="51">
        <v>1.656701030927835E-3</v>
      </c>
      <c r="CI354" s="51">
        <v>1.6742268041237112E-3</v>
      </c>
      <c r="CJ354" s="51">
        <v>1.6917525773195875E-3</v>
      </c>
      <c r="CK354" s="51">
        <v>1.7092783505154637E-3</v>
      </c>
      <c r="CL354" s="51">
        <v>1.72680412371134E-3</v>
      </c>
      <c r="CM354" s="51">
        <v>1.7443298969072164E-3</v>
      </c>
    </row>
    <row r="355" spans="1:91" s="50" customFormat="1" x14ac:dyDescent="0.25">
      <c r="A355" s="9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c r="BS355" s="51"/>
      <c r="BT355" s="51"/>
      <c r="BU355" s="51"/>
      <c r="BV355" s="51"/>
      <c r="BW355" s="51"/>
      <c r="BX355" s="51"/>
      <c r="BY355" s="51"/>
      <c r="BZ355" s="51"/>
      <c r="CA355" s="51"/>
      <c r="CB355" s="51"/>
      <c r="CC355" s="51"/>
      <c r="CD355" s="51"/>
      <c r="CE355" s="51"/>
      <c r="CF355" s="51"/>
      <c r="CG355" s="51"/>
      <c r="CH355" s="51"/>
      <c r="CI355" s="51"/>
      <c r="CJ355" s="51"/>
      <c r="CK355" s="51"/>
      <c r="CL355" s="51"/>
      <c r="CM355" s="51"/>
    </row>
    <row r="356" spans="1:91" s="50" customFormat="1" x14ac:dyDescent="0.25">
      <c r="A356" s="99" t="s">
        <v>365</v>
      </c>
      <c r="B356" s="4">
        <v>0</v>
      </c>
      <c r="C356" s="4">
        <v>0</v>
      </c>
      <c r="D356" s="4">
        <v>0</v>
      </c>
      <c r="E356" s="4">
        <v>0</v>
      </c>
      <c r="F356" s="4">
        <v>0</v>
      </c>
      <c r="G356" s="4">
        <v>0</v>
      </c>
      <c r="H356" s="4">
        <v>0</v>
      </c>
      <c r="I356" s="4">
        <v>0</v>
      </c>
      <c r="J356" s="4">
        <v>0</v>
      </c>
      <c r="K356" s="4">
        <v>0</v>
      </c>
      <c r="L356" s="4">
        <v>0</v>
      </c>
      <c r="M356" s="4">
        <v>0</v>
      </c>
      <c r="N356" s="4">
        <v>0</v>
      </c>
      <c r="O356" s="4">
        <v>0</v>
      </c>
      <c r="P356" s="4">
        <v>0</v>
      </c>
      <c r="Q356" s="4">
        <v>0</v>
      </c>
      <c r="R356" s="4">
        <v>0</v>
      </c>
      <c r="S356" s="4">
        <v>0</v>
      </c>
      <c r="T356" s="4">
        <v>0</v>
      </c>
      <c r="U356" s="4">
        <v>0</v>
      </c>
      <c r="V356" s="4">
        <v>0</v>
      </c>
      <c r="W356" s="4">
        <v>0</v>
      </c>
      <c r="X356" s="4">
        <v>0</v>
      </c>
      <c r="Y356" s="4">
        <v>0</v>
      </c>
      <c r="Z356" s="4">
        <v>0</v>
      </c>
      <c r="AA356" s="4">
        <v>0</v>
      </c>
      <c r="AB356" s="4">
        <v>0</v>
      </c>
      <c r="AC356" s="4">
        <v>0</v>
      </c>
      <c r="AD356" s="4">
        <v>0</v>
      </c>
      <c r="AE356" s="4">
        <v>0</v>
      </c>
      <c r="AF356" s="51">
        <v>8.6618671127481966E-4</v>
      </c>
      <c r="AG356" s="51">
        <v>8.7332065560907562E-4</v>
      </c>
      <c r="AH356" s="51">
        <v>8.8045459994333169E-4</v>
      </c>
      <c r="AI356" s="51">
        <v>8.8758854427758765E-4</v>
      </c>
      <c r="AJ356" s="51">
        <v>8.9472248861184372E-4</v>
      </c>
      <c r="AK356" s="51">
        <v>9.0185643294609969E-4</v>
      </c>
      <c r="AL356" s="51">
        <v>9.0899037728035576E-4</v>
      </c>
      <c r="AM356" s="51">
        <v>9.1612432161461172E-4</v>
      </c>
      <c r="AN356" s="51">
        <v>9.2325826594886768E-4</v>
      </c>
      <c r="AO356" s="51">
        <v>9.3039221028312375E-4</v>
      </c>
      <c r="AP356" s="51">
        <v>9.3752615461737982E-4</v>
      </c>
      <c r="AQ356" s="51">
        <v>9.4466009895163578E-4</v>
      </c>
      <c r="AR356" s="51">
        <v>9.5179404328589175E-4</v>
      </c>
      <c r="AS356" s="51">
        <v>9.5892798762014782E-4</v>
      </c>
      <c r="AT356" s="51">
        <v>9.6606193195440389E-4</v>
      </c>
      <c r="AU356" s="51">
        <v>9.7319587628865985E-4</v>
      </c>
      <c r="AV356" s="51">
        <v>9.9072164948453621E-4</v>
      </c>
      <c r="AW356" s="51">
        <v>1.0082474226804125E-3</v>
      </c>
      <c r="AX356" s="51">
        <v>1.0257731958762887E-3</v>
      </c>
      <c r="AY356" s="51">
        <v>1.043298969072165E-3</v>
      </c>
      <c r="AZ356" s="51">
        <v>1.0608247422680412E-3</v>
      </c>
      <c r="BA356" s="51">
        <v>1.0783505154639175E-3</v>
      </c>
      <c r="BB356" s="51">
        <v>1.095876288659794E-3</v>
      </c>
      <c r="BC356" s="51">
        <v>1.1134020618556702E-3</v>
      </c>
      <c r="BD356" s="51">
        <v>1.1309278350515465E-3</v>
      </c>
      <c r="BE356" s="51">
        <v>1.1484536082474227E-3</v>
      </c>
      <c r="BF356" s="51">
        <v>1.165979381443299E-3</v>
      </c>
      <c r="BG356" s="51">
        <v>1.1835051546391752E-3</v>
      </c>
      <c r="BH356" s="51">
        <v>1.2010309278350515E-3</v>
      </c>
      <c r="BI356" s="51">
        <v>1.2185567010309277E-3</v>
      </c>
      <c r="BJ356" s="51">
        <v>1.236082474226804E-3</v>
      </c>
      <c r="BK356" s="51">
        <v>1.2536082474226805E-3</v>
      </c>
      <c r="BL356" s="51">
        <v>1.2711340206185567E-3</v>
      </c>
      <c r="BM356" s="51">
        <v>1.288659793814433E-3</v>
      </c>
      <c r="BN356" s="51">
        <v>1.3061855670103092E-3</v>
      </c>
      <c r="BO356" s="51">
        <v>1.3237113402061855E-3</v>
      </c>
      <c r="BP356" s="51">
        <v>1.3412371134020619E-3</v>
      </c>
      <c r="BQ356" s="51">
        <v>1.3587628865979382E-3</v>
      </c>
      <c r="BR356" s="51">
        <v>1.3762886597938145E-3</v>
      </c>
      <c r="BS356" s="51">
        <v>1.3938144329896907E-3</v>
      </c>
      <c r="BT356" s="51">
        <v>1.411340206185567E-3</v>
      </c>
      <c r="BU356" s="51">
        <v>1.4288659793814432E-3</v>
      </c>
      <c r="BV356" s="51">
        <v>1.4463917525773195E-3</v>
      </c>
      <c r="BW356" s="51">
        <v>1.4639175257731957E-3</v>
      </c>
      <c r="BX356" s="51">
        <v>1.481443298969072E-3</v>
      </c>
      <c r="BY356" s="51">
        <v>1.4989690721649482E-3</v>
      </c>
      <c r="BZ356" s="51">
        <v>1.5164948453608247E-3</v>
      </c>
      <c r="CA356" s="51">
        <v>1.534020618556701E-3</v>
      </c>
      <c r="CB356" s="51">
        <v>1.5515463917525772E-3</v>
      </c>
      <c r="CC356" s="51">
        <v>1.5690721649484537E-3</v>
      </c>
      <c r="CD356" s="51">
        <v>1.5865979381443299E-3</v>
      </c>
      <c r="CE356" s="51">
        <v>1.6041237113402062E-3</v>
      </c>
      <c r="CF356" s="51">
        <v>1.6216494845360824E-3</v>
      </c>
      <c r="CG356" s="51">
        <v>1.6391752577319587E-3</v>
      </c>
      <c r="CH356" s="51">
        <v>1.656701030927835E-3</v>
      </c>
      <c r="CI356" s="51">
        <v>1.6742268041237112E-3</v>
      </c>
      <c r="CJ356" s="51">
        <v>1.6917525773195875E-3</v>
      </c>
      <c r="CK356" s="51">
        <v>1.7092783505154637E-3</v>
      </c>
      <c r="CL356" s="51">
        <v>1.72680412371134E-3</v>
      </c>
      <c r="CM356" s="51">
        <v>1.7443298969072164E-3</v>
      </c>
    </row>
    <row r="357" spans="1:91" s="50" customFormat="1" x14ac:dyDescent="0.25">
      <c r="A357" s="9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c r="BS357" s="51"/>
      <c r="BT357" s="51"/>
      <c r="BU357" s="51"/>
      <c r="BV357" s="51"/>
      <c r="BW357" s="51"/>
      <c r="BX357" s="51"/>
      <c r="BY357" s="51"/>
      <c r="BZ357" s="51"/>
      <c r="CA357" s="51"/>
      <c r="CB357" s="51"/>
      <c r="CC357" s="51"/>
      <c r="CD357" s="51"/>
      <c r="CE357" s="51"/>
      <c r="CF357" s="51"/>
      <c r="CG357" s="51"/>
      <c r="CH357" s="51"/>
      <c r="CI357" s="51"/>
      <c r="CJ357" s="51"/>
      <c r="CK357" s="51"/>
      <c r="CL357" s="51"/>
      <c r="CM357" s="51"/>
    </row>
    <row r="358" spans="1:91" s="50" customFormat="1" x14ac:dyDescent="0.25">
      <c r="A358" s="99" t="s">
        <v>169</v>
      </c>
      <c r="B358" s="4">
        <v>0</v>
      </c>
      <c r="C358" s="4">
        <v>0</v>
      </c>
      <c r="D358" s="4">
        <v>0</v>
      </c>
      <c r="E358" s="4">
        <v>0</v>
      </c>
      <c r="F358" s="4">
        <v>0</v>
      </c>
      <c r="G358" s="4">
        <v>0</v>
      </c>
      <c r="H358" s="4">
        <v>0</v>
      </c>
      <c r="I358" s="4">
        <v>0</v>
      </c>
      <c r="J358" s="4">
        <v>0</v>
      </c>
      <c r="K358" s="4">
        <v>0</v>
      </c>
      <c r="L358" s="4">
        <v>0</v>
      </c>
      <c r="M358" s="4">
        <v>0</v>
      </c>
      <c r="N358" s="4">
        <v>0</v>
      </c>
      <c r="O358" s="4">
        <v>0</v>
      </c>
      <c r="P358" s="4">
        <v>0</v>
      </c>
      <c r="Q358" s="4">
        <v>0</v>
      </c>
      <c r="R358" s="4">
        <v>0</v>
      </c>
      <c r="S358" s="4">
        <v>0</v>
      </c>
      <c r="T358" s="4">
        <v>0</v>
      </c>
      <c r="U358" s="4">
        <v>0</v>
      </c>
      <c r="V358" s="4">
        <v>0</v>
      </c>
      <c r="W358" s="4">
        <v>0</v>
      </c>
      <c r="X358" s="4">
        <v>0</v>
      </c>
      <c r="Y358" s="4">
        <v>0</v>
      </c>
      <c r="Z358" s="4">
        <v>0</v>
      </c>
      <c r="AA358" s="4">
        <v>0</v>
      </c>
      <c r="AB358" s="4">
        <v>0</v>
      </c>
      <c r="AC358" s="4">
        <v>0</v>
      </c>
      <c r="AD358" s="4">
        <v>0</v>
      </c>
      <c r="AE358" s="4">
        <v>0</v>
      </c>
      <c r="AF358" s="51">
        <v>2.8586557155908612E-3</v>
      </c>
      <c r="AG358" s="51">
        <v>2.909963886131464E-3</v>
      </c>
      <c r="AH358" s="51">
        <v>2.9612720566720677E-3</v>
      </c>
      <c r="AI358" s="51">
        <v>3.0125802272126705E-3</v>
      </c>
      <c r="AJ358" s="51">
        <v>3.0638883977532742E-3</v>
      </c>
      <c r="AK358" s="51">
        <v>3.1151965682938766E-3</v>
      </c>
      <c r="AL358" s="51">
        <v>3.1665047388344802E-3</v>
      </c>
      <c r="AM358" s="51">
        <v>3.2178129093750835E-3</v>
      </c>
      <c r="AN358" s="51">
        <v>3.2691210799156863E-3</v>
      </c>
      <c r="AO358" s="51">
        <v>3.3204292504562887E-3</v>
      </c>
      <c r="AP358" s="51">
        <v>3.3717374209968911E-3</v>
      </c>
      <c r="AQ358" s="51">
        <v>3.4230455915374956E-3</v>
      </c>
      <c r="AR358" s="51">
        <v>3.474353762078098E-3</v>
      </c>
      <c r="AS358" s="51">
        <v>3.5256619326187004E-3</v>
      </c>
      <c r="AT358" s="51">
        <v>3.5769701031593041E-3</v>
      </c>
      <c r="AU358" s="51">
        <v>3.6282782736999073E-3</v>
      </c>
      <c r="AV358" s="51">
        <v>3.6601435786098075E-3</v>
      </c>
      <c r="AW358" s="51">
        <v>3.6920088835197063E-3</v>
      </c>
      <c r="AX358" s="51">
        <v>3.7238741884296055E-3</v>
      </c>
      <c r="AY358" s="51">
        <v>3.7557394933395052E-3</v>
      </c>
      <c r="AZ358" s="51">
        <v>3.7876047982494045E-3</v>
      </c>
      <c r="BA358" s="51">
        <v>3.8194701031593042E-3</v>
      </c>
      <c r="BB358" s="51">
        <v>3.8513354080692043E-3</v>
      </c>
      <c r="BC358" s="51">
        <v>3.8832007129791031E-3</v>
      </c>
      <c r="BD358" s="51">
        <v>3.9150660178890037E-3</v>
      </c>
      <c r="BE358" s="51">
        <v>3.9469313227989029E-3</v>
      </c>
      <c r="BF358" s="51">
        <v>3.9787966277088022E-3</v>
      </c>
      <c r="BG358" s="51">
        <v>4.0106619326187015E-3</v>
      </c>
      <c r="BH358" s="51">
        <v>4.0425272375286016E-3</v>
      </c>
      <c r="BI358" s="51">
        <v>4.0743925424385008E-3</v>
      </c>
      <c r="BJ358" s="51">
        <v>4.1062578473483992E-3</v>
      </c>
      <c r="BK358" s="51">
        <v>4.1381231522582993E-3</v>
      </c>
      <c r="BL358" s="51">
        <v>4.1699884571681986E-3</v>
      </c>
      <c r="BM358" s="51">
        <v>4.2018537620780979E-3</v>
      </c>
      <c r="BN358" s="51">
        <v>4.233719066987998E-3</v>
      </c>
      <c r="BO358" s="51">
        <v>4.2655843718978972E-3</v>
      </c>
      <c r="BP358" s="51">
        <v>4.2974496768077956E-3</v>
      </c>
      <c r="BQ358" s="51">
        <v>4.3293149817176958E-3</v>
      </c>
      <c r="BR358" s="51">
        <v>4.3611802866275959E-3</v>
      </c>
      <c r="BS358" s="51">
        <v>4.3930455915374969E-3</v>
      </c>
      <c r="BT358" s="51">
        <v>4.4249108964473944E-3</v>
      </c>
      <c r="BU358" s="51">
        <v>4.4567762013572945E-3</v>
      </c>
      <c r="BV358" s="51">
        <v>4.4886415062671938E-3</v>
      </c>
      <c r="BW358" s="51">
        <v>4.520506811177093E-3</v>
      </c>
      <c r="BX358" s="51">
        <v>4.5523721160869923E-3</v>
      </c>
      <c r="BY358" s="51">
        <v>4.5842374209968924E-3</v>
      </c>
      <c r="BZ358" s="51">
        <v>4.6161027259067908E-3</v>
      </c>
      <c r="CA358" s="51">
        <v>4.6479680308166918E-3</v>
      </c>
      <c r="CB358" s="51">
        <v>4.6798333357265902E-3</v>
      </c>
      <c r="CC358" s="51">
        <v>4.7116986406364903E-3</v>
      </c>
      <c r="CD358" s="51">
        <v>4.7435639455463896E-3</v>
      </c>
      <c r="CE358" s="51">
        <v>4.7754292504562897E-3</v>
      </c>
      <c r="CF358" s="51">
        <v>4.8072945553661881E-3</v>
      </c>
      <c r="CG358" s="51">
        <v>4.8391598602760891E-3</v>
      </c>
      <c r="CH358" s="51">
        <v>4.8710251651859866E-3</v>
      </c>
      <c r="CI358" s="51">
        <v>4.9028904700958876E-3</v>
      </c>
      <c r="CJ358" s="51">
        <v>4.9347557750057851E-3</v>
      </c>
      <c r="CK358" s="51">
        <v>4.9666210799156861E-3</v>
      </c>
      <c r="CL358" s="51">
        <v>4.9984863848255862E-3</v>
      </c>
      <c r="CM358" s="51">
        <v>5.0303516897354846E-3</v>
      </c>
    </row>
    <row r="359" spans="1:91" s="50" customFormat="1" x14ac:dyDescent="0.25">
      <c r="A359" s="99" t="s">
        <v>1</v>
      </c>
      <c r="B359" s="4">
        <v>0</v>
      </c>
      <c r="C359" s="4">
        <v>0</v>
      </c>
      <c r="D359" s="4">
        <v>0</v>
      </c>
      <c r="E359" s="4">
        <v>0</v>
      </c>
      <c r="F359" s="4">
        <v>0</v>
      </c>
      <c r="G359" s="4">
        <v>0</v>
      </c>
      <c r="H359" s="4">
        <v>0</v>
      </c>
      <c r="I359" s="4">
        <v>0</v>
      </c>
      <c r="J359" s="4">
        <v>0</v>
      </c>
      <c r="K359" s="4">
        <v>0</v>
      </c>
      <c r="L359" s="4">
        <v>0</v>
      </c>
      <c r="M359" s="4">
        <v>0</v>
      </c>
      <c r="N359" s="4">
        <v>0</v>
      </c>
      <c r="O359" s="4">
        <v>0</v>
      </c>
      <c r="P359" s="4">
        <v>0</v>
      </c>
      <c r="Q359" s="4">
        <v>0</v>
      </c>
      <c r="R359" s="4">
        <v>0</v>
      </c>
      <c r="S359" s="4">
        <v>0</v>
      </c>
      <c r="T359" s="4">
        <v>0</v>
      </c>
      <c r="U359" s="4">
        <v>0</v>
      </c>
      <c r="V359" s="4">
        <v>0</v>
      </c>
      <c r="W359" s="4">
        <v>0</v>
      </c>
      <c r="X359" s="4">
        <v>0</v>
      </c>
      <c r="Y359" s="4">
        <v>0</v>
      </c>
      <c r="Z359" s="4">
        <v>0</v>
      </c>
      <c r="AA359" s="4">
        <v>0</v>
      </c>
      <c r="AB359" s="4">
        <v>0</v>
      </c>
      <c r="AC359" s="4">
        <v>0</v>
      </c>
      <c r="AD359" s="4">
        <v>0</v>
      </c>
      <c r="AE359" s="4">
        <v>0</v>
      </c>
      <c r="AF359" s="51">
        <v>2.21991625074704E-3</v>
      </c>
      <c r="AG359" s="51">
        <v>2.2566263371078163E-3</v>
      </c>
      <c r="AH359" s="51">
        <v>2.2933364234685931E-3</v>
      </c>
      <c r="AI359" s="51">
        <v>2.3300465098293689E-3</v>
      </c>
      <c r="AJ359" s="51">
        <v>2.3667565961901457E-3</v>
      </c>
      <c r="AK359" s="51">
        <v>2.403466682550922E-3</v>
      </c>
      <c r="AL359" s="51">
        <v>2.4401767689116983E-3</v>
      </c>
      <c r="AM359" s="51">
        <v>2.4768868552724754E-3</v>
      </c>
      <c r="AN359" s="51">
        <v>2.5135969416332517E-3</v>
      </c>
      <c r="AO359" s="51">
        <v>2.5503070279940276E-3</v>
      </c>
      <c r="AP359" s="51">
        <v>2.5870171143548043E-3</v>
      </c>
      <c r="AQ359" s="51">
        <v>2.6237272007155811E-3</v>
      </c>
      <c r="AR359" s="51">
        <v>2.6604372870763569E-3</v>
      </c>
      <c r="AS359" s="51">
        <v>2.6971473734371336E-3</v>
      </c>
      <c r="AT359" s="51">
        <v>2.7338574597979095E-3</v>
      </c>
      <c r="AU359" s="51">
        <v>2.7705675461586858E-3</v>
      </c>
      <c r="AV359" s="51">
        <v>2.7941732069956472E-3</v>
      </c>
      <c r="AW359" s="51">
        <v>2.8177788678326082E-3</v>
      </c>
      <c r="AX359" s="51">
        <v>2.8413845286695688E-3</v>
      </c>
      <c r="AY359" s="51">
        <v>2.8649901895065294E-3</v>
      </c>
      <c r="AZ359" s="51">
        <v>2.8885958503434904E-3</v>
      </c>
      <c r="BA359" s="51">
        <v>2.9122015111804514E-3</v>
      </c>
      <c r="BB359" s="51">
        <v>2.9358071720174115E-3</v>
      </c>
      <c r="BC359" s="51">
        <v>2.9594128328543738E-3</v>
      </c>
      <c r="BD359" s="51">
        <v>2.9830184936913344E-3</v>
      </c>
      <c r="BE359" s="51">
        <v>3.0066241545282949E-3</v>
      </c>
      <c r="BF359" s="51">
        <v>3.030229815365256E-3</v>
      </c>
      <c r="BG359" s="51">
        <v>3.0538354762022174E-3</v>
      </c>
      <c r="BH359" s="51">
        <v>3.0774411370391771E-3</v>
      </c>
      <c r="BI359" s="51">
        <v>3.1010467978761381E-3</v>
      </c>
      <c r="BJ359" s="51">
        <v>3.1246524587130987E-3</v>
      </c>
      <c r="BK359" s="51">
        <v>3.1482581195500597E-3</v>
      </c>
      <c r="BL359" s="51">
        <v>3.1718637803870211E-3</v>
      </c>
      <c r="BM359" s="51">
        <v>3.1954694412239821E-3</v>
      </c>
      <c r="BN359" s="51">
        <v>3.2190751020609435E-3</v>
      </c>
      <c r="BO359" s="51">
        <v>3.2426807628979037E-3</v>
      </c>
      <c r="BP359" s="51">
        <v>3.2662864237348651E-3</v>
      </c>
      <c r="BQ359" s="51">
        <v>3.2898920845718252E-3</v>
      </c>
      <c r="BR359" s="51">
        <v>3.3134977454087858E-3</v>
      </c>
      <c r="BS359" s="51">
        <v>3.3371034062457468E-3</v>
      </c>
      <c r="BT359" s="51">
        <v>3.3607090670827078E-3</v>
      </c>
      <c r="BU359" s="51">
        <v>3.3843147279196684E-3</v>
      </c>
      <c r="BV359" s="51">
        <v>3.4079203887566302E-3</v>
      </c>
      <c r="BW359" s="51">
        <v>3.4315260495935899E-3</v>
      </c>
      <c r="BX359" s="51">
        <v>3.4551317104305514E-3</v>
      </c>
      <c r="BY359" s="51">
        <v>3.4787373712675128E-3</v>
      </c>
      <c r="BZ359" s="51">
        <v>3.5023430321044729E-3</v>
      </c>
      <c r="CA359" s="51">
        <v>3.5259486929414339E-3</v>
      </c>
      <c r="CB359" s="51">
        <v>3.5495543537783945E-3</v>
      </c>
      <c r="CC359" s="51">
        <v>3.5731600146153551E-3</v>
      </c>
      <c r="CD359" s="51">
        <v>3.5967656754523165E-3</v>
      </c>
      <c r="CE359" s="51">
        <v>3.6203713362892771E-3</v>
      </c>
      <c r="CF359" s="51">
        <v>3.6439769971262381E-3</v>
      </c>
      <c r="CG359" s="51">
        <v>3.6675826579631995E-3</v>
      </c>
      <c r="CH359" s="51">
        <v>3.6911883188001609E-3</v>
      </c>
      <c r="CI359" s="51">
        <v>3.7147939796371206E-3</v>
      </c>
      <c r="CJ359" s="51">
        <v>3.7383996404740821E-3</v>
      </c>
      <c r="CK359" s="51">
        <v>3.7620053013110422E-3</v>
      </c>
      <c r="CL359" s="51">
        <v>3.7856109621480032E-3</v>
      </c>
      <c r="CM359" s="51">
        <v>3.8092166229849646E-3</v>
      </c>
    </row>
    <row r="360" spans="1:91" s="50" customFormat="1" x14ac:dyDescent="0.25">
      <c r="A360" s="99" t="s">
        <v>1</v>
      </c>
      <c r="B360" s="4">
        <v>0</v>
      </c>
      <c r="C360" s="4">
        <v>0</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c r="X360" s="4">
        <v>0</v>
      </c>
      <c r="Y360" s="4">
        <v>0</v>
      </c>
      <c r="Z360" s="4">
        <v>0</v>
      </c>
      <c r="AA360" s="4">
        <v>0</v>
      </c>
      <c r="AB360" s="4">
        <v>0</v>
      </c>
      <c r="AC360" s="4">
        <v>0</v>
      </c>
      <c r="AD360" s="4">
        <v>0</v>
      </c>
      <c r="AE360" s="4">
        <v>0</v>
      </c>
      <c r="AF360" s="51">
        <v>3.2695631189309741E-3</v>
      </c>
      <c r="AG360" s="51">
        <v>3.3190680876783053E-3</v>
      </c>
      <c r="AH360" s="51">
        <v>3.3685730564256351E-3</v>
      </c>
      <c r="AI360" s="51">
        <v>3.4180780251729654E-3</v>
      </c>
      <c r="AJ360" s="51">
        <v>3.4675829939202975E-3</v>
      </c>
      <c r="AK360" s="51">
        <v>3.5170879626676278E-3</v>
      </c>
      <c r="AL360" s="51">
        <v>3.566592931414959E-3</v>
      </c>
      <c r="AM360" s="51">
        <v>3.6160979001622893E-3</v>
      </c>
      <c r="AN360" s="51">
        <v>3.66560286890962E-3</v>
      </c>
      <c r="AO360" s="51">
        <v>3.7151078376569512E-3</v>
      </c>
      <c r="AP360" s="51">
        <v>3.764612806404282E-3</v>
      </c>
      <c r="AQ360" s="51">
        <v>3.8141177751516123E-3</v>
      </c>
      <c r="AR360" s="51">
        <v>3.8636227438989435E-3</v>
      </c>
      <c r="AS360" s="51">
        <v>3.9131277126462733E-3</v>
      </c>
      <c r="AT360" s="51">
        <v>3.9626326813936045E-3</v>
      </c>
      <c r="AU360" s="51">
        <v>4.0121376501409357E-3</v>
      </c>
      <c r="AV360" s="51">
        <v>4.0409850921853223E-3</v>
      </c>
      <c r="AW360" s="51">
        <v>4.0698325342297097E-3</v>
      </c>
      <c r="AX360" s="51">
        <v>4.0986799762740963E-3</v>
      </c>
      <c r="AY360" s="51">
        <v>4.127527418318482E-3</v>
      </c>
      <c r="AZ360" s="51">
        <v>4.1563748603628704E-3</v>
      </c>
      <c r="BA360" s="51">
        <v>4.1852223024072561E-3</v>
      </c>
      <c r="BB360" s="51">
        <v>4.2140697444516435E-3</v>
      </c>
      <c r="BC360" s="51">
        <v>4.2429171864960301E-3</v>
      </c>
      <c r="BD360" s="51">
        <v>4.2717646285404158E-3</v>
      </c>
      <c r="BE360" s="51">
        <v>4.3006120705848042E-3</v>
      </c>
      <c r="BF360" s="51">
        <v>4.3294595126291899E-3</v>
      </c>
      <c r="BG360" s="51">
        <v>4.3583069546735782E-3</v>
      </c>
      <c r="BH360" s="51">
        <v>4.3871543967179639E-3</v>
      </c>
      <c r="BI360" s="51">
        <v>4.4160018387623514E-3</v>
      </c>
      <c r="BJ360" s="51">
        <v>4.444849280806738E-3</v>
      </c>
      <c r="BK360" s="51">
        <v>4.4736967228511245E-3</v>
      </c>
      <c r="BL360" s="51">
        <v>4.5025441648955111E-3</v>
      </c>
      <c r="BM360" s="51">
        <v>4.5313916069398994E-3</v>
      </c>
      <c r="BN360" s="51">
        <v>4.5602390489842852E-3</v>
      </c>
      <c r="BO360" s="51">
        <v>4.5890864910286726E-3</v>
      </c>
      <c r="BP360" s="51">
        <v>4.6179339330730601E-3</v>
      </c>
      <c r="BQ360" s="51">
        <v>4.6467813751174458E-3</v>
      </c>
      <c r="BR360" s="51">
        <v>4.6756288171618332E-3</v>
      </c>
      <c r="BS360" s="51">
        <v>4.7044762592062198E-3</v>
      </c>
      <c r="BT360" s="51">
        <v>4.7333237012506073E-3</v>
      </c>
      <c r="BU360" s="51">
        <v>4.762171143294993E-3</v>
      </c>
      <c r="BV360" s="51">
        <v>4.7910185853393805E-3</v>
      </c>
      <c r="BW360" s="51">
        <v>4.8198660273837679E-3</v>
      </c>
      <c r="BX360" s="51">
        <v>4.8487134694281545E-3</v>
      </c>
      <c r="BY360" s="51">
        <v>4.8775609114725419E-3</v>
      </c>
      <c r="BZ360" s="51">
        <v>4.9064083535169277E-3</v>
      </c>
      <c r="CA360" s="51">
        <v>4.9352557955613151E-3</v>
      </c>
      <c r="CB360" s="51">
        <v>4.9641032376057017E-3</v>
      </c>
      <c r="CC360" s="51">
        <v>4.9929506796500883E-3</v>
      </c>
      <c r="CD360" s="51">
        <v>5.0217981216944757E-3</v>
      </c>
      <c r="CE360" s="51">
        <v>5.0506455637388623E-3</v>
      </c>
      <c r="CF360" s="51">
        <v>5.0794930057832489E-3</v>
      </c>
      <c r="CG360" s="51">
        <v>5.1083404478276355E-3</v>
      </c>
      <c r="CH360" s="51">
        <v>5.1371878898720212E-3</v>
      </c>
      <c r="CI360" s="51">
        <v>5.1660353319164087E-3</v>
      </c>
      <c r="CJ360" s="51">
        <v>5.1948827739607961E-3</v>
      </c>
      <c r="CK360" s="51">
        <v>5.2237302160051836E-3</v>
      </c>
      <c r="CL360" s="51">
        <v>5.252577658049571E-3</v>
      </c>
      <c r="CM360" s="51">
        <v>5.2814251000939559E-3</v>
      </c>
    </row>
    <row r="361" spans="1:91" s="50" customFormat="1" x14ac:dyDescent="0.25">
      <c r="A361" s="99" t="s">
        <v>1</v>
      </c>
      <c r="B361" s="4">
        <v>0</v>
      </c>
      <c r="C361" s="4">
        <v>0</v>
      </c>
      <c r="D361" s="4">
        <v>0</v>
      </c>
      <c r="E361" s="4">
        <v>0</v>
      </c>
      <c r="F361" s="4">
        <v>0</v>
      </c>
      <c r="G361" s="4">
        <v>0</v>
      </c>
      <c r="H361" s="4">
        <v>0</v>
      </c>
      <c r="I361" s="4">
        <v>0</v>
      </c>
      <c r="J361" s="4">
        <v>0</v>
      </c>
      <c r="K361" s="4">
        <v>0</v>
      </c>
      <c r="L361" s="4">
        <v>0</v>
      </c>
      <c r="M361" s="4">
        <v>0</v>
      </c>
      <c r="N361" s="4">
        <v>0</v>
      </c>
      <c r="O361" s="4">
        <v>0</v>
      </c>
      <c r="P361" s="4">
        <v>0</v>
      </c>
      <c r="Q361" s="4">
        <v>0</v>
      </c>
      <c r="R361" s="4">
        <v>0</v>
      </c>
      <c r="S361" s="4">
        <v>0</v>
      </c>
      <c r="T361" s="4">
        <v>0</v>
      </c>
      <c r="U361" s="4">
        <v>0</v>
      </c>
      <c r="V361" s="4">
        <v>0</v>
      </c>
      <c r="W361" s="4">
        <v>0</v>
      </c>
      <c r="X361" s="4">
        <v>0</v>
      </c>
      <c r="Y361" s="4">
        <v>0</v>
      </c>
      <c r="Z361" s="4">
        <v>0</v>
      </c>
      <c r="AA361" s="4">
        <v>0</v>
      </c>
      <c r="AB361" s="4">
        <v>0</v>
      </c>
      <c r="AC361" s="4">
        <v>0</v>
      </c>
      <c r="AD361" s="4">
        <v>0</v>
      </c>
      <c r="AE361" s="4">
        <v>0</v>
      </c>
      <c r="AF361" s="51">
        <v>1.4251346260975677E-3</v>
      </c>
      <c r="AG361" s="51">
        <v>1.4394010133432365E-3</v>
      </c>
      <c r="AH361" s="51">
        <v>1.4536674005889065E-3</v>
      </c>
      <c r="AI361" s="51">
        <v>1.4679337878345756E-3</v>
      </c>
      <c r="AJ361" s="51">
        <v>1.4822001750802451E-3</v>
      </c>
      <c r="AK361" s="51">
        <v>1.4964665623259147E-3</v>
      </c>
      <c r="AL361" s="51">
        <v>1.5107329495715842E-3</v>
      </c>
      <c r="AM361" s="51">
        <v>1.5249993368172535E-3</v>
      </c>
      <c r="AN361" s="51">
        <v>1.5392657240629226E-3</v>
      </c>
      <c r="AO361" s="51">
        <v>1.5535321113085924E-3</v>
      </c>
      <c r="AP361" s="51">
        <v>1.5677984985542617E-3</v>
      </c>
      <c r="AQ361" s="51">
        <v>1.5820648857999312E-3</v>
      </c>
      <c r="AR361" s="51">
        <v>1.5963312730456008E-3</v>
      </c>
      <c r="AS361" s="51">
        <v>1.6105976602912699E-3</v>
      </c>
      <c r="AT361" s="51">
        <v>1.6248640475369394E-3</v>
      </c>
      <c r="AU361" s="51">
        <v>1.6391304347826087E-3</v>
      </c>
      <c r="AV361" s="51">
        <v>1.6512056578914661E-3</v>
      </c>
      <c r="AW361" s="51">
        <v>1.6632808810003231E-3</v>
      </c>
      <c r="AX361" s="51">
        <v>1.6753561041091803E-3</v>
      </c>
      <c r="AY361" s="51">
        <v>1.6874313272180379E-3</v>
      </c>
      <c r="AZ361" s="51">
        <v>1.6995065503268951E-3</v>
      </c>
      <c r="BA361" s="51">
        <v>1.7115817734357521E-3</v>
      </c>
      <c r="BB361" s="51">
        <v>1.7236569965446093E-3</v>
      </c>
      <c r="BC361" s="51">
        <v>1.7357322196534667E-3</v>
      </c>
      <c r="BD361" s="51">
        <v>1.7478074427623236E-3</v>
      </c>
      <c r="BE361" s="51">
        <v>1.759882665871181E-3</v>
      </c>
      <c r="BF361" s="51">
        <v>1.7719578889800382E-3</v>
      </c>
      <c r="BG361" s="51">
        <v>1.7840331120888959E-3</v>
      </c>
      <c r="BH361" s="51">
        <v>1.7961083351977531E-3</v>
      </c>
      <c r="BI361" s="51">
        <v>1.8081835583066094E-3</v>
      </c>
      <c r="BJ361" s="51">
        <v>1.8202587814154672E-3</v>
      </c>
      <c r="BK361" s="51">
        <v>1.8323340045243244E-3</v>
      </c>
      <c r="BL361" s="51">
        <v>1.844409227633182E-3</v>
      </c>
      <c r="BM361" s="51">
        <v>1.8564844507420388E-3</v>
      </c>
      <c r="BN361" s="51">
        <v>1.8685596738508962E-3</v>
      </c>
      <c r="BO361" s="51">
        <v>1.8806348969597534E-3</v>
      </c>
      <c r="BP361" s="51">
        <v>1.8927101200686108E-3</v>
      </c>
      <c r="BQ361" s="51">
        <v>1.9047853431774678E-3</v>
      </c>
      <c r="BR361" s="51">
        <v>1.9168605662863256E-3</v>
      </c>
      <c r="BS361" s="51">
        <v>1.9289357893951824E-3</v>
      </c>
      <c r="BT361" s="51">
        <v>1.9410110125040402E-3</v>
      </c>
      <c r="BU361" s="51">
        <v>1.9530862356128972E-3</v>
      </c>
      <c r="BV361" s="51">
        <v>1.9651614587217541E-3</v>
      </c>
      <c r="BW361" s="51">
        <v>1.9772366818306113E-3</v>
      </c>
      <c r="BX361" s="51">
        <v>1.989311904939469E-3</v>
      </c>
      <c r="BY361" s="51">
        <v>2.0013871280483257E-3</v>
      </c>
      <c r="BZ361" s="51">
        <v>2.0134623511571829E-3</v>
      </c>
      <c r="CA361" s="51">
        <v>2.0255375742660405E-3</v>
      </c>
      <c r="CB361" s="51">
        <v>2.0376127973748973E-3</v>
      </c>
      <c r="CC361" s="51">
        <v>2.0496880204837549E-3</v>
      </c>
      <c r="CD361" s="51">
        <v>2.0617632435926121E-3</v>
      </c>
      <c r="CE361" s="51">
        <v>2.0738384667014697E-3</v>
      </c>
      <c r="CF361" s="51">
        <v>2.0859136898103261E-3</v>
      </c>
      <c r="CG361" s="51">
        <v>2.0979889129191837E-3</v>
      </c>
      <c r="CH361" s="51">
        <v>2.1100641360280409E-3</v>
      </c>
      <c r="CI361" s="51">
        <v>2.1221393591368985E-3</v>
      </c>
      <c r="CJ361" s="51">
        <v>2.1342145822457557E-3</v>
      </c>
      <c r="CK361" s="51">
        <v>2.1462898053546129E-3</v>
      </c>
      <c r="CL361" s="51">
        <v>2.1583650284634701E-3</v>
      </c>
      <c r="CM361" s="51">
        <v>2.1704402515723277E-3</v>
      </c>
    </row>
    <row r="362" spans="1:91" s="50" customFormat="1" x14ac:dyDescent="0.25">
      <c r="A362" s="99" t="s">
        <v>1</v>
      </c>
      <c r="B362" s="4">
        <v>0</v>
      </c>
      <c r="C362" s="4">
        <v>0</v>
      </c>
      <c r="D362" s="4">
        <v>0</v>
      </c>
      <c r="E362" s="4">
        <v>0</v>
      </c>
      <c r="F362" s="4">
        <v>0</v>
      </c>
      <c r="G362" s="4">
        <v>0</v>
      </c>
      <c r="H362" s="4">
        <v>0</v>
      </c>
      <c r="I362" s="4">
        <v>0</v>
      </c>
      <c r="J362" s="4">
        <v>0</v>
      </c>
      <c r="K362" s="4">
        <v>0</v>
      </c>
      <c r="L362" s="4">
        <v>0</v>
      </c>
      <c r="M362" s="4">
        <v>0</v>
      </c>
      <c r="N362" s="4">
        <v>0</v>
      </c>
      <c r="O362" s="4">
        <v>0</v>
      </c>
      <c r="P362" s="4">
        <v>0</v>
      </c>
      <c r="Q362" s="4">
        <v>0</v>
      </c>
      <c r="R362" s="4">
        <v>0</v>
      </c>
      <c r="S362" s="4">
        <v>0</v>
      </c>
      <c r="T362" s="4">
        <v>0</v>
      </c>
      <c r="U362" s="4">
        <v>0</v>
      </c>
      <c r="V362" s="4">
        <v>0</v>
      </c>
      <c r="W362" s="4">
        <v>0</v>
      </c>
      <c r="X362" s="4">
        <v>0</v>
      </c>
      <c r="Y362" s="4">
        <v>0</v>
      </c>
      <c r="Z362" s="4">
        <v>0</v>
      </c>
      <c r="AA362" s="4">
        <v>0</v>
      </c>
      <c r="AB362" s="4">
        <v>0</v>
      </c>
      <c r="AC362" s="4">
        <v>0</v>
      </c>
      <c r="AD362" s="4">
        <v>0</v>
      </c>
      <c r="AE362" s="4">
        <v>0</v>
      </c>
      <c r="AF362" s="51">
        <v>1.6577549140049134E-3</v>
      </c>
      <c r="AG362" s="51">
        <v>1.6804361179361179E-3</v>
      </c>
      <c r="AH362" s="51">
        <v>1.7031173218673219E-3</v>
      </c>
      <c r="AI362" s="51">
        <v>1.7257985257985258E-3</v>
      </c>
      <c r="AJ362" s="51">
        <v>1.7484797297297294E-3</v>
      </c>
      <c r="AK362" s="51">
        <v>1.7711609336609332E-3</v>
      </c>
      <c r="AL362" s="51">
        <v>1.7938421375921377E-3</v>
      </c>
      <c r="AM362" s="51">
        <v>1.8165233415233415E-3</v>
      </c>
      <c r="AN362" s="51">
        <v>1.8392045454545453E-3</v>
      </c>
      <c r="AO362" s="51">
        <v>1.8618857493857496E-3</v>
      </c>
      <c r="AP362" s="51">
        <v>1.8845669533169532E-3</v>
      </c>
      <c r="AQ362" s="51">
        <v>1.9072481572481575E-3</v>
      </c>
      <c r="AR362" s="51">
        <v>1.9299293611793611E-3</v>
      </c>
      <c r="AS362" s="51">
        <v>1.9526105651105647E-3</v>
      </c>
      <c r="AT362" s="51">
        <v>1.9752917690417696E-3</v>
      </c>
      <c r="AU362" s="51">
        <v>1.9979729729729728E-3</v>
      </c>
      <c r="AV362" s="51">
        <v>2.0184735872235877E-3</v>
      </c>
      <c r="AW362" s="51">
        <v>2.0389742014742013E-3</v>
      </c>
      <c r="AX362" s="51">
        <v>2.0594748157248153E-3</v>
      </c>
      <c r="AY362" s="51">
        <v>2.0799754299754298E-3</v>
      </c>
      <c r="AZ362" s="51">
        <v>2.1004760442260443E-3</v>
      </c>
      <c r="BA362" s="51">
        <v>2.1209766584766587E-3</v>
      </c>
      <c r="BB362" s="51">
        <v>2.1414772727272723E-3</v>
      </c>
      <c r="BC362" s="51">
        <v>2.1619778869778868E-3</v>
      </c>
      <c r="BD362" s="51">
        <v>2.1824785012285013E-3</v>
      </c>
      <c r="BE362" s="51">
        <v>2.2029791154791153E-3</v>
      </c>
      <c r="BF362" s="51">
        <v>2.2234797297297293E-3</v>
      </c>
      <c r="BG362" s="51">
        <v>2.2439803439803438E-3</v>
      </c>
      <c r="BH362" s="51">
        <v>2.2644809582309583E-3</v>
      </c>
      <c r="BI362" s="51">
        <v>2.2849815724815723E-3</v>
      </c>
      <c r="BJ362" s="51">
        <v>2.3054821867321868E-3</v>
      </c>
      <c r="BK362" s="51">
        <v>2.3259828009828008E-3</v>
      </c>
      <c r="BL362" s="51">
        <v>2.3464834152334153E-3</v>
      </c>
      <c r="BM362" s="51">
        <v>2.3669840294840293E-3</v>
      </c>
      <c r="BN362" s="51">
        <v>2.3874846437346438E-3</v>
      </c>
      <c r="BO362" s="51">
        <v>2.4079852579852574E-3</v>
      </c>
      <c r="BP362" s="51">
        <v>2.4284858722358718E-3</v>
      </c>
      <c r="BQ362" s="51">
        <v>2.4489864864864859E-3</v>
      </c>
      <c r="BR362" s="51">
        <v>2.4694871007371003E-3</v>
      </c>
      <c r="BS362" s="51">
        <v>2.4899877149877148E-3</v>
      </c>
      <c r="BT362" s="51">
        <v>2.5104883292383293E-3</v>
      </c>
      <c r="BU362" s="51">
        <v>2.5309889434889433E-3</v>
      </c>
      <c r="BV362" s="51">
        <v>2.5514895577395573E-3</v>
      </c>
      <c r="BW362" s="51">
        <v>2.5719901719901722E-3</v>
      </c>
      <c r="BX362" s="51">
        <v>2.5924907862407863E-3</v>
      </c>
      <c r="BY362" s="51">
        <v>2.6129914004914007E-3</v>
      </c>
      <c r="BZ362" s="51">
        <v>2.6334920147420139E-3</v>
      </c>
      <c r="CA362" s="51">
        <v>2.6539926289926284E-3</v>
      </c>
      <c r="CB362" s="51">
        <v>2.6744932432432428E-3</v>
      </c>
      <c r="CC362" s="51">
        <v>2.6949938574938573E-3</v>
      </c>
      <c r="CD362" s="51">
        <v>2.7154944717444713E-3</v>
      </c>
      <c r="CE362" s="51">
        <v>2.7359950859950858E-3</v>
      </c>
      <c r="CF362" s="51">
        <v>2.7564957002457007E-3</v>
      </c>
      <c r="CG362" s="51">
        <v>2.7769963144963143E-3</v>
      </c>
      <c r="CH362" s="51">
        <v>2.7974969287469288E-3</v>
      </c>
      <c r="CI362" s="51">
        <v>2.8179975429975424E-3</v>
      </c>
      <c r="CJ362" s="51">
        <v>2.8384981572481573E-3</v>
      </c>
      <c r="CK362" s="51">
        <v>2.8589987714987713E-3</v>
      </c>
      <c r="CL362" s="51">
        <v>2.8794993857493853E-3</v>
      </c>
      <c r="CM362" s="51">
        <v>2.8999999999999998E-3</v>
      </c>
    </row>
    <row r="363" spans="1:91" s="50" customFormat="1" x14ac:dyDescent="0.25">
      <c r="A363" s="99" t="s">
        <v>1</v>
      </c>
      <c r="B363" s="4">
        <v>0</v>
      </c>
      <c r="C363" s="4">
        <v>0</v>
      </c>
      <c r="D363" s="4">
        <v>0</v>
      </c>
      <c r="E363" s="4">
        <v>0</v>
      </c>
      <c r="F363" s="4">
        <v>0</v>
      </c>
      <c r="G363" s="4">
        <v>0</v>
      </c>
      <c r="H363" s="4">
        <v>0</v>
      </c>
      <c r="I363" s="4">
        <v>0</v>
      </c>
      <c r="J363" s="4">
        <v>0</v>
      </c>
      <c r="K363" s="4">
        <v>0</v>
      </c>
      <c r="L363" s="4">
        <v>0</v>
      </c>
      <c r="M363" s="4">
        <v>0</v>
      </c>
      <c r="N363" s="4">
        <v>0</v>
      </c>
      <c r="O363" s="4">
        <v>0</v>
      </c>
      <c r="P363" s="4">
        <v>0</v>
      </c>
      <c r="Q363" s="4">
        <v>0</v>
      </c>
      <c r="R363" s="4">
        <v>0</v>
      </c>
      <c r="S363" s="4">
        <v>0</v>
      </c>
      <c r="T363" s="4">
        <v>0</v>
      </c>
      <c r="U363" s="4">
        <v>0</v>
      </c>
      <c r="V363" s="4">
        <v>0</v>
      </c>
      <c r="W363" s="4">
        <v>0</v>
      </c>
      <c r="X363" s="4">
        <v>0</v>
      </c>
      <c r="Y363" s="4">
        <v>0</v>
      </c>
      <c r="Z363" s="4">
        <v>0</v>
      </c>
      <c r="AA363" s="4">
        <v>0</v>
      </c>
      <c r="AB363" s="4">
        <v>0</v>
      </c>
      <c r="AC363" s="4">
        <v>0</v>
      </c>
      <c r="AD363" s="4">
        <v>0</v>
      </c>
      <c r="AE363" s="4">
        <v>0</v>
      </c>
      <c r="AF363" s="51">
        <v>6.1522727272727278E-2</v>
      </c>
      <c r="AG363" s="51">
        <v>6.1954545454545457E-2</v>
      </c>
      <c r="AH363" s="51">
        <v>6.2386363636363643E-2</v>
      </c>
      <c r="AI363" s="51">
        <v>6.2818181818181829E-2</v>
      </c>
      <c r="AJ363" s="51">
        <v>6.3250000000000001E-2</v>
      </c>
      <c r="AK363" s="51">
        <v>6.3681818181818187E-2</v>
      </c>
      <c r="AL363" s="51">
        <v>6.4113636363636373E-2</v>
      </c>
      <c r="AM363" s="51">
        <v>6.4545454545454545E-2</v>
      </c>
      <c r="AN363" s="51">
        <v>6.4977272727272731E-2</v>
      </c>
      <c r="AO363" s="51">
        <v>6.5409090909090917E-2</v>
      </c>
      <c r="AP363" s="51">
        <v>6.5840909090909089E-2</v>
      </c>
      <c r="AQ363" s="51">
        <v>6.6272727272727275E-2</v>
      </c>
      <c r="AR363" s="51">
        <v>6.6704545454545461E-2</v>
      </c>
      <c r="AS363" s="51">
        <v>6.7136363636363633E-2</v>
      </c>
      <c r="AT363" s="51">
        <v>6.7568181818181819E-2</v>
      </c>
      <c r="AU363" s="51">
        <v>6.8000000000000005E-2</v>
      </c>
      <c r="AV363" s="51">
        <v>6.881818181818182E-2</v>
      </c>
      <c r="AW363" s="51">
        <v>6.9636363636363635E-2</v>
      </c>
      <c r="AX363" s="51">
        <v>7.0454545454545464E-2</v>
      </c>
      <c r="AY363" s="51">
        <v>7.1272727272727279E-2</v>
      </c>
      <c r="AZ363" s="51">
        <v>7.2090909090909094E-2</v>
      </c>
      <c r="BA363" s="51">
        <v>7.290909090909091E-2</v>
      </c>
      <c r="BB363" s="51">
        <v>7.3727272727272725E-2</v>
      </c>
      <c r="BC363" s="51">
        <v>7.4545454545454554E-2</v>
      </c>
      <c r="BD363" s="51">
        <v>7.5363636363636369E-2</v>
      </c>
      <c r="BE363" s="51">
        <v>7.6181818181818184E-2</v>
      </c>
      <c r="BF363" s="51">
        <v>7.6999999999999999E-2</v>
      </c>
      <c r="BG363" s="51">
        <v>7.7818181818181814E-2</v>
      </c>
      <c r="BH363" s="51">
        <v>7.8636363636363643E-2</v>
      </c>
      <c r="BI363" s="51">
        <v>7.9454545454545458E-2</v>
      </c>
      <c r="BJ363" s="51">
        <v>8.0272727272727273E-2</v>
      </c>
      <c r="BK363" s="51">
        <v>8.1090909090909088E-2</v>
      </c>
      <c r="BL363" s="51">
        <v>8.1909090909090904E-2</v>
      </c>
      <c r="BM363" s="51">
        <v>8.2727272727272733E-2</v>
      </c>
      <c r="BN363" s="51">
        <v>8.3545454545454548E-2</v>
      </c>
      <c r="BO363" s="51">
        <v>8.4363636363636363E-2</v>
      </c>
      <c r="BP363" s="51">
        <v>8.5181818181818178E-2</v>
      </c>
      <c r="BQ363" s="51">
        <v>8.5999999999999993E-2</v>
      </c>
      <c r="BR363" s="51">
        <v>8.6818181818181822E-2</v>
      </c>
      <c r="BS363" s="51">
        <v>8.7636363636363637E-2</v>
      </c>
      <c r="BT363" s="51">
        <v>8.8454545454545452E-2</v>
      </c>
      <c r="BU363" s="51">
        <v>8.9272727272727267E-2</v>
      </c>
      <c r="BV363" s="51">
        <v>9.0090909090909083E-2</v>
      </c>
      <c r="BW363" s="51">
        <v>9.0909090909090912E-2</v>
      </c>
      <c r="BX363" s="51">
        <v>9.1727272727272727E-2</v>
      </c>
      <c r="BY363" s="51">
        <v>9.2545454545454542E-2</v>
      </c>
      <c r="BZ363" s="51">
        <v>9.3363636363636357E-2</v>
      </c>
      <c r="CA363" s="51">
        <v>9.4181818181818172E-2</v>
      </c>
      <c r="CB363" s="51">
        <v>9.5000000000000001E-2</v>
      </c>
      <c r="CC363" s="51">
        <v>9.5818181818181816E-2</v>
      </c>
      <c r="CD363" s="51">
        <v>9.6636363636363631E-2</v>
      </c>
      <c r="CE363" s="51">
        <v>9.7454545454545446E-2</v>
      </c>
      <c r="CF363" s="51">
        <v>9.8272727272727262E-2</v>
      </c>
      <c r="CG363" s="51">
        <v>9.9090909090909091E-2</v>
      </c>
      <c r="CH363" s="51">
        <v>9.9909090909090906E-2</v>
      </c>
      <c r="CI363" s="51">
        <v>0.10072727272727272</v>
      </c>
      <c r="CJ363" s="51">
        <v>0.10154545454545455</v>
      </c>
      <c r="CK363" s="51">
        <v>0.10236363636363635</v>
      </c>
      <c r="CL363" s="51">
        <v>0.10318181818181818</v>
      </c>
      <c r="CM363" s="51">
        <v>0.104</v>
      </c>
    </row>
    <row r="364" spans="1:91" s="50" customFormat="1" x14ac:dyDescent="0.25">
      <c r="A364" s="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91" s="50" customFormat="1" x14ac:dyDescent="0.25">
      <c r="A365" s="99" t="s">
        <v>170</v>
      </c>
      <c r="B365" s="4">
        <v>0</v>
      </c>
      <c r="C365" s="4">
        <v>0</v>
      </c>
      <c r="D365" s="4">
        <v>0</v>
      </c>
      <c r="E365" s="4">
        <v>0</v>
      </c>
      <c r="F365" s="4">
        <v>0</v>
      </c>
      <c r="G365" s="4">
        <v>0</v>
      </c>
      <c r="H365" s="4">
        <v>0</v>
      </c>
      <c r="I365" s="4">
        <v>0</v>
      </c>
      <c r="J365" s="4">
        <v>0</v>
      </c>
      <c r="K365" s="4">
        <v>0</v>
      </c>
      <c r="L365" s="4">
        <v>0</v>
      </c>
      <c r="M365" s="4">
        <v>0</v>
      </c>
      <c r="N365" s="4">
        <v>0</v>
      </c>
      <c r="O365" s="4">
        <v>0</v>
      </c>
      <c r="P365" s="4">
        <v>0</v>
      </c>
      <c r="Q365" s="4">
        <v>0</v>
      </c>
      <c r="R365" s="4">
        <v>0</v>
      </c>
      <c r="S365" s="4">
        <v>0</v>
      </c>
      <c r="T365" s="4">
        <v>0</v>
      </c>
      <c r="U365" s="4">
        <v>0</v>
      </c>
      <c r="V365" s="4">
        <v>0</v>
      </c>
      <c r="W365" s="4">
        <v>0</v>
      </c>
      <c r="X365" s="4">
        <v>0</v>
      </c>
      <c r="Y365" s="4">
        <v>0</v>
      </c>
      <c r="Z365" s="4">
        <v>0</v>
      </c>
      <c r="AA365" s="4">
        <v>0</v>
      </c>
      <c r="AB365" s="4">
        <v>0</v>
      </c>
      <c r="AC365" s="4">
        <v>0</v>
      </c>
      <c r="AD365" s="4">
        <v>0</v>
      </c>
      <c r="AE365" s="4">
        <v>0</v>
      </c>
      <c r="AF365" s="51">
        <v>9.6590909090909095E-4</v>
      </c>
      <c r="AG365" s="51">
        <v>9.6818181818181823E-4</v>
      </c>
      <c r="AH365" s="51">
        <v>9.704545454545454E-4</v>
      </c>
      <c r="AI365" s="51">
        <v>9.7272727272727268E-4</v>
      </c>
      <c r="AJ365" s="51">
        <v>9.7499999999999996E-4</v>
      </c>
      <c r="AK365" s="51">
        <v>9.7727272727272723E-4</v>
      </c>
      <c r="AL365" s="51">
        <v>9.7954545454545451E-4</v>
      </c>
      <c r="AM365" s="51">
        <v>9.8181818181818179E-4</v>
      </c>
      <c r="AN365" s="51">
        <v>9.8409090909090907E-4</v>
      </c>
      <c r="AO365" s="51">
        <v>9.8636363636363635E-4</v>
      </c>
      <c r="AP365" s="51">
        <v>9.8863636363636363E-4</v>
      </c>
      <c r="AQ365" s="51">
        <v>9.9090909090909091E-4</v>
      </c>
      <c r="AR365" s="51">
        <v>9.9318181818181818E-4</v>
      </c>
      <c r="AS365" s="51">
        <v>9.9545454545454546E-4</v>
      </c>
      <c r="AT365" s="51">
        <v>9.9772727272727274E-4</v>
      </c>
      <c r="AU365" s="51">
        <v>1E-3</v>
      </c>
      <c r="AV365" s="51">
        <v>1.0363636363636365E-3</v>
      </c>
      <c r="AW365" s="51">
        <v>1.0727272727272727E-3</v>
      </c>
      <c r="AX365" s="51">
        <v>1.1090909090909092E-3</v>
      </c>
      <c r="AY365" s="51">
        <v>1.1454545454545454E-3</v>
      </c>
      <c r="AZ365" s="51">
        <v>1.1818181818181819E-3</v>
      </c>
      <c r="BA365" s="51">
        <v>1.2181818181818181E-3</v>
      </c>
      <c r="BB365" s="51">
        <v>1.2545454545454546E-3</v>
      </c>
      <c r="BC365" s="51">
        <v>1.2909090909090908E-3</v>
      </c>
      <c r="BD365" s="51">
        <v>1.3272727272727273E-3</v>
      </c>
      <c r="BE365" s="51">
        <v>1.3636363636363635E-3</v>
      </c>
      <c r="BF365" s="51">
        <v>1.4E-3</v>
      </c>
      <c r="BG365" s="51">
        <v>1.4363636363636362E-3</v>
      </c>
      <c r="BH365" s="51">
        <v>1.4727272727272727E-3</v>
      </c>
      <c r="BI365" s="51">
        <v>1.5090909090909091E-3</v>
      </c>
      <c r="BJ365" s="51">
        <v>1.5454545454545454E-3</v>
      </c>
      <c r="BK365" s="51">
        <v>1.5818181818181816E-3</v>
      </c>
      <c r="BL365" s="51">
        <v>1.6181818181818181E-3</v>
      </c>
      <c r="BM365" s="51">
        <v>1.6545454545454545E-3</v>
      </c>
      <c r="BN365" s="51">
        <v>1.6909090909090908E-3</v>
      </c>
      <c r="BO365" s="51">
        <v>1.727272727272727E-3</v>
      </c>
      <c r="BP365" s="51">
        <v>1.7636363636363635E-3</v>
      </c>
      <c r="BQ365" s="51">
        <v>1.8E-3</v>
      </c>
      <c r="BR365" s="51">
        <v>1.8363636363636362E-3</v>
      </c>
      <c r="BS365" s="51">
        <v>1.8727272727272727E-3</v>
      </c>
      <c r="BT365" s="51">
        <v>1.9090909090909089E-3</v>
      </c>
      <c r="BU365" s="51">
        <v>1.9454545454545454E-3</v>
      </c>
      <c r="BV365" s="51">
        <v>1.9818181818181818E-3</v>
      </c>
      <c r="BW365" s="51">
        <v>2.0181818181818183E-3</v>
      </c>
      <c r="BX365" s="51">
        <v>2.0545454545454543E-3</v>
      </c>
      <c r="BY365" s="51">
        <v>2.0909090909090908E-3</v>
      </c>
      <c r="BZ365" s="51">
        <v>2.1272727272727268E-3</v>
      </c>
      <c r="CA365" s="51">
        <v>2.1636363636363632E-3</v>
      </c>
      <c r="CB365" s="51">
        <v>2.1999999999999997E-3</v>
      </c>
      <c r="CC365" s="51">
        <v>2.2363636363636362E-3</v>
      </c>
      <c r="CD365" s="51">
        <v>2.2727272727272726E-3</v>
      </c>
      <c r="CE365" s="51">
        <v>2.3090909090909091E-3</v>
      </c>
      <c r="CF365" s="51">
        <v>2.3454545454545455E-3</v>
      </c>
      <c r="CG365" s="51">
        <v>2.3818181818181816E-3</v>
      </c>
      <c r="CH365" s="51">
        <v>2.418181818181818E-3</v>
      </c>
      <c r="CI365" s="51">
        <v>2.454545454545454E-3</v>
      </c>
      <c r="CJ365" s="51">
        <v>2.4909090909090905E-3</v>
      </c>
      <c r="CK365" s="51">
        <v>2.527272727272727E-3</v>
      </c>
      <c r="CL365" s="51">
        <v>2.5636363636363634E-3</v>
      </c>
      <c r="CM365" s="51">
        <v>2.5999999999999999E-3</v>
      </c>
    </row>
    <row r="366" spans="1:91" s="50" customFormat="1" x14ac:dyDescent="0.25">
      <c r="A366" s="9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91" s="50" customFormat="1" x14ac:dyDescent="0.25">
      <c r="A367" s="99" t="s">
        <v>391</v>
      </c>
      <c r="B367" s="4">
        <v>0</v>
      </c>
      <c r="C367" s="4">
        <v>0</v>
      </c>
      <c r="D367" s="4">
        <v>0</v>
      </c>
      <c r="E367" s="4">
        <v>0</v>
      </c>
      <c r="F367" s="4">
        <v>0</v>
      </c>
      <c r="G367" s="4">
        <v>0</v>
      </c>
      <c r="H367" s="4">
        <v>0</v>
      </c>
      <c r="I367" s="4">
        <v>0</v>
      </c>
      <c r="J367" s="4">
        <v>0</v>
      </c>
      <c r="K367" s="4">
        <v>0</v>
      </c>
      <c r="L367" s="4">
        <v>0</v>
      </c>
      <c r="M367" s="4">
        <v>0</v>
      </c>
      <c r="N367" s="4">
        <v>0</v>
      </c>
      <c r="O367" s="4">
        <v>0</v>
      </c>
      <c r="P367" s="4">
        <v>0</v>
      </c>
      <c r="Q367" s="4">
        <v>0</v>
      </c>
      <c r="R367" s="4">
        <v>0</v>
      </c>
      <c r="S367" s="4">
        <v>0</v>
      </c>
      <c r="T367" s="4">
        <v>0</v>
      </c>
      <c r="U367" s="4">
        <v>0</v>
      </c>
      <c r="V367" s="4">
        <v>0</v>
      </c>
      <c r="W367" s="4">
        <v>0</v>
      </c>
      <c r="X367" s="4">
        <v>0</v>
      </c>
      <c r="Y367" s="4">
        <v>0</v>
      </c>
      <c r="Z367" s="4">
        <v>0</v>
      </c>
      <c r="AA367" s="4">
        <v>0</v>
      </c>
      <c r="AB367" s="4">
        <v>0</v>
      </c>
      <c r="AC367" s="4">
        <v>0</v>
      </c>
      <c r="AD367" s="4">
        <v>0</v>
      </c>
      <c r="AE367" s="4">
        <v>0</v>
      </c>
      <c r="AF367" s="51">
        <v>9.6590909090909095E-4</v>
      </c>
      <c r="AG367" s="51">
        <v>9.6818181818181823E-4</v>
      </c>
      <c r="AH367" s="51">
        <v>9.704545454545454E-4</v>
      </c>
      <c r="AI367" s="51">
        <v>9.7272727272727268E-4</v>
      </c>
      <c r="AJ367" s="51">
        <v>9.7499999999999996E-4</v>
      </c>
      <c r="AK367" s="51">
        <v>9.7727272727272723E-4</v>
      </c>
      <c r="AL367" s="51">
        <v>9.7954545454545451E-4</v>
      </c>
      <c r="AM367" s="51">
        <v>9.8181818181818179E-4</v>
      </c>
      <c r="AN367" s="51">
        <v>9.8409090909090907E-4</v>
      </c>
      <c r="AO367" s="51">
        <v>9.8636363636363635E-4</v>
      </c>
      <c r="AP367" s="51">
        <v>9.8863636363636363E-4</v>
      </c>
      <c r="AQ367" s="51">
        <v>9.9090909090909091E-4</v>
      </c>
      <c r="AR367" s="51">
        <v>9.9318181818181818E-4</v>
      </c>
      <c r="AS367" s="51">
        <v>9.9545454545454546E-4</v>
      </c>
      <c r="AT367" s="51">
        <v>9.9772727272727274E-4</v>
      </c>
      <c r="AU367" s="51">
        <v>1E-3</v>
      </c>
      <c r="AV367" s="51">
        <v>1.0363636363636365E-3</v>
      </c>
      <c r="AW367" s="51">
        <v>1.0727272727272727E-3</v>
      </c>
      <c r="AX367" s="51">
        <v>1.1090909090909092E-3</v>
      </c>
      <c r="AY367" s="51">
        <v>1.1454545454545454E-3</v>
      </c>
      <c r="AZ367" s="51">
        <v>1.1818181818181819E-3</v>
      </c>
      <c r="BA367" s="51">
        <v>1.2181818181818181E-3</v>
      </c>
      <c r="BB367" s="51">
        <v>1.2545454545454546E-3</v>
      </c>
      <c r="BC367" s="51">
        <v>1.2909090909090908E-3</v>
      </c>
      <c r="BD367" s="51">
        <v>1.3272727272727273E-3</v>
      </c>
      <c r="BE367" s="51">
        <v>1.3636363636363635E-3</v>
      </c>
      <c r="BF367" s="51">
        <v>1.4E-3</v>
      </c>
      <c r="BG367" s="51">
        <v>1.4363636363636362E-3</v>
      </c>
      <c r="BH367" s="51">
        <v>1.4727272727272727E-3</v>
      </c>
      <c r="BI367" s="51">
        <v>1.5090909090909091E-3</v>
      </c>
      <c r="BJ367" s="51">
        <v>1.5454545454545454E-3</v>
      </c>
      <c r="BK367" s="51">
        <v>1.5818181818181816E-3</v>
      </c>
      <c r="BL367" s="51">
        <v>1.6181818181818181E-3</v>
      </c>
      <c r="BM367" s="51">
        <v>1.6545454545454545E-3</v>
      </c>
      <c r="BN367" s="51">
        <v>1.6909090909090908E-3</v>
      </c>
      <c r="BO367" s="51">
        <v>1.727272727272727E-3</v>
      </c>
      <c r="BP367" s="51">
        <v>1.7636363636363635E-3</v>
      </c>
      <c r="BQ367" s="51">
        <v>1.8E-3</v>
      </c>
      <c r="BR367" s="51">
        <v>1.8363636363636362E-3</v>
      </c>
      <c r="BS367" s="51">
        <v>1.8727272727272727E-3</v>
      </c>
      <c r="BT367" s="51">
        <v>1.9090909090909089E-3</v>
      </c>
      <c r="BU367" s="51">
        <v>1.9454545454545454E-3</v>
      </c>
      <c r="BV367" s="51">
        <v>1.9818181818181818E-3</v>
      </c>
      <c r="BW367" s="51">
        <v>2.0181818181818183E-3</v>
      </c>
      <c r="BX367" s="51">
        <v>2.0545454545454543E-3</v>
      </c>
      <c r="BY367" s="51">
        <v>2.0909090909090908E-3</v>
      </c>
      <c r="BZ367" s="51">
        <v>2.1272727272727268E-3</v>
      </c>
      <c r="CA367" s="51">
        <v>2.1636363636363632E-3</v>
      </c>
      <c r="CB367" s="51">
        <v>2.1999999999999997E-3</v>
      </c>
      <c r="CC367" s="51">
        <v>2.2363636363636362E-3</v>
      </c>
      <c r="CD367" s="51">
        <v>2.2727272727272726E-3</v>
      </c>
      <c r="CE367" s="51">
        <v>2.3090909090909091E-3</v>
      </c>
      <c r="CF367" s="51">
        <v>2.3454545454545455E-3</v>
      </c>
      <c r="CG367" s="51">
        <v>2.3818181818181816E-3</v>
      </c>
      <c r="CH367" s="51">
        <v>2.418181818181818E-3</v>
      </c>
      <c r="CI367" s="51">
        <v>2.454545454545454E-3</v>
      </c>
      <c r="CJ367" s="51">
        <v>2.4909090909090905E-3</v>
      </c>
      <c r="CK367" s="51">
        <v>2.527272727272727E-3</v>
      </c>
      <c r="CL367" s="51">
        <v>2.5636363636363634E-3</v>
      </c>
      <c r="CM367" s="51">
        <v>2.5999999999999999E-3</v>
      </c>
    </row>
    <row r="368" spans="1:91" s="50" customFormat="1" x14ac:dyDescent="0.25">
      <c r="A368" s="9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91" s="50" customFormat="1" x14ac:dyDescent="0.25">
      <c r="A369" s="99" t="s">
        <v>347</v>
      </c>
      <c r="B369" s="4">
        <v>0</v>
      </c>
      <c r="C369" s="4">
        <v>0</v>
      </c>
      <c r="D369" s="4">
        <v>0</v>
      </c>
      <c r="E369" s="4">
        <v>0</v>
      </c>
      <c r="F369" s="4">
        <v>0</v>
      </c>
      <c r="G369" s="4">
        <v>0</v>
      </c>
      <c r="H369" s="4">
        <v>0</v>
      </c>
      <c r="I369" s="4">
        <v>0</v>
      </c>
      <c r="J369" s="4">
        <v>0</v>
      </c>
      <c r="K369" s="4">
        <v>0</v>
      </c>
      <c r="L369" s="4">
        <v>0</v>
      </c>
      <c r="M369" s="4">
        <v>0</v>
      </c>
      <c r="N369" s="4">
        <v>0</v>
      </c>
      <c r="O369" s="4">
        <v>0</v>
      </c>
      <c r="P369" s="4">
        <v>0</v>
      </c>
      <c r="Q369" s="4">
        <v>0</v>
      </c>
      <c r="R369" s="4">
        <v>0</v>
      </c>
      <c r="S369" s="4">
        <v>0</v>
      </c>
      <c r="T369" s="4">
        <v>0</v>
      </c>
      <c r="U369" s="4">
        <v>0</v>
      </c>
      <c r="V369" s="4">
        <v>0</v>
      </c>
      <c r="W369" s="4">
        <v>0</v>
      </c>
      <c r="X369" s="4">
        <v>0</v>
      </c>
      <c r="Y369" s="4">
        <v>0</v>
      </c>
      <c r="Z369" s="4">
        <v>0</v>
      </c>
      <c r="AA369" s="4">
        <v>0</v>
      </c>
      <c r="AB369" s="4">
        <v>0</v>
      </c>
      <c r="AC369" s="4">
        <v>0</v>
      </c>
      <c r="AD369" s="4">
        <v>0</v>
      </c>
      <c r="AE369" s="4">
        <v>0</v>
      </c>
      <c r="AF369" s="51">
        <v>8.6618671127481966E-4</v>
      </c>
      <c r="AG369" s="51">
        <v>8.7332065560907562E-4</v>
      </c>
      <c r="AH369" s="51">
        <v>8.8045459994333169E-4</v>
      </c>
      <c r="AI369" s="51">
        <v>8.8758854427758765E-4</v>
      </c>
      <c r="AJ369" s="51">
        <v>8.9472248861184372E-4</v>
      </c>
      <c r="AK369" s="51">
        <v>9.0185643294609969E-4</v>
      </c>
      <c r="AL369" s="51">
        <v>9.0899037728035576E-4</v>
      </c>
      <c r="AM369" s="51">
        <v>9.1612432161461172E-4</v>
      </c>
      <c r="AN369" s="51">
        <v>9.2325826594886768E-4</v>
      </c>
      <c r="AO369" s="51">
        <v>9.3039221028312375E-4</v>
      </c>
      <c r="AP369" s="51">
        <v>9.3752615461737982E-4</v>
      </c>
      <c r="AQ369" s="51">
        <v>9.4466009895163578E-4</v>
      </c>
      <c r="AR369" s="51">
        <v>9.5179404328589175E-4</v>
      </c>
      <c r="AS369" s="51">
        <v>9.5892798762014782E-4</v>
      </c>
      <c r="AT369" s="51">
        <v>9.6606193195440389E-4</v>
      </c>
      <c r="AU369" s="51">
        <v>9.7319587628865985E-4</v>
      </c>
      <c r="AV369" s="51">
        <v>9.9072164948453621E-4</v>
      </c>
      <c r="AW369" s="51">
        <v>1.0082474226804125E-3</v>
      </c>
      <c r="AX369" s="51">
        <v>1.0257731958762887E-3</v>
      </c>
      <c r="AY369" s="51">
        <v>1.043298969072165E-3</v>
      </c>
      <c r="AZ369" s="51">
        <v>1.0608247422680412E-3</v>
      </c>
      <c r="BA369" s="51">
        <v>1.0783505154639175E-3</v>
      </c>
      <c r="BB369" s="51">
        <v>1.095876288659794E-3</v>
      </c>
      <c r="BC369" s="51">
        <v>1.1134020618556702E-3</v>
      </c>
      <c r="BD369" s="51">
        <v>1.1309278350515465E-3</v>
      </c>
      <c r="BE369" s="51">
        <v>1.1484536082474227E-3</v>
      </c>
      <c r="BF369" s="51">
        <v>1.165979381443299E-3</v>
      </c>
      <c r="BG369" s="51">
        <v>1.1835051546391752E-3</v>
      </c>
      <c r="BH369" s="51">
        <v>1.2010309278350515E-3</v>
      </c>
      <c r="BI369" s="51">
        <v>1.2185567010309277E-3</v>
      </c>
      <c r="BJ369" s="51">
        <v>1.236082474226804E-3</v>
      </c>
      <c r="BK369" s="51">
        <v>1.2536082474226805E-3</v>
      </c>
      <c r="BL369" s="51">
        <v>1.2711340206185567E-3</v>
      </c>
      <c r="BM369" s="51">
        <v>1.288659793814433E-3</v>
      </c>
      <c r="BN369" s="51">
        <v>1.3061855670103092E-3</v>
      </c>
      <c r="BO369" s="51">
        <v>1.3237113402061855E-3</v>
      </c>
      <c r="BP369" s="51">
        <v>1.3412371134020619E-3</v>
      </c>
      <c r="BQ369" s="51">
        <v>1.3587628865979382E-3</v>
      </c>
      <c r="BR369" s="51">
        <v>1.3762886597938145E-3</v>
      </c>
      <c r="BS369" s="51">
        <v>1.3938144329896907E-3</v>
      </c>
      <c r="BT369" s="51">
        <v>1.411340206185567E-3</v>
      </c>
      <c r="BU369" s="51">
        <v>1.4288659793814432E-3</v>
      </c>
      <c r="BV369" s="51">
        <v>1.4463917525773195E-3</v>
      </c>
      <c r="BW369" s="51">
        <v>1.4639175257731957E-3</v>
      </c>
      <c r="BX369" s="51">
        <v>1.481443298969072E-3</v>
      </c>
      <c r="BY369" s="51">
        <v>1.4989690721649482E-3</v>
      </c>
      <c r="BZ369" s="51">
        <v>1.5164948453608247E-3</v>
      </c>
      <c r="CA369" s="51">
        <v>1.534020618556701E-3</v>
      </c>
      <c r="CB369" s="51">
        <v>1.5515463917525772E-3</v>
      </c>
      <c r="CC369" s="51">
        <v>1.5690721649484537E-3</v>
      </c>
      <c r="CD369" s="51">
        <v>1.5865979381443299E-3</v>
      </c>
      <c r="CE369" s="51">
        <v>1.6041237113402062E-3</v>
      </c>
      <c r="CF369" s="51">
        <v>1.6216494845360824E-3</v>
      </c>
      <c r="CG369" s="51">
        <v>1.6391752577319587E-3</v>
      </c>
      <c r="CH369" s="51">
        <v>1.656701030927835E-3</v>
      </c>
      <c r="CI369" s="51">
        <v>1.6742268041237112E-3</v>
      </c>
      <c r="CJ369" s="51">
        <v>1.6917525773195875E-3</v>
      </c>
      <c r="CK369" s="51">
        <v>1.7092783505154637E-3</v>
      </c>
      <c r="CL369" s="51">
        <v>1.72680412371134E-3</v>
      </c>
      <c r="CM369" s="51">
        <v>1.7443298969072164E-3</v>
      </c>
    </row>
    <row r="370" spans="1:91" s="50" customFormat="1" x14ac:dyDescent="0.25">
      <c r="A370" s="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91" s="50" customFormat="1" x14ac:dyDescent="0.25">
      <c r="A371" s="99" t="s">
        <v>366</v>
      </c>
      <c r="B371" s="4">
        <v>0</v>
      </c>
      <c r="C371" s="4">
        <v>0</v>
      </c>
      <c r="D371" s="4">
        <v>0</v>
      </c>
      <c r="E371" s="4">
        <v>0</v>
      </c>
      <c r="F371" s="4">
        <v>0</v>
      </c>
      <c r="G371" s="4">
        <v>0</v>
      </c>
      <c r="H371" s="4">
        <v>0</v>
      </c>
      <c r="I371" s="4">
        <v>0</v>
      </c>
      <c r="J371" s="4">
        <v>0</v>
      </c>
      <c r="K371" s="4">
        <v>0</v>
      </c>
      <c r="L371" s="4">
        <v>0</v>
      </c>
      <c r="M371" s="4">
        <v>0</v>
      </c>
      <c r="N371" s="4">
        <v>0</v>
      </c>
      <c r="O371" s="4">
        <v>0</v>
      </c>
      <c r="P371" s="4">
        <v>0</v>
      </c>
      <c r="Q371" s="4">
        <v>0</v>
      </c>
      <c r="R371" s="4">
        <v>0</v>
      </c>
      <c r="S371" s="4">
        <v>0</v>
      </c>
      <c r="T371" s="4">
        <v>0</v>
      </c>
      <c r="U371" s="4">
        <v>0</v>
      </c>
      <c r="V371" s="4">
        <v>0</v>
      </c>
      <c r="W371" s="4">
        <v>0</v>
      </c>
      <c r="X371" s="4">
        <v>0</v>
      </c>
      <c r="Y371" s="4">
        <v>0</v>
      </c>
      <c r="Z371" s="4">
        <v>0</v>
      </c>
      <c r="AA371" s="4">
        <v>0</v>
      </c>
      <c r="AB371" s="4">
        <v>0</v>
      </c>
      <c r="AC371" s="4">
        <v>0</v>
      </c>
      <c r="AD371" s="4">
        <v>0</v>
      </c>
      <c r="AE371" s="4">
        <v>0</v>
      </c>
      <c r="AF371" s="51">
        <v>8.6618671127481966E-4</v>
      </c>
      <c r="AG371" s="51">
        <v>8.7332065560907562E-4</v>
      </c>
      <c r="AH371" s="51">
        <v>8.8045459994333169E-4</v>
      </c>
      <c r="AI371" s="51">
        <v>8.8758854427758765E-4</v>
      </c>
      <c r="AJ371" s="51">
        <v>8.9472248861184372E-4</v>
      </c>
      <c r="AK371" s="51">
        <v>9.0185643294609969E-4</v>
      </c>
      <c r="AL371" s="51">
        <v>9.0899037728035576E-4</v>
      </c>
      <c r="AM371" s="51">
        <v>9.1612432161461172E-4</v>
      </c>
      <c r="AN371" s="51">
        <v>9.2325826594886768E-4</v>
      </c>
      <c r="AO371" s="51">
        <v>9.3039221028312375E-4</v>
      </c>
      <c r="AP371" s="51">
        <v>9.3752615461737982E-4</v>
      </c>
      <c r="AQ371" s="51">
        <v>9.4466009895163578E-4</v>
      </c>
      <c r="AR371" s="51">
        <v>9.5179404328589175E-4</v>
      </c>
      <c r="AS371" s="51">
        <v>9.5892798762014782E-4</v>
      </c>
      <c r="AT371" s="51">
        <v>9.6606193195440389E-4</v>
      </c>
      <c r="AU371" s="51">
        <v>9.7319587628865985E-4</v>
      </c>
      <c r="AV371" s="51">
        <v>9.9072164948453621E-4</v>
      </c>
      <c r="AW371" s="51">
        <v>1.0082474226804125E-3</v>
      </c>
      <c r="AX371" s="51">
        <v>1.0257731958762887E-3</v>
      </c>
      <c r="AY371" s="51">
        <v>1.043298969072165E-3</v>
      </c>
      <c r="AZ371" s="51">
        <v>1.0608247422680412E-3</v>
      </c>
      <c r="BA371" s="51">
        <v>1.0783505154639175E-3</v>
      </c>
      <c r="BB371" s="51">
        <v>1.095876288659794E-3</v>
      </c>
      <c r="BC371" s="51">
        <v>1.1134020618556702E-3</v>
      </c>
      <c r="BD371" s="51">
        <v>1.1309278350515465E-3</v>
      </c>
      <c r="BE371" s="51">
        <v>1.1484536082474227E-3</v>
      </c>
      <c r="BF371" s="51">
        <v>1.165979381443299E-3</v>
      </c>
      <c r="BG371" s="51">
        <v>1.1835051546391752E-3</v>
      </c>
      <c r="BH371" s="51">
        <v>1.2010309278350515E-3</v>
      </c>
      <c r="BI371" s="51">
        <v>1.2185567010309277E-3</v>
      </c>
      <c r="BJ371" s="51">
        <v>1.236082474226804E-3</v>
      </c>
      <c r="BK371" s="51">
        <v>1.2536082474226805E-3</v>
      </c>
      <c r="BL371" s="51">
        <v>1.2711340206185567E-3</v>
      </c>
      <c r="BM371" s="51">
        <v>1.288659793814433E-3</v>
      </c>
      <c r="BN371" s="51">
        <v>1.3061855670103092E-3</v>
      </c>
      <c r="BO371" s="51">
        <v>1.3237113402061855E-3</v>
      </c>
      <c r="BP371" s="51">
        <v>1.3412371134020619E-3</v>
      </c>
      <c r="BQ371" s="51">
        <v>1.3587628865979382E-3</v>
      </c>
      <c r="BR371" s="51">
        <v>1.3762886597938145E-3</v>
      </c>
      <c r="BS371" s="51">
        <v>1.3938144329896907E-3</v>
      </c>
      <c r="BT371" s="51">
        <v>1.411340206185567E-3</v>
      </c>
      <c r="BU371" s="51">
        <v>1.4288659793814432E-3</v>
      </c>
      <c r="BV371" s="51">
        <v>1.4463917525773195E-3</v>
      </c>
      <c r="BW371" s="51">
        <v>1.4639175257731957E-3</v>
      </c>
      <c r="BX371" s="51">
        <v>1.481443298969072E-3</v>
      </c>
      <c r="BY371" s="51">
        <v>1.4989690721649482E-3</v>
      </c>
      <c r="BZ371" s="51">
        <v>1.5164948453608247E-3</v>
      </c>
      <c r="CA371" s="51">
        <v>1.534020618556701E-3</v>
      </c>
      <c r="CB371" s="51">
        <v>1.5515463917525772E-3</v>
      </c>
      <c r="CC371" s="51">
        <v>1.5690721649484537E-3</v>
      </c>
      <c r="CD371" s="51">
        <v>1.5865979381443299E-3</v>
      </c>
      <c r="CE371" s="51">
        <v>1.6041237113402062E-3</v>
      </c>
      <c r="CF371" s="51">
        <v>1.6216494845360824E-3</v>
      </c>
      <c r="CG371" s="51">
        <v>1.6391752577319587E-3</v>
      </c>
      <c r="CH371" s="51">
        <v>1.656701030927835E-3</v>
      </c>
      <c r="CI371" s="51">
        <v>1.6742268041237112E-3</v>
      </c>
      <c r="CJ371" s="51">
        <v>1.6917525773195875E-3</v>
      </c>
      <c r="CK371" s="51">
        <v>1.7092783505154637E-3</v>
      </c>
      <c r="CL371" s="51">
        <v>1.72680412371134E-3</v>
      </c>
      <c r="CM371" s="51">
        <v>1.7443298969072164E-3</v>
      </c>
    </row>
    <row r="372" spans="1:91" s="50" customFormat="1" x14ac:dyDescent="0.25">
      <c r="A372" s="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91" s="50" customFormat="1" x14ac:dyDescent="0.25">
      <c r="A373" s="99" t="s">
        <v>171</v>
      </c>
      <c r="B373" s="4">
        <v>0</v>
      </c>
      <c r="C373" s="4">
        <v>0</v>
      </c>
      <c r="D373" s="4">
        <v>0</v>
      </c>
      <c r="E373" s="4">
        <v>0</v>
      </c>
      <c r="F373" s="4">
        <v>0</v>
      </c>
      <c r="G373" s="4">
        <v>0</v>
      </c>
      <c r="H373" s="4">
        <v>0</v>
      </c>
      <c r="I373" s="4">
        <v>0</v>
      </c>
      <c r="J373" s="4">
        <v>0</v>
      </c>
      <c r="K373" s="4">
        <v>0</v>
      </c>
      <c r="L373" s="4">
        <v>0</v>
      </c>
      <c r="M373" s="4">
        <v>0</v>
      </c>
      <c r="N373" s="4">
        <v>0</v>
      </c>
      <c r="O373" s="4">
        <v>0</v>
      </c>
      <c r="P373" s="4">
        <v>0</v>
      </c>
      <c r="Q373" s="4">
        <v>0</v>
      </c>
      <c r="R373" s="4">
        <v>0</v>
      </c>
      <c r="S373" s="4">
        <v>0</v>
      </c>
      <c r="T373" s="4">
        <v>0</v>
      </c>
      <c r="U373" s="4">
        <v>0</v>
      </c>
      <c r="V373" s="4">
        <v>0</v>
      </c>
      <c r="W373" s="4">
        <v>0</v>
      </c>
      <c r="X373" s="4">
        <v>0</v>
      </c>
      <c r="Y373" s="4">
        <v>0</v>
      </c>
      <c r="Z373" s="4">
        <v>0</v>
      </c>
      <c r="AA373" s="4">
        <v>0</v>
      </c>
      <c r="AB373" s="4">
        <v>0</v>
      </c>
      <c r="AC373" s="4">
        <v>0</v>
      </c>
      <c r="AD373" s="4">
        <v>0</v>
      </c>
      <c r="AE373" s="4">
        <v>0</v>
      </c>
      <c r="AF373" s="51">
        <v>5.0675000000000008E-3</v>
      </c>
      <c r="AG373" s="51">
        <v>5.1450000000000003E-3</v>
      </c>
      <c r="AH373" s="51">
        <v>5.2225000000000006E-3</v>
      </c>
      <c r="AI373" s="51">
        <v>5.3000000000000009E-3</v>
      </c>
      <c r="AJ373" s="51">
        <v>5.3775000000000003E-3</v>
      </c>
      <c r="AK373" s="51">
        <v>5.4550000000000006E-3</v>
      </c>
      <c r="AL373" s="51">
        <v>5.532500000000001E-3</v>
      </c>
      <c r="AM373" s="51">
        <v>5.6100000000000004E-3</v>
      </c>
      <c r="AN373" s="51">
        <v>5.6874999999999998E-3</v>
      </c>
      <c r="AO373" s="51">
        <v>5.765000000000001E-3</v>
      </c>
      <c r="AP373" s="51">
        <v>5.8425000000000005E-3</v>
      </c>
      <c r="AQ373" s="51">
        <v>5.9199999999999999E-3</v>
      </c>
      <c r="AR373" s="51">
        <v>5.9975000000000011E-3</v>
      </c>
      <c r="AS373" s="51">
        <v>6.0750000000000005E-3</v>
      </c>
      <c r="AT373" s="51">
        <v>6.1525E-3</v>
      </c>
      <c r="AU373" s="51">
        <v>6.2300000000000003E-3</v>
      </c>
      <c r="AV373" s="51">
        <v>6.2575E-3</v>
      </c>
      <c r="AW373" s="51">
        <v>6.2850000000000007E-3</v>
      </c>
      <c r="AX373" s="51">
        <v>6.3125000000000004E-3</v>
      </c>
      <c r="AY373" s="51">
        <v>6.3400000000000001E-3</v>
      </c>
      <c r="AZ373" s="51">
        <v>6.3674999999999999E-3</v>
      </c>
      <c r="BA373" s="51">
        <v>6.3950000000000005E-3</v>
      </c>
      <c r="BB373" s="51">
        <v>6.4225000000000003E-3</v>
      </c>
      <c r="BC373" s="51">
        <v>6.45E-3</v>
      </c>
      <c r="BD373" s="51">
        <v>6.4774999999999998E-3</v>
      </c>
      <c r="BE373" s="51">
        <v>6.5050000000000004E-3</v>
      </c>
      <c r="BF373" s="51">
        <v>6.5325000000000001E-3</v>
      </c>
      <c r="BG373" s="51">
        <v>6.5599999999999999E-3</v>
      </c>
      <c r="BH373" s="51">
        <v>6.5875000000000005E-3</v>
      </c>
      <c r="BI373" s="51">
        <v>6.6150000000000002E-3</v>
      </c>
      <c r="BJ373" s="51">
        <v>6.6425E-3</v>
      </c>
      <c r="BK373" s="51">
        <v>6.6699999999999997E-3</v>
      </c>
      <c r="BL373" s="51">
        <v>6.6975000000000003E-3</v>
      </c>
      <c r="BM373" s="51">
        <v>6.7250000000000001E-3</v>
      </c>
      <c r="BN373" s="51">
        <v>6.7524999999999998E-3</v>
      </c>
      <c r="BO373" s="51">
        <v>6.7799999999999996E-3</v>
      </c>
      <c r="BP373" s="51">
        <v>6.8075000000000002E-3</v>
      </c>
      <c r="BQ373" s="51">
        <v>6.8349999999999999E-3</v>
      </c>
      <c r="BR373" s="51">
        <v>6.8624999999999997E-3</v>
      </c>
      <c r="BS373" s="51">
        <v>6.8900000000000003E-3</v>
      </c>
      <c r="BT373" s="51">
        <v>6.9175E-3</v>
      </c>
      <c r="BU373" s="51">
        <v>6.9449999999999998E-3</v>
      </c>
      <c r="BV373" s="51">
        <v>6.9724999999999995E-3</v>
      </c>
      <c r="BW373" s="51">
        <v>7.0000000000000001E-3</v>
      </c>
      <c r="BX373" s="51">
        <v>7.0274999999999999E-3</v>
      </c>
      <c r="BY373" s="51">
        <v>7.0549999999999996E-3</v>
      </c>
      <c r="BZ373" s="51">
        <v>7.0825000000000003E-3</v>
      </c>
      <c r="CA373" s="51">
        <v>7.11E-3</v>
      </c>
      <c r="CB373" s="51">
        <v>7.1374999999999997E-3</v>
      </c>
      <c r="CC373" s="51">
        <v>7.1649999999999995E-3</v>
      </c>
      <c r="CD373" s="51">
        <v>7.1925000000000001E-3</v>
      </c>
      <c r="CE373" s="51">
        <v>7.2199999999999999E-3</v>
      </c>
      <c r="CF373" s="51">
        <v>7.2474999999999996E-3</v>
      </c>
      <c r="CG373" s="51">
        <v>7.2750000000000002E-3</v>
      </c>
      <c r="CH373" s="51">
        <v>7.3025E-3</v>
      </c>
      <c r="CI373" s="51">
        <v>7.3299999999999997E-3</v>
      </c>
      <c r="CJ373" s="51">
        <v>7.3574999999999995E-3</v>
      </c>
      <c r="CK373" s="51">
        <v>7.3849999999999992E-3</v>
      </c>
      <c r="CL373" s="51">
        <v>7.4124999999999998E-3</v>
      </c>
      <c r="CM373" s="51">
        <v>7.4399999999999996E-3</v>
      </c>
    </row>
    <row r="374" spans="1:91" s="50" customFormat="1" x14ac:dyDescent="0.25">
      <c r="A374" s="99" t="s">
        <v>1</v>
      </c>
      <c r="B374" s="4">
        <v>0</v>
      </c>
      <c r="C374" s="4">
        <v>0</v>
      </c>
      <c r="D374" s="4">
        <v>0</v>
      </c>
      <c r="E374" s="4">
        <v>0</v>
      </c>
      <c r="F374" s="4">
        <v>0</v>
      </c>
      <c r="G374" s="4">
        <v>0</v>
      </c>
      <c r="H374" s="4">
        <v>0</v>
      </c>
      <c r="I374" s="4">
        <v>0</v>
      </c>
      <c r="J374" s="4">
        <v>0</v>
      </c>
      <c r="K374" s="4">
        <v>0</v>
      </c>
      <c r="L374" s="4">
        <v>0</v>
      </c>
      <c r="M374" s="4">
        <v>0</v>
      </c>
      <c r="N374" s="4">
        <v>0</v>
      </c>
      <c r="O374" s="4">
        <v>0</v>
      </c>
      <c r="P374" s="4">
        <v>0</v>
      </c>
      <c r="Q374" s="4">
        <v>0</v>
      </c>
      <c r="R374" s="4">
        <v>0</v>
      </c>
      <c r="S374" s="4">
        <v>0</v>
      </c>
      <c r="T374" s="4">
        <v>0</v>
      </c>
      <c r="U374" s="4">
        <v>0</v>
      </c>
      <c r="V374" s="4">
        <v>0</v>
      </c>
      <c r="W374" s="4">
        <v>0</v>
      </c>
      <c r="X374" s="4">
        <v>0</v>
      </c>
      <c r="Y374" s="4">
        <v>0</v>
      </c>
      <c r="Z374" s="4">
        <v>0</v>
      </c>
      <c r="AA374" s="4">
        <v>0</v>
      </c>
      <c r="AB374" s="4">
        <v>0</v>
      </c>
      <c r="AC374" s="4">
        <v>0</v>
      </c>
      <c r="AD374" s="4">
        <v>0</v>
      </c>
      <c r="AE374" s="4">
        <v>0</v>
      </c>
      <c r="AF374" s="51">
        <v>2.3129545454545456E-3</v>
      </c>
      <c r="AG374" s="51">
        <v>2.3440909090909094E-3</v>
      </c>
      <c r="AH374" s="51">
        <v>2.3752272727272728E-3</v>
      </c>
      <c r="AI374" s="51">
        <v>2.4063636363636366E-3</v>
      </c>
      <c r="AJ374" s="51">
        <v>2.4375000000000004E-3</v>
      </c>
      <c r="AK374" s="51">
        <v>2.4686363636363638E-3</v>
      </c>
      <c r="AL374" s="51">
        <v>2.4997727272727276E-3</v>
      </c>
      <c r="AM374" s="51">
        <v>2.5309090909090915E-3</v>
      </c>
      <c r="AN374" s="51">
        <v>2.5620454545454549E-3</v>
      </c>
      <c r="AO374" s="51">
        <v>2.5931818181818183E-3</v>
      </c>
      <c r="AP374" s="51">
        <v>2.6243181818181821E-3</v>
      </c>
      <c r="AQ374" s="51">
        <v>2.6554545454545459E-3</v>
      </c>
      <c r="AR374" s="51">
        <v>2.6865909090909093E-3</v>
      </c>
      <c r="AS374" s="51">
        <v>2.7177272727272731E-3</v>
      </c>
      <c r="AT374" s="51">
        <v>2.748863636363637E-3</v>
      </c>
      <c r="AU374" s="51">
        <v>2.7800000000000004E-3</v>
      </c>
      <c r="AV374" s="51">
        <v>2.7993181818181823E-3</v>
      </c>
      <c r="AW374" s="51">
        <v>2.8186363636363639E-3</v>
      </c>
      <c r="AX374" s="51">
        <v>2.8379545454545459E-3</v>
      </c>
      <c r="AY374" s="51">
        <v>2.8572727272727274E-3</v>
      </c>
      <c r="AZ374" s="51">
        <v>2.8765909090909094E-3</v>
      </c>
      <c r="BA374" s="51">
        <v>2.8959090909090913E-3</v>
      </c>
      <c r="BB374" s="51">
        <v>2.9152272727272729E-3</v>
      </c>
      <c r="BC374" s="51">
        <v>2.9345454545454549E-3</v>
      </c>
      <c r="BD374" s="51">
        <v>2.9538636363636368E-3</v>
      </c>
      <c r="BE374" s="51">
        <v>2.9731818181818184E-3</v>
      </c>
      <c r="BF374" s="51">
        <v>2.9925000000000004E-3</v>
      </c>
      <c r="BG374" s="51">
        <v>3.0118181818181819E-3</v>
      </c>
      <c r="BH374" s="51">
        <v>3.0311363636363639E-3</v>
      </c>
      <c r="BI374" s="51">
        <v>3.0504545454545459E-3</v>
      </c>
      <c r="BJ374" s="51">
        <v>3.0697727272727274E-3</v>
      </c>
      <c r="BK374" s="51">
        <v>3.0890909090909094E-3</v>
      </c>
      <c r="BL374" s="51">
        <v>3.1084090909090914E-3</v>
      </c>
      <c r="BM374" s="51">
        <v>3.1277272727272729E-3</v>
      </c>
      <c r="BN374" s="51">
        <v>3.1470454545454549E-3</v>
      </c>
      <c r="BO374" s="51">
        <v>3.1663636363636364E-3</v>
      </c>
      <c r="BP374" s="51">
        <v>3.1856818181818184E-3</v>
      </c>
      <c r="BQ374" s="51">
        <v>3.2050000000000004E-3</v>
      </c>
      <c r="BR374" s="51">
        <v>3.2243181818181819E-3</v>
      </c>
      <c r="BS374" s="51">
        <v>3.2436363636363639E-3</v>
      </c>
      <c r="BT374" s="51">
        <v>3.2629545454545454E-3</v>
      </c>
      <c r="BU374" s="51">
        <v>3.2822727272727274E-3</v>
      </c>
      <c r="BV374" s="51">
        <v>3.3015909090909094E-3</v>
      </c>
      <c r="BW374" s="51">
        <v>3.3209090909090909E-3</v>
      </c>
      <c r="BX374" s="51">
        <v>3.3402272727272729E-3</v>
      </c>
      <c r="BY374" s="51">
        <v>3.3595454545454545E-3</v>
      </c>
      <c r="BZ374" s="51">
        <v>3.3788636363636364E-3</v>
      </c>
      <c r="CA374" s="51">
        <v>3.3981818181818184E-3</v>
      </c>
      <c r="CB374" s="51">
        <v>3.4175E-3</v>
      </c>
      <c r="CC374" s="51">
        <v>3.4368181818181819E-3</v>
      </c>
      <c r="CD374" s="51">
        <v>3.4561363636363635E-3</v>
      </c>
      <c r="CE374" s="51">
        <v>3.4754545454545455E-3</v>
      </c>
      <c r="CF374" s="51">
        <v>3.4947727272727274E-3</v>
      </c>
      <c r="CG374" s="51">
        <v>3.5140909090909094E-3</v>
      </c>
      <c r="CH374" s="51">
        <v>3.533409090909091E-3</v>
      </c>
      <c r="CI374" s="51">
        <v>3.5527272727272729E-3</v>
      </c>
      <c r="CJ374" s="51">
        <v>3.5720454545454545E-3</v>
      </c>
      <c r="CK374" s="51">
        <v>3.5913636363636365E-3</v>
      </c>
      <c r="CL374" s="51">
        <v>3.6106818181818184E-3</v>
      </c>
      <c r="CM374" s="51">
        <v>3.63E-3</v>
      </c>
    </row>
    <row r="375" spans="1:91" s="50" customFormat="1" x14ac:dyDescent="0.25">
      <c r="A375" s="99" t="s">
        <v>1</v>
      </c>
      <c r="B375" s="4">
        <v>0</v>
      </c>
      <c r="C375" s="4">
        <v>0</v>
      </c>
      <c r="D375" s="4">
        <v>0</v>
      </c>
      <c r="E375" s="4">
        <v>0</v>
      </c>
      <c r="F375" s="4">
        <v>0</v>
      </c>
      <c r="G375" s="4">
        <v>0</v>
      </c>
      <c r="H375" s="4">
        <v>0</v>
      </c>
      <c r="I375" s="4">
        <v>0</v>
      </c>
      <c r="J375" s="4">
        <v>0</v>
      </c>
      <c r="K375" s="4">
        <v>0</v>
      </c>
      <c r="L375" s="4">
        <v>0</v>
      </c>
      <c r="M375" s="4">
        <v>0</v>
      </c>
      <c r="N375" s="4">
        <v>0</v>
      </c>
      <c r="O375" s="4">
        <v>0</v>
      </c>
      <c r="P375" s="4">
        <v>0</v>
      </c>
      <c r="Q375" s="4">
        <v>0</v>
      </c>
      <c r="R375" s="4">
        <v>0</v>
      </c>
      <c r="S375" s="4">
        <v>0</v>
      </c>
      <c r="T375" s="4">
        <v>0</v>
      </c>
      <c r="U375" s="4">
        <v>0</v>
      </c>
      <c r="V375" s="4">
        <v>0</v>
      </c>
      <c r="W375" s="4">
        <v>0</v>
      </c>
      <c r="X375" s="4">
        <v>0</v>
      </c>
      <c r="Y375" s="4">
        <v>0</v>
      </c>
      <c r="Z375" s="4">
        <v>0</v>
      </c>
      <c r="AA375" s="4">
        <v>0</v>
      </c>
      <c r="AB375" s="4">
        <v>0</v>
      </c>
      <c r="AC375" s="4">
        <v>0</v>
      </c>
      <c r="AD375" s="4">
        <v>0</v>
      </c>
      <c r="AE375" s="4">
        <v>0</v>
      </c>
      <c r="AF375" s="51">
        <v>3.4209090909090912E-3</v>
      </c>
      <c r="AG375" s="51">
        <v>3.4681818181818186E-3</v>
      </c>
      <c r="AH375" s="51">
        <v>3.5154545454545456E-3</v>
      </c>
      <c r="AI375" s="51">
        <v>3.562727272727273E-3</v>
      </c>
      <c r="AJ375" s="51">
        <v>3.6100000000000004E-3</v>
      </c>
      <c r="AK375" s="51">
        <v>3.6572727272727278E-3</v>
      </c>
      <c r="AL375" s="51">
        <v>3.7045454545454552E-3</v>
      </c>
      <c r="AM375" s="51">
        <v>3.7518181818181826E-3</v>
      </c>
      <c r="AN375" s="51">
        <v>3.7990909090909099E-3</v>
      </c>
      <c r="AO375" s="51">
        <v>3.8463636363636369E-3</v>
      </c>
      <c r="AP375" s="51">
        <v>3.8936363636363643E-3</v>
      </c>
      <c r="AQ375" s="51">
        <v>3.9409090909090913E-3</v>
      </c>
      <c r="AR375" s="51">
        <v>3.9881818181818187E-3</v>
      </c>
      <c r="AS375" s="51">
        <v>4.0354545454545461E-3</v>
      </c>
      <c r="AT375" s="51">
        <v>4.0827272727272735E-3</v>
      </c>
      <c r="AU375" s="51">
        <v>4.1300000000000009E-3</v>
      </c>
      <c r="AV375" s="51">
        <v>4.1579545454545463E-3</v>
      </c>
      <c r="AW375" s="51">
        <v>4.1859090909090917E-3</v>
      </c>
      <c r="AX375" s="51">
        <v>4.2138636363636371E-3</v>
      </c>
      <c r="AY375" s="51">
        <v>4.2418181818181825E-3</v>
      </c>
      <c r="AZ375" s="51">
        <v>4.269772727272728E-3</v>
      </c>
      <c r="BA375" s="51">
        <v>4.2977272727272734E-3</v>
      </c>
      <c r="BB375" s="51">
        <v>4.3256818181818188E-3</v>
      </c>
      <c r="BC375" s="51">
        <v>4.3536363636363642E-3</v>
      </c>
      <c r="BD375" s="51">
        <v>4.3815909090909096E-3</v>
      </c>
      <c r="BE375" s="51">
        <v>4.4095454545454551E-3</v>
      </c>
      <c r="BF375" s="51">
        <v>4.4375000000000005E-3</v>
      </c>
      <c r="BG375" s="51">
        <v>4.4654545454545459E-3</v>
      </c>
      <c r="BH375" s="51">
        <v>4.4934090909090913E-3</v>
      </c>
      <c r="BI375" s="51">
        <v>4.5213636363636367E-3</v>
      </c>
      <c r="BJ375" s="51">
        <v>4.5493181818181821E-3</v>
      </c>
      <c r="BK375" s="51">
        <v>4.5772727272727276E-3</v>
      </c>
      <c r="BL375" s="51">
        <v>4.605227272727273E-3</v>
      </c>
      <c r="BM375" s="51">
        <v>4.6331818181818184E-3</v>
      </c>
      <c r="BN375" s="51">
        <v>4.6611363636363638E-3</v>
      </c>
      <c r="BO375" s="51">
        <v>4.6890909090909101E-3</v>
      </c>
      <c r="BP375" s="51">
        <v>4.7170454545454547E-3</v>
      </c>
      <c r="BQ375" s="51">
        <v>4.745000000000001E-3</v>
      </c>
      <c r="BR375" s="51">
        <v>4.7729545454545455E-3</v>
      </c>
      <c r="BS375" s="51">
        <v>4.8009090909090918E-3</v>
      </c>
      <c r="BT375" s="51">
        <v>4.8288636363636372E-3</v>
      </c>
      <c r="BU375" s="51">
        <v>4.8568181818181826E-3</v>
      </c>
      <c r="BV375" s="51">
        <v>4.8847727272727281E-3</v>
      </c>
      <c r="BW375" s="51">
        <v>4.9127272727272735E-3</v>
      </c>
      <c r="BX375" s="51">
        <v>4.9406818181818189E-3</v>
      </c>
      <c r="BY375" s="51">
        <v>4.9686363636363643E-3</v>
      </c>
      <c r="BZ375" s="51">
        <v>4.9965909090909097E-3</v>
      </c>
      <c r="CA375" s="51">
        <v>5.0245454545454551E-3</v>
      </c>
      <c r="CB375" s="51">
        <v>5.0525000000000006E-3</v>
      </c>
      <c r="CC375" s="51">
        <v>5.080454545454546E-3</v>
      </c>
      <c r="CD375" s="51">
        <v>5.1084090909090914E-3</v>
      </c>
      <c r="CE375" s="51">
        <v>5.1363636363636368E-3</v>
      </c>
      <c r="CF375" s="51">
        <v>5.1643181818181822E-3</v>
      </c>
      <c r="CG375" s="51">
        <v>5.1922727272727277E-3</v>
      </c>
      <c r="CH375" s="51">
        <v>5.2202272727272731E-3</v>
      </c>
      <c r="CI375" s="51">
        <v>5.2481818181818185E-3</v>
      </c>
      <c r="CJ375" s="51">
        <v>5.2761363636363639E-3</v>
      </c>
      <c r="CK375" s="51">
        <v>5.3040909090909093E-3</v>
      </c>
      <c r="CL375" s="51">
        <v>5.3320454545454548E-3</v>
      </c>
      <c r="CM375" s="51">
        <v>5.3600000000000002E-3</v>
      </c>
    </row>
    <row r="376" spans="1:91" s="50" customFormat="1" x14ac:dyDescent="0.25">
      <c r="A376" s="99" t="s">
        <v>1</v>
      </c>
      <c r="B376" s="4">
        <v>0</v>
      </c>
      <c r="C376" s="4">
        <v>0</v>
      </c>
      <c r="D376" s="4">
        <v>0</v>
      </c>
      <c r="E376" s="4">
        <v>0</v>
      </c>
      <c r="F376" s="4">
        <v>0</v>
      </c>
      <c r="G376" s="4">
        <v>0</v>
      </c>
      <c r="H376" s="4">
        <v>0</v>
      </c>
      <c r="I376" s="4">
        <v>0</v>
      </c>
      <c r="J376" s="4">
        <v>0</v>
      </c>
      <c r="K376" s="4">
        <v>0</v>
      </c>
      <c r="L376" s="4">
        <v>0</v>
      </c>
      <c r="M376" s="4">
        <v>0</v>
      </c>
      <c r="N376" s="4">
        <v>0</v>
      </c>
      <c r="O376" s="4">
        <v>0</v>
      </c>
      <c r="P376" s="4">
        <v>0</v>
      </c>
      <c r="Q376" s="4">
        <v>0</v>
      </c>
      <c r="R376" s="4">
        <v>0</v>
      </c>
      <c r="S376" s="4">
        <v>0</v>
      </c>
      <c r="T376" s="4">
        <v>0</v>
      </c>
      <c r="U376" s="4">
        <v>0</v>
      </c>
      <c r="V376" s="4">
        <v>0</v>
      </c>
      <c r="W376" s="4">
        <v>0</v>
      </c>
      <c r="X376" s="4">
        <v>0</v>
      </c>
      <c r="Y376" s="4">
        <v>0</v>
      </c>
      <c r="Z376" s="4">
        <v>0</v>
      </c>
      <c r="AA376" s="4">
        <v>0</v>
      </c>
      <c r="AB376" s="4">
        <v>0</v>
      </c>
      <c r="AC376" s="4">
        <v>0</v>
      </c>
      <c r="AD376" s="4">
        <v>0</v>
      </c>
      <c r="AE376" s="4">
        <v>0</v>
      </c>
      <c r="AF376" s="51">
        <v>1.4251346260975674E-3</v>
      </c>
      <c r="AG376" s="51">
        <v>1.4394010133432368E-3</v>
      </c>
      <c r="AH376" s="51">
        <v>1.4536674005889063E-3</v>
      </c>
      <c r="AI376" s="51">
        <v>1.4679337878345756E-3</v>
      </c>
      <c r="AJ376" s="51">
        <v>1.4822001750802451E-3</v>
      </c>
      <c r="AK376" s="51">
        <v>1.4964665623259145E-3</v>
      </c>
      <c r="AL376" s="51">
        <v>1.510732949571584E-3</v>
      </c>
      <c r="AM376" s="51">
        <v>1.5249993368172533E-3</v>
      </c>
      <c r="AN376" s="51">
        <v>1.5392657240629226E-3</v>
      </c>
      <c r="AO376" s="51">
        <v>1.5535321113085922E-3</v>
      </c>
      <c r="AP376" s="51">
        <v>1.5677984985542617E-3</v>
      </c>
      <c r="AQ376" s="51">
        <v>1.582064885799931E-3</v>
      </c>
      <c r="AR376" s="51">
        <v>1.5963312730456003E-3</v>
      </c>
      <c r="AS376" s="51">
        <v>1.6105976602912699E-3</v>
      </c>
      <c r="AT376" s="51">
        <v>1.6248640475369394E-3</v>
      </c>
      <c r="AU376" s="51">
        <v>1.6391304347826087E-3</v>
      </c>
      <c r="AV376" s="51">
        <v>1.6512056578914659E-3</v>
      </c>
      <c r="AW376" s="51">
        <v>1.6632808810003231E-3</v>
      </c>
      <c r="AX376" s="51">
        <v>1.6753561041091805E-3</v>
      </c>
      <c r="AY376" s="51">
        <v>1.6874313272180377E-3</v>
      </c>
      <c r="AZ376" s="51">
        <v>1.6995065503268949E-3</v>
      </c>
      <c r="BA376" s="51">
        <v>1.7115817734357521E-3</v>
      </c>
      <c r="BB376" s="51">
        <v>1.7236569965446095E-3</v>
      </c>
      <c r="BC376" s="51">
        <v>1.7357322196534667E-3</v>
      </c>
      <c r="BD376" s="51">
        <v>1.7478074427623239E-3</v>
      </c>
      <c r="BE376" s="51">
        <v>1.759882665871181E-3</v>
      </c>
      <c r="BF376" s="51">
        <v>1.7719578889800382E-3</v>
      </c>
      <c r="BG376" s="51">
        <v>1.7840331120888956E-3</v>
      </c>
      <c r="BH376" s="51">
        <v>1.7961083351977528E-3</v>
      </c>
      <c r="BI376" s="51">
        <v>1.80818355830661E-3</v>
      </c>
      <c r="BJ376" s="51">
        <v>1.8202587814154672E-3</v>
      </c>
      <c r="BK376" s="51">
        <v>1.8323340045243246E-3</v>
      </c>
      <c r="BL376" s="51">
        <v>1.8444092276331818E-3</v>
      </c>
      <c r="BM376" s="51">
        <v>1.856484450742039E-3</v>
      </c>
      <c r="BN376" s="51">
        <v>1.8685596738508962E-3</v>
      </c>
      <c r="BO376" s="51">
        <v>1.8806348969597534E-3</v>
      </c>
      <c r="BP376" s="51">
        <v>1.8927101200686108E-3</v>
      </c>
      <c r="BQ376" s="51">
        <v>1.904785343177468E-3</v>
      </c>
      <c r="BR376" s="51">
        <v>1.9168605662863252E-3</v>
      </c>
      <c r="BS376" s="51">
        <v>1.9289357893951826E-3</v>
      </c>
      <c r="BT376" s="51">
        <v>1.9410110125040398E-3</v>
      </c>
      <c r="BU376" s="51">
        <v>1.953086235612897E-3</v>
      </c>
      <c r="BV376" s="51">
        <v>1.9651614587217541E-3</v>
      </c>
      <c r="BW376" s="51">
        <v>1.9772366818306113E-3</v>
      </c>
      <c r="BX376" s="51">
        <v>1.9893119049394685E-3</v>
      </c>
      <c r="BY376" s="51">
        <v>2.0013871280483257E-3</v>
      </c>
      <c r="BZ376" s="51">
        <v>2.0134623511571829E-3</v>
      </c>
      <c r="CA376" s="51">
        <v>2.0255375742660405E-3</v>
      </c>
      <c r="CB376" s="51">
        <v>2.0376127973748977E-3</v>
      </c>
      <c r="CC376" s="51">
        <v>2.0496880204837549E-3</v>
      </c>
      <c r="CD376" s="51">
        <v>2.0617632435926121E-3</v>
      </c>
      <c r="CE376" s="51">
        <v>2.0738384667014693E-3</v>
      </c>
      <c r="CF376" s="51">
        <v>2.0859136898103265E-3</v>
      </c>
      <c r="CG376" s="51">
        <v>2.0979889129191837E-3</v>
      </c>
      <c r="CH376" s="51">
        <v>2.1100641360280409E-3</v>
      </c>
      <c r="CI376" s="51">
        <v>2.1221393591368985E-3</v>
      </c>
      <c r="CJ376" s="51">
        <v>2.1342145822457557E-3</v>
      </c>
      <c r="CK376" s="51">
        <v>2.1462898053546129E-3</v>
      </c>
      <c r="CL376" s="51">
        <v>2.1583650284634701E-3</v>
      </c>
      <c r="CM376" s="51">
        <v>2.1704402515723272E-3</v>
      </c>
    </row>
    <row r="377" spans="1:91" s="50" customFormat="1" x14ac:dyDescent="0.25">
      <c r="A377" s="99" t="s">
        <v>1</v>
      </c>
      <c r="B377" s="4">
        <v>0</v>
      </c>
      <c r="C377" s="4">
        <v>0</v>
      </c>
      <c r="D377" s="4">
        <v>0</v>
      </c>
      <c r="E377" s="4">
        <v>0</v>
      </c>
      <c r="F377" s="4">
        <v>0</v>
      </c>
      <c r="G377" s="4">
        <v>0</v>
      </c>
      <c r="H377" s="4">
        <v>0</v>
      </c>
      <c r="I377" s="4">
        <v>0</v>
      </c>
      <c r="J377" s="4">
        <v>0</v>
      </c>
      <c r="K377" s="4">
        <v>0</v>
      </c>
      <c r="L377" s="4">
        <v>0</v>
      </c>
      <c r="M377" s="4">
        <v>0</v>
      </c>
      <c r="N377" s="4">
        <v>0</v>
      </c>
      <c r="O377" s="4">
        <v>0</v>
      </c>
      <c r="P377" s="4">
        <v>0</v>
      </c>
      <c r="Q377" s="4">
        <v>0</v>
      </c>
      <c r="R377" s="4">
        <v>0</v>
      </c>
      <c r="S377" s="4">
        <v>0</v>
      </c>
      <c r="T377" s="4">
        <v>0</v>
      </c>
      <c r="U377" s="4">
        <v>0</v>
      </c>
      <c r="V377" s="4">
        <v>0</v>
      </c>
      <c r="W377" s="4">
        <v>0</v>
      </c>
      <c r="X377" s="4">
        <v>0</v>
      </c>
      <c r="Y377" s="4">
        <v>0</v>
      </c>
      <c r="Z377" s="4">
        <v>0</v>
      </c>
      <c r="AA377" s="4">
        <v>0</v>
      </c>
      <c r="AB377" s="4">
        <v>0</v>
      </c>
      <c r="AC377" s="4">
        <v>0</v>
      </c>
      <c r="AD377" s="4">
        <v>0</v>
      </c>
      <c r="AE377" s="4">
        <v>0</v>
      </c>
      <c r="AF377" s="51">
        <v>1.6577549140049139E-3</v>
      </c>
      <c r="AG377" s="51">
        <v>1.6804361179361179E-3</v>
      </c>
      <c r="AH377" s="51">
        <v>1.7031173218673219E-3</v>
      </c>
      <c r="AI377" s="51">
        <v>1.7257985257985258E-3</v>
      </c>
      <c r="AJ377" s="51">
        <v>1.7484797297297296E-3</v>
      </c>
      <c r="AK377" s="51">
        <v>1.7711609336609336E-3</v>
      </c>
      <c r="AL377" s="51">
        <v>1.7938421375921377E-3</v>
      </c>
      <c r="AM377" s="51">
        <v>1.8165233415233415E-3</v>
      </c>
      <c r="AN377" s="51">
        <v>1.8392045454545453E-3</v>
      </c>
      <c r="AO377" s="51">
        <v>1.8618857493857494E-3</v>
      </c>
      <c r="AP377" s="51">
        <v>1.8845669533169532E-3</v>
      </c>
      <c r="AQ377" s="51">
        <v>1.907248157248157E-3</v>
      </c>
      <c r="AR377" s="51">
        <v>1.9299293611793611E-3</v>
      </c>
      <c r="AS377" s="51">
        <v>1.9526105651105651E-3</v>
      </c>
      <c r="AT377" s="51">
        <v>1.9752917690417692E-3</v>
      </c>
      <c r="AU377" s="51">
        <v>1.9979729729729728E-3</v>
      </c>
      <c r="AV377" s="51">
        <v>2.0184735872235873E-3</v>
      </c>
      <c r="AW377" s="51">
        <v>2.0389742014742013E-3</v>
      </c>
      <c r="AX377" s="51">
        <v>2.0594748157248153E-3</v>
      </c>
      <c r="AY377" s="51">
        <v>2.0799754299754298E-3</v>
      </c>
      <c r="AZ377" s="51">
        <v>2.1004760442260443E-3</v>
      </c>
      <c r="BA377" s="51">
        <v>2.1209766584766583E-3</v>
      </c>
      <c r="BB377" s="51">
        <v>2.1414772727272723E-3</v>
      </c>
      <c r="BC377" s="51">
        <v>2.1619778869778868E-3</v>
      </c>
      <c r="BD377" s="51">
        <v>2.1824785012285013E-3</v>
      </c>
      <c r="BE377" s="51">
        <v>2.2029791154791153E-3</v>
      </c>
      <c r="BF377" s="51">
        <v>2.2234797297297293E-3</v>
      </c>
      <c r="BG377" s="51">
        <v>2.2439803439803438E-3</v>
      </c>
      <c r="BH377" s="51">
        <v>2.2644809582309583E-3</v>
      </c>
      <c r="BI377" s="51">
        <v>2.2849815724815723E-3</v>
      </c>
      <c r="BJ377" s="51">
        <v>2.3054821867321863E-3</v>
      </c>
      <c r="BK377" s="51">
        <v>2.3259828009828008E-3</v>
      </c>
      <c r="BL377" s="51">
        <v>2.3464834152334153E-3</v>
      </c>
      <c r="BM377" s="51">
        <v>2.3669840294840293E-3</v>
      </c>
      <c r="BN377" s="51">
        <v>2.3874846437346433E-3</v>
      </c>
      <c r="BO377" s="51">
        <v>2.4079852579852578E-3</v>
      </c>
      <c r="BP377" s="51">
        <v>2.4284858722358723E-3</v>
      </c>
      <c r="BQ377" s="51">
        <v>2.4489864864864863E-3</v>
      </c>
      <c r="BR377" s="51">
        <v>2.4694871007371003E-3</v>
      </c>
      <c r="BS377" s="51">
        <v>2.4899877149877148E-3</v>
      </c>
      <c r="BT377" s="51">
        <v>2.5104883292383293E-3</v>
      </c>
      <c r="BU377" s="51">
        <v>2.5309889434889433E-3</v>
      </c>
      <c r="BV377" s="51">
        <v>2.5514895577395573E-3</v>
      </c>
      <c r="BW377" s="51">
        <v>2.5719901719901718E-3</v>
      </c>
      <c r="BX377" s="51">
        <v>2.5924907862407863E-3</v>
      </c>
      <c r="BY377" s="51">
        <v>2.6129914004914003E-3</v>
      </c>
      <c r="BZ377" s="51">
        <v>2.6334920147420143E-3</v>
      </c>
      <c r="CA377" s="51">
        <v>2.6539926289926288E-3</v>
      </c>
      <c r="CB377" s="51">
        <v>2.6744932432432433E-3</v>
      </c>
      <c r="CC377" s="51">
        <v>2.6949938574938573E-3</v>
      </c>
      <c r="CD377" s="51">
        <v>2.7154944717444713E-3</v>
      </c>
      <c r="CE377" s="51">
        <v>2.7359950859950858E-3</v>
      </c>
      <c r="CF377" s="51">
        <v>2.7564957002457003E-3</v>
      </c>
      <c r="CG377" s="51">
        <v>2.7769963144963143E-3</v>
      </c>
      <c r="CH377" s="51">
        <v>2.7974969287469283E-3</v>
      </c>
      <c r="CI377" s="51">
        <v>2.8179975429975428E-3</v>
      </c>
      <c r="CJ377" s="51">
        <v>2.8384981572481573E-3</v>
      </c>
      <c r="CK377" s="51">
        <v>2.8589987714987713E-3</v>
      </c>
      <c r="CL377" s="51">
        <v>2.8794993857493853E-3</v>
      </c>
      <c r="CM377" s="51">
        <v>2.8999999999999998E-3</v>
      </c>
    </row>
    <row r="378" spans="1:91" s="50" customFormat="1" x14ac:dyDescent="0.25">
      <c r="A378" s="99" t="s">
        <v>1</v>
      </c>
      <c r="B378" s="4">
        <v>0</v>
      </c>
      <c r="C378" s="4">
        <v>0</v>
      </c>
      <c r="D378" s="4">
        <v>0</v>
      </c>
      <c r="E378" s="4">
        <v>0</v>
      </c>
      <c r="F378" s="4">
        <v>0</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c r="X378" s="4">
        <v>0</v>
      </c>
      <c r="Y378" s="4">
        <v>0</v>
      </c>
      <c r="Z378" s="4">
        <v>0</v>
      </c>
      <c r="AA378" s="4">
        <v>0</v>
      </c>
      <c r="AB378" s="4">
        <v>0</v>
      </c>
      <c r="AC378" s="4">
        <v>0</v>
      </c>
      <c r="AD378" s="4">
        <v>0</v>
      </c>
      <c r="AE378" s="4">
        <v>0</v>
      </c>
      <c r="AF378" s="51">
        <v>6.1522727272727278E-2</v>
      </c>
      <c r="AG378" s="51">
        <v>6.1954545454545457E-2</v>
      </c>
      <c r="AH378" s="51">
        <v>6.2386363636363643E-2</v>
      </c>
      <c r="AI378" s="51">
        <v>6.2818181818181829E-2</v>
      </c>
      <c r="AJ378" s="51">
        <v>6.3250000000000001E-2</v>
      </c>
      <c r="AK378" s="51">
        <v>6.3681818181818187E-2</v>
      </c>
      <c r="AL378" s="51">
        <v>6.4113636363636373E-2</v>
      </c>
      <c r="AM378" s="51">
        <v>6.4545454545454545E-2</v>
      </c>
      <c r="AN378" s="51">
        <v>6.4977272727272731E-2</v>
      </c>
      <c r="AO378" s="51">
        <v>6.5409090909090917E-2</v>
      </c>
      <c r="AP378" s="51">
        <v>6.5840909090909089E-2</v>
      </c>
      <c r="AQ378" s="51">
        <v>6.6272727272727275E-2</v>
      </c>
      <c r="AR378" s="51">
        <v>6.6704545454545461E-2</v>
      </c>
      <c r="AS378" s="51">
        <v>6.7136363636363633E-2</v>
      </c>
      <c r="AT378" s="51">
        <v>6.7568181818181819E-2</v>
      </c>
      <c r="AU378" s="51">
        <v>6.8000000000000005E-2</v>
      </c>
      <c r="AV378" s="51">
        <v>6.881818181818182E-2</v>
      </c>
      <c r="AW378" s="51">
        <v>6.9636363636363635E-2</v>
      </c>
      <c r="AX378" s="51">
        <v>7.0454545454545464E-2</v>
      </c>
      <c r="AY378" s="51">
        <v>7.1272727272727279E-2</v>
      </c>
      <c r="AZ378" s="51">
        <v>7.2090909090909094E-2</v>
      </c>
      <c r="BA378" s="51">
        <v>7.290909090909091E-2</v>
      </c>
      <c r="BB378" s="51">
        <v>7.3727272727272725E-2</v>
      </c>
      <c r="BC378" s="51">
        <v>7.4545454545454554E-2</v>
      </c>
      <c r="BD378" s="51">
        <v>7.5363636363636369E-2</v>
      </c>
      <c r="BE378" s="51">
        <v>7.6181818181818184E-2</v>
      </c>
      <c r="BF378" s="51">
        <v>7.6999999999999999E-2</v>
      </c>
      <c r="BG378" s="51">
        <v>7.7818181818181814E-2</v>
      </c>
      <c r="BH378" s="51">
        <v>7.8636363636363643E-2</v>
      </c>
      <c r="BI378" s="51">
        <v>7.9454545454545458E-2</v>
      </c>
      <c r="BJ378" s="51">
        <v>8.0272727272727273E-2</v>
      </c>
      <c r="BK378" s="51">
        <v>8.1090909090909088E-2</v>
      </c>
      <c r="BL378" s="51">
        <v>8.1909090909090904E-2</v>
      </c>
      <c r="BM378" s="51">
        <v>8.2727272727272733E-2</v>
      </c>
      <c r="BN378" s="51">
        <v>8.3545454545454548E-2</v>
      </c>
      <c r="BO378" s="51">
        <v>8.4363636363636363E-2</v>
      </c>
      <c r="BP378" s="51">
        <v>8.5181818181818178E-2</v>
      </c>
      <c r="BQ378" s="51">
        <v>8.5999999999999993E-2</v>
      </c>
      <c r="BR378" s="51">
        <v>8.6818181818181822E-2</v>
      </c>
      <c r="BS378" s="51">
        <v>8.7636363636363637E-2</v>
      </c>
      <c r="BT378" s="51">
        <v>8.8454545454545452E-2</v>
      </c>
      <c r="BU378" s="51">
        <v>8.9272727272727267E-2</v>
      </c>
      <c r="BV378" s="51">
        <v>9.0090909090909083E-2</v>
      </c>
      <c r="BW378" s="51">
        <v>9.0909090909090912E-2</v>
      </c>
      <c r="BX378" s="51">
        <v>9.1727272727272727E-2</v>
      </c>
      <c r="BY378" s="51">
        <v>9.2545454545454542E-2</v>
      </c>
      <c r="BZ378" s="51">
        <v>9.3363636363636357E-2</v>
      </c>
      <c r="CA378" s="51">
        <v>9.4181818181818172E-2</v>
      </c>
      <c r="CB378" s="51">
        <v>9.5000000000000001E-2</v>
      </c>
      <c r="CC378" s="51">
        <v>9.5818181818181816E-2</v>
      </c>
      <c r="CD378" s="51">
        <v>9.6636363636363631E-2</v>
      </c>
      <c r="CE378" s="51">
        <v>9.7454545454545446E-2</v>
      </c>
      <c r="CF378" s="51">
        <v>9.8272727272727262E-2</v>
      </c>
      <c r="CG378" s="51">
        <v>9.9090909090909091E-2</v>
      </c>
      <c r="CH378" s="51">
        <v>9.9909090909090906E-2</v>
      </c>
      <c r="CI378" s="51">
        <v>0.10072727272727272</v>
      </c>
      <c r="CJ378" s="51">
        <v>0.10154545454545455</v>
      </c>
      <c r="CK378" s="51">
        <v>0.10236363636363635</v>
      </c>
      <c r="CL378" s="51">
        <v>0.10318181818181818</v>
      </c>
      <c r="CM378" s="51">
        <v>0.104</v>
      </c>
    </row>
    <row r="379" spans="1:91" s="50" customFormat="1" x14ac:dyDescent="0.25">
      <c r="A379" s="9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c r="BS379" s="51"/>
      <c r="BT379" s="51"/>
      <c r="BU379" s="51"/>
      <c r="BV379" s="51"/>
      <c r="BW379" s="51"/>
      <c r="BX379" s="51"/>
      <c r="BY379" s="51"/>
      <c r="BZ379" s="51"/>
      <c r="CA379" s="51"/>
      <c r="CB379" s="51"/>
      <c r="CC379" s="51"/>
      <c r="CD379" s="51"/>
      <c r="CE379" s="51"/>
      <c r="CF379" s="51"/>
      <c r="CG379" s="51"/>
      <c r="CH379" s="51"/>
      <c r="CI379" s="51"/>
      <c r="CJ379" s="51"/>
      <c r="CK379" s="51"/>
      <c r="CL379" s="51"/>
      <c r="CM379" s="51"/>
    </row>
    <row r="380" spans="1:91" s="50" customFormat="1" x14ac:dyDescent="0.25">
      <c r="A380" s="99" t="s">
        <v>172</v>
      </c>
      <c r="B380" s="4">
        <v>0</v>
      </c>
      <c r="C380" s="4">
        <v>0</v>
      </c>
      <c r="D380" s="4">
        <v>0</v>
      </c>
      <c r="E380" s="4">
        <v>0</v>
      </c>
      <c r="F380" s="4">
        <v>0</v>
      </c>
      <c r="G380" s="4">
        <v>0</v>
      </c>
      <c r="H380" s="4">
        <v>0</v>
      </c>
      <c r="I380" s="4">
        <v>0</v>
      </c>
      <c r="J380" s="4">
        <v>0</v>
      </c>
      <c r="K380" s="4">
        <v>0</v>
      </c>
      <c r="L380" s="4">
        <v>0</v>
      </c>
      <c r="M380" s="4">
        <v>0</v>
      </c>
      <c r="N380" s="4">
        <v>0</v>
      </c>
      <c r="O380" s="4">
        <v>0</v>
      </c>
      <c r="P380" s="4">
        <v>0</v>
      </c>
      <c r="Q380" s="4">
        <v>0</v>
      </c>
      <c r="R380" s="4">
        <v>0</v>
      </c>
      <c r="S380" s="4">
        <v>0</v>
      </c>
      <c r="T380" s="4">
        <v>0</v>
      </c>
      <c r="U380" s="4">
        <v>0</v>
      </c>
      <c r="V380" s="4">
        <v>0</v>
      </c>
      <c r="W380" s="4">
        <v>0</v>
      </c>
      <c r="X380" s="4">
        <v>0</v>
      </c>
      <c r="Y380" s="4">
        <v>0</v>
      </c>
      <c r="Z380" s="4">
        <v>0</v>
      </c>
      <c r="AA380" s="4">
        <v>0</v>
      </c>
      <c r="AB380" s="4">
        <v>0</v>
      </c>
      <c r="AC380" s="4">
        <v>0</v>
      </c>
      <c r="AD380" s="4">
        <v>0</v>
      </c>
      <c r="AE380" s="4">
        <v>0</v>
      </c>
      <c r="AF380" s="51">
        <v>3.0288636363636368E-3</v>
      </c>
      <c r="AG380" s="51">
        <v>3.1022727272727278E-3</v>
      </c>
      <c r="AH380" s="51">
        <v>3.1756818181818188E-3</v>
      </c>
      <c r="AI380" s="51">
        <v>3.2490909090909098E-3</v>
      </c>
      <c r="AJ380" s="51">
        <v>3.3225000000000008E-3</v>
      </c>
      <c r="AK380" s="51">
        <v>3.3959090909090918E-3</v>
      </c>
      <c r="AL380" s="51">
        <v>3.4693181818181828E-3</v>
      </c>
      <c r="AM380" s="51">
        <v>3.5427272727272738E-3</v>
      </c>
      <c r="AN380" s="51">
        <v>3.6161363636363648E-3</v>
      </c>
      <c r="AO380" s="51">
        <v>3.6895454545454558E-3</v>
      </c>
      <c r="AP380" s="51">
        <v>3.7629545454545468E-3</v>
      </c>
      <c r="AQ380" s="51">
        <v>3.8363636363636378E-3</v>
      </c>
      <c r="AR380" s="51">
        <v>3.9097727272727287E-3</v>
      </c>
      <c r="AS380" s="51">
        <v>3.9831818181818197E-3</v>
      </c>
      <c r="AT380" s="51">
        <v>4.0565909090909107E-3</v>
      </c>
      <c r="AU380" s="51">
        <v>4.1300000000000009E-3</v>
      </c>
      <c r="AV380" s="51">
        <v>4.1579545454545463E-3</v>
      </c>
      <c r="AW380" s="51">
        <v>4.1859090909090917E-3</v>
      </c>
      <c r="AX380" s="51">
        <v>4.2138636363636371E-3</v>
      </c>
      <c r="AY380" s="51">
        <v>4.2418181818181825E-3</v>
      </c>
      <c r="AZ380" s="51">
        <v>4.269772727272728E-3</v>
      </c>
      <c r="BA380" s="51">
        <v>4.2977272727272734E-3</v>
      </c>
      <c r="BB380" s="51">
        <v>4.3256818181818188E-3</v>
      </c>
      <c r="BC380" s="51">
        <v>4.3536363636363642E-3</v>
      </c>
      <c r="BD380" s="51">
        <v>4.3815909090909096E-3</v>
      </c>
      <c r="BE380" s="51">
        <v>4.4095454545454551E-3</v>
      </c>
      <c r="BF380" s="51">
        <v>4.4375000000000005E-3</v>
      </c>
      <c r="BG380" s="51">
        <v>4.4654545454545459E-3</v>
      </c>
      <c r="BH380" s="51">
        <v>4.4934090909090913E-3</v>
      </c>
      <c r="BI380" s="51">
        <v>4.5213636363636367E-3</v>
      </c>
      <c r="BJ380" s="51">
        <v>4.5493181818181821E-3</v>
      </c>
      <c r="BK380" s="51">
        <v>4.5772727272727276E-3</v>
      </c>
      <c r="BL380" s="51">
        <v>4.605227272727273E-3</v>
      </c>
      <c r="BM380" s="51">
        <v>4.6331818181818184E-3</v>
      </c>
      <c r="BN380" s="51">
        <v>4.6611363636363638E-3</v>
      </c>
      <c r="BO380" s="51">
        <v>4.6890909090909101E-3</v>
      </c>
      <c r="BP380" s="51">
        <v>4.7170454545454547E-3</v>
      </c>
      <c r="BQ380" s="51">
        <v>4.745000000000001E-3</v>
      </c>
      <c r="BR380" s="51">
        <v>4.7729545454545455E-3</v>
      </c>
      <c r="BS380" s="51">
        <v>4.8009090909090918E-3</v>
      </c>
      <c r="BT380" s="51">
        <v>4.8288636363636372E-3</v>
      </c>
      <c r="BU380" s="51">
        <v>4.8568181818181826E-3</v>
      </c>
      <c r="BV380" s="51">
        <v>4.8847727272727281E-3</v>
      </c>
      <c r="BW380" s="51">
        <v>4.9127272727272735E-3</v>
      </c>
      <c r="BX380" s="51">
        <v>4.9406818181818189E-3</v>
      </c>
      <c r="BY380" s="51">
        <v>4.9686363636363643E-3</v>
      </c>
      <c r="BZ380" s="51">
        <v>4.9965909090909097E-3</v>
      </c>
      <c r="CA380" s="51">
        <v>5.0245454545454551E-3</v>
      </c>
      <c r="CB380" s="51">
        <v>5.0525000000000006E-3</v>
      </c>
      <c r="CC380" s="51">
        <v>5.080454545454546E-3</v>
      </c>
      <c r="CD380" s="51">
        <v>5.1084090909090914E-3</v>
      </c>
      <c r="CE380" s="51">
        <v>5.1363636363636368E-3</v>
      </c>
      <c r="CF380" s="51">
        <v>5.1643181818181822E-3</v>
      </c>
      <c r="CG380" s="51">
        <v>5.1922727272727277E-3</v>
      </c>
      <c r="CH380" s="51">
        <v>5.2202272727272731E-3</v>
      </c>
      <c r="CI380" s="51">
        <v>5.2481818181818185E-3</v>
      </c>
      <c r="CJ380" s="51">
        <v>5.2761363636363639E-3</v>
      </c>
      <c r="CK380" s="51">
        <v>5.3040909090909093E-3</v>
      </c>
      <c r="CL380" s="51">
        <v>5.3320454545454548E-3</v>
      </c>
      <c r="CM380" s="51">
        <v>5.3600000000000002E-3</v>
      </c>
    </row>
    <row r="381" spans="1:91" s="50" customFormat="1" x14ac:dyDescent="0.25">
      <c r="A381" s="9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c r="BS381" s="51"/>
      <c r="BT381" s="51"/>
      <c r="BU381" s="51"/>
      <c r="BV381" s="51"/>
      <c r="BW381" s="51"/>
      <c r="BX381" s="51"/>
      <c r="BY381" s="51"/>
      <c r="BZ381" s="51"/>
      <c r="CA381" s="51"/>
      <c r="CB381" s="51"/>
      <c r="CC381" s="51"/>
      <c r="CD381" s="51"/>
      <c r="CE381" s="51"/>
      <c r="CF381" s="51"/>
      <c r="CG381" s="51"/>
      <c r="CH381" s="51"/>
      <c r="CI381" s="51"/>
      <c r="CJ381" s="51"/>
      <c r="CK381" s="51"/>
      <c r="CL381" s="51"/>
      <c r="CM381" s="51"/>
    </row>
    <row r="382" spans="1:91" s="50" customFormat="1" x14ac:dyDescent="0.25">
      <c r="A382" s="99" t="s">
        <v>390</v>
      </c>
      <c r="B382" s="4">
        <v>0</v>
      </c>
      <c r="C382" s="4">
        <v>0</v>
      </c>
      <c r="D382" s="4">
        <v>0</v>
      </c>
      <c r="E382" s="4">
        <v>0</v>
      </c>
      <c r="F382" s="4">
        <v>0</v>
      </c>
      <c r="G382" s="4">
        <v>0</v>
      </c>
      <c r="H382" s="4">
        <v>0</v>
      </c>
      <c r="I382" s="4">
        <v>0</v>
      </c>
      <c r="J382" s="4">
        <v>0</v>
      </c>
      <c r="K382" s="4">
        <v>0</v>
      </c>
      <c r="L382" s="4">
        <v>0</v>
      </c>
      <c r="M382" s="4">
        <v>0</v>
      </c>
      <c r="N382" s="4">
        <v>0</v>
      </c>
      <c r="O382" s="4">
        <v>0</v>
      </c>
      <c r="P382" s="4">
        <v>0</v>
      </c>
      <c r="Q382" s="4">
        <v>0</v>
      </c>
      <c r="R382" s="4">
        <v>0</v>
      </c>
      <c r="S382" s="4">
        <v>0</v>
      </c>
      <c r="T382" s="4">
        <v>0</v>
      </c>
      <c r="U382" s="4">
        <v>0</v>
      </c>
      <c r="V382" s="4">
        <v>0</v>
      </c>
      <c r="W382" s="4">
        <v>0</v>
      </c>
      <c r="X382" s="4">
        <v>0</v>
      </c>
      <c r="Y382" s="4">
        <v>0</v>
      </c>
      <c r="Z382" s="4">
        <v>0</v>
      </c>
      <c r="AA382" s="4">
        <v>0</v>
      </c>
      <c r="AB382" s="4">
        <v>0</v>
      </c>
      <c r="AC382" s="4">
        <v>0</v>
      </c>
      <c r="AD382" s="4">
        <v>0</v>
      </c>
      <c r="AE382" s="4">
        <v>0</v>
      </c>
      <c r="AF382" s="51">
        <v>3.0288636363636368E-3</v>
      </c>
      <c r="AG382" s="51">
        <v>3.1022727272727278E-3</v>
      </c>
      <c r="AH382" s="51">
        <v>3.1756818181818188E-3</v>
      </c>
      <c r="AI382" s="51">
        <v>3.2490909090909098E-3</v>
      </c>
      <c r="AJ382" s="51">
        <v>3.3225000000000008E-3</v>
      </c>
      <c r="AK382" s="51">
        <v>3.3959090909090918E-3</v>
      </c>
      <c r="AL382" s="51">
        <v>3.4693181818181828E-3</v>
      </c>
      <c r="AM382" s="51">
        <v>3.5427272727272738E-3</v>
      </c>
      <c r="AN382" s="51">
        <v>3.6161363636363648E-3</v>
      </c>
      <c r="AO382" s="51">
        <v>3.6895454545454558E-3</v>
      </c>
      <c r="AP382" s="51">
        <v>3.7629545454545468E-3</v>
      </c>
      <c r="AQ382" s="51">
        <v>3.8363636363636378E-3</v>
      </c>
      <c r="AR382" s="51">
        <v>3.9097727272727287E-3</v>
      </c>
      <c r="AS382" s="51">
        <v>3.9831818181818197E-3</v>
      </c>
      <c r="AT382" s="51">
        <v>4.0565909090909107E-3</v>
      </c>
      <c r="AU382" s="51">
        <v>4.1300000000000009E-3</v>
      </c>
      <c r="AV382" s="51">
        <v>4.1579545454545463E-3</v>
      </c>
      <c r="AW382" s="51">
        <v>4.1859090909090917E-3</v>
      </c>
      <c r="AX382" s="51">
        <v>4.2138636363636371E-3</v>
      </c>
      <c r="AY382" s="51">
        <v>4.2418181818181825E-3</v>
      </c>
      <c r="AZ382" s="51">
        <v>4.269772727272728E-3</v>
      </c>
      <c r="BA382" s="51">
        <v>4.2977272727272734E-3</v>
      </c>
      <c r="BB382" s="51">
        <v>4.3256818181818188E-3</v>
      </c>
      <c r="BC382" s="51">
        <v>4.3536363636363642E-3</v>
      </c>
      <c r="BD382" s="51">
        <v>4.3815909090909096E-3</v>
      </c>
      <c r="BE382" s="51">
        <v>4.4095454545454551E-3</v>
      </c>
      <c r="BF382" s="51">
        <v>4.4375000000000005E-3</v>
      </c>
      <c r="BG382" s="51">
        <v>4.4654545454545459E-3</v>
      </c>
      <c r="BH382" s="51">
        <v>4.4934090909090913E-3</v>
      </c>
      <c r="BI382" s="51">
        <v>4.5213636363636367E-3</v>
      </c>
      <c r="BJ382" s="51">
        <v>4.5493181818181821E-3</v>
      </c>
      <c r="BK382" s="51">
        <v>4.5772727272727276E-3</v>
      </c>
      <c r="BL382" s="51">
        <v>4.605227272727273E-3</v>
      </c>
      <c r="BM382" s="51">
        <v>4.6331818181818184E-3</v>
      </c>
      <c r="BN382" s="51">
        <v>4.6611363636363638E-3</v>
      </c>
      <c r="BO382" s="51">
        <v>4.6890909090909101E-3</v>
      </c>
      <c r="BP382" s="51">
        <v>4.7170454545454547E-3</v>
      </c>
      <c r="BQ382" s="51">
        <v>4.745000000000001E-3</v>
      </c>
      <c r="BR382" s="51">
        <v>4.7729545454545455E-3</v>
      </c>
      <c r="BS382" s="51">
        <v>4.8009090909090918E-3</v>
      </c>
      <c r="BT382" s="51">
        <v>4.8288636363636372E-3</v>
      </c>
      <c r="BU382" s="51">
        <v>4.8568181818181826E-3</v>
      </c>
      <c r="BV382" s="51">
        <v>4.8847727272727281E-3</v>
      </c>
      <c r="BW382" s="51">
        <v>4.9127272727272735E-3</v>
      </c>
      <c r="BX382" s="51">
        <v>4.9406818181818189E-3</v>
      </c>
      <c r="BY382" s="51">
        <v>4.9686363636363643E-3</v>
      </c>
      <c r="BZ382" s="51">
        <v>4.9965909090909097E-3</v>
      </c>
      <c r="CA382" s="51">
        <v>5.0245454545454551E-3</v>
      </c>
      <c r="CB382" s="51">
        <v>5.0525000000000006E-3</v>
      </c>
      <c r="CC382" s="51">
        <v>5.080454545454546E-3</v>
      </c>
      <c r="CD382" s="51">
        <v>5.1084090909090914E-3</v>
      </c>
      <c r="CE382" s="51">
        <v>5.1363636363636368E-3</v>
      </c>
      <c r="CF382" s="51">
        <v>5.1643181818181822E-3</v>
      </c>
      <c r="CG382" s="51">
        <v>5.1922727272727277E-3</v>
      </c>
      <c r="CH382" s="51">
        <v>5.2202272727272731E-3</v>
      </c>
      <c r="CI382" s="51">
        <v>5.2481818181818185E-3</v>
      </c>
      <c r="CJ382" s="51">
        <v>5.2761363636363639E-3</v>
      </c>
      <c r="CK382" s="51">
        <v>5.3040909090909093E-3</v>
      </c>
      <c r="CL382" s="51">
        <v>5.3320454545454548E-3</v>
      </c>
      <c r="CM382" s="51">
        <v>5.3600000000000002E-3</v>
      </c>
    </row>
    <row r="383" spans="1:91" s="50" customFormat="1" x14ac:dyDescent="0.25">
      <c r="A383" s="9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c r="BS383" s="51"/>
      <c r="BT383" s="51"/>
      <c r="BU383" s="51"/>
      <c r="BV383" s="51"/>
      <c r="BW383" s="51"/>
      <c r="BX383" s="51"/>
      <c r="BY383" s="51"/>
      <c r="BZ383" s="51"/>
      <c r="CA383" s="51"/>
      <c r="CB383" s="51"/>
      <c r="CC383" s="51"/>
      <c r="CD383" s="51"/>
      <c r="CE383" s="51"/>
      <c r="CF383" s="51"/>
      <c r="CG383" s="51"/>
      <c r="CH383" s="51"/>
      <c r="CI383" s="51"/>
      <c r="CJ383" s="51"/>
      <c r="CK383" s="51"/>
      <c r="CL383" s="51"/>
      <c r="CM383" s="51"/>
    </row>
    <row r="384" spans="1:91" s="50" customFormat="1" x14ac:dyDescent="0.25">
      <c r="A384" s="99" t="s">
        <v>348</v>
      </c>
      <c r="B384" s="4">
        <v>0</v>
      </c>
      <c r="C384" s="4">
        <v>0</v>
      </c>
      <c r="D384" s="4">
        <v>0</v>
      </c>
      <c r="E384" s="4">
        <v>0</v>
      </c>
      <c r="F384" s="4">
        <v>0</v>
      </c>
      <c r="G384" s="4">
        <v>0</v>
      </c>
      <c r="H384" s="4">
        <v>0</v>
      </c>
      <c r="I384" s="4">
        <v>0</v>
      </c>
      <c r="J384" s="4">
        <v>0</v>
      </c>
      <c r="K384" s="4">
        <v>0</v>
      </c>
      <c r="L384" s="4">
        <v>0</v>
      </c>
      <c r="M384" s="4">
        <v>0</v>
      </c>
      <c r="N384" s="4">
        <v>0</v>
      </c>
      <c r="O384" s="4">
        <v>0</v>
      </c>
      <c r="P384" s="4">
        <v>0</v>
      </c>
      <c r="Q384" s="4">
        <v>0</v>
      </c>
      <c r="R384" s="4">
        <v>0</v>
      </c>
      <c r="S384" s="4">
        <v>0</v>
      </c>
      <c r="T384" s="4">
        <v>0</v>
      </c>
      <c r="U384" s="4">
        <v>0</v>
      </c>
      <c r="V384" s="4">
        <v>0</v>
      </c>
      <c r="W384" s="4">
        <v>0</v>
      </c>
      <c r="X384" s="4">
        <v>0</v>
      </c>
      <c r="Y384" s="4">
        <v>0</v>
      </c>
      <c r="Z384" s="4">
        <v>0</v>
      </c>
      <c r="AA384" s="4">
        <v>0</v>
      </c>
      <c r="AB384" s="4">
        <v>0</v>
      </c>
      <c r="AC384" s="4">
        <v>0</v>
      </c>
      <c r="AD384" s="4">
        <v>0</v>
      </c>
      <c r="AE384" s="4">
        <v>0</v>
      </c>
      <c r="AF384" s="51">
        <v>8.6618671127481966E-4</v>
      </c>
      <c r="AG384" s="51">
        <v>8.7332065560907562E-4</v>
      </c>
      <c r="AH384" s="51">
        <v>8.8045459994333169E-4</v>
      </c>
      <c r="AI384" s="51">
        <v>8.8758854427758765E-4</v>
      </c>
      <c r="AJ384" s="51">
        <v>8.9472248861184372E-4</v>
      </c>
      <c r="AK384" s="51">
        <v>9.0185643294609969E-4</v>
      </c>
      <c r="AL384" s="51">
        <v>9.0899037728035576E-4</v>
      </c>
      <c r="AM384" s="51">
        <v>9.1612432161461172E-4</v>
      </c>
      <c r="AN384" s="51">
        <v>9.2325826594886768E-4</v>
      </c>
      <c r="AO384" s="51">
        <v>9.3039221028312375E-4</v>
      </c>
      <c r="AP384" s="51">
        <v>9.3752615461737982E-4</v>
      </c>
      <c r="AQ384" s="51">
        <v>9.4466009895163578E-4</v>
      </c>
      <c r="AR384" s="51">
        <v>9.5179404328589175E-4</v>
      </c>
      <c r="AS384" s="51">
        <v>9.5892798762014782E-4</v>
      </c>
      <c r="AT384" s="51">
        <v>9.6606193195440389E-4</v>
      </c>
      <c r="AU384" s="51">
        <v>9.7319587628865985E-4</v>
      </c>
      <c r="AV384" s="51">
        <v>9.9072164948453621E-4</v>
      </c>
      <c r="AW384" s="51">
        <v>1.0082474226804125E-3</v>
      </c>
      <c r="AX384" s="51">
        <v>1.0257731958762887E-3</v>
      </c>
      <c r="AY384" s="51">
        <v>1.043298969072165E-3</v>
      </c>
      <c r="AZ384" s="51">
        <v>1.0608247422680412E-3</v>
      </c>
      <c r="BA384" s="51">
        <v>1.0783505154639175E-3</v>
      </c>
      <c r="BB384" s="51">
        <v>1.095876288659794E-3</v>
      </c>
      <c r="BC384" s="51">
        <v>1.1134020618556702E-3</v>
      </c>
      <c r="BD384" s="51">
        <v>1.1309278350515465E-3</v>
      </c>
      <c r="BE384" s="51">
        <v>1.1484536082474227E-3</v>
      </c>
      <c r="BF384" s="51">
        <v>1.165979381443299E-3</v>
      </c>
      <c r="BG384" s="51">
        <v>1.1835051546391752E-3</v>
      </c>
      <c r="BH384" s="51">
        <v>1.2010309278350515E-3</v>
      </c>
      <c r="BI384" s="51">
        <v>1.2185567010309277E-3</v>
      </c>
      <c r="BJ384" s="51">
        <v>1.236082474226804E-3</v>
      </c>
      <c r="BK384" s="51">
        <v>1.2536082474226805E-3</v>
      </c>
      <c r="BL384" s="51">
        <v>1.2711340206185567E-3</v>
      </c>
      <c r="BM384" s="51">
        <v>1.288659793814433E-3</v>
      </c>
      <c r="BN384" s="51">
        <v>1.3061855670103092E-3</v>
      </c>
      <c r="BO384" s="51">
        <v>1.3237113402061855E-3</v>
      </c>
      <c r="BP384" s="51">
        <v>1.3412371134020619E-3</v>
      </c>
      <c r="BQ384" s="51">
        <v>1.3587628865979382E-3</v>
      </c>
      <c r="BR384" s="51">
        <v>1.3762886597938145E-3</v>
      </c>
      <c r="BS384" s="51">
        <v>1.3938144329896907E-3</v>
      </c>
      <c r="BT384" s="51">
        <v>1.411340206185567E-3</v>
      </c>
      <c r="BU384" s="51">
        <v>1.4288659793814432E-3</v>
      </c>
      <c r="BV384" s="51">
        <v>1.4463917525773195E-3</v>
      </c>
      <c r="BW384" s="51">
        <v>1.4639175257731957E-3</v>
      </c>
      <c r="BX384" s="51">
        <v>1.481443298969072E-3</v>
      </c>
      <c r="BY384" s="51">
        <v>1.4989690721649482E-3</v>
      </c>
      <c r="BZ384" s="51">
        <v>1.5164948453608247E-3</v>
      </c>
      <c r="CA384" s="51">
        <v>1.534020618556701E-3</v>
      </c>
      <c r="CB384" s="51">
        <v>1.5515463917525772E-3</v>
      </c>
      <c r="CC384" s="51">
        <v>1.5690721649484537E-3</v>
      </c>
      <c r="CD384" s="51">
        <v>1.5865979381443299E-3</v>
      </c>
      <c r="CE384" s="51">
        <v>1.6041237113402062E-3</v>
      </c>
      <c r="CF384" s="51">
        <v>1.6216494845360824E-3</v>
      </c>
      <c r="CG384" s="51">
        <v>1.6391752577319587E-3</v>
      </c>
      <c r="CH384" s="51">
        <v>1.656701030927835E-3</v>
      </c>
      <c r="CI384" s="51">
        <v>1.6742268041237112E-3</v>
      </c>
      <c r="CJ384" s="51">
        <v>1.6917525773195875E-3</v>
      </c>
      <c r="CK384" s="51">
        <v>1.7092783505154637E-3</v>
      </c>
      <c r="CL384" s="51">
        <v>1.72680412371134E-3</v>
      </c>
      <c r="CM384" s="51">
        <v>1.7443298969072164E-3</v>
      </c>
    </row>
    <row r="385" spans="1:91" s="50" customFormat="1" x14ac:dyDescent="0.25">
      <c r="A385" s="9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c r="BS385" s="51"/>
      <c r="BT385" s="51"/>
      <c r="BU385" s="51"/>
      <c r="BV385" s="51"/>
      <c r="BW385" s="51"/>
      <c r="BX385" s="51"/>
      <c r="BY385" s="51"/>
      <c r="BZ385" s="51"/>
      <c r="CA385" s="51"/>
      <c r="CB385" s="51"/>
      <c r="CC385" s="51"/>
      <c r="CD385" s="51"/>
      <c r="CE385" s="51"/>
      <c r="CF385" s="51"/>
      <c r="CG385" s="51"/>
      <c r="CH385" s="51"/>
      <c r="CI385" s="51"/>
      <c r="CJ385" s="51"/>
      <c r="CK385" s="51"/>
      <c r="CL385" s="51"/>
      <c r="CM385" s="51"/>
    </row>
    <row r="386" spans="1:91" s="50" customFormat="1" x14ac:dyDescent="0.25">
      <c r="A386" s="99" t="s">
        <v>367</v>
      </c>
      <c r="B386" s="4">
        <v>0</v>
      </c>
      <c r="C386" s="4">
        <v>0</v>
      </c>
      <c r="D386" s="4">
        <v>0</v>
      </c>
      <c r="E386" s="4">
        <v>0</v>
      </c>
      <c r="F386" s="4">
        <v>0</v>
      </c>
      <c r="G386" s="4">
        <v>0</v>
      </c>
      <c r="H386" s="4">
        <v>0</v>
      </c>
      <c r="I386" s="4">
        <v>0</v>
      </c>
      <c r="J386" s="4">
        <v>0</v>
      </c>
      <c r="K386" s="4">
        <v>0</v>
      </c>
      <c r="L386" s="4">
        <v>0</v>
      </c>
      <c r="M386" s="4">
        <v>0</v>
      </c>
      <c r="N386" s="4">
        <v>0</v>
      </c>
      <c r="O386" s="4">
        <v>0</v>
      </c>
      <c r="P386" s="4">
        <v>0</v>
      </c>
      <c r="Q386" s="4">
        <v>0</v>
      </c>
      <c r="R386" s="4">
        <v>0</v>
      </c>
      <c r="S386" s="4">
        <v>0</v>
      </c>
      <c r="T386" s="4">
        <v>0</v>
      </c>
      <c r="U386" s="4">
        <v>0</v>
      </c>
      <c r="V386" s="4">
        <v>0</v>
      </c>
      <c r="W386" s="4">
        <v>0</v>
      </c>
      <c r="X386" s="4">
        <v>0</v>
      </c>
      <c r="Y386" s="4">
        <v>0</v>
      </c>
      <c r="Z386" s="4">
        <v>0</v>
      </c>
      <c r="AA386" s="4">
        <v>0</v>
      </c>
      <c r="AB386" s="4">
        <v>0</v>
      </c>
      <c r="AC386" s="4">
        <v>0</v>
      </c>
      <c r="AD386" s="4">
        <v>0</v>
      </c>
      <c r="AE386" s="4">
        <v>0</v>
      </c>
      <c r="AF386" s="51">
        <v>8.6618671127481966E-4</v>
      </c>
      <c r="AG386" s="51">
        <v>8.7332065560907562E-4</v>
      </c>
      <c r="AH386" s="51">
        <v>8.8045459994333169E-4</v>
      </c>
      <c r="AI386" s="51">
        <v>8.8758854427758765E-4</v>
      </c>
      <c r="AJ386" s="51">
        <v>8.9472248861184372E-4</v>
      </c>
      <c r="AK386" s="51">
        <v>9.0185643294609969E-4</v>
      </c>
      <c r="AL386" s="51">
        <v>9.0899037728035576E-4</v>
      </c>
      <c r="AM386" s="51">
        <v>9.1612432161461172E-4</v>
      </c>
      <c r="AN386" s="51">
        <v>9.2325826594886768E-4</v>
      </c>
      <c r="AO386" s="51">
        <v>9.3039221028312375E-4</v>
      </c>
      <c r="AP386" s="51">
        <v>9.3752615461737982E-4</v>
      </c>
      <c r="AQ386" s="51">
        <v>9.4466009895163578E-4</v>
      </c>
      <c r="AR386" s="51">
        <v>9.5179404328589175E-4</v>
      </c>
      <c r="AS386" s="51">
        <v>9.5892798762014782E-4</v>
      </c>
      <c r="AT386" s="51">
        <v>9.6606193195440389E-4</v>
      </c>
      <c r="AU386" s="51">
        <v>9.7319587628865985E-4</v>
      </c>
      <c r="AV386" s="51">
        <v>9.9072164948453621E-4</v>
      </c>
      <c r="AW386" s="51">
        <v>1.0082474226804125E-3</v>
      </c>
      <c r="AX386" s="51">
        <v>1.0257731958762887E-3</v>
      </c>
      <c r="AY386" s="51">
        <v>1.043298969072165E-3</v>
      </c>
      <c r="AZ386" s="51">
        <v>1.0608247422680412E-3</v>
      </c>
      <c r="BA386" s="51">
        <v>1.0783505154639175E-3</v>
      </c>
      <c r="BB386" s="51">
        <v>1.095876288659794E-3</v>
      </c>
      <c r="BC386" s="51">
        <v>1.1134020618556702E-3</v>
      </c>
      <c r="BD386" s="51">
        <v>1.1309278350515465E-3</v>
      </c>
      <c r="BE386" s="51">
        <v>1.1484536082474227E-3</v>
      </c>
      <c r="BF386" s="51">
        <v>1.165979381443299E-3</v>
      </c>
      <c r="BG386" s="51">
        <v>1.1835051546391752E-3</v>
      </c>
      <c r="BH386" s="51">
        <v>1.2010309278350515E-3</v>
      </c>
      <c r="BI386" s="51">
        <v>1.2185567010309277E-3</v>
      </c>
      <c r="BJ386" s="51">
        <v>1.236082474226804E-3</v>
      </c>
      <c r="BK386" s="51">
        <v>1.2536082474226805E-3</v>
      </c>
      <c r="BL386" s="51">
        <v>1.2711340206185567E-3</v>
      </c>
      <c r="BM386" s="51">
        <v>1.288659793814433E-3</v>
      </c>
      <c r="BN386" s="51">
        <v>1.3061855670103092E-3</v>
      </c>
      <c r="BO386" s="51">
        <v>1.3237113402061855E-3</v>
      </c>
      <c r="BP386" s="51">
        <v>1.3412371134020619E-3</v>
      </c>
      <c r="BQ386" s="51">
        <v>1.3587628865979382E-3</v>
      </c>
      <c r="BR386" s="51">
        <v>1.3762886597938145E-3</v>
      </c>
      <c r="BS386" s="51">
        <v>1.3938144329896907E-3</v>
      </c>
      <c r="BT386" s="51">
        <v>1.411340206185567E-3</v>
      </c>
      <c r="BU386" s="51">
        <v>1.4288659793814432E-3</v>
      </c>
      <c r="BV386" s="51">
        <v>1.4463917525773195E-3</v>
      </c>
      <c r="BW386" s="51">
        <v>1.4639175257731957E-3</v>
      </c>
      <c r="BX386" s="51">
        <v>1.481443298969072E-3</v>
      </c>
      <c r="BY386" s="51">
        <v>1.4989690721649482E-3</v>
      </c>
      <c r="BZ386" s="51">
        <v>1.5164948453608247E-3</v>
      </c>
      <c r="CA386" s="51">
        <v>1.534020618556701E-3</v>
      </c>
      <c r="CB386" s="51">
        <v>1.5515463917525772E-3</v>
      </c>
      <c r="CC386" s="51">
        <v>1.5690721649484537E-3</v>
      </c>
      <c r="CD386" s="51">
        <v>1.5865979381443299E-3</v>
      </c>
      <c r="CE386" s="51">
        <v>1.6041237113402062E-3</v>
      </c>
      <c r="CF386" s="51">
        <v>1.6216494845360824E-3</v>
      </c>
      <c r="CG386" s="51">
        <v>1.6391752577319587E-3</v>
      </c>
      <c r="CH386" s="51">
        <v>1.656701030927835E-3</v>
      </c>
      <c r="CI386" s="51">
        <v>1.6742268041237112E-3</v>
      </c>
      <c r="CJ386" s="51">
        <v>1.6917525773195875E-3</v>
      </c>
      <c r="CK386" s="51">
        <v>1.7092783505154637E-3</v>
      </c>
      <c r="CL386" s="51">
        <v>1.72680412371134E-3</v>
      </c>
      <c r="CM386" s="51">
        <v>1.7443298969072164E-3</v>
      </c>
    </row>
    <row r="387" spans="1:91" s="50" customFormat="1" x14ac:dyDescent="0.25">
      <c r="A387" s="9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c r="BS387" s="51"/>
      <c r="BT387" s="51"/>
      <c r="BU387" s="51"/>
      <c r="BV387" s="51"/>
      <c r="BW387" s="51"/>
      <c r="BX387" s="51"/>
      <c r="BY387" s="51"/>
      <c r="BZ387" s="51"/>
      <c r="CA387" s="51"/>
      <c r="CB387" s="51"/>
      <c r="CC387" s="51"/>
      <c r="CD387" s="51"/>
      <c r="CE387" s="51"/>
      <c r="CF387" s="51"/>
      <c r="CG387" s="51"/>
      <c r="CH387" s="51"/>
      <c r="CI387" s="51"/>
      <c r="CJ387" s="51"/>
      <c r="CK387" s="51"/>
      <c r="CL387" s="51"/>
      <c r="CM387" s="51"/>
    </row>
    <row r="388" spans="1:91" s="50" customFormat="1" x14ac:dyDescent="0.25">
      <c r="A388" s="99" t="s">
        <v>173</v>
      </c>
      <c r="B388" s="4">
        <v>0</v>
      </c>
      <c r="C388" s="4">
        <v>0</v>
      </c>
      <c r="D388" s="4">
        <v>0</v>
      </c>
      <c r="E388" s="4">
        <v>0</v>
      </c>
      <c r="F388" s="4">
        <v>0</v>
      </c>
      <c r="G388" s="4">
        <v>0</v>
      </c>
      <c r="H388" s="4">
        <v>0</v>
      </c>
      <c r="I388" s="4">
        <v>0</v>
      </c>
      <c r="J388" s="4">
        <v>0</v>
      </c>
      <c r="K388" s="4">
        <v>0</v>
      </c>
      <c r="L388" s="4">
        <v>0</v>
      </c>
      <c r="M388" s="4">
        <v>0</v>
      </c>
      <c r="N388" s="4">
        <v>0</v>
      </c>
      <c r="O388" s="4">
        <v>0</v>
      </c>
      <c r="P388" s="4">
        <v>0</v>
      </c>
      <c r="Q388" s="4">
        <v>0</v>
      </c>
      <c r="R388" s="4">
        <v>0</v>
      </c>
      <c r="S388" s="4">
        <v>0</v>
      </c>
      <c r="T388" s="4">
        <v>0</v>
      </c>
      <c r="U388" s="4">
        <v>0</v>
      </c>
      <c r="V388" s="4">
        <v>0</v>
      </c>
      <c r="W388" s="4">
        <v>0</v>
      </c>
      <c r="X388" s="4">
        <v>0</v>
      </c>
      <c r="Y388" s="4">
        <v>0</v>
      </c>
      <c r="Z388" s="4">
        <v>0</v>
      </c>
      <c r="AA388" s="4">
        <v>0</v>
      </c>
      <c r="AB388" s="4">
        <v>0</v>
      </c>
      <c r="AC388" s="4">
        <v>0</v>
      </c>
      <c r="AD388" s="4">
        <v>0</v>
      </c>
      <c r="AE388" s="4">
        <v>0</v>
      </c>
      <c r="AF388" s="51">
        <v>2.8586557155908612E-3</v>
      </c>
      <c r="AG388" s="51">
        <v>2.909963886131464E-3</v>
      </c>
      <c r="AH388" s="51">
        <v>2.9612720566720677E-3</v>
      </c>
      <c r="AI388" s="51">
        <v>3.0125802272126705E-3</v>
      </c>
      <c r="AJ388" s="51">
        <v>3.0638883977532742E-3</v>
      </c>
      <c r="AK388" s="51">
        <v>3.1151965682938766E-3</v>
      </c>
      <c r="AL388" s="51">
        <v>3.1665047388344802E-3</v>
      </c>
      <c r="AM388" s="51">
        <v>3.2178129093750835E-3</v>
      </c>
      <c r="AN388" s="51">
        <v>3.2691210799156863E-3</v>
      </c>
      <c r="AO388" s="51">
        <v>3.3204292504562887E-3</v>
      </c>
      <c r="AP388" s="51">
        <v>3.3717374209968911E-3</v>
      </c>
      <c r="AQ388" s="51">
        <v>3.4230455915374956E-3</v>
      </c>
      <c r="AR388" s="51">
        <v>3.474353762078098E-3</v>
      </c>
      <c r="AS388" s="51">
        <v>3.5256619326187004E-3</v>
      </c>
      <c r="AT388" s="51">
        <v>3.5769701031593041E-3</v>
      </c>
      <c r="AU388" s="51">
        <v>3.6282782736999073E-3</v>
      </c>
      <c r="AV388" s="51">
        <v>3.6601435786098075E-3</v>
      </c>
      <c r="AW388" s="51">
        <v>3.6920088835197063E-3</v>
      </c>
      <c r="AX388" s="51">
        <v>3.7238741884296055E-3</v>
      </c>
      <c r="AY388" s="51">
        <v>3.7557394933395052E-3</v>
      </c>
      <c r="AZ388" s="51">
        <v>3.7876047982494045E-3</v>
      </c>
      <c r="BA388" s="51">
        <v>3.8194701031593042E-3</v>
      </c>
      <c r="BB388" s="51">
        <v>3.8513354080692043E-3</v>
      </c>
      <c r="BC388" s="51">
        <v>3.8832007129791031E-3</v>
      </c>
      <c r="BD388" s="51">
        <v>3.9150660178890037E-3</v>
      </c>
      <c r="BE388" s="51">
        <v>3.9469313227989029E-3</v>
      </c>
      <c r="BF388" s="51">
        <v>3.9787966277088022E-3</v>
      </c>
      <c r="BG388" s="51">
        <v>4.0106619326187015E-3</v>
      </c>
      <c r="BH388" s="51">
        <v>4.0425272375286016E-3</v>
      </c>
      <c r="BI388" s="51">
        <v>4.0743925424385008E-3</v>
      </c>
      <c r="BJ388" s="51">
        <v>4.1062578473483992E-3</v>
      </c>
      <c r="BK388" s="51">
        <v>4.1381231522582993E-3</v>
      </c>
      <c r="BL388" s="51">
        <v>4.1699884571681986E-3</v>
      </c>
      <c r="BM388" s="51">
        <v>4.2018537620780979E-3</v>
      </c>
      <c r="BN388" s="51">
        <v>4.233719066987998E-3</v>
      </c>
      <c r="BO388" s="51">
        <v>4.2655843718978972E-3</v>
      </c>
      <c r="BP388" s="51">
        <v>4.2974496768077956E-3</v>
      </c>
      <c r="BQ388" s="51">
        <v>4.3293149817176958E-3</v>
      </c>
      <c r="BR388" s="51">
        <v>4.3611802866275959E-3</v>
      </c>
      <c r="BS388" s="51">
        <v>4.3930455915374969E-3</v>
      </c>
      <c r="BT388" s="51">
        <v>4.4249108964473944E-3</v>
      </c>
      <c r="BU388" s="51">
        <v>4.4567762013572945E-3</v>
      </c>
      <c r="BV388" s="51">
        <v>4.4886415062671938E-3</v>
      </c>
      <c r="BW388" s="51">
        <v>4.520506811177093E-3</v>
      </c>
      <c r="BX388" s="51">
        <v>4.5523721160869923E-3</v>
      </c>
      <c r="BY388" s="51">
        <v>4.5842374209968924E-3</v>
      </c>
      <c r="BZ388" s="51">
        <v>4.6161027259067908E-3</v>
      </c>
      <c r="CA388" s="51">
        <v>4.6479680308166918E-3</v>
      </c>
      <c r="CB388" s="51">
        <v>4.6798333357265902E-3</v>
      </c>
      <c r="CC388" s="51">
        <v>4.7116986406364903E-3</v>
      </c>
      <c r="CD388" s="51">
        <v>4.7435639455463896E-3</v>
      </c>
      <c r="CE388" s="51">
        <v>4.7754292504562897E-3</v>
      </c>
      <c r="CF388" s="51">
        <v>4.8072945553661881E-3</v>
      </c>
      <c r="CG388" s="51">
        <v>4.8391598602760891E-3</v>
      </c>
      <c r="CH388" s="51">
        <v>4.8710251651859866E-3</v>
      </c>
      <c r="CI388" s="51">
        <v>4.9028904700958876E-3</v>
      </c>
      <c r="CJ388" s="51">
        <v>4.9347557750057851E-3</v>
      </c>
      <c r="CK388" s="51">
        <v>4.9666210799156861E-3</v>
      </c>
      <c r="CL388" s="51">
        <v>4.9984863848255862E-3</v>
      </c>
      <c r="CM388" s="51">
        <v>5.0303516897354846E-3</v>
      </c>
    </row>
    <row r="389" spans="1:91" s="50" customFormat="1" x14ac:dyDescent="0.25">
      <c r="A389" s="99" t="s">
        <v>1</v>
      </c>
      <c r="B389" s="4">
        <v>0</v>
      </c>
      <c r="C389" s="4">
        <v>0</v>
      </c>
      <c r="D389" s="4">
        <v>0</v>
      </c>
      <c r="E389" s="4">
        <v>0</v>
      </c>
      <c r="F389" s="4">
        <v>0</v>
      </c>
      <c r="G389" s="4">
        <v>0</v>
      </c>
      <c r="H389" s="4">
        <v>0</v>
      </c>
      <c r="I389" s="4">
        <v>0</v>
      </c>
      <c r="J389" s="4">
        <v>0</v>
      </c>
      <c r="K389" s="4">
        <v>0</v>
      </c>
      <c r="L389" s="4">
        <v>0</v>
      </c>
      <c r="M389" s="4">
        <v>0</v>
      </c>
      <c r="N389" s="4">
        <v>0</v>
      </c>
      <c r="O389" s="4">
        <v>0</v>
      </c>
      <c r="P389" s="4">
        <v>0</v>
      </c>
      <c r="Q389" s="4">
        <v>0</v>
      </c>
      <c r="R389" s="4">
        <v>0</v>
      </c>
      <c r="S389" s="4">
        <v>0</v>
      </c>
      <c r="T389" s="4">
        <v>0</v>
      </c>
      <c r="U389" s="4">
        <v>0</v>
      </c>
      <c r="V389" s="4">
        <v>0</v>
      </c>
      <c r="W389" s="4">
        <v>0</v>
      </c>
      <c r="X389" s="4">
        <v>0</v>
      </c>
      <c r="Y389" s="4">
        <v>0</v>
      </c>
      <c r="Z389" s="4">
        <v>0</v>
      </c>
      <c r="AA389" s="4">
        <v>0</v>
      </c>
      <c r="AB389" s="4">
        <v>0</v>
      </c>
      <c r="AC389" s="4">
        <v>0</v>
      </c>
      <c r="AD389" s="4">
        <v>0</v>
      </c>
      <c r="AE389" s="4">
        <v>0</v>
      </c>
      <c r="AF389" s="51">
        <v>2.21991625074704E-3</v>
      </c>
      <c r="AG389" s="51">
        <v>2.2566263371078163E-3</v>
      </c>
      <c r="AH389" s="51">
        <v>2.2933364234685931E-3</v>
      </c>
      <c r="AI389" s="51">
        <v>2.3300465098293689E-3</v>
      </c>
      <c r="AJ389" s="51">
        <v>2.3667565961901457E-3</v>
      </c>
      <c r="AK389" s="51">
        <v>2.403466682550922E-3</v>
      </c>
      <c r="AL389" s="51">
        <v>2.4401767689116983E-3</v>
      </c>
      <c r="AM389" s="51">
        <v>2.4768868552724754E-3</v>
      </c>
      <c r="AN389" s="51">
        <v>2.5135969416332517E-3</v>
      </c>
      <c r="AO389" s="51">
        <v>2.5503070279940276E-3</v>
      </c>
      <c r="AP389" s="51">
        <v>2.5870171143548043E-3</v>
      </c>
      <c r="AQ389" s="51">
        <v>2.6237272007155811E-3</v>
      </c>
      <c r="AR389" s="51">
        <v>2.6604372870763569E-3</v>
      </c>
      <c r="AS389" s="51">
        <v>2.6971473734371336E-3</v>
      </c>
      <c r="AT389" s="51">
        <v>2.7338574597979095E-3</v>
      </c>
      <c r="AU389" s="51">
        <v>2.7705675461586858E-3</v>
      </c>
      <c r="AV389" s="51">
        <v>2.7941732069956472E-3</v>
      </c>
      <c r="AW389" s="51">
        <v>2.8177788678326082E-3</v>
      </c>
      <c r="AX389" s="51">
        <v>2.8413845286695688E-3</v>
      </c>
      <c r="AY389" s="51">
        <v>2.8649901895065294E-3</v>
      </c>
      <c r="AZ389" s="51">
        <v>2.8885958503434904E-3</v>
      </c>
      <c r="BA389" s="51">
        <v>2.9122015111804514E-3</v>
      </c>
      <c r="BB389" s="51">
        <v>2.9358071720174115E-3</v>
      </c>
      <c r="BC389" s="51">
        <v>2.9594128328543738E-3</v>
      </c>
      <c r="BD389" s="51">
        <v>2.9830184936913344E-3</v>
      </c>
      <c r="BE389" s="51">
        <v>3.0066241545282949E-3</v>
      </c>
      <c r="BF389" s="51">
        <v>3.030229815365256E-3</v>
      </c>
      <c r="BG389" s="51">
        <v>3.0538354762022174E-3</v>
      </c>
      <c r="BH389" s="51">
        <v>3.0774411370391771E-3</v>
      </c>
      <c r="BI389" s="51">
        <v>3.1010467978761381E-3</v>
      </c>
      <c r="BJ389" s="51">
        <v>3.1246524587130987E-3</v>
      </c>
      <c r="BK389" s="51">
        <v>3.1482581195500597E-3</v>
      </c>
      <c r="BL389" s="51">
        <v>3.1718637803870211E-3</v>
      </c>
      <c r="BM389" s="51">
        <v>3.1954694412239821E-3</v>
      </c>
      <c r="BN389" s="51">
        <v>3.2190751020609435E-3</v>
      </c>
      <c r="BO389" s="51">
        <v>3.2426807628979037E-3</v>
      </c>
      <c r="BP389" s="51">
        <v>3.2662864237348651E-3</v>
      </c>
      <c r="BQ389" s="51">
        <v>3.2898920845718252E-3</v>
      </c>
      <c r="BR389" s="51">
        <v>3.3134977454087858E-3</v>
      </c>
      <c r="BS389" s="51">
        <v>3.3371034062457468E-3</v>
      </c>
      <c r="BT389" s="51">
        <v>3.3607090670827078E-3</v>
      </c>
      <c r="BU389" s="51">
        <v>3.3843147279196684E-3</v>
      </c>
      <c r="BV389" s="51">
        <v>3.4079203887566302E-3</v>
      </c>
      <c r="BW389" s="51">
        <v>3.4315260495935899E-3</v>
      </c>
      <c r="BX389" s="51">
        <v>3.4551317104305514E-3</v>
      </c>
      <c r="BY389" s="51">
        <v>3.4787373712675128E-3</v>
      </c>
      <c r="BZ389" s="51">
        <v>3.5023430321044729E-3</v>
      </c>
      <c r="CA389" s="51">
        <v>3.5259486929414339E-3</v>
      </c>
      <c r="CB389" s="51">
        <v>3.5495543537783945E-3</v>
      </c>
      <c r="CC389" s="51">
        <v>3.5731600146153551E-3</v>
      </c>
      <c r="CD389" s="51">
        <v>3.5967656754523165E-3</v>
      </c>
      <c r="CE389" s="51">
        <v>3.6203713362892771E-3</v>
      </c>
      <c r="CF389" s="51">
        <v>3.6439769971262381E-3</v>
      </c>
      <c r="CG389" s="51">
        <v>3.6675826579631995E-3</v>
      </c>
      <c r="CH389" s="51">
        <v>3.6911883188001609E-3</v>
      </c>
      <c r="CI389" s="51">
        <v>3.7147939796371206E-3</v>
      </c>
      <c r="CJ389" s="51">
        <v>3.7383996404740821E-3</v>
      </c>
      <c r="CK389" s="51">
        <v>3.7620053013110422E-3</v>
      </c>
      <c r="CL389" s="51">
        <v>3.7856109621480032E-3</v>
      </c>
      <c r="CM389" s="51">
        <v>3.8092166229849646E-3</v>
      </c>
    </row>
    <row r="390" spans="1:91" s="50" customFormat="1" x14ac:dyDescent="0.25">
      <c r="A390" s="99" t="s">
        <v>1</v>
      </c>
      <c r="B390" s="4">
        <v>0</v>
      </c>
      <c r="C390" s="4">
        <v>0</v>
      </c>
      <c r="D390" s="4">
        <v>0</v>
      </c>
      <c r="E390" s="4">
        <v>0</v>
      </c>
      <c r="F390" s="4">
        <v>0</v>
      </c>
      <c r="G390" s="4">
        <v>0</v>
      </c>
      <c r="H390" s="4">
        <v>0</v>
      </c>
      <c r="I390" s="4">
        <v>0</v>
      </c>
      <c r="J390" s="4">
        <v>0</v>
      </c>
      <c r="K390" s="4">
        <v>0</v>
      </c>
      <c r="L390" s="4">
        <v>0</v>
      </c>
      <c r="M390" s="4">
        <v>0</v>
      </c>
      <c r="N390" s="4">
        <v>0</v>
      </c>
      <c r="O390" s="4">
        <v>0</v>
      </c>
      <c r="P390" s="4">
        <v>0</v>
      </c>
      <c r="Q390" s="4">
        <v>0</v>
      </c>
      <c r="R390" s="4">
        <v>0</v>
      </c>
      <c r="S390" s="4">
        <v>0</v>
      </c>
      <c r="T390" s="4">
        <v>0</v>
      </c>
      <c r="U390" s="4">
        <v>0</v>
      </c>
      <c r="V390" s="4">
        <v>0</v>
      </c>
      <c r="W390" s="4">
        <v>0</v>
      </c>
      <c r="X390" s="4">
        <v>0</v>
      </c>
      <c r="Y390" s="4">
        <v>0</v>
      </c>
      <c r="Z390" s="4">
        <v>0</v>
      </c>
      <c r="AA390" s="4">
        <v>0</v>
      </c>
      <c r="AB390" s="4">
        <v>0</v>
      </c>
      <c r="AC390" s="4">
        <v>0</v>
      </c>
      <c r="AD390" s="4">
        <v>0</v>
      </c>
      <c r="AE390" s="4">
        <v>0</v>
      </c>
      <c r="AF390" s="51">
        <v>3.2695631189309741E-3</v>
      </c>
      <c r="AG390" s="51">
        <v>3.3190680876783053E-3</v>
      </c>
      <c r="AH390" s="51">
        <v>3.3685730564256351E-3</v>
      </c>
      <c r="AI390" s="51">
        <v>3.4180780251729654E-3</v>
      </c>
      <c r="AJ390" s="51">
        <v>3.4675829939202975E-3</v>
      </c>
      <c r="AK390" s="51">
        <v>3.5170879626676278E-3</v>
      </c>
      <c r="AL390" s="51">
        <v>3.566592931414959E-3</v>
      </c>
      <c r="AM390" s="51">
        <v>3.6160979001622893E-3</v>
      </c>
      <c r="AN390" s="51">
        <v>3.66560286890962E-3</v>
      </c>
      <c r="AO390" s="51">
        <v>3.7151078376569512E-3</v>
      </c>
      <c r="AP390" s="51">
        <v>3.764612806404282E-3</v>
      </c>
      <c r="AQ390" s="51">
        <v>3.8141177751516123E-3</v>
      </c>
      <c r="AR390" s="51">
        <v>3.8636227438989435E-3</v>
      </c>
      <c r="AS390" s="51">
        <v>3.9131277126462733E-3</v>
      </c>
      <c r="AT390" s="51">
        <v>3.9626326813936045E-3</v>
      </c>
      <c r="AU390" s="51">
        <v>4.0121376501409357E-3</v>
      </c>
      <c r="AV390" s="51">
        <v>4.0409850921853223E-3</v>
      </c>
      <c r="AW390" s="51">
        <v>4.0698325342297097E-3</v>
      </c>
      <c r="AX390" s="51">
        <v>4.0986799762740963E-3</v>
      </c>
      <c r="AY390" s="51">
        <v>4.127527418318482E-3</v>
      </c>
      <c r="AZ390" s="51">
        <v>4.1563748603628704E-3</v>
      </c>
      <c r="BA390" s="51">
        <v>4.1852223024072561E-3</v>
      </c>
      <c r="BB390" s="51">
        <v>4.2140697444516435E-3</v>
      </c>
      <c r="BC390" s="51">
        <v>4.2429171864960301E-3</v>
      </c>
      <c r="BD390" s="51">
        <v>4.2717646285404158E-3</v>
      </c>
      <c r="BE390" s="51">
        <v>4.3006120705848042E-3</v>
      </c>
      <c r="BF390" s="51">
        <v>4.3294595126291899E-3</v>
      </c>
      <c r="BG390" s="51">
        <v>4.3583069546735782E-3</v>
      </c>
      <c r="BH390" s="51">
        <v>4.3871543967179639E-3</v>
      </c>
      <c r="BI390" s="51">
        <v>4.4160018387623514E-3</v>
      </c>
      <c r="BJ390" s="51">
        <v>4.444849280806738E-3</v>
      </c>
      <c r="BK390" s="51">
        <v>4.4736967228511245E-3</v>
      </c>
      <c r="BL390" s="51">
        <v>4.5025441648955111E-3</v>
      </c>
      <c r="BM390" s="51">
        <v>4.5313916069398994E-3</v>
      </c>
      <c r="BN390" s="51">
        <v>4.5602390489842852E-3</v>
      </c>
      <c r="BO390" s="51">
        <v>4.5890864910286726E-3</v>
      </c>
      <c r="BP390" s="51">
        <v>4.6179339330730601E-3</v>
      </c>
      <c r="BQ390" s="51">
        <v>4.6467813751174458E-3</v>
      </c>
      <c r="BR390" s="51">
        <v>4.6756288171618332E-3</v>
      </c>
      <c r="BS390" s="51">
        <v>4.7044762592062198E-3</v>
      </c>
      <c r="BT390" s="51">
        <v>4.7333237012506073E-3</v>
      </c>
      <c r="BU390" s="51">
        <v>4.762171143294993E-3</v>
      </c>
      <c r="BV390" s="51">
        <v>4.7910185853393805E-3</v>
      </c>
      <c r="BW390" s="51">
        <v>4.8198660273837679E-3</v>
      </c>
      <c r="BX390" s="51">
        <v>4.8487134694281545E-3</v>
      </c>
      <c r="BY390" s="51">
        <v>4.8775609114725419E-3</v>
      </c>
      <c r="BZ390" s="51">
        <v>4.9064083535169277E-3</v>
      </c>
      <c r="CA390" s="51">
        <v>4.9352557955613151E-3</v>
      </c>
      <c r="CB390" s="51">
        <v>4.9641032376057017E-3</v>
      </c>
      <c r="CC390" s="51">
        <v>4.9929506796500883E-3</v>
      </c>
      <c r="CD390" s="51">
        <v>5.0217981216944757E-3</v>
      </c>
      <c r="CE390" s="51">
        <v>5.0506455637388623E-3</v>
      </c>
      <c r="CF390" s="51">
        <v>5.0794930057832489E-3</v>
      </c>
      <c r="CG390" s="51">
        <v>5.1083404478276355E-3</v>
      </c>
      <c r="CH390" s="51">
        <v>5.1371878898720212E-3</v>
      </c>
      <c r="CI390" s="51">
        <v>5.1660353319164087E-3</v>
      </c>
      <c r="CJ390" s="51">
        <v>5.1948827739607961E-3</v>
      </c>
      <c r="CK390" s="51">
        <v>5.2237302160051836E-3</v>
      </c>
      <c r="CL390" s="51">
        <v>5.252577658049571E-3</v>
      </c>
      <c r="CM390" s="51">
        <v>5.2814251000939559E-3</v>
      </c>
    </row>
    <row r="391" spans="1:91" s="50" customFormat="1" x14ac:dyDescent="0.25">
      <c r="A391" s="99" t="s">
        <v>1</v>
      </c>
      <c r="B391" s="4">
        <v>0</v>
      </c>
      <c r="C391" s="4">
        <v>0</v>
      </c>
      <c r="D391" s="4">
        <v>0</v>
      </c>
      <c r="E391" s="4">
        <v>0</v>
      </c>
      <c r="F391" s="4">
        <v>0</v>
      </c>
      <c r="G391" s="4">
        <v>0</v>
      </c>
      <c r="H391" s="4">
        <v>0</v>
      </c>
      <c r="I391" s="4">
        <v>0</v>
      </c>
      <c r="J391" s="4">
        <v>0</v>
      </c>
      <c r="K391" s="4">
        <v>0</v>
      </c>
      <c r="L391" s="4">
        <v>0</v>
      </c>
      <c r="M391" s="4">
        <v>0</v>
      </c>
      <c r="N391" s="4">
        <v>0</v>
      </c>
      <c r="O391" s="4">
        <v>0</v>
      </c>
      <c r="P391" s="4">
        <v>0</v>
      </c>
      <c r="Q391" s="4">
        <v>0</v>
      </c>
      <c r="R391" s="4">
        <v>0</v>
      </c>
      <c r="S391" s="4">
        <v>0</v>
      </c>
      <c r="T391" s="4">
        <v>0</v>
      </c>
      <c r="U391" s="4">
        <v>0</v>
      </c>
      <c r="V391" s="4">
        <v>0</v>
      </c>
      <c r="W391" s="4">
        <v>0</v>
      </c>
      <c r="X391" s="4">
        <v>0</v>
      </c>
      <c r="Y391" s="4">
        <v>0</v>
      </c>
      <c r="Z391" s="4">
        <v>0</v>
      </c>
      <c r="AA391" s="4">
        <v>0</v>
      </c>
      <c r="AB391" s="4">
        <v>0</v>
      </c>
      <c r="AC391" s="4">
        <v>0</v>
      </c>
      <c r="AD391" s="4">
        <v>0</v>
      </c>
      <c r="AE391" s="4">
        <v>0</v>
      </c>
      <c r="AF391" s="51">
        <v>1.4251346260975677E-3</v>
      </c>
      <c r="AG391" s="51">
        <v>1.4394010133432365E-3</v>
      </c>
      <c r="AH391" s="51">
        <v>1.4536674005889065E-3</v>
      </c>
      <c r="AI391" s="51">
        <v>1.4679337878345756E-3</v>
      </c>
      <c r="AJ391" s="51">
        <v>1.4822001750802451E-3</v>
      </c>
      <c r="AK391" s="51">
        <v>1.4964665623259147E-3</v>
      </c>
      <c r="AL391" s="51">
        <v>1.5107329495715842E-3</v>
      </c>
      <c r="AM391" s="51">
        <v>1.5249993368172535E-3</v>
      </c>
      <c r="AN391" s="51">
        <v>1.5392657240629226E-3</v>
      </c>
      <c r="AO391" s="51">
        <v>1.5535321113085924E-3</v>
      </c>
      <c r="AP391" s="51">
        <v>1.5677984985542617E-3</v>
      </c>
      <c r="AQ391" s="51">
        <v>1.5820648857999312E-3</v>
      </c>
      <c r="AR391" s="51">
        <v>1.5963312730456008E-3</v>
      </c>
      <c r="AS391" s="51">
        <v>1.6105976602912699E-3</v>
      </c>
      <c r="AT391" s="51">
        <v>1.6248640475369394E-3</v>
      </c>
      <c r="AU391" s="51">
        <v>1.6391304347826087E-3</v>
      </c>
      <c r="AV391" s="51">
        <v>1.6512056578914661E-3</v>
      </c>
      <c r="AW391" s="51">
        <v>1.6632808810003231E-3</v>
      </c>
      <c r="AX391" s="51">
        <v>1.6753561041091803E-3</v>
      </c>
      <c r="AY391" s="51">
        <v>1.6874313272180379E-3</v>
      </c>
      <c r="AZ391" s="51">
        <v>1.6995065503268951E-3</v>
      </c>
      <c r="BA391" s="51">
        <v>1.7115817734357521E-3</v>
      </c>
      <c r="BB391" s="51">
        <v>1.7236569965446093E-3</v>
      </c>
      <c r="BC391" s="51">
        <v>1.7357322196534667E-3</v>
      </c>
      <c r="BD391" s="51">
        <v>1.7478074427623236E-3</v>
      </c>
      <c r="BE391" s="51">
        <v>1.759882665871181E-3</v>
      </c>
      <c r="BF391" s="51">
        <v>1.7719578889800382E-3</v>
      </c>
      <c r="BG391" s="51">
        <v>1.7840331120888959E-3</v>
      </c>
      <c r="BH391" s="51">
        <v>1.7961083351977531E-3</v>
      </c>
      <c r="BI391" s="51">
        <v>1.8081835583066094E-3</v>
      </c>
      <c r="BJ391" s="51">
        <v>1.8202587814154672E-3</v>
      </c>
      <c r="BK391" s="51">
        <v>1.8323340045243244E-3</v>
      </c>
      <c r="BL391" s="51">
        <v>1.844409227633182E-3</v>
      </c>
      <c r="BM391" s="51">
        <v>1.8564844507420388E-3</v>
      </c>
      <c r="BN391" s="51">
        <v>1.8685596738508962E-3</v>
      </c>
      <c r="BO391" s="51">
        <v>1.8806348969597534E-3</v>
      </c>
      <c r="BP391" s="51">
        <v>1.8927101200686108E-3</v>
      </c>
      <c r="BQ391" s="51">
        <v>1.9047853431774678E-3</v>
      </c>
      <c r="BR391" s="51">
        <v>1.9168605662863256E-3</v>
      </c>
      <c r="BS391" s="51">
        <v>1.9289357893951824E-3</v>
      </c>
      <c r="BT391" s="51">
        <v>1.9410110125040402E-3</v>
      </c>
      <c r="BU391" s="51">
        <v>1.9530862356128972E-3</v>
      </c>
      <c r="BV391" s="51">
        <v>1.9651614587217541E-3</v>
      </c>
      <c r="BW391" s="51">
        <v>1.9772366818306113E-3</v>
      </c>
      <c r="BX391" s="51">
        <v>1.989311904939469E-3</v>
      </c>
      <c r="BY391" s="51">
        <v>2.0013871280483257E-3</v>
      </c>
      <c r="BZ391" s="51">
        <v>2.0134623511571829E-3</v>
      </c>
      <c r="CA391" s="51">
        <v>2.0255375742660405E-3</v>
      </c>
      <c r="CB391" s="51">
        <v>2.0376127973748973E-3</v>
      </c>
      <c r="CC391" s="51">
        <v>2.0496880204837549E-3</v>
      </c>
      <c r="CD391" s="51">
        <v>2.0617632435926121E-3</v>
      </c>
      <c r="CE391" s="51">
        <v>2.0738384667014697E-3</v>
      </c>
      <c r="CF391" s="51">
        <v>2.0859136898103261E-3</v>
      </c>
      <c r="CG391" s="51">
        <v>2.0979889129191837E-3</v>
      </c>
      <c r="CH391" s="51">
        <v>2.1100641360280409E-3</v>
      </c>
      <c r="CI391" s="51">
        <v>2.1221393591368985E-3</v>
      </c>
      <c r="CJ391" s="51">
        <v>2.1342145822457557E-3</v>
      </c>
      <c r="CK391" s="51">
        <v>2.1462898053546129E-3</v>
      </c>
      <c r="CL391" s="51">
        <v>2.1583650284634701E-3</v>
      </c>
      <c r="CM391" s="51">
        <v>2.1704402515723277E-3</v>
      </c>
    </row>
    <row r="392" spans="1:91" s="50" customFormat="1" x14ac:dyDescent="0.25">
      <c r="A392" s="99" t="s">
        <v>1</v>
      </c>
      <c r="B392" s="4">
        <v>0</v>
      </c>
      <c r="C392" s="4">
        <v>0</v>
      </c>
      <c r="D392" s="4">
        <v>0</v>
      </c>
      <c r="E392" s="4">
        <v>0</v>
      </c>
      <c r="F392" s="4">
        <v>0</v>
      </c>
      <c r="G392" s="4">
        <v>0</v>
      </c>
      <c r="H392" s="4">
        <v>0</v>
      </c>
      <c r="I392" s="4">
        <v>0</v>
      </c>
      <c r="J392" s="4">
        <v>0</v>
      </c>
      <c r="K392" s="4">
        <v>0</v>
      </c>
      <c r="L392" s="4">
        <v>0</v>
      </c>
      <c r="M392" s="4">
        <v>0</v>
      </c>
      <c r="N392" s="4">
        <v>0</v>
      </c>
      <c r="O392" s="4">
        <v>0</v>
      </c>
      <c r="P392" s="4">
        <v>0</v>
      </c>
      <c r="Q392" s="4">
        <v>0</v>
      </c>
      <c r="R392" s="4">
        <v>0</v>
      </c>
      <c r="S392" s="4">
        <v>0</v>
      </c>
      <c r="T392" s="4">
        <v>0</v>
      </c>
      <c r="U392" s="4">
        <v>0</v>
      </c>
      <c r="V392" s="4">
        <v>0</v>
      </c>
      <c r="W392" s="4">
        <v>0</v>
      </c>
      <c r="X392" s="4">
        <v>0</v>
      </c>
      <c r="Y392" s="4">
        <v>0</v>
      </c>
      <c r="Z392" s="4">
        <v>0</v>
      </c>
      <c r="AA392" s="4">
        <v>0</v>
      </c>
      <c r="AB392" s="4">
        <v>0</v>
      </c>
      <c r="AC392" s="4">
        <v>0</v>
      </c>
      <c r="AD392" s="4">
        <v>0</v>
      </c>
      <c r="AE392" s="4">
        <v>0</v>
      </c>
      <c r="AF392" s="51">
        <v>1.6577549140049134E-3</v>
      </c>
      <c r="AG392" s="51">
        <v>1.6804361179361179E-3</v>
      </c>
      <c r="AH392" s="51">
        <v>1.7031173218673219E-3</v>
      </c>
      <c r="AI392" s="51">
        <v>1.7257985257985258E-3</v>
      </c>
      <c r="AJ392" s="51">
        <v>1.7484797297297294E-3</v>
      </c>
      <c r="AK392" s="51">
        <v>1.7711609336609332E-3</v>
      </c>
      <c r="AL392" s="51">
        <v>1.7938421375921377E-3</v>
      </c>
      <c r="AM392" s="51">
        <v>1.8165233415233415E-3</v>
      </c>
      <c r="AN392" s="51">
        <v>1.8392045454545453E-3</v>
      </c>
      <c r="AO392" s="51">
        <v>1.8618857493857496E-3</v>
      </c>
      <c r="AP392" s="51">
        <v>1.8845669533169532E-3</v>
      </c>
      <c r="AQ392" s="51">
        <v>1.9072481572481575E-3</v>
      </c>
      <c r="AR392" s="51">
        <v>1.9299293611793611E-3</v>
      </c>
      <c r="AS392" s="51">
        <v>1.9526105651105647E-3</v>
      </c>
      <c r="AT392" s="51">
        <v>1.9752917690417696E-3</v>
      </c>
      <c r="AU392" s="51">
        <v>1.9979729729729728E-3</v>
      </c>
      <c r="AV392" s="51">
        <v>2.0184735872235877E-3</v>
      </c>
      <c r="AW392" s="51">
        <v>2.0389742014742013E-3</v>
      </c>
      <c r="AX392" s="51">
        <v>2.0594748157248153E-3</v>
      </c>
      <c r="AY392" s="51">
        <v>2.0799754299754298E-3</v>
      </c>
      <c r="AZ392" s="51">
        <v>2.1004760442260443E-3</v>
      </c>
      <c r="BA392" s="51">
        <v>2.1209766584766587E-3</v>
      </c>
      <c r="BB392" s="51">
        <v>2.1414772727272723E-3</v>
      </c>
      <c r="BC392" s="51">
        <v>2.1619778869778868E-3</v>
      </c>
      <c r="BD392" s="51">
        <v>2.1824785012285013E-3</v>
      </c>
      <c r="BE392" s="51">
        <v>2.2029791154791153E-3</v>
      </c>
      <c r="BF392" s="51">
        <v>2.2234797297297293E-3</v>
      </c>
      <c r="BG392" s="51">
        <v>2.2439803439803438E-3</v>
      </c>
      <c r="BH392" s="51">
        <v>2.2644809582309583E-3</v>
      </c>
      <c r="BI392" s="51">
        <v>2.2849815724815723E-3</v>
      </c>
      <c r="BJ392" s="51">
        <v>2.3054821867321868E-3</v>
      </c>
      <c r="BK392" s="51">
        <v>2.3259828009828008E-3</v>
      </c>
      <c r="BL392" s="51">
        <v>2.3464834152334153E-3</v>
      </c>
      <c r="BM392" s="51">
        <v>2.3669840294840293E-3</v>
      </c>
      <c r="BN392" s="51">
        <v>2.3874846437346438E-3</v>
      </c>
      <c r="BO392" s="51">
        <v>2.4079852579852574E-3</v>
      </c>
      <c r="BP392" s="51">
        <v>2.4284858722358718E-3</v>
      </c>
      <c r="BQ392" s="51">
        <v>2.4489864864864859E-3</v>
      </c>
      <c r="BR392" s="51">
        <v>2.4694871007371003E-3</v>
      </c>
      <c r="BS392" s="51">
        <v>2.4899877149877148E-3</v>
      </c>
      <c r="BT392" s="51">
        <v>2.5104883292383293E-3</v>
      </c>
      <c r="BU392" s="51">
        <v>2.5309889434889433E-3</v>
      </c>
      <c r="BV392" s="51">
        <v>2.5514895577395573E-3</v>
      </c>
      <c r="BW392" s="51">
        <v>2.5719901719901722E-3</v>
      </c>
      <c r="BX392" s="51">
        <v>2.5924907862407863E-3</v>
      </c>
      <c r="BY392" s="51">
        <v>2.6129914004914007E-3</v>
      </c>
      <c r="BZ392" s="51">
        <v>2.6334920147420139E-3</v>
      </c>
      <c r="CA392" s="51">
        <v>2.6539926289926284E-3</v>
      </c>
      <c r="CB392" s="51">
        <v>2.6744932432432428E-3</v>
      </c>
      <c r="CC392" s="51">
        <v>2.6949938574938573E-3</v>
      </c>
      <c r="CD392" s="51">
        <v>2.7154944717444713E-3</v>
      </c>
      <c r="CE392" s="51">
        <v>2.7359950859950858E-3</v>
      </c>
      <c r="CF392" s="51">
        <v>2.7564957002457007E-3</v>
      </c>
      <c r="CG392" s="51">
        <v>2.7769963144963143E-3</v>
      </c>
      <c r="CH392" s="51">
        <v>2.7974969287469288E-3</v>
      </c>
      <c r="CI392" s="51">
        <v>2.8179975429975424E-3</v>
      </c>
      <c r="CJ392" s="51">
        <v>2.8384981572481573E-3</v>
      </c>
      <c r="CK392" s="51">
        <v>2.8589987714987713E-3</v>
      </c>
      <c r="CL392" s="51">
        <v>2.8794993857493853E-3</v>
      </c>
      <c r="CM392" s="51">
        <v>2.8999999999999998E-3</v>
      </c>
    </row>
    <row r="393" spans="1:91" s="50" customFormat="1" x14ac:dyDescent="0.25">
      <c r="A393" s="99" t="s">
        <v>1</v>
      </c>
      <c r="B393" s="4">
        <v>0</v>
      </c>
      <c r="C393" s="4">
        <v>0</v>
      </c>
      <c r="D393" s="4">
        <v>0</v>
      </c>
      <c r="E393" s="4">
        <v>0</v>
      </c>
      <c r="F393" s="4">
        <v>0</v>
      </c>
      <c r="G393" s="4">
        <v>0</v>
      </c>
      <c r="H393" s="4">
        <v>0</v>
      </c>
      <c r="I393" s="4">
        <v>0</v>
      </c>
      <c r="J393" s="4">
        <v>0</v>
      </c>
      <c r="K393" s="4">
        <v>0</v>
      </c>
      <c r="L393" s="4">
        <v>0</v>
      </c>
      <c r="M393" s="4">
        <v>0</v>
      </c>
      <c r="N393" s="4">
        <v>0</v>
      </c>
      <c r="O393" s="4">
        <v>0</v>
      </c>
      <c r="P393" s="4">
        <v>0</v>
      </c>
      <c r="Q393" s="4">
        <v>0</v>
      </c>
      <c r="R393" s="4">
        <v>0</v>
      </c>
      <c r="S393" s="4">
        <v>0</v>
      </c>
      <c r="T393" s="4">
        <v>0</v>
      </c>
      <c r="U393" s="4">
        <v>0</v>
      </c>
      <c r="V393" s="4">
        <v>0</v>
      </c>
      <c r="W393" s="4">
        <v>0</v>
      </c>
      <c r="X393" s="4">
        <v>0</v>
      </c>
      <c r="Y393" s="4">
        <v>0</v>
      </c>
      <c r="Z393" s="4">
        <v>0</v>
      </c>
      <c r="AA393" s="4">
        <v>0</v>
      </c>
      <c r="AB393" s="4">
        <v>0</v>
      </c>
      <c r="AC393" s="4">
        <v>0</v>
      </c>
      <c r="AD393" s="4">
        <v>0</v>
      </c>
      <c r="AE393" s="4">
        <v>0</v>
      </c>
      <c r="AF393" s="51">
        <v>6.1522727272727278E-2</v>
      </c>
      <c r="AG393" s="51">
        <v>6.1954545454545457E-2</v>
      </c>
      <c r="AH393" s="51">
        <v>6.2386363636363643E-2</v>
      </c>
      <c r="AI393" s="51">
        <v>6.2818181818181829E-2</v>
      </c>
      <c r="AJ393" s="51">
        <v>6.3250000000000001E-2</v>
      </c>
      <c r="AK393" s="51">
        <v>6.3681818181818187E-2</v>
      </c>
      <c r="AL393" s="51">
        <v>6.4113636363636373E-2</v>
      </c>
      <c r="AM393" s="51">
        <v>6.4545454545454545E-2</v>
      </c>
      <c r="AN393" s="51">
        <v>6.4977272727272731E-2</v>
      </c>
      <c r="AO393" s="51">
        <v>6.5409090909090917E-2</v>
      </c>
      <c r="AP393" s="51">
        <v>6.5840909090909089E-2</v>
      </c>
      <c r="AQ393" s="51">
        <v>6.6272727272727275E-2</v>
      </c>
      <c r="AR393" s="51">
        <v>6.6704545454545461E-2</v>
      </c>
      <c r="AS393" s="51">
        <v>6.7136363636363633E-2</v>
      </c>
      <c r="AT393" s="51">
        <v>6.7568181818181819E-2</v>
      </c>
      <c r="AU393" s="51">
        <v>6.8000000000000005E-2</v>
      </c>
      <c r="AV393" s="51">
        <v>6.881818181818182E-2</v>
      </c>
      <c r="AW393" s="51">
        <v>6.9636363636363635E-2</v>
      </c>
      <c r="AX393" s="51">
        <v>7.0454545454545464E-2</v>
      </c>
      <c r="AY393" s="51">
        <v>7.1272727272727279E-2</v>
      </c>
      <c r="AZ393" s="51">
        <v>7.2090909090909094E-2</v>
      </c>
      <c r="BA393" s="51">
        <v>7.290909090909091E-2</v>
      </c>
      <c r="BB393" s="51">
        <v>7.3727272727272725E-2</v>
      </c>
      <c r="BC393" s="51">
        <v>7.4545454545454554E-2</v>
      </c>
      <c r="BD393" s="51">
        <v>7.5363636363636369E-2</v>
      </c>
      <c r="BE393" s="51">
        <v>7.6181818181818184E-2</v>
      </c>
      <c r="BF393" s="51">
        <v>7.6999999999999999E-2</v>
      </c>
      <c r="BG393" s="51">
        <v>7.7818181818181814E-2</v>
      </c>
      <c r="BH393" s="51">
        <v>7.8636363636363643E-2</v>
      </c>
      <c r="BI393" s="51">
        <v>7.9454545454545458E-2</v>
      </c>
      <c r="BJ393" s="51">
        <v>8.0272727272727273E-2</v>
      </c>
      <c r="BK393" s="51">
        <v>8.1090909090909088E-2</v>
      </c>
      <c r="BL393" s="51">
        <v>8.1909090909090904E-2</v>
      </c>
      <c r="BM393" s="51">
        <v>8.2727272727272733E-2</v>
      </c>
      <c r="BN393" s="51">
        <v>8.3545454545454548E-2</v>
      </c>
      <c r="BO393" s="51">
        <v>8.4363636363636363E-2</v>
      </c>
      <c r="BP393" s="51">
        <v>8.5181818181818178E-2</v>
      </c>
      <c r="BQ393" s="51">
        <v>8.5999999999999993E-2</v>
      </c>
      <c r="BR393" s="51">
        <v>8.6818181818181822E-2</v>
      </c>
      <c r="BS393" s="51">
        <v>8.7636363636363637E-2</v>
      </c>
      <c r="BT393" s="51">
        <v>8.8454545454545452E-2</v>
      </c>
      <c r="BU393" s="51">
        <v>8.9272727272727267E-2</v>
      </c>
      <c r="BV393" s="51">
        <v>9.0090909090909083E-2</v>
      </c>
      <c r="BW393" s="51">
        <v>9.0909090909090912E-2</v>
      </c>
      <c r="BX393" s="51">
        <v>9.1727272727272727E-2</v>
      </c>
      <c r="BY393" s="51">
        <v>9.2545454545454542E-2</v>
      </c>
      <c r="BZ393" s="51">
        <v>9.3363636363636357E-2</v>
      </c>
      <c r="CA393" s="51">
        <v>9.4181818181818172E-2</v>
      </c>
      <c r="CB393" s="51">
        <v>9.5000000000000001E-2</v>
      </c>
      <c r="CC393" s="51">
        <v>9.5818181818181816E-2</v>
      </c>
      <c r="CD393" s="51">
        <v>9.6636363636363631E-2</v>
      </c>
      <c r="CE393" s="51">
        <v>9.7454545454545446E-2</v>
      </c>
      <c r="CF393" s="51">
        <v>9.8272727272727262E-2</v>
      </c>
      <c r="CG393" s="51">
        <v>9.9090909090909091E-2</v>
      </c>
      <c r="CH393" s="51">
        <v>9.9909090909090906E-2</v>
      </c>
      <c r="CI393" s="51">
        <v>0.10072727272727272</v>
      </c>
      <c r="CJ393" s="51">
        <v>0.10154545454545455</v>
      </c>
      <c r="CK393" s="51">
        <v>0.10236363636363635</v>
      </c>
      <c r="CL393" s="51">
        <v>0.10318181818181818</v>
      </c>
      <c r="CM393" s="51">
        <v>0.104</v>
      </c>
    </row>
    <row r="394" spans="1:91" s="50" customFormat="1" x14ac:dyDescent="0.25">
      <c r="A394" s="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91" s="50" customFormat="1" x14ac:dyDescent="0.25">
      <c r="A395" s="99" t="s">
        <v>174</v>
      </c>
      <c r="B395" s="4">
        <v>0</v>
      </c>
      <c r="C395" s="4">
        <v>0</v>
      </c>
      <c r="D395" s="4">
        <v>0</v>
      </c>
      <c r="E395" s="4">
        <v>0</v>
      </c>
      <c r="F395" s="4">
        <v>0</v>
      </c>
      <c r="G395" s="4">
        <v>0</v>
      </c>
      <c r="H395" s="4">
        <v>0</v>
      </c>
      <c r="I395" s="4">
        <v>0</v>
      </c>
      <c r="J395" s="4">
        <v>0</v>
      </c>
      <c r="K395" s="4">
        <v>0</v>
      </c>
      <c r="L395" s="4">
        <v>0</v>
      </c>
      <c r="M395" s="4">
        <v>0</v>
      </c>
      <c r="N395" s="4">
        <v>0</v>
      </c>
      <c r="O395" s="4">
        <v>0</v>
      </c>
      <c r="P395" s="4">
        <v>0</v>
      </c>
      <c r="Q395" s="4">
        <v>0</v>
      </c>
      <c r="R395" s="4">
        <v>0</v>
      </c>
      <c r="S395" s="4">
        <v>0</v>
      </c>
      <c r="T395" s="4">
        <v>0</v>
      </c>
      <c r="U395" s="4">
        <v>0</v>
      </c>
      <c r="V395" s="4">
        <v>0</v>
      </c>
      <c r="W395" s="4">
        <v>0</v>
      </c>
      <c r="X395" s="4">
        <v>0</v>
      </c>
      <c r="Y395" s="4">
        <v>0</v>
      </c>
      <c r="Z395" s="4">
        <v>0</v>
      </c>
      <c r="AA395" s="4">
        <v>0</v>
      </c>
      <c r="AB395" s="4">
        <v>0</v>
      </c>
      <c r="AC395" s="4">
        <v>0</v>
      </c>
      <c r="AD395" s="4">
        <v>0</v>
      </c>
      <c r="AE395" s="4">
        <v>0</v>
      </c>
      <c r="AF395" s="51">
        <v>9.6590909090909095E-4</v>
      </c>
      <c r="AG395" s="51">
        <v>9.6818181818181823E-4</v>
      </c>
      <c r="AH395" s="51">
        <v>9.704545454545454E-4</v>
      </c>
      <c r="AI395" s="51">
        <v>9.7272727272727268E-4</v>
      </c>
      <c r="AJ395" s="51">
        <v>9.7499999999999996E-4</v>
      </c>
      <c r="AK395" s="51">
        <v>9.7727272727272723E-4</v>
      </c>
      <c r="AL395" s="51">
        <v>9.7954545454545451E-4</v>
      </c>
      <c r="AM395" s="51">
        <v>9.8181818181818179E-4</v>
      </c>
      <c r="AN395" s="51">
        <v>9.8409090909090907E-4</v>
      </c>
      <c r="AO395" s="51">
        <v>9.8636363636363635E-4</v>
      </c>
      <c r="AP395" s="51">
        <v>9.8863636363636363E-4</v>
      </c>
      <c r="AQ395" s="51">
        <v>9.9090909090909091E-4</v>
      </c>
      <c r="AR395" s="51">
        <v>9.9318181818181818E-4</v>
      </c>
      <c r="AS395" s="51">
        <v>9.9545454545454546E-4</v>
      </c>
      <c r="AT395" s="51">
        <v>9.9772727272727274E-4</v>
      </c>
      <c r="AU395" s="51">
        <v>1E-3</v>
      </c>
      <c r="AV395" s="51">
        <v>1.0363636363636365E-3</v>
      </c>
      <c r="AW395" s="51">
        <v>1.0727272727272727E-3</v>
      </c>
      <c r="AX395" s="51">
        <v>1.1090909090909092E-3</v>
      </c>
      <c r="AY395" s="51">
        <v>1.1454545454545454E-3</v>
      </c>
      <c r="AZ395" s="51">
        <v>1.1818181818181819E-3</v>
      </c>
      <c r="BA395" s="51">
        <v>1.2181818181818181E-3</v>
      </c>
      <c r="BB395" s="51">
        <v>1.2545454545454546E-3</v>
      </c>
      <c r="BC395" s="51">
        <v>1.2909090909090908E-3</v>
      </c>
      <c r="BD395" s="51">
        <v>1.3272727272727273E-3</v>
      </c>
      <c r="BE395" s="51">
        <v>1.3636363636363635E-3</v>
      </c>
      <c r="BF395" s="51">
        <v>1.4E-3</v>
      </c>
      <c r="BG395" s="51">
        <v>1.4363636363636362E-3</v>
      </c>
      <c r="BH395" s="51">
        <v>1.4727272727272727E-3</v>
      </c>
      <c r="BI395" s="51">
        <v>1.5090909090909091E-3</v>
      </c>
      <c r="BJ395" s="51">
        <v>1.5454545454545454E-3</v>
      </c>
      <c r="BK395" s="51">
        <v>1.5818181818181816E-3</v>
      </c>
      <c r="BL395" s="51">
        <v>1.6181818181818181E-3</v>
      </c>
      <c r="BM395" s="51">
        <v>1.6545454545454545E-3</v>
      </c>
      <c r="BN395" s="51">
        <v>1.6909090909090908E-3</v>
      </c>
      <c r="BO395" s="51">
        <v>1.727272727272727E-3</v>
      </c>
      <c r="BP395" s="51">
        <v>1.7636363636363635E-3</v>
      </c>
      <c r="BQ395" s="51">
        <v>1.8E-3</v>
      </c>
      <c r="BR395" s="51">
        <v>1.8363636363636362E-3</v>
      </c>
      <c r="BS395" s="51">
        <v>1.8727272727272727E-3</v>
      </c>
      <c r="BT395" s="51">
        <v>1.9090909090909089E-3</v>
      </c>
      <c r="BU395" s="51">
        <v>1.9454545454545454E-3</v>
      </c>
      <c r="BV395" s="51">
        <v>1.9818181818181818E-3</v>
      </c>
      <c r="BW395" s="51">
        <v>2.0181818181818183E-3</v>
      </c>
      <c r="BX395" s="51">
        <v>2.0545454545454543E-3</v>
      </c>
      <c r="BY395" s="51">
        <v>2.0909090909090908E-3</v>
      </c>
      <c r="BZ395" s="51">
        <v>2.1272727272727268E-3</v>
      </c>
      <c r="CA395" s="51">
        <v>2.1636363636363632E-3</v>
      </c>
      <c r="CB395" s="51">
        <v>2.1999999999999997E-3</v>
      </c>
      <c r="CC395" s="51">
        <v>2.2363636363636362E-3</v>
      </c>
      <c r="CD395" s="51">
        <v>2.2727272727272726E-3</v>
      </c>
      <c r="CE395" s="51">
        <v>2.3090909090909091E-3</v>
      </c>
      <c r="CF395" s="51">
        <v>2.3454545454545455E-3</v>
      </c>
      <c r="CG395" s="51">
        <v>2.3818181818181816E-3</v>
      </c>
      <c r="CH395" s="51">
        <v>2.418181818181818E-3</v>
      </c>
      <c r="CI395" s="51">
        <v>2.454545454545454E-3</v>
      </c>
      <c r="CJ395" s="51">
        <v>2.4909090909090905E-3</v>
      </c>
      <c r="CK395" s="51">
        <v>2.527272727272727E-3</v>
      </c>
      <c r="CL395" s="51">
        <v>2.5636363636363634E-3</v>
      </c>
      <c r="CM395" s="51">
        <v>2.5999999999999999E-3</v>
      </c>
    </row>
    <row r="396" spans="1:91" s="50" customFormat="1" x14ac:dyDescent="0.25">
      <c r="A396" s="9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91" s="50" customFormat="1" x14ac:dyDescent="0.25">
      <c r="A397" s="99" t="s">
        <v>389</v>
      </c>
      <c r="B397" s="4">
        <v>0</v>
      </c>
      <c r="C397" s="4">
        <v>0</v>
      </c>
      <c r="D397" s="4">
        <v>0</v>
      </c>
      <c r="E397" s="4">
        <v>0</v>
      </c>
      <c r="F397" s="4">
        <v>0</v>
      </c>
      <c r="G397" s="4">
        <v>0</v>
      </c>
      <c r="H397" s="4">
        <v>0</v>
      </c>
      <c r="I397" s="4">
        <v>0</v>
      </c>
      <c r="J397" s="4">
        <v>0</v>
      </c>
      <c r="K397" s="4">
        <v>0</v>
      </c>
      <c r="L397" s="4">
        <v>0</v>
      </c>
      <c r="M397" s="4">
        <v>0</v>
      </c>
      <c r="N397" s="4">
        <v>0</v>
      </c>
      <c r="O397" s="4">
        <v>0</v>
      </c>
      <c r="P397" s="4">
        <v>0</v>
      </c>
      <c r="Q397" s="4">
        <v>0</v>
      </c>
      <c r="R397" s="4">
        <v>0</v>
      </c>
      <c r="S397" s="4">
        <v>0</v>
      </c>
      <c r="T397" s="4">
        <v>0</v>
      </c>
      <c r="U397" s="4">
        <v>0</v>
      </c>
      <c r="V397" s="4">
        <v>0</v>
      </c>
      <c r="W397" s="4">
        <v>0</v>
      </c>
      <c r="X397" s="4">
        <v>0</v>
      </c>
      <c r="Y397" s="4">
        <v>0</v>
      </c>
      <c r="Z397" s="4">
        <v>0</v>
      </c>
      <c r="AA397" s="4">
        <v>0</v>
      </c>
      <c r="AB397" s="4">
        <v>0</v>
      </c>
      <c r="AC397" s="4">
        <v>0</v>
      </c>
      <c r="AD397" s="4">
        <v>0</v>
      </c>
      <c r="AE397" s="4">
        <v>0</v>
      </c>
      <c r="AF397" s="51">
        <v>9.6590909090909095E-4</v>
      </c>
      <c r="AG397" s="51">
        <v>9.6818181818181823E-4</v>
      </c>
      <c r="AH397" s="51">
        <v>9.704545454545454E-4</v>
      </c>
      <c r="AI397" s="51">
        <v>9.7272727272727268E-4</v>
      </c>
      <c r="AJ397" s="51">
        <v>9.7499999999999996E-4</v>
      </c>
      <c r="AK397" s="51">
        <v>9.7727272727272723E-4</v>
      </c>
      <c r="AL397" s="51">
        <v>9.7954545454545451E-4</v>
      </c>
      <c r="AM397" s="51">
        <v>9.8181818181818179E-4</v>
      </c>
      <c r="AN397" s="51">
        <v>9.8409090909090907E-4</v>
      </c>
      <c r="AO397" s="51">
        <v>9.8636363636363635E-4</v>
      </c>
      <c r="AP397" s="51">
        <v>9.8863636363636363E-4</v>
      </c>
      <c r="AQ397" s="51">
        <v>9.9090909090909091E-4</v>
      </c>
      <c r="AR397" s="51">
        <v>9.9318181818181818E-4</v>
      </c>
      <c r="AS397" s="51">
        <v>9.9545454545454546E-4</v>
      </c>
      <c r="AT397" s="51">
        <v>9.9772727272727274E-4</v>
      </c>
      <c r="AU397" s="51">
        <v>1E-3</v>
      </c>
      <c r="AV397" s="51">
        <v>1.0363636363636365E-3</v>
      </c>
      <c r="AW397" s="51">
        <v>1.0727272727272727E-3</v>
      </c>
      <c r="AX397" s="51">
        <v>1.1090909090909092E-3</v>
      </c>
      <c r="AY397" s="51">
        <v>1.1454545454545454E-3</v>
      </c>
      <c r="AZ397" s="51">
        <v>1.1818181818181819E-3</v>
      </c>
      <c r="BA397" s="51">
        <v>1.2181818181818181E-3</v>
      </c>
      <c r="BB397" s="51">
        <v>1.2545454545454546E-3</v>
      </c>
      <c r="BC397" s="51">
        <v>1.2909090909090908E-3</v>
      </c>
      <c r="BD397" s="51">
        <v>1.3272727272727273E-3</v>
      </c>
      <c r="BE397" s="51">
        <v>1.3636363636363635E-3</v>
      </c>
      <c r="BF397" s="51">
        <v>1.4E-3</v>
      </c>
      <c r="BG397" s="51">
        <v>1.4363636363636362E-3</v>
      </c>
      <c r="BH397" s="51">
        <v>1.4727272727272727E-3</v>
      </c>
      <c r="BI397" s="51">
        <v>1.5090909090909091E-3</v>
      </c>
      <c r="BJ397" s="51">
        <v>1.5454545454545454E-3</v>
      </c>
      <c r="BK397" s="51">
        <v>1.5818181818181816E-3</v>
      </c>
      <c r="BL397" s="51">
        <v>1.6181818181818181E-3</v>
      </c>
      <c r="BM397" s="51">
        <v>1.6545454545454545E-3</v>
      </c>
      <c r="BN397" s="51">
        <v>1.6909090909090908E-3</v>
      </c>
      <c r="BO397" s="51">
        <v>1.727272727272727E-3</v>
      </c>
      <c r="BP397" s="51">
        <v>1.7636363636363635E-3</v>
      </c>
      <c r="BQ397" s="51">
        <v>1.8E-3</v>
      </c>
      <c r="BR397" s="51">
        <v>1.8363636363636362E-3</v>
      </c>
      <c r="BS397" s="51">
        <v>1.8727272727272727E-3</v>
      </c>
      <c r="BT397" s="51">
        <v>1.9090909090909089E-3</v>
      </c>
      <c r="BU397" s="51">
        <v>1.9454545454545454E-3</v>
      </c>
      <c r="BV397" s="51">
        <v>1.9818181818181818E-3</v>
      </c>
      <c r="BW397" s="51">
        <v>2.0181818181818183E-3</v>
      </c>
      <c r="BX397" s="51">
        <v>2.0545454545454543E-3</v>
      </c>
      <c r="BY397" s="51">
        <v>2.0909090909090908E-3</v>
      </c>
      <c r="BZ397" s="51">
        <v>2.1272727272727268E-3</v>
      </c>
      <c r="CA397" s="51">
        <v>2.1636363636363632E-3</v>
      </c>
      <c r="CB397" s="51">
        <v>2.1999999999999997E-3</v>
      </c>
      <c r="CC397" s="51">
        <v>2.2363636363636362E-3</v>
      </c>
      <c r="CD397" s="51">
        <v>2.2727272727272726E-3</v>
      </c>
      <c r="CE397" s="51">
        <v>2.3090909090909091E-3</v>
      </c>
      <c r="CF397" s="51">
        <v>2.3454545454545455E-3</v>
      </c>
      <c r="CG397" s="51">
        <v>2.3818181818181816E-3</v>
      </c>
      <c r="CH397" s="51">
        <v>2.418181818181818E-3</v>
      </c>
      <c r="CI397" s="51">
        <v>2.454545454545454E-3</v>
      </c>
      <c r="CJ397" s="51">
        <v>2.4909090909090905E-3</v>
      </c>
      <c r="CK397" s="51">
        <v>2.527272727272727E-3</v>
      </c>
      <c r="CL397" s="51">
        <v>2.5636363636363634E-3</v>
      </c>
      <c r="CM397" s="51">
        <v>2.5999999999999999E-3</v>
      </c>
    </row>
    <row r="398" spans="1:91" s="50" customFormat="1" x14ac:dyDescent="0.25">
      <c r="A398" s="9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91" s="50" customFormat="1" x14ac:dyDescent="0.25">
      <c r="A399" s="99" t="s">
        <v>349</v>
      </c>
      <c r="B399" s="4">
        <v>0</v>
      </c>
      <c r="C399" s="4">
        <v>0</v>
      </c>
      <c r="D399" s="4">
        <v>0</v>
      </c>
      <c r="E399" s="4">
        <v>0</v>
      </c>
      <c r="F399" s="4">
        <v>0</v>
      </c>
      <c r="G399" s="4">
        <v>0</v>
      </c>
      <c r="H399" s="4">
        <v>0</v>
      </c>
      <c r="I399" s="4">
        <v>0</v>
      </c>
      <c r="J399" s="4">
        <v>0</v>
      </c>
      <c r="K399" s="4">
        <v>0</v>
      </c>
      <c r="L399" s="4">
        <v>0</v>
      </c>
      <c r="M399" s="4">
        <v>0</v>
      </c>
      <c r="N399" s="4">
        <v>0</v>
      </c>
      <c r="O399" s="4">
        <v>0</v>
      </c>
      <c r="P399" s="4">
        <v>0</v>
      </c>
      <c r="Q399" s="4">
        <v>0</v>
      </c>
      <c r="R399" s="4">
        <v>0</v>
      </c>
      <c r="S399" s="4">
        <v>0</v>
      </c>
      <c r="T399" s="4">
        <v>0</v>
      </c>
      <c r="U399" s="4">
        <v>0</v>
      </c>
      <c r="V399" s="4">
        <v>0</v>
      </c>
      <c r="W399" s="4">
        <v>0</v>
      </c>
      <c r="X399" s="4">
        <v>0</v>
      </c>
      <c r="Y399" s="4">
        <v>0</v>
      </c>
      <c r="Z399" s="4">
        <v>0</v>
      </c>
      <c r="AA399" s="4">
        <v>0</v>
      </c>
      <c r="AB399" s="4">
        <v>0</v>
      </c>
      <c r="AC399" s="4">
        <v>0</v>
      </c>
      <c r="AD399" s="4">
        <v>0</v>
      </c>
      <c r="AE399" s="4">
        <v>0</v>
      </c>
      <c r="AF399" s="51">
        <v>8.6618671127481966E-4</v>
      </c>
      <c r="AG399" s="51">
        <v>8.7332065560907562E-4</v>
      </c>
      <c r="AH399" s="51">
        <v>8.8045459994333169E-4</v>
      </c>
      <c r="AI399" s="51">
        <v>8.8758854427758765E-4</v>
      </c>
      <c r="AJ399" s="51">
        <v>8.9472248861184372E-4</v>
      </c>
      <c r="AK399" s="51">
        <v>9.0185643294609969E-4</v>
      </c>
      <c r="AL399" s="51">
        <v>9.0899037728035576E-4</v>
      </c>
      <c r="AM399" s="51">
        <v>9.1612432161461172E-4</v>
      </c>
      <c r="AN399" s="51">
        <v>9.2325826594886768E-4</v>
      </c>
      <c r="AO399" s="51">
        <v>9.3039221028312375E-4</v>
      </c>
      <c r="AP399" s="51">
        <v>9.3752615461737982E-4</v>
      </c>
      <c r="AQ399" s="51">
        <v>9.4466009895163578E-4</v>
      </c>
      <c r="AR399" s="51">
        <v>9.5179404328589175E-4</v>
      </c>
      <c r="AS399" s="51">
        <v>9.5892798762014782E-4</v>
      </c>
      <c r="AT399" s="51">
        <v>9.6606193195440389E-4</v>
      </c>
      <c r="AU399" s="51">
        <v>9.7319587628865985E-4</v>
      </c>
      <c r="AV399" s="51">
        <v>9.9072164948453621E-4</v>
      </c>
      <c r="AW399" s="51">
        <v>1.0082474226804125E-3</v>
      </c>
      <c r="AX399" s="51">
        <v>1.0257731958762887E-3</v>
      </c>
      <c r="AY399" s="51">
        <v>1.043298969072165E-3</v>
      </c>
      <c r="AZ399" s="51">
        <v>1.0608247422680412E-3</v>
      </c>
      <c r="BA399" s="51">
        <v>1.0783505154639175E-3</v>
      </c>
      <c r="BB399" s="51">
        <v>1.095876288659794E-3</v>
      </c>
      <c r="BC399" s="51">
        <v>1.1134020618556702E-3</v>
      </c>
      <c r="BD399" s="51">
        <v>1.1309278350515465E-3</v>
      </c>
      <c r="BE399" s="51">
        <v>1.1484536082474227E-3</v>
      </c>
      <c r="BF399" s="51">
        <v>1.165979381443299E-3</v>
      </c>
      <c r="BG399" s="51">
        <v>1.1835051546391752E-3</v>
      </c>
      <c r="BH399" s="51">
        <v>1.2010309278350515E-3</v>
      </c>
      <c r="BI399" s="51">
        <v>1.2185567010309277E-3</v>
      </c>
      <c r="BJ399" s="51">
        <v>1.236082474226804E-3</v>
      </c>
      <c r="BK399" s="51">
        <v>1.2536082474226805E-3</v>
      </c>
      <c r="BL399" s="51">
        <v>1.2711340206185567E-3</v>
      </c>
      <c r="BM399" s="51">
        <v>1.288659793814433E-3</v>
      </c>
      <c r="BN399" s="51">
        <v>1.3061855670103092E-3</v>
      </c>
      <c r="BO399" s="51">
        <v>1.3237113402061855E-3</v>
      </c>
      <c r="BP399" s="51">
        <v>1.3412371134020619E-3</v>
      </c>
      <c r="BQ399" s="51">
        <v>1.3587628865979382E-3</v>
      </c>
      <c r="BR399" s="51">
        <v>1.3762886597938145E-3</v>
      </c>
      <c r="BS399" s="51">
        <v>1.3938144329896907E-3</v>
      </c>
      <c r="BT399" s="51">
        <v>1.411340206185567E-3</v>
      </c>
      <c r="BU399" s="51">
        <v>1.4288659793814432E-3</v>
      </c>
      <c r="BV399" s="51">
        <v>1.4463917525773195E-3</v>
      </c>
      <c r="BW399" s="51">
        <v>1.4639175257731957E-3</v>
      </c>
      <c r="BX399" s="51">
        <v>1.481443298969072E-3</v>
      </c>
      <c r="BY399" s="51">
        <v>1.4989690721649482E-3</v>
      </c>
      <c r="BZ399" s="51">
        <v>1.5164948453608247E-3</v>
      </c>
      <c r="CA399" s="51">
        <v>1.534020618556701E-3</v>
      </c>
      <c r="CB399" s="51">
        <v>1.5515463917525772E-3</v>
      </c>
      <c r="CC399" s="51">
        <v>1.5690721649484537E-3</v>
      </c>
      <c r="CD399" s="51">
        <v>1.5865979381443299E-3</v>
      </c>
      <c r="CE399" s="51">
        <v>1.6041237113402062E-3</v>
      </c>
      <c r="CF399" s="51">
        <v>1.6216494845360824E-3</v>
      </c>
      <c r="CG399" s="51">
        <v>1.6391752577319587E-3</v>
      </c>
      <c r="CH399" s="51">
        <v>1.656701030927835E-3</v>
      </c>
      <c r="CI399" s="51">
        <v>1.6742268041237112E-3</v>
      </c>
      <c r="CJ399" s="51">
        <v>1.6917525773195875E-3</v>
      </c>
      <c r="CK399" s="51">
        <v>1.7092783505154637E-3</v>
      </c>
      <c r="CL399" s="51">
        <v>1.72680412371134E-3</v>
      </c>
      <c r="CM399" s="51">
        <v>1.7443298969072164E-3</v>
      </c>
    </row>
    <row r="400" spans="1:91" s="50" customFormat="1" x14ac:dyDescent="0.25">
      <c r="A400" s="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91" s="50" customFormat="1" x14ac:dyDescent="0.25">
      <c r="A401" s="99" t="s">
        <v>368</v>
      </c>
      <c r="B401" s="4">
        <v>0</v>
      </c>
      <c r="C401" s="4">
        <v>0</v>
      </c>
      <c r="D401" s="4">
        <v>0</v>
      </c>
      <c r="E401" s="4">
        <v>0</v>
      </c>
      <c r="F401" s="4">
        <v>0</v>
      </c>
      <c r="G401" s="4">
        <v>0</v>
      </c>
      <c r="H401" s="4">
        <v>0</v>
      </c>
      <c r="I401" s="4">
        <v>0</v>
      </c>
      <c r="J401" s="4">
        <v>0</v>
      </c>
      <c r="K401" s="4">
        <v>0</v>
      </c>
      <c r="L401" s="4">
        <v>0</v>
      </c>
      <c r="M401" s="4">
        <v>0</v>
      </c>
      <c r="N401" s="4">
        <v>0</v>
      </c>
      <c r="O401" s="4">
        <v>0</v>
      </c>
      <c r="P401" s="4">
        <v>0</v>
      </c>
      <c r="Q401" s="4">
        <v>0</v>
      </c>
      <c r="R401" s="4">
        <v>0</v>
      </c>
      <c r="S401" s="4">
        <v>0</v>
      </c>
      <c r="T401" s="4">
        <v>0</v>
      </c>
      <c r="U401" s="4">
        <v>0</v>
      </c>
      <c r="V401" s="4">
        <v>0</v>
      </c>
      <c r="W401" s="4">
        <v>0</v>
      </c>
      <c r="X401" s="4">
        <v>0</v>
      </c>
      <c r="Y401" s="4">
        <v>0</v>
      </c>
      <c r="Z401" s="4">
        <v>0</v>
      </c>
      <c r="AA401" s="4">
        <v>0</v>
      </c>
      <c r="AB401" s="4">
        <v>0</v>
      </c>
      <c r="AC401" s="4">
        <v>0</v>
      </c>
      <c r="AD401" s="4">
        <v>0</v>
      </c>
      <c r="AE401" s="4">
        <v>0</v>
      </c>
      <c r="AF401" s="51">
        <v>8.6618671127481966E-4</v>
      </c>
      <c r="AG401" s="51">
        <v>8.7332065560907562E-4</v>
      </c>
      <c r="AH401" s="51">
        <v>8.8045459994333169E-4</v>
      </c>
      <c r="AI401" s="51">
        <v>8.8758854427758765E-4</v>
      </c>
      <c r="AJ401" s="51">
        <v>8.9472248861184372E-4</v>
      </c>
      <c r="AK401" s="51">
        <v>9.0185643294609969E-4</v>
      </c>
      <c r="AL401" s="51">
        <v>9.0899037728035576E-4</v>
      </c>
      <c r="AM401" s="51">
        <v>9.1612432161461172E-4</v>
      </c>
      <c r="AN401" s="51">
        <v>9.2325826594886768E-4</v>
      </c>
      <c r="AO401" s="51">
        <v>9.3039221028312375E-4</v>
      </c>
      <c r="AP401" s="51">
        <v>9.3752615461737982E-4</v>
      </c>
      <c r="AQ401" s="51">
        <v>9.4466009895163578E-4</v>
      </c>
      <c r="AR401" s="51">
        <v>9.5179404328589175E-4</v>
      </c>
      <c r="AS401" s="51">
        <v>9.5892798762014782E-4</v>
      </c>
      <c r="AT401" s="51">
        <v>9.6606193195440389E-4</v>
      </c>
      <c r="AU401" s="51">
        <v>9.7319587628865985E-4</v>
      </c>
      <c r="AV401" s="51">
        <v>9.9072164948453621E-4</v>
      </c>
      <c r="AW401" s="51">
        <v>1.0082474226804125E-3</v>
      </c>
      <c r="AX401" s="51">
        <v>1.0257731958762887E-3</v>
      </c>
      <c r="AY401" s="51">
        <v>1.043298969072165E-3</v>
      </c>
      <c r="AZ401" s="51">
        <v>1.0608247422680412E-3</v>
      </c>
      <c r="BA401" s="51">
        <v>1.0783505154639175E-3</v>
      </c>
      <c r="BB401" s="51">
        <v>1.095876288659794E-3</v>
      </c>
      <c r="BC401" s="51">
        <v>1.1134020618556702E-3</v>
      </c>
      <c r="BD401" s="51">
        <v>1.1309278350515465E-3</v>
      </c>
      <c r="BE401" s="51">
        <v>1.1484536082474227E-3</v>
      </c>
      <c r="BF401" s="51">
        <v>1.165979381443299E-3</v>
      </c>
      <c r="BG401" s="51">
        <v>1.1835051546391752E-3</v>
      </c>
      <c r="BH401" s="51">
        <v>1.2010309278350515E-3</v>
      </c>
      <c r="BI401" s="51">
        <v>1.2185567010309277E-3</v>
      </c>
      <c r="BJ401" s="51">
        <v>1.236082474226804E-3</v>
      </c>
      <c r="BK401" s="51">
        <v>1.2536082474226805E-3</v>
      </c>
      <c r="BL401" s="51">
        <v>1.2711340206185567E-3</v>
      </c>
      <c r="BM401" s="51">
        <v>1.288659793814433E-3</v>
      </c>
      <c r="BN401" s="51">
        <v>1.3061855670103092E-3</v>
      </c>
      <c r="BO401" s="51">
        <v>1.3237113402061855E-3</v>
      </c>
      <c r="BP401" s="51">
        <v>1.3412371134020619E-3</v>
      </c>
      <c r="BQ401" s="51">
        <v>1.3587628865979382E-3</v>
      </c>
      <c r="BR401" s="51">
        <v>1.3762886597938145E-3</v>
      </c>
      <c r="BS401" s="51">
        <v>1.3938144329896907E-3</v>
      </c>
      <c r="BT401" s="51">
        <v>1.411340206185567E-3</v>
      </c>
      <c r="BU401" s="51">
        <v>1.4288659793814432E-3</v>
      </c>
      <c r="BV401" s="51">
        <v>1.4463917525773195E-3</v>
      </c>
      <c r="BW401" s="51">
        <v>1.4639175257731957E-3</v>
      </c>
      <c r="BX401" s="51">
        <v>1.481443298969072E-3</v>
      </c>
      <c r="BY401" s="51">
        <v>1.4989690721649482E-3</v>
      </c>
      <c r="BZ401" s="51">
        <v>1.5164948453608247E-3</v>
      </c>
      <c r="CA401" s="51">
        <v>1.534020618556701E-3</v>
      </c>
      <c r="CB401" s="51">
        <v>1.5515463917525772E-3</v>
      </c>
      <c r="CC401" s="51">
        <v>1.5690721649484537E-3</v>
      </c>
      <c r="CD401" s="51">
        <v>1.5865979381443299E-3</v>
      </c>
      <c r="CE401" s="51">
        <v>1.6041237113402062E-3</v>
      </c>
      <c r="CF401" s="51">
        <v>1.6216494845360824E-3</v>
      </c>
      <c r="CG401" s="51">
        <v>1.6391752577319587E-3</v>
      </c>
      <c r="CH401" s="51">
        <v>1.656701030927835E-3</v>
      </c>
      <c r="CI401" s="51">
        <v>1.6742268041237112E-3</v>
      </c>
      <c r="CJ401" s="51">
        <v>1.6917525773195875E-3</v>
      </c>
      <c r="CK401" s="51">
        <v>1.7092783505154637E-3</v>
      </c>
      <c r="CL401" s="51">
        <v>1.72680412371134E-3</v>
      </c>
      <c r="CM401" s="51">
        <v>1.7443298969072164E-3</v>
      </c>
    </row>
    <row r="402" spans="1:91" s="50" customFormat="1" x14ac:dyDescent="0.25">
      <c r="A402" s="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91" s="50" customFormat="1" x14ac:dyDescent="0.25">
      <c r="A403" s="99" t="s">
        <v>175</v>
      </c>
      <c r="B403" s="4">
        <v>0</v>
      </c>
      <c r="C403" s="4">
        <v>0</v>
      </c>
      <c r="D403" s="4">
        <v>0</v>
      </c>
      <c r="E403" s="4">
        <v>0</v>
      </c>
      <c r="F403" s="4">
        <v>0</v>
      </c>
      <c r="G403" s="4">
        <v>0</v>
      </c>
      <c r="H403" s="4">
        <v>0</v>
      </c>
      <c r="I403" s="4">
        <v>0</v>
      </c>
      <c r="J403" s="4">
        <v>0</v>
      </c>
      <c r="K403" s="4">
        <v>0</v>
      </c>
      <c r="L403" s="4">
        <v>0</v>
      </c>
      <c r="M403" s="4">
        <v>0</v>
      </c>
      <c r="N403" s="4">
        <v>0</v>
      </c>
      <c r="O403" s="4">
        <v>0</v>
      </c>
      <c r="P403" s="4">
        <v>0</v>
      </c>
      <c r="Q403" s="4">
        <v>0</v>
      </c>
      <c r="R403" s="4">
        <v>0</v>
      </c>
      <c r="S403" s="4">
        <v>0</v>
      </c>
      <c r="T403" s="4">
        <v>0</v>
      </c>
      <c r="U403" s="4">
        <v>0</v>
      </c>
      <c r="V403" s="4">
        <v>0</v>
      </c>
      <c r="W403" s="4">
        <v>0</v>
      </c>
      <c r="X403" s="4">
        <v>0</v>
      </c>
      <c r="Y403" s="4">
        <v>0</v>
      </c>
      <c r="Z403" s="4">
        <v>0</v>
      </c>
      <c r="AA403" s="4">
        <v>0</v>
      </c>
      <c r="AB403" s="4">
        <v>0</v>
      </c>
      <c r="AC403" s="4">
        <v>0</v>
      </c>
      <c r="AD403" s="4">
        <v>0</v>
      </c>
      <c r="AE403" s="4">
        <v>0</v>
      </c>
      <c r="AF403" s="51">
        <v>5.0675000000000008E-3</v>
      </c>
      <c r="AG403" s="51">
        <v>5.1450000000000003E-3</v>
      </c>
      <c r="AH403" s="51">
        <v>5.2225000000000006E-3</v>
      </c>
      <c r="AI403" s="51">
        <v>5.3000000000000009E-3</v>
      </c>
      <c r="AJ403" s="51">
        <v>5.3775000000000003E-3</v>
      </c>
      <c r="AK403" s="51">
        <v>5.4550000000000006E-3</v>
      </c>
      <c r="AL403" s="51">
        <v>5.532500000000001E-3</v>
      </c>
      <c r="AM403" s="51">
        <v>5.6100000000000004E-3</v>
      </c>
      <c r="AN403" s="51">
        <v>5.6874999999999998E-3</v>
      </c>
      <c r="AO403" s="51">
        <v>5.765000000000001E-3</v>
      </c>
      <c r="AP403" s="51">
        <v>5.8425000000000005E-3</v>
      </c>
      <c r="AQ403" s="51">
        <v>5.9199999999999999E-3</v>
      </c>
      <c r="AR403" s="51">
        <v>5.9975000000000011E-3</v>
      </c>
      <c r="AS403" s="51">
        <v>6.0750000000000005E-3</v>
      </c>
      <c r="AT403" s="51">
        <v>6.1525E-3</v>
      </c>
      <c r="AU403" s="51">
        <v>6.2300000000000003E-3</v>
      </c>
      <c r="AV403" s="51">
        <v>6.2575E-3</v>
      </c>
      <c r="AW403" s="51">
        <v>6.2850000000000007E-3</v>
      </c>
      <c r="AX403" s="51">
        <v>6.3125000000000004E-3</v>
      </c>
      <c r="AY403" s="51">
        <v>6.3400000000000001E-3</v>
      </c>
      <c r="AZ403" s="51">
        <v>6.3674999999999999E-3</v>
      </c>
      <c r="BA403" s="51">
        <v>6.3950000000000005E-3</v>
      </c>
      <c r="BB403" s="51">
        <v>6.4225000000000003E-3</v>
      </c>
      <c r="BC403" s="51">
        <v>6.45E-3</v>
      </c>
      <c r="BD403" s="51">
        <v>6.4774999999999998E-3</v>
      </c>
      <c r="BE403" s="51">
        <v>6.5050000000000004E-3</v>
      </c>
      <c r="BF403" s="51">
        <v>6.5325000000000001E-3</v>
      </c>
      <c r="BG403" s="51">
        <v>6.5599999999999999E-3</v>
      </c>
      <c r="BH403" s="51">
        <v>6.5875000000000005E-3</v>
      </c>
      <c r="BI403" s="51">
        <v>6.6150000000000002E-3</v>
      </c>
      <c r="BJ403" s="51">
        <v>6.6425E-3</v>
      </c>
      <c r="BK403" s="51">
        <v>6.6699999999999997E-3</v>
      </c>
      <c r="BL403" s="51">
        <v>6.6975000000000003E-3</v>
      </c>
      <c r="BM403" s="51">
        <v>6.7250000000000001E-3</v>
      </c>
      <c r="BN403" s="51">
        <v>6.7524999999999998E-3</v>
      </c>
      <c r="BO403" s="51">
        <v>6.7799999999999996E-3</v>
      </c>
      <c r="BP403" s="51">
        <v>6.8075000000000002E-3</v>
      </c>
      <c r="BQ403" s="51">
        <v>6.8349999999999999E-3</v>
      </c>
      <c r="BR403" s="51">
        <v>6.8624999999999997E-3</v>
      </c>
      <c r="BS403" s="51">
        <v>6.8900000000000003E-3</v>
      </c>
      <c r="BT403" s="51">
        <v>6.9175E-3</v>
      </c>
      <c r="BU403" s="51">
        <v>6.9449999999999998E-3</v>
      </c>
      <c r="BV403" s="51">
        <v>6.9724999999999995E-3</v>
      </c>
      <c r="BW403" s="51">
        <v>7.0000000000000001E-3</v>
      </c>
      <c r="BX403" s="51">
        <v>7.0274999999999999E-3</v>
      </c>
      <c r="BY403" s="51">
        <v>7.0549999999999996E-3</v>
      </c>
      <c r="BZ403" s="51">
        <v>7.0825000000000003E-3</v>
      </c>
      <c r="CA403" s="51">
        <v>7.11E-3</v>
      </c>
      <c r="CB403" s="51">
        <v>7.1374999999999997E-3</v>
      </c>
      <c r="CC403" s="51">
        <v>7.1649999999999995E-3</v>
      </c>
      <c r="CD403" s="51">
        <v>7.1925000000000001E-3</v>
      </c>
      <c r="CE403" s="51">
        <v>7.2199999999999999E-3</v>
      </c>
      <c r="CF403" s="51">
        <v>7.2474999999999996E-3</v>
      </c>
      <c r="CG403" s="51">
        <v>7.2750000000000002E-3</v>
      </c>
      <c r="CH403" s="51">
        <v>7.3025E-3</v>
      </c>
      <c r="CI403" s="51">
        <v>7.3299999999999997E-3</v>
      </c>
      <c r="CJ403" s="51">
        <v>7.3574999999999995E-3</v>
      </c>
      <c r="CK403" s="51">
        <v>7.3849999999999992E-3</v>
      </c>
      <c r="CL403" s="51">
        <v>7.4124999999999998E-3</v>
      </c>
      <c r="CM403" s="51">
        <v>7.4399999999999996E-3</v>
      </c>
    </row>
    <row r="404" spans="1:91" s="50" customFormat="1" x14ac:dyDescent="0.25">
      <c r="A404" s="99" t="s">
        <v>1</v>
      </c>
      <c r="B404" s="4">
        <v>0</v>
      </c>
      <c r="C404" s="4">
        <v>0</v>
      </c>
      <c r="D404" s="4">
        <v>0</v>
      </c>
      <c r="E404" s="4">
        <v>0</v>
      </c>
      <c r="F404" s="4">
        <v>0</v>
      </c>
      <c r="G404" s="4">
        <v>0</v>
      </c>
      <c r="H404" s="4">
        <v>0</v>
      </c>
      <c r="I404" s="4">
        <v>0</v>
      </c>
      <c r="J404" s="4">
        <v>0</v>
      </c>
      <c r="K404" s="4">
        <v>0</v>
      </c>
      <c r="L404" s="4">
        <v>0</v>
      </c>
      <c r="M404" s="4">
        <v>0</v>
      </c>
      <c r="N404" s="4">
        <v>0</v>
      </c>
      <c r="O404" s="4">
        <v>0</v>
      </c>
      <c r="P404" s="4">
        <v>0</v>
      </c>
      <c r="Q404" s="4">
        <v>0</v>
      </c>
      <c r="R404" s="4">
        <v>0</v>
      </c>
      <c r="S404" s="4">
        <v>0</v>
      </c>
      <c r="T404" s="4">
        <v>0</v>
      </c>
      <c r="U404" s="4">
        <v>0</v>
      </c>
      <c r="V404" s="4">
        <v>0</v>
      </c>
      <c r="W404" s="4">
        <v>0</v>
      </c>
      <c r="X404" s="4">
        <v>0</v>
      </c>
      <c r="Y404" s="4">
        <v>0</v>
      </c>
      <c r="Z404" s="4">
        <v>0</v>
      </c>
      <c r="AA404" s="4">
        <v>0</v>
      </c>
      <c r="AB404" s="4">
        <v>0</v>
      </c>
      <c r="AC404" s="4">
        <v>0</v>
      </c>
      <c r="AD404" s="4">
        <v>0</v>
      </c>
      <c r="AE404" s="4">
        <v>0</v>
      </c>
      <c r="AF404" s="51">
        <v>2.3129545454545456E-3</v>
      </c>
      <c r="AG404" s="51">
        <v>2.3440909090909094E-3</v>
      </c>
      <c r="AH404" s="51">
        <v>2.3752272727272728E-3</v>
      </c>
      <c r="AI404" s="51">
        <v>2.4063636363636366E-3</v>
      </c>
      <c r="AJ404" s="51">
        <v>2.4375000000000004E-3</v>
      </c>
      <c r="AK404" s="51">
        <v>2.4686363636363638E-3</v>
      </c>
      <c r="AL404" s="51">
        <v>2.4997727272727276E-3</v>
      </c>
      <c r="AM404" s="51">
        <v>2.5309090909090915E-3</v>
      </c>
      <c r="AN404" s="51">
        <v>2.5620454545454549E-3</v>
      </c>
      <c r="AO404" s="51">
        <v>2.5931818181818183E-3</v>
      </c>
      <c r="AP404" s="51">
        <v>2.6243181818181821E-3</v>
      </c>
      <c r="AQ404" s="51">
        <v>2.6554545454545459E-3</v>
      </c>
      <c r="AR404" s="51">
        <v>2.6865909090909093E-3</v>
      </c>
      <c r="AS404" s="51">
        <v>2.7177272727272731E-3</v>
      </c>
      <c r="AT404" s="51">
        <v>2.748863636363637E-3</v>
      </c>
      <c r="AU404" s="51">
        <v>2.7800000000000004E-3</v>
      </c>
      <c r="AV404" s="51">
        <v>2.7993181818181823E-3</v>
      </c>
      <c r="AW404" s="51">
        <v>2.8186363636363639E-3</v>
      </c>
      <c r="AX404" s="51">
        <v>2.8379545454545459E-3</v>
      </c>
      <c r="AY404" s="51">
        <v>2.8572727272727274E-3</v>
      </c>
      <c r="AZ404" s="51">
        <v>2.8765909090909094E-3</v>
      </c>
      <c r="BA404" s="51">
        <v>2.8959090909090913E-3</v>
      </c>
      <c r="BB404" s="51">
        <v>2.9152272727272729E-3</v>
      </c>
      <c r="BC404" s="51">
        <v>2.9345454545454549E-3</v>
      </c>
      <c r="BD404" s="51">
        <v>2.9538636363636368E-3</v>
      </c>
      <c r="BE404" s="51">
        <v>2.9731818181818184E-3</v>
      </c>
      <c r="BF404" s="51">
        <v>2.9925000000000004E-3</v>
      </c>
      <c r="BG404" s="51">
        <v>3.0118181818181819E-3</v>
      </c>
      <c r="BH404" s="51">
        <v>3.0311363636363639E-3</v>
      </c>
      <c r="BI404" s="51">
        <v>3.0504545454545459E-3</v>
      </c>
      <c r="BJ404" s="51">
        <v>3.0697727272727274E-3</v>
      </c>
      <c r="BK404" s="51">
        <v>3.0890909090909094E-3</v>
      </c>
      <c r="BL404" s="51">
        <v>3.1084090909090914E-3</v>
      </c>
      <c r="BM404" s="51">
        <v>3.1277272727272729E-3</v>
      </c>
      <c r="BN404" s="51">
        <v>3.1470454545454549E-3</v>
      </c>
      <c r="BO404" s="51">
        <v>3.1663636363636364E-3</v>
      </c>
      <c r="BP404" s="51">
        <v>3.1856818181818184E-3</v>
      </c>
      <c r="BQ404" s="51">
        <v>3.2050000000000004E-3</v>
      </c>
      <c r="BR404" s="51">
        <v>3.2243181818181819E-3</v>
      </c>
      <c r="BS404" s="51">
        <v>3.2436363636363639E-3</v>
      </c>
      <c r="BT404" s="51">
        <v>3.2629545454545454E-3</v>
      </c>
      <c r="BU404" s="51">
        <v>3.2822727272727274E-3</v>
      </c>
      <c r="BV404" s="51">
        <v>3.3015909090909094E-3</v>
      </c>
      <c r="BW404" s="51">
        <v>3.3209090909090909E-3</v>
      </c>
      <c r="BX404" s="51">
        <v>3.3402272727272729E-3</v>
      </c>
      <c r="BY404" s="51">
        <v>3.3595454545454545E-3</v>
      </c>
      <c r="BZ404" s="51">
        <v>3.3788636363636364E-3</v>
      </c>
      <c r="CA404" s="51">
        <v>3.3981818181818184E-3</v>
      </c>
      <c r="CB404" s="51">
        <v>3.4175E-3</v>
      </c>
      <c r="CC404" s="51">
        <v>3.4368181818181819E-3</v>
      </c>
      <c r="CD404" s="51">
        <v>3.4561363636363635E-3</v>
      </c>
      <c r="CE404" s="51">
        <v>3.4754545454545455E-3</v>
      </c>
      <c r="CF404" s="51">
        <v>3.4947727272727274E-3</v>
      </c>
      <c r="CG404" s="51">
        <v>3.5140909090909094E-3</v>
      </c>
      <c r="CH404" s="51">
        <v>3.533409090909091E-3</v>
      </c>
      <c r="CI404" s="51">
        <v>3.5527272727272729E-3</v>
      </c>
      <c r="CJ404" s="51">
        <v>3.5720454545454545E-3</v>
      </c>
      <c r="CK404" s="51">
        <v>3.5913636363636365E-3</v>
      </c>
      <c r="CL404" s="51">
        <v>3.6106818181818184E-3</v>
      </c>
      <c r="CM404" s="51">
        <v>3.63E-3</v>
      </c>
    </row>
    <row r="405" spans="1:91" s="50" customFormat="1" x14ac:dyDescent="0.25">
      <c r="A405" s="99" t="s">
        <v>1</v>
      </c>
      <c r="B405" s="4">
        <v>0</v>
      </c>
      <c r="C405" s="4">
        <v>0</v>
      </c>
      <c r="D405" s="4">
        <v>0</v>
      </c>
      <c r="E405" s="4">
        <v>0</v>
      </c>
      <c r="F405" s="4">
        <v>0</v>
      </c>
      <c r="G405" s="4">
        <v>0</v>
      </c>
      <c r="H405" s="4">
        <v>0</v>
      </c>
      <c r="I405" s="4">
        <v>0</v>
      </c>
      <c r="J405" s="4">
        <v>0</v>
      </c>
      <c r="K405" s="4">
        <v>0</v>
      </c>
      <c r="L405" s="4">
        <v>0</v>
      </c>
      <c r="M405" s="4">
        <v>0</v>
      </c>
      <c r="N405" s="4">
        <v>0</v>
      </c>
      <c r="O405" s="4">
        <v>0</v>
      </c>
      <c r="P405" s="4">
        <v>0</v>
      </c>
      <c r="Q405" s="4">
        <v>0</v>
      </c>
      <c r="R405" s="4">
        <v>0</v>
      </c>
      <c r="S405" s="4">
        <v>0</v>
      </c>
      <c r="T405" s="4">
        <v>0</v>
      </c>
      <c r="U405" s="4">
        <v>0</v>
      </c>
      <c r="V405" s="4">
        <v>0</v>
      </c>
      <c r="W405" s="4">
        <v>0</v>
      </c>
      <c r="X405" s="4">
        <v>0</v>
      </c>
      <c r="Y405" s="4">
        <v>0</v>
      </c>
      <c r="Z405" s="4">
        <v>0</v>
      </c>
      <c r="AA405" s="4">
        <v>0</v>
      </c>
      <c r="AB405" s="4">
        <v>0</v>
      </c>
      <c r="AC405" s="4">
        <v>0</v>
      </c>
      <c r="AD405" s="4">
        <v>0</v>
      </c>
      <c r="AE405" s="4">
        <v>0</v>
      </c>
      <c r="AF405" s="51">
        <v>3.4209090909090912E-3</v>
      </c>
      <c r="AG405" s="51">
        <v>3.4681818181818186E-3</v>
      </c>
      <c r="AH405" s="51">
        <v>3.5154545454545456E-3</v>
      </c>
      <c r="AI405" s="51">
        <v>3.562727272727273E-3</v>
      </c>
      <c r="AJ405" s="51">
        <v>3.6100000000000004E-3</v>
      </c>
      <c r="AK405" s="51">
        <v>3.6572727272727278E-3</v>
      </c>
      <c r="AL405" s="51">
        <v>3.7045454545454552E-3</v>
      </c>
      <c r="AM405" s="51">
        <v>3.7518181818181826E-3</v>
      </c>
      <c r="AN405" s="51">
        <v>3.7990909090909099E-3</v>
      </c>
      <c r="AO405" s="51">
        <v>3.8463636363636369E-3</v>
      </c>
      <c r="AP405" s="51">
        <v>3.8936363636363643E-3</v>
      </c>
      <c r="AQ405" s="51">
        <v>3.9409090909090913E-3</v>
      </c>
      <c r="AR405" s="51">
        <v>3.9881818181818187E-3</v>
      </c>
      <c r="AS405" s="51">
        <v>4.0354545454545461E-3</v>
      </c>
      <c r="AT405" s="51">
        <v>4.0827272727272735E-3</v>
      </c>
      <c r="AU405" s="51">
        <v>4.1300000000000009E-3</v>
      </c>
      <c r="AV405" s="51">
        <v>4.1579545454545463E-3</v>
      </c>
      <c r="AW405" s="51">
        <v>4.1859090909090917E-3</v>
      </c>
      <c r="AX405" s="51">
        <v>4.2138636363636371E-3</v>
      </c>
      <c r="AY405" s="51">
        <v>4.2418181818181825E-3</v>
      </c>
      <c r="AZ405" s="51">
        <v>4.269772727272728E-3</v>
      </c>
      <c r="BA405" s="51">
        <v>4.2977272727272734E-3</v>
      </c>
      <c r="BB405" s="51">
        <v>4.3256818181818188E-3</v>
      </c>
      <c r="BC405" s="51">
        <v>4.3536363636363642E-3</v>
      </c>
      <c r="BD405" s="51">
        <v>4.3815909090909096E-3</v>
      </c>
      <c r="BE405" s="51">
        <v>4.4095454545454551E-3</v>
      </c>
      <c r="BF405" s="51">
        <v>4.4375000000000005E-3</v>
      </c>
      <c r="BG405" s="51">
        <v>4.4654545454545459E-3</v>
      </c>
      <c r="BH405" s="51">
        <v>4.4934090909090913E-3</v>
      </c>
      <c r="BI405" s="51">
        <v>4.5213636363636367E-3</v>
      </c>
      <c r="BJ405" s="51">
        <v>4.5493181818181821E-3</v>
      </c>
      <c r="BK405" s="51">
        <v>4.5772727272727276E-3</v>
      </c>
      <c r="BL405" s="51">
        <v>4.605227272727273E-3</v>
      </c>
      <c r="BM405" s="51">
        <v>4.6331818181818184E-3</v>
      </c>
      <c r="BN405" s="51">
        <v>4.6611363636363638E-3</v>
      </c>
      <c r="BO405" s="51">
        <v>4.6890909090909101E-3</v>
      </c>
      <c r="BP405" s="51">
        <v>4.7170454545454547E-3</v>
      </c>
      <c r="BQ405" s="51">
        <v>4.745000000000001E-3</v>
      </c>
      <c r="BR405" s="51">
        <v>4.7729545454545455E-3</v>
      </c>
      <c r="BS405" s="51">
        <v>4.8009090909090918E-3</v>
      </c>
      <c r="BT405" s="51">
        <v>4.8288636363636372E-3</v>
      </c>
      <c r="BU405" s="51">
        <v>4.8568181818181826E-3</v>
      </c>
      <c r="BV405" s="51">
        <v>4.8847727272727281E-3</v>
      </c>
      <c r="BW405" s="51">
        <v>4.9127272727272735E-3</v>
      </c>
      <c r="BX405" s="51">
        <v>4.9406818181818189E-3</v>
      </c>
      <c r="BY405" s="51">
        <v>4.9686363636363643E-3</v>
      </c>
      <c r="BZ405" s="51">
        <v>4.9965909090909097E-3</v>
      </c>
      <c r="CA405" s="51">
        <v>5.0245454545454551E-3</v>
      </c>
      <c r="CB405" s="51">
        <v>5.0525000000000006E-3</v>
      </c>
      <c r="CC405" s="51">
        <v>5.080454545454546E-3</v>
      </c>
      <c r="CD405" s="51">
        <v>5.1084090909090914E-3</v>
      </c>
      <c r="CE405" s="51">
        <v>5.1363636363636368E-3</v>
      </c>
      <c r="CF405" s="51">
        <v>5.1643181818181822E-3</v>
      </c>
      <c r="CG405" s="51">
        <v>5.1922727272727277E-3</v>
      </c>
      <c r="CH405" s="51">
        <v>5.2202272727272731E-3</v>
      </c>
      <c r="CI405" s="51">
        <v>5.2481818181818185E-3</v>
      </c>
      <c r="CJ405" s="51">
        <v>5.2761363636363639E-3</v>
      </c>
      <c r="CK405" s="51">
        <v>5.3040909090909093E-3</v>
      </c>
      <c r="CL405" s="51">
        <v>5.3320454545454548E-3</v>
      </c>
      <c r="CM405" s="51">
        <v>5.3600000000000002E-3</v>
      </c>
    </row>
    <row r="406" spans="1:91" s="50" customFormat="1" x14ac:dyDescent="0.25">
      <c r="A406" s="99" t="s">
        <v>1</v>
      </c>
      <c r="B406" s="4">
        <v>0</v>
      </c>
      <c r="C406" s="4">
        <v>0</v>
      </c>
      <c r="D406" s="4">
        <v>0</v>
      </c>
      <c r="E406" s="4">
        <v>0</v>
      </c>
      <c r="F406" s="4">
        <v>0</v>
      </c>
      <c r="G406" s="4">
        <v>0</v>
      </c>
      <c r="H406" s="4">
        <v>0</v>
      </c>
      <c r="I406" s="4">
        <v>0</v>
      </c>
      <c r="J406" s="4">
        <v>0</v>
      </c>
      <c r="K406" s="4">
        <v>0</v>
      </c>
      <c r="L406" s="4">
        <v>0</v>
      </c>
      <c r="M406" s="4">
        <v>0</v>
      </c>
      <c r="N406" s="4">
        <v>0</v>
      </c>
      <c r="O406" s="4">
        <v>0</v>
      </c>
      <c r="P406" s="4">
        <v>0</v>
      </c>
      <c r="Q406" s="4">
        <v>0</v>
      </c>
      <c r="R406" s="4">
        <v>0</v>
      </c>
      <c r="S406" s="4">
        <v>0</v>
      </c>
      <c r="T406" s="4">
        <v>0</v>
      </c>
      <c r="U406" s="4">
        <v>0</v>
      </c>
      <c r="V406" s="4">
        <v>0</v>
      </c>
      <c r="W406" s="4">
        <v>0</v>
      </c>
      <c r="X406" s="4">
        <v>0</v>
      </c>
      <c r="Y406" s="4">
        <v>0</v>
      </c>
      <c r="Z406" s="4">
        <v>0</v>
      </c>
      <c r="AA406" s="4">
        <v>0</v>
      </c>
      <c r="AB406" s="4">
        <v>0</v>
      </c>
      <c r="AC406" s="4">
        <v>0</v>
      </c>
      <c r="AD406" s="4">
        <v>0</v>
      </c>
      <c r="AE406" s="4">
        <v>0</v>
      </c>
      <c r="AF406" s="51">
        <v>1.4251346260975674E-3</v>
      </c>
      <c r="AG406" s="51">
        <v>1.4394010133432368E-3</v>
      </c>
      <c r="AH406" s="51">
        <v>1.4536674005889063E-3</v>
      </c>
      <c r="AI406" s="51">
        <v>1.4679337878345756E-3</v>
      </c>
      <c r="AJ406" s="51">
        <v>1.4822001750802451E-3</v>
      </c>
      <c r="AK406" s="51">
        <v>1.4964665623259145E-3</v>
      </c>
      <c r="AL406" s="51">
        <v>1.510732949571584E-3</v>
      </c>
      <c r="AM406" s="51">
        <v>1.5249993368172533E-3</v>
      </c>
      <c r="AN406" s="51">
        <v>1.5392657240629226E-3</v>
      </c>
      <c r="AO406" s="51">
        <v>1.5535321113085922E-3</v>
      </c>
      <c r="AP406" s="51">
        <v>1.5677984985542617E-3</v>
      </c>
      <c r="AQ406" s="51">
        <v>1.582064885799931E-3</v>
      </c>
      <c r="AR406" s="51">
        <v>1.5963312730456003E-3</v>
      </c>
      <c r="AS406" s="51">
        <v>1.6105976602912699E-3</v>
      </c>
      <c r="AT406" s="51">
        <v>1.6248640475369394E-3</v>
      </c>
      <c r="AU406" s="51">
        <v>1.6391304347826087E-3</v>
      </c>
      <c r="AV406" s="51">
        <v>1.6512056578914659E-3</v>
      </c>
      <c r="AW406" s="51">
        <v>1.6632808810003231E-3</v>
      </c>
      <c r="AX406" s="51">
        <v>1.6753561041091805E-3</v>
      </c>
      <c r="AY406" s="51">
        <v>1.6874313272180377E-3</v>
      </c>
      <c r="AZ406" s="51">
        <v>1.6995065503268949E-3</v>
      </c>
      <c r="BA406" s="51">
        <v>1.7115817734357521E-3</v>
      </c>
      <c r="BB406" s="51">
        <v>1.7236569965446095E-3</v>
      </c>
      <c r="BC406" s="51">
        <v>1.7357322196534667E-3</v>
      </c>
      <c r="BD406" s="51">
        <v>1.7478074427623239E-3</v>
      </c>
      <c r="BE406" s="51">
        <v>1.759882665871181E-3</v>
      </c>
      <c r="BF406" s="51">
        <v>1.7719578889800382E-3</v>
      </c>
      <c r="BG406" s="51">
        <v>1.7840331120888956E-3</v>
      </c>
      <c r="BH406" s="51">
        <v>1.7961083351977528E-3</v>
      </c>
      <c r="BI406" s="51">
        <v>1.80818355830661E-3</v>
      </c>
      <c r="BJ406" s="51">
        <v>1.8202587814154672E-3</v>
      </c>
      <c r="BK406" s="51">
        <v>1.8323340045243246E-3</v>
      </c>
      <c r="BL406" s="51">
        <v>1.8444092276331818E-3</v>
      </c>
      <c r="BM406" s="51">
        <v>1.856484450742039E-3</v>
      </c>
      <c r="BN406" s="51">
        <v>1.8685596738508962E-3</v>
      </c>
      <c r="BO406" s="51">
        <v>1.8806348969597534E-3</v>
      </c>
      <c r="BP406" s="51">
        <v>1.8927101200686108E-3</v>
      </c>
      <c r="BQ406" s="51">
        <v>1.904785343177468E-3</v>
      </c>
      <c r="BR406" s="51">
        <v>1.9168605662863252E-3</v>
      </c>
      <c r="BS406" s="51">
        <v>1.9289357893951826E-3</v>
      </c>
      <c r="BT406" s="51">
        <v>1.9410110125040398E-3</v>
      </c>
      <c r="BU406" s="51">
        <v>1.953086235612897E-3</v>
      </c>
      <c r="BV406" s="51">
        <v>1.9651614587217541E-3</v>
      </c>
      <c r="BW406" s="51">
        <v>1.9772366818306113E-3</v>
      </c>
      <c r="BX406" s="51">
        <v>1.9893119049394685E-3</v>
      </c>
      <c r="BY406" s="51">
        <v>2.0013871280483257E-3</v>
      </c>
      <c r="BZ406" s="51">
        <v>2.0134623511571829E-3</v>
      </c>
      <c r="CA406" s="51">
        <v>2.0255375742660405E-3</v>
      </c>
      <c r="CB406" s="51">
        <v>2.0376127973748977E-3</v>
      </c>
      <c r="CC406" s="51">
        <v>2.0496880204837549E-3</v>
      </c>
      <c r="CD406" s="51">
        <v>2.0617632435926121E-3</v>
      </c>
      <c r="CE406" s="51">
        <v>2.0738384667014693E-3</v>
      </c>
      <c r="CF406" s="51">
        <v>2.0859136898103265E-3</v>
      </c>
      <c r="CG406" s="51">
        <v>2.0979889129191837E-3</v>
      </c>
      <c r="CH406" s="51">
        <v>2.1100641360280409E-3</v>
      </c>
      <c r="CI406" s="51">
        <v>2.1221393591368985E-3</v>
      </c>
      <c r="CJ406" s="51">
        <v>2.1342145822457557E-3</v>
      </c>
      <c r="CK406" s="51">
        <v>2.1462898053546129E-3</v>
      </c>
      <c r="CL406" s="51">
        <v>2.1583650284634701E-3</v>
      </c>
      <c r="CM406" s="51">
        <v>2.1704402515723272E-3</v>
      </c>
    </row>
    <row r="407" spans="1:91" s="50" customFormat="1" x14ac:dyDescent="0.25">
      <c r="A407" s="99" t="s">
        <v>1</v>
      </c>
      <c r="B407" s="4">
        <v>0</v>
      </c>
      <c r="C407" s="4">
        <v>0</v>
      </c>
      <c r="D407" s="4">
        <v>0</v>
      </c>
      <c r="E407" s="4">
        <v>0</v>
      </c>
      <c r="F407" s="4">
        <v>0</v>
      </c>
      <c r="G407" s="4">
        <v>0</v>
      </c>
      <c r="H407" s="4">
        <v>0</v>
      </c>
      <c r="I407" s="4">
        <v>0</v>
      </c>
      <c r="J407" s="4">
        <v>0</v>
      </c>
      <c r="K407" s="4">
        <v>0</v>
      </c>
      <c r="L407" s="4">
        <v>0</v>
      </c>
      <c r="M407" s="4">
        <v>0</v>
      </c>
      <c r="N407" s="4">
        <v>0</v>
      </c>
      <c r="O407" s="4">
        <v>0</v>
      </c>
      <c r="P407" s="4">
        <v>0</v>
      </c>
      <c r="Q407" s="4">
        <v>0</v>
      </c>
      <c r="R407" s="4">
        <v>0</v>
      </c>
      <c r="S407" s="4">
        <v>0</v>
      </c>
      <c r="T407" s="4">
        <v>0</v>
      </c>
      <c r="U407" s="4">
        <v>0</v>
      </c>
      <c r="V407" s="4">
        <v>0</v>
      </c>
      <c r="W407" s="4">
        <v>0</v>
      </c>
      <c r="X407" s="4">
        <v>0</v>
      </c>
      <c r="Y407" s="4">
        <v>0</v>
      </c>
      <c r="Z407" s="4">
        <v>0</v>
      </c>
      <c r="AA407" s="4">
        <v>0</v>
      </c>
      <c r="AB407" s="4">
        <v>0</v>
      </c>
      <c r="AC407" s="4">
        <v>0</v>
      </c>
      <c r="AD407" s="4">
        <v>0</v>
      </c>
      <c r="AE407" s="4">
        <v>0</v>
      </c>
      <c r="AF407" s="51">
        <v>1.6577549140049139E-3</v>
      </c>
      <c r="AG407" s="51">
        <v>1.6804361179361179E-3</v>
      </c>
      <c r="AH407" s="51">
        <v>1.7031173218673219E-3</v>
      </c>
      <c r="AI407" s="51">
        <v>1.7257985257985258E-3</v>
      </c>
      <c r="AJ407" s="51">
        <v>1.7484797297297296E-3</v>
      </c>
      <c r="AK407" s="51">
        <v>1.7711609336609336E-3</v>
      </c>
      <c r="AL407" s="51">
        <v>1.7938421375921377E-3</v>
      </c>
      <c r="AM407" s="51">
        <v>1.8165233415233415E-3</v>
      </c>
      <c r="AN407" s="51">
        <v>1.8392045454545453E-3</v>
      </c>
      <c r="AO407" s="51">
        <v>1.8618857493857494E-3</v>
      </c>
      <c r="AP407" s="51">
        <v>1.8845669533169532E-3</v>
      </c>
      <c r="AQ407" s="51">
        <v>1.907248157248157E-3</v>
      </c>
      <c r="AR407" s="51">
        <v>1.9299293611793611E-3</v>
      </c>
      <c r="AS407" s="51">
        <v>1.9526105651105651E-3</v>
      </c>
      <c r="AT407" s="51">
        <v>1.9752917690417692E-3</v>
      </c>
      <c r="AU407" s="51">
        <v>1.9979729729729728E-3</v>
      </c>
      <c r="AV407" s="51">
        <v>2.0184735872235873E-3</v>
      </c>
      <c r="AW407" s="51">
        <v>2.0389742014742013E-3</v>
      </c>
      <c r="AX407" s="51">
        <v>2.0594748157248153E-3</v>
      </c>
      <c r="AY407" s="51">
        <v>2.0799754299754298E-3</v>
      </c>
      <c r="AZ407" s="51">
        <v>2.1004760442260443E-3</v>
      </c>
      <c r="BA407" s="51">
        <v>2.1209766584766583E-3</v>
      </c>
      <c r="BB407" s="51">
        <v>2.1414772727272723E-3</v>
      </c>
      <c r="BC407" s="51">
        <v>2.1619778869778868E-3</v>
      </c>
      <c r="BD407" s="51">
        <v>2.1824785012285013E-3</v>
      </c>
      <c r="BE407" s="51">
        <v>2.2029791154791153E-3</v>
      </c>
      <c r="BF407" s="51">
        <v>2.2234797297297293E-3</v>
      </c>
      <c r="BG407" s="51">
        <v>2.2439803439803438E-3</v>
      </c>
      <c r="BH407" s="51">
        <v>2.2644809582309583E-3</v>
      </c>
      <c r="BI407" s="51">
        <v>2.2849815724815723E-3</v>
      </c>
      <c r="BJ407" s="51">
        <v>2.3054821867321863E-3</v>
      </c>
      <c r="BK407" s="51">
        <v>2.3259828009828008E-3</v>
      </c>
      <c r="BL407" s="51">
        <v>2.3464834152334153E-3</v>
      </c>
      <c r="BM407" s="51">
        <v>2.3669840294840293E-3</v>
      </c>
      <c r="BN407" s="51">
        <v>2.3874846437346433E-3</v>
      </c>
      <c r="BO407" s="51">
        <v>2.4079852579852578E-3</v>
      </c>
      <c r="BP407" s="51">
        <v>2.4284858722358723E-3</v>
      </c>
      <c r="BQ407" s="51">
        <v>2.4489864864864863E-3</v>
      </c>
      <c r="BR407" s="51">
        <v>2.4694871007371003E-3</v>
      </c>
      <c r="BS407" s="51">
        <v>2.4899877149877148E-3</v>
      </c>
      <c r="BT407" s="51">
        <v>2.5104883292383293E-3</v>
      </c>
      <c r="BU407" s="51">
        <v>2.5309889434889433E-3</v>
      </c>
      <c r="BV407" s="51">
        <v>2.5514895577395573E-3</v>
      </c>
      <c r="BW407" s="51">
        <v>2.5719901719901718E-3</v>
      </c>
      <c r="BX407" s="51">
        <v>2.5924907862407863E-3</v>
      </c>
      <c r="BY407" s="51">
        <v>2.6129914004914003E-3</v>
      </c>
      <c r="BZ407" s="51">
        <v>2.6334920147420143E-3</v>
      </c>
      <c r="CA407" s="51">
        <v>2.6539926289926288E-3</v>
      </c>
      <c r="CB407" s="51">
        <v>2.6744932432432433E-3</v>
      </c>
      <c r="CC407" s="51">
        <v>2.6949938574938573E-3</v>
      </c>
      <c r="CD407" s="51">
        <v>2.7154944717444713E-3</v>
      </c>
      <c r="CE407" s="51">
        <v>2.7359950859950858E-3</v>
      </c>
      <c r="CF407" s="51">
        <v>2.7564957002457003E-3</v>
      </c>
      <c r="CG407" s="51">
        <v>2.7769963144963143E-3</v>
      </c>
      <c r="CH407" s="51">
        <v>2.7974969287469283E-3</v>
      </c>
      <c r="CI407" s="51">
        <v>2.8179975429975428E-3</v>
      </c>
      <c r="CJ407" s="51">
        <v>2.8384981572481573E-3</v>
      </c>
      <c r="CK407" s="51">
        <v>2.8589987714987713E-3</v>
      </c>
      <c r="CL407" s="51">
        <v>2.8794993857493853E-3</v>
      </c>
      <c r="CM407" s="51">
        <v>2.8999999999999998E-3</v>
      </c>
    </row>
    <row r="408" spans="1:91" s="50" customFormat="1" x14ac:dyDescent="0.25">
      <c r="A408" s="99" t="s">
        <v>1</v>
      </c>
      <c r="B408" s="4">
        <v>0</v>
      </c>
      <c r="C408" s="4">
        <v>0</v>
      </c>
      <c r="D408" s="4">
        <v>0</v>
      </c>
      <c r="E408" s="4">
        <v>0</v>
      </c>
      <c r="F408" s="4">
        <v>0</v>
      </c>
      <c r="G408" s="4">
        <v>0</v>
      </c>
      <c r="H408" s="4">
        <v>0</v>
      </c>
      <c r="I408" s="4">
        <v>0</v>
      </c>
      <c r="J408" s="4">
        <v>0</v>
      </c>
      <c r="K408" s="4">
        <v>0</v>
      </c>
      <c r="L408" s="4">
        <v>0</v>
      </c>
      <c r="M408" s="4">
        <v>0</v>
      </c>
      <c r="N408" s="4">
        <v>0</v>
      </c>
      <c r="O408" s="4">
        <v>0</v>
      </c>
      <c r="P408" s="4">
        <v>0</v>
      </c>
      <c r="Q408" s="4">
        <v>0</v>
      </c>
      <c r="R408" s="4">
        <v>0</v>
      </c>
      <c r="S408" s="4">
        <v>0</v>
      </c>
      <c r="T408" s="4">
        <v>0</v>
      </c>
      <c r="U408" s="4">
        <v>0</v>
      </c>
      <c r="V408" s="4">
        <v>0</v>
      </c>
      <c r="W408" s="4">
        <v>0</v>
      </c>
      <c r="X408" s="4">
        <v>0</v>
      </c>
      <c r="Y408" s="4">
        <v>0</v>
      </c>
      <c r="Z408" s="4">
        <v>0</v>
      </c>
      <c r="AA408" s="4">
        <v>0</v>
      </c>
      <c r="AB408" s="4">
        <v>0</v>
      </c>
      <c r="AC408" s="4">
        <v>0</v>
      </c>
      <c r="AD408" s="4">
        <v>0</v>
      </c>
      <c r="AE408" s="4">
        <v>0</v>
      </c>
      <c r="AF408" s="51">
        <v>6.1522727272727278E-2</v>
      </c>
      <c r="AG408" s="51">
        <v>6.1954545454545457E-2</v>
      </c>
      <c r="AH408" s="51">
        <v>6.2386363636363643E-2</v>
      </c>
      <c r="AI408" s="51">
        <v>6.2818181818181829E-2</v>
      </c>
      <c r="AJ408" s="51">
        <v>6.3250000000000001E-2</v>
      </c>
      <c r="AK408" s="51">
        <v>6.3681818181818187E-2</v>
      </c>
      <c r="AL408" s="51">
        <v>6.4113636363636373E-2</v>
      </c>
      <c r="AM408" s="51">
        <v>6.4545454545454545E-2</v>
      </c>
      <c r="AN408" s="51">
        <v>6.4977272727272731E-2</v>
      </c>
      <c r="AO408" s="51">
        <v>6.5409090909090917E-2</v>
      </c>
      <c r="AP408" s="51">
        <v>6.5840909090909089E-2</v>
      </c>
      <c r="AQ408" s="51">
        <v>6.6272727272727275E-2</v>
      </c>
      <c r="AR408" s="51">
        <v>6.6704545454545461E-2</v>
      </c>
      <c r="AS408" s="51">
        <v>6.7136363636363633E-2</v>
      </c>
      <c r="AT408" s="51">
        <v>6.7568181818181819E-2</v>
      </c>
      <c r="AU408" s="51">
        <v>6.8000000000000005E-2</v>
      </c>
      <c r="AV408" s="51">
        <v>6.881818181818182E-2</v>
      </c>
      <c r="AW408" s="51">
        <v>6.9636363636363635E-2</v>
      </c>
      <c r="AX408" s="51">
        <v>7.0454545454545464E-2</v>
      </c>
      <c r="AY408" s="51">
        <v>7.1272727272727279E-2</v>
      </c>
      <c r="AZ408" s="51">
        <v>7.2090909090909094E-2</v>
      </c>
      <c r="BA408" s="51">
        <v>7.290909090909091E-2</v>
      </c>
      <c r="BB408" s="51">
        <v>7.3727272727272725E-2</v>
      </c>
      <c r="BC408" s="51">
        <v>7.4545454545454554E-2</v>
      </c>
      <c r="BD408" s="51">
        <v>7.5363636363636369E-2</v>
      </c>
      <c r="BE408" s="51">
        <v>7.6181818181818184E-2</v>
      </c>
      <c r="BF408" s="51">
        <v>7.6999999999999999E-2</v>
      </c>
      <c r="BG408" s="51">
        <v>7.7818181818181814E-2</v>
      </c>
      <c r="BH408" s="51">
        <v>7.8636363636363643E-2</v>
      </c>
      <c r="BI408" s="51">
        <v>7.9454545454545458E-2</v>
      </c>
      <c r="BJ408" s="51">
        <v>8.0272727272727273E-2</v>
      </c>
      <c r="BK408" s="51">
        <v>8.1090909090909088E-2</v>
      </c>
      <c r="BL408" s="51">
        <v>8.1909090909090904E-2</v>
      </c>
      <c r="BM408" s="51">
        <v>8.2727272727272733E-2</v>
      </c>
      <c r="BN408" s="51">
        <v>8.3545454545454548E-2</v>
      </c>
      <c r="BO408" s="51">
        <v>8.4363636363636363E-2</v>
      </c>
      <c r="BP408" s="51">
        <v>8.5181818181818178E-2</v>
      </c>
      <c r="BQ408" s="51">
        <v>8.5999999999999993E-2</v>
      </c>
      <c r="BR408" s="51">
        <v>8.6818181818181822E-2</v>
      </c>
      <c r="BS408" s="51">
        <v>8.7636363636363637E-2</v>
      </c>
      <c r="BT408" s="51">
        <v>8.8454545454545452E-2</v>
      </c>
      <c r="BU408" s="51">
        <v>8.9272727272727267E-2</v>
      </c>
      <c r="BV408" s="51">
        <v>9.0090909090909083E-2</v>
      </c>
      <c r="BW408" s="51">
        <v>9.0909090909090912E-2</v>
      </c>
      <c r="BX408" s="51">
        <v>9.1727272727272727E-2</v>
      </c>
      <c r="BY408" s="51">
        <v>9.2545454545454542E-2</v>
      </c>
      <c r="BZ408" s="51">
        <v>9.3363636363636357E-2</v>
      </c>
      <c r="CA408" s="51">
        <v>9.4181818181818172E-2</v>
      </c>
      <c r="CB408" s="51">
        <v>9.5000000000000001E-2</v>
      </c>
      <c r="CC408" s="51">
        <v>9.5818181818181816E-2</v>
      </c>
      <c r="CD408" s="51">
        <v>9.6636363636363631E-2</v>
      </c>
      <c r="CE408" s="51">
        <v>9.7454545454545446E-2</v>
      </c>
      <c r="CF408" s="51">
        <v>9.8272727272727262E-2</v>
      </c>
      <c r="CG408" s="51">
        <v>9.9090909090909091E-2</v>
      </c>
      <c r="CH408" s="51">
        <v>9.9909090909090906E-2</v>
      </c>
      <c r="CI408" s="51">
        <v>0.10072727272727272</v>
      </c>
      <c r="CJ408" s="51">
        <v>0.10154545454545455</v>
      </c>
      <c r="CK408" s="51">
        <v>0.10236363636363635</v>
      </c>
      <c r="CL408" s="51">
        <v>0.10318181818181818</v>
      </c>
      <c r="CM408" s="51">
        <v>0.104</v>
      </c>
    </row>
    <row r="409" spans="1:91" s="50" customFormat="1" x14ac:dyDescent="0.25">
      <c r="A409" s="9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c r="BS409" s="51"/>
      <c r="BT409" s="51"/>
      <c r="BU409" s="51"/>
      <c r="BV409" s="51"/>
      <c r="BW409" s="51"/>
      <c r="BX409" s="51"/>
      <c r="BY409" s="51"/>
      <c r="BZ409" s="51"/>
      <c r="CA409" s="51"/>
      <c r="CB409" s="51"/>
      <c r="CC409" s="51"/>
      <c r="CD409" s="51"/>
      <c r="CE409" s="51"/>
      <c r="CF409" s="51"/>
      <c r="CG409" s="51"/>
      <c r="CH409" s="51"/>
      <c r="CI409" s="51"/>
      <c r="CJ409" s="51"/>
      <c r="CK409" s="51"/>
      <c r="CL409" s="51"/>
      <c r="CM409" s="51"/>
    </row>
    <row r="410" spans="1:91" s="50" customFormat="1" x14ac:dyDescent="0.25">
      <c r="A410" s="99" t="s">
        <v>176</v>
      </c>
      <c r="B410" s="4">
        <v>0</v>
      </c>
      <c r="C410" s="4">
        <v>0</v>
      </c>
      <c r="D410" s="4">
        <v>0</v>
      </c>
      <c r="E410" s="4">
        <v>0</v>
      </c>
      <c r="F410" s="4">
        <v>0</v>
      </c>
      <c r="G410" s="4">
        <v>0</v>
      </c>
      <c r="H410" s="4">
        <v>0</v>
      </c>
      <c r="I410" s="4">
        <v>0</v>
      </c>
      <c r="J410" s="4">
        <v>0</v>
      </c>
      <c r="K410" s="4">
        <v>0</v>
      </c>
      <c r="L410" s="4">
        <v>0</v>
      </c>
      <c r="M410" s="4">
        <v>0</v>
      </c>
      <c r="N410" s="4">
        <v>0</v>
      </c>
      <c r="O410" s="4">
        <v>0</v>
      </c>
      <c r="P410" s="4">
        <v>0</v>
      </c>
      <c r="Q410" s="4">
        <v>0</v>
      </c>
      <c r="R410" s="4">
        <v>0</v>
      </c>
      <c r="S410" s="4">
        <v>0</v>
      </c>
      <c r="T410" s="4">
        <v>0</v>
      </c>
      <c r="U410" s="4">
        <v>0</v>
      </c>
      <c r="V410" s="4">
        <v>0</v>
      </c>
      <c r="W410" s="4">
        <v>0</v>
      </c>
      <c r="X410" s="4">
        <v>0</v>
      </c>
      <c r="Y410" s="4">
        <v>0</v>
      </c>
      <c r="Z410" s="4">
        <v>0</v>
      </c>
      <c r="AA410" s="4">
        <v>0</v>
      </c>
      <c r="AB410" s="4">
        <v>0</v>
      </c>
      <c r="AC410" s="4">
        <v>0</v>
      </c>
      <c r="AD410" s="4">
        <v>0</v>
      </c>
      <c r="AE410" s="4">
        <v>0</v>
      </c>
      <c r="AF410" s="51">
        <v>3.0288636363636368E-3</v>
      </c>
      <c r="AG410" s="51">
        <v>3.1022727272727278E-3</v>
      </c>
      <c r="AH410" s="51">
        <v>3.1756818181818188E-3</v>
      </c>
      <c r="AI410" s="51">
        <v>3.2490909090909098E-3</v>
      </c>
      <c r="AJ410" s="51">
        <v>3.3225000000000008E-3</v>
      </c>
      <c r="AK410" s="51">
        <v>3.3959090909090918E-3</v>
      </c>
      <c r="AL410" s="51">
        <v>3.4693181818181828E-3</v>
      </c>
      <c r="AM410" s="51">
        <v>3.5427272727272738E-3</v>
      </c>
      <c r="AN410" s="51">
        <v>3.6161363636363648E-3</v>
      </c>
      <c r="AO410" s="51">
        <v>3.6895454545454558E-3</v>
      </c>
      <c r="AP410" s="51">
        <v>3.7629545454545468E-3</v>
      </c>
      <c r="AQ410" s="51">
        <v>3.8363636363636378E-3</v>
      </c>
      <c r="AR410" s="51">
        <v>3.9097727272727287E-3</v>
      </c>
      <c r="AS410" s="51">
        <v>3.9831818181818197E-3</v>
      </c>
      <c r="AT410" s="51">
        <v>4.0565909090909107E-3</v>
      </c>
      <c r="AU410" s="51">
        <v>4.1300000000000009E-3</v>
      </c>
      <c r="AV410" s="51">
        <v>4.1579545454545463E-3</v>
      </c>
      <c r="AW410" s="51">
        <v>4.1859090909090917E-3</v>
      </c>
      <c r="AX410" s="51">
        <v>4.2138636363636371E-3</v>
      </c>
      <c r="AY410" s="51">
        <v>4.2418181818181825E-3</v>
      </c>
      <c r="AZ410" s="51">
        <v>4.269772727272728E-3</v>
      </c>
      <c r="BA410" s="51">
        <v>4.2977272727272734E-3</v>
      </c>
      <c r="BB410" s="51">
        <v>4.3256818181818188E-3</v>
      </c>
      <c r="BC410" s="51">
        <v>4.3536363636363642E-3</v>
      </c>
      <c r="BD410" s="51">
        <v>4.3815909090909096E-3</v>
      </c>
      <c r="BE410" s="51">
        <v>4.4095454545454551E-3</v>
      </c>
      <c r="BF410" s="51">
        <v>4.4375000000000005E-3</v>
      </c>
      <c r="BG410" s="51">
        <v>4.4654545454545459E-3</v>
      </c>
      <c r="BH410" s="51">
        <v>4.4934090909090913E-3</v>
      </c>
      <c r="BI410" s="51">
        <v>4.5213636363636367E-3</v>
      </c>
      <c r="BJ410" s="51">
        <v>4.5493181818181821E-3</v>
      </c>
      <c r="BK410" s="51">
        <v>4.5772727272727276E-3</v>
      </c>
      <c r="BL410" s="51">
        <v>4.605227272727273E-3</v>
      </c>
      <c r="BM410" s="51">
        <v>4.6331818181818184E-3</v>
      </c>
      <c r="BN410" s="51">
        <v>4.6611363636363638E-3</v>
      </c>
      <c r="BO410" s="51">
        <v>4.6890909090909101E-3</v>
      </c>
      <c r="BP410" s="51">
        <v>4.7170454545454547E-3</v>
      </c>
      <c r="BQ410" s="51">
        <v>4.745000000000001E-3</v>
      </c>
      <c r="BR410" s="51">
        <v>4.7729545454545455E-3</v>
      </c>
      <c r="BS410" s="51">
        <v>4.8009090909090918E-3</v>
      </c>
      <c r="BT410" s="51">
        <v>4.8288636363636372E-3</v>
      </c>
      <c r="BU410" s="51">
        <v>4.8568181818181826E-3</v>
      </c>
      <c r="BV410" s="51">
        <v>4.8847727272727281E-3</v>
      </c>
      <c r="BW410" s="51">
        <v>4.9127272727272735E-3</v>
      </c>
      <c r="BX410" s="51">
        <v>4.9406818181818189E-3</v>
      </c>
      <c r="BY410" s="51">
        <v>4.9686363636363643E-3</v>
      </c>
      <c r="BZ410" s="51">
        <v>4.9965909090909097E-3</v>
      </c>
      <c r="CA410" s="51">
        <v>5.0245454545454551E-3</v>
      </c>
      <c r="CB410" s="51">
        <v>5.0525000000000006E-3</v>
      </c>
      <c r="CC410" s="51">
        <v>5.080454545454546E-3</v>
      </c>
      <c r="CD410" s="51">
        <v>5.1084090909090914E-3</v>
      </c>
      <c r="CE410" s="51">
        <v>5.1363636363636368E-3</v>
      </c>
      <c r="CF410" s="51">
        <v>5.1643181818181822E-3</v>
      </c>
      <c r="CG410" s="51">
        <v>5.1922727272727277E-3</v>
      </c>
      <c r="CH410" s="51">
        <v>5.2202272727272731E-3</v>
      </c>
      <c r="CI410" s="51">
        <v>5.2481818181818185E-3</v>
      </c>
      <c r="CJ410" s="51">
        <v>5.2761363636363639E-3</v>
      </c>
      <c r="CK410" s="51">
        <v>5.3040909090909093E-3</v>
      </c>
      <c r="CL410" s="51">
        <v>5.3320454545454548E-3</v>
      </c>
      <c r="CM410" s="51">
        <v>5.3600000000000002E-3</v>
      </c>
    </row>
    <row r="411" spans="1:91" s="50" customFormat="1" x14ac:dyDescent="0.25">
      <c r="A411" s="9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c r="BM411" s="51"/>
      <c r="BN411" s="51"/>
      <c r="BO411" s="51"/>
      <c r="BP411" s="51"/>
      <c r="BQ411" s="51"/>
      <c r="BR411" s="51"/>
      <c r="BS411" s="51"/>
      <c r="BT411" s="51"/>
      <c r="BU411" s="51"/>
      <c r="BV411" s="51"/>
      <c r="BW411" s="51"/>
      <c r="BX411" s="51"/>
      <c r="BY411" s="51"/>
      <c r="BZ411" s="51"/>
      <c r="CA411" s="51"/>
      <c r="CB411" s="51"/>
      <c r="CC411" s="51"/>
      <c r="CD411" s="51"/>
      <c r="CE411" s="51"/>
      <c r="CF411" s="51"/>
      <c r="CG411" s="51"/>
      <c r="CH411" s="51"/>
      <c r="CI411" s="51"/>
      <c r="CJ411" s="51"/>
      <c r="CK411" s="51"/>
      <c r="CL411" s="51"/>
      <c r="CM411" s="51"/>
    </row>
    <row r="412" spans="1:91" s="50" customFormat="1" x14ac:dyDescent="0.25">
      <c r="A412" s="99" t="s">
        <v>388</v>
      </c>
      <c r="B412" s="4">
        <v>0</v>
      </c>
      <c r="C412" s="4">
        <v>0</v>
      </c>
      <c r="D412" s="4">
        <v>0</v>
      </c>
      <c r="E412" s="4">
        <v>0</v>
      </c>
      <c r="F412" s="4">
        <v>0</v>
      </c>
      <c r="G412" s="4">
        <v>0</v>
      </c>
      <c r="H412" s="4">
        <v>0</v>
      </c>
      <c r="I412" s="4">
        <v>0</v>
      </c>
      <c r="J412" s="4">
        <v>0</v>
      </c>
      <c r="K412" s="4">
        <v>0</v>
      </c>
      <c r="L412" s="4">
        <v>0</v>
      </c>
      <c r="M412" s="4">
        <v>0</v>
      </c>
      <c r="N412" s="4">
        <v>0</v>
      </c>
      <c r="O412" s="4">
        <v>0</v>
      </c>
      <c r="P412" s="4">
        <v>0</v>
      </c>
      <c r="Q412" s="4">
        <v>0</v>
      </c>
      <c r="R412" s="4">
        <v>0</v>
      </c>
      <c r="S412" s="4">
        <v>0</v>
      </c>
      <c r="T412" s="4">
        <v>0</v>
      </c>
      <c r="U412" s="4">
        <v>0</v>
      </c>
      <c r="V412" s="4">
        <v>0</v>
      </c>
      <c r="W412" s="4">
        <v>0</v>
      </c>
      <c r="X412" s="4">
        <v>0</v>
      </c>
      <c r="Y412" s="4">
        <v>0</v>
      </c>
      <c r="Z412" s="4">
        <v>0</v>
      </c>
      <c r="AA412" s="4">
        <v>0</v>
      </c>
      <c r="AB412" s="4">
        <v>0</v>
      </c>
      <c r="AC412" s="4">
        <v>0</v>
      </c>
      <c r="AD412" s="4">
        <v>0</v>
      </c>
      <c r="AE412" s="4">
        <v>0</v>
      </c>
      <c r="AF412" s="51">
        <v>3.0288636363636368E-3</v>
      </c>
      <c r="AG412" s="51">
        <v>3.1022727272727278E-3</v>
      </c>
      <c r="AH412" s="51">
        <v>3.1756818181818188E-3</v>
      </c>
      <c r="AI412" s="51">
        <v>3.2490909090909098E-3</v>
      </c>
      <c r="AJ412" s="51">
        <v>3.3225000000000008E-3</v>
      </c>
      <c r="AK412" s="51">
        <v>3.3959090909090918E-3</v>
      </c>
      <c r="AL412" s="51">
        <v>3.4693181818181828E-3</v>
      </c>
      <c r="AM412" s="51">
        <v>3.5427272727272738E-3</v>
      </c>
      <c r="AN412" s="51">
        <v>3.6161363636363648E-3</v>
      </c>
      <c r="AO412" s="51">
        <v>3.6895454545454558E-3</v>
      </c>
      <c r="AP412" s="51">
        <v>3.7629545454545468E-3</v>
      </c>
      <c r="AQ412" s="51">
        <v>3.8363636363636378E-3</v>
      </c>
      <c r="AR412" s="51">
        <v>3.9097727272727287E-3</v>
      </c>
      <c r="AS412" s="51">
        <v>3.9831818181818197E-3</v>
      </c>
      <c r="AT412" s="51">
        <v>4.0565909090909107E-3</v>
      </c>
      <c r="AU412" s="51">
        <v>4.1300000000000009E-3</v>
      </c>
      <c r="AV412" s="51">
        <v>4.1579545454545463E-3</v>
      </c>
      <c r="AW412" s="51">
        <v>4.1859090909090917E-3</v>
      </c>
      <c r="AX412" s="51">
        <v>4.2138636363636371E-3</v>
      </c>
      <c r="AY412" s="51">
        <v>4.2418181818181825E-3</v>
      </c>
      <c r="AZ412" s="51">
        <v>4.269772727272728E-3</v>
      </c>
      <c r="BA412" s="51">
        <v>4.2977272727272734E-3</v>
      </c>
      <c r="BB412" s="51">
        <v>4.3256818181818188E-3</v>
      </c>
      <c r="BC412" s="51">
        <v>4.3536363636363642E-3</v>
      </c>
      <c r="BD412" s="51">
        <v>4.3815909090909096E-3</v>
      </c>
      <c r="BE412" s="51">
        <v>4.4095454545454551E-3</v>
      </c>
      <c r="BF412" s="51">
        <v>4.4375000000000005E-3</v>
      </c>
      <c r="BG412" s="51">
        <v>4.4654545454545459E-3</v>
      </c>
      <c r="BH412" s="51">
        <v>4.4934090909090913E-3</v>
      </c>
      <c r="BI412" s="51">
        <v>4.5213636363636367E-3</v>
      </c>
      <c r="BJ412" s="51">
        <v>4.5493181818181821E-3</v>
      </c>
      <c r="BK412" s="51">
        <v>4.5772727272727276E-3</v>
      </c>
      <c r="BL412" s="51">
        <v>4.605227272727273E-3</v>
      </c>
      <c r="BM412" s="51">
        <v>4.6331818181818184E-3</v>
      </c>
      <c r="BN412" s="51">
        <v>4.6611363636363638E-3</v>
      </c>
      <c r="BO412" s="51">
        <v>4.6890909090909101E-3</v>
      </c>
      <c r="BP412" s="51">
        <v>4.7170454545454547E-3</v>
      </c>
      <c r="BQ412" s="51">
        <v>4.745000000000001E-3</v>
      </c>
      <c r="BR412" s="51">
        <v>4.7729545454545455E-3</v>
      </c>
      <c r="BS412" s="51">
        <v>4.8009090909090918E-3</v>
      </c>
      <c r="BT412" s="51">
        <v>4.8288636363636372E-3</v>
      </c>
      <c r="BU412" s="51">
        <v>4.8568181818181826E-3</v>
      </c>
      <c r="BV412" s="51">
        <v>4.8847727272727281E-3</v>
      </c>
      <c r="BW412" s="51">
        <v>4.9127272727272735E-3</v>
      </c>
      <c r="BX412" s="51">
        <v>4.9406818181818189E-3</v>
      </c>
      <c r="BY412" s="51">
        <v>4.9686363636363643E-3</v>
      </c>
      <c r="BZ412" s="51">
        <v>4.9965909090909097E-3</v>
      </c>
      <c r="CA412" s="51">
        <v>5.0245454545454551E-3</v>
      </c>
      <c r="CB412" s="51">
        <v>5.0525000000000006E-3</v>
      </c>
      <c r="CC412" s="51">
        <v>5.080454545454546E-3</v>
      </c>
      <c r="CD412" s="51">
        <v>5.1084090909090914E-3</v>
      </c>
      <c r="CE412" s="51">
        <v>5.1363636363636368E-3</v>
      </c>
      <c r="CF412" s="51">
        <v>5.1643181818181822E-3</v>
      </c>
      <c r="CG412" s="51">
        <v>5.1922727272727277E-3</v>
      </c>
      <c r="CH412" s="51">
        <v>5.2202272727272731E-3</v>
      </c>
      <c r="CI412" s="51">
        <v>5.2481818181818185E-3</v>
      </c>
      <c r="CJ412" s="51">
        <v>5.2761363636363639E-3</v>
      </c>
      <c r="CK412" s="51">
        <v>5.3040909090909093E-3</v>
      </c>
      <c r="CL412" s="51">
        <v>5.3320454545454548E-3</v>
      </c>
      <c r="CM412" s="51">
        <v>5.3600000000000002E-3</v>
      </c>
    </row>
    <row r="413" spans="1:91" s="50" customFormat="1" x14ac:dyDescent="0.25">
      <c r="A413" s="9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c r="BI413" s="51"/>
      <c r="BJ413" s="51"/>
      <c r="BK413" s="51"/>
      <c r="BL413" s="51"/>
      <c r="BM413" s="51"/>
      <c r="BN413" s="51"/>
      <c r="BO413" s="51"/>
      <c r="BP413" s="51"/>
      <c r="BQ413" s="51"/>
      <c r="BR413" s="51"/>
      <c r="BS413" s="51"/>
      <c r="BT413" s="51"/>
      <c r="BU413" s="51"/>
      <c r="BV413" s="51"/>
      <c r="BW413" s="51"/>
      <c r="BX413" s="51"/>
      <c r="BY413" s="51"/>
      <c r="BZ413" s="51"/>
      <c r="CA413" s="51"/>
      <c r="CB413" s="51"/>
      <c r="CC413" s="51"/>
      <c r="CD413" s="51"/>
      <c r="CE413" s="51"/>
      <c r="CF413" s="51"/>
      <c r="CG413" s="51"/>
      <c r="CH413" s="51"/>
      <c r="CI413" s="51"/>
      <c r="CJ413" s="51"/>
      <c r="CK413" s="51"/>
      <c r="CL413" s="51"/>
      <c r="CM413" s="51"/>
    </row>
    <row r="414" spans="1:91" s="50" customFormat="1" x14ac:dyDescent="0.25">
      <c r="A414" s="99" t="s">
        <v>350</v>
      </c>
      <c r="B414" s="4">
        <v>0</v>
      </c>
      <c r="C414" s="4">
        <v>0</v>
      </c>
      <c r="D414" s="4">
        <v>0</v>
      </c>
      <c r="E414" s="4">
        <v>0</v>
      </c>
      <c r="F414" s="4">
        <v>0</v>
      </c>
      <c r="G414" s="4">
        <v>0</v>
      </c>
      <c r="H414" s="4">
        <v>0</v>
      </c>
      <c r="I414" s="4">
        <v>0</v>
      </c>
      <c r="J414" s="4">
        <v>0</v>
      </c>
      <c r="K414" s="4">
        <v>0</v>
      </c>
      <c r="L414" s="4">
        <v>0</v>
      </c>
      <c r="M414" s="4">
        <v>0</v>
      </c>
      <c r="N414" s="4">
        <v>0</v>
      </c>
      <c r="O414" s="4">
        <v>0</v>
      </c>
      <c r="P414" s="4">
        <v>0</v>
      </c>
      <c r="Q414" s="4">
        <v>0</v>
      </c>
      <c r="R414" s="4">
        <v>0</v>
      </c>
      <c r="S414" s="4">
        <v>0</v>
      </c>
      <c r="T414" s="4">
        <v>0</v>
      </c>
      <c r="U414" s="4">
        <v>0</v>
      </c>
      <c r="V414" s="4">
        <v>0</v>
      </c>
      <c r="W414" s="4">
        <v>0</v>
      </c>
      <c r="X414" s="4">
        <v>0</v>
      </c>
      <c r="Y414" s="4">
        <v>0</v>
      </c>
      <c r="Z414" s="4">
        <v>0</v>
      </c>
      <c r="AA414" s="4">
        <v>0</v>
      </c>
      <c r="AB414" s="4">
        <v>0</v>
      </c>
      <c r="AC414" s="4">
        <v>0</v>
      </c>
      <c r="AD414" s="4">
        <v>0</v>
      </c>
      <c r="AE414" s="4">
        <v>0</v>
      </c>
      <c r="AF414" s="51">
        <v>8.6618671127481966E-4</v>
      </c>
      <c r="AG414" s="51">
        <v>8.7332065560907562E-4</v>
      </c>
      <c r="AH414" s="51">
        <v>8.8045459994333169E-4</v>
      </c>
      <c r="AI414" s="51">
        <v>8.8758854427758765E-4</v>
      </c>
      <c r="AJ414" s="51">
        <v>8.9472248861184372E-4</v>
      </c>
      <c r="AK414" s="51">
        <v>9.0185643294609969E-4</v>
      </c>
      <c r="AL414" s="51">
        <v>9.0899037728035576E-4</v>
      </c>
      <c r="AM414" s="51">
        <v>9.1612432161461172E-4</v>
      </c>
      <c r="AN414" s="51">
        <v>9.2325826594886768E-4</v>
      </c>
      <c r="AO414" s="51">
        <v>9.3039221028312375E-4</v>
      </c>
      <c r="AP414" s="51">
        <v>9.3752615461737982E-4</v>
      </c>
      <c r="AQ414" s="51">
        <v>9.4466009895163578E-4</v>
      </c>
      <c r="AR414" s="51">
        <v>9.5179404328589175E-4</v>
      </c>
      <c r="AS414" s="51">
        <v>9.5892798762014782E-4</v>
      </c>
      <c r="AT414" s="51">
        <v>9.6606193195440389E-4</v>
      </c>
      <c r="AU414" s="51">
        <v>9.7319587628865985E-4</v>
      </c>
      <c r="AV414" s="51">
        <v>9.9072164948453621E-4</v>
      </c>
      <c r="AW414" s="51">
        <v>1.0082474226804125E-3</v>
      </c>
      <c r="AX414" s="51">
        <v>1.0257731958762887E-3</v>
      </c>
      <c r="AY414" s="51">
        <v>1.043298969072165E-3</v>
      </c>
      <c r="AZ414" s="51">
        <v>1.0608247422680412E-3</v>
      </c>
      <c r="BA414" s="51">
        <v>1.0783505154639175E-3</v>
      </c>
      <c r="BB414" s="51">
        <v>1.095876288659794E-3</v>
      </c>
      <c r="BC414" s="51">
        <v>1.1134020618556702E-3</v>
      </c>
      <c r="BD414" s="51">
        <v>1.1309278350515465E-3</v>
      </c>
      <c r="BE414" s="51">
        <v>1.1484536082474227E-3</v>
      </c>
      <c r="BF414" s="51">
        <v>1.165979381443299E-3</v>
      </c>
      <c r="BG414" s="51">
        <v>1.1835051546391752E-3</v>
      </c>
      <c r="BH414" s="51">
        <v>1.2010309278350515E-3</v>
      </c>
      <c r="BI414" s="51">
        <v>1.2185567010309277E-3</v>
      </c>
      <c r="BJ414" s="51">
        <v>1.236082474226804E-3</v>
      </c>
      <c r="BK414" s="51">
        <v>1.2536082474226805E-3</v>
      </c>
      <c r="BL414" s="51">
        <v>1.2711340206185567E-3</v>
      </c>
      <c r="BM414" s="51">
        <v>1.288659793814433E-3</v>
      </c>
      <c r="BN414" s="51">
        <v>1.3061855670103092E-3</v>
      </c>
      <c r="BO414" s="51">
        <v>1.3237113402061855E-3</v>
      </c>
      <c r="BP414" s="51">
        <v>1.3412371134020619E-3</v>
      </c>
      <c r="BQ414" s="51">
        <v>1.3587628865979382E-3</v>
      </c>
      <c r="BR414" s="51">
        <v>1.3762886597938145E-3</v>
      </c>
      <c r="BS414" s="51">
        <v>1.3938144329896907E-3</v>
      </c>
      <c r="BT414" s="51">
        <v>1.411340206185567E-3</v>
      </c>
      <c r="BU414" s="51">
        <v>1.4288659793814432E-3</v>
      </c>
      <c r="BV414" s="51">
        <v>1.4463917525773195E-3</v>
      </c>
      <c r="BW414" s="51">
        <v>1.4639175257731957E-3</v>
      </c>
      <c r="BX414" s="51">
        <v>1.481443298969072E-3</v>
      </c>
      <c r="BY414" s="51">
        <v>1.4989690721649482E-3</v>
      </c>
      <c r="BZ414" s="51">
        <v>1.5164948453608247E-3</v>
      </c>
      <c r="CA414" s="51">
        <v>1.534020618556701E-3</v>
      </c>
      <c r="CB414" s="51">
        <v>1.5515463917525772E-3</v>
      </c>
      <c r="CC414" s="51">
        <v>1.5690721649484537E-3</v>
      </c>
      <c r="CD414" s="51">
        <v>1.5865979381443299E-3</v>
      </c>
      <c r="CE414" s="51">
        <v>1.6041237113402062E-3</v>
      </c>
      <c r="CF414" s="51">
        <v>1.6216494845360824E-3</v>
      </c>
      <c r="CG414" s="51">
        <v>1.6391752577319587E-3</v>
      </c>
      <c r="CH414" s="51">
        <v>1.656701030927835E-3</v>
      </c>
      <c r="CI414" s="51">
        <v>1.6742268041237112E-3</v>
      </c>
      <c r="CJ414" s="51">
        <v>1.6917525773195875E-3</v>
      </c>
      <c r="CK414" s="51">
        <v>1.7092783505154637E-3</v>
      </c>
      <c r="CL414" s="51">
        <v>1.72680412371134E-3</v>
      </c>
      <c r="CM414" s="51">
        <v>1.7443298969072164E-3</v>
      </c>
    </row>
    <row r="415" spans="1:91" s="50" customFormat="1" x14ac:dyDescent="0.25">
      <c r="A415" s="9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51"/>
      <c r="BM415" s="51"/>
      <c r="BN415" s="51"/>
      <c r="BO415" s="51"/>
      <c r="BP415" s="51"/>
      <c r="BQ415" s="51"/>
      <c r="BR415" s="51"/>
      <c r="BS415" s="51"/>
      <c r="BT415" s="51"/>
      <c r="BU415" s="51"/>
      <c r="BV415" s="51"/>
      <c r="BW415" s="51"/>
      <c r="BX415" s="51"/>
      <c r="BY415" s="51"/>
      <c r="BZ415" s="51"/>
      <c r="CA415" s="51"/>
      <c r="CB415" s="51"/>
      <c r="CC415" s="51"/>
      <c r="CD415" s="51"/>
      <c r="CE415" s="51"/>
      <c r="CF415" s="51"/>
      <c r="CG415" s="51"/>
      <c r="CH415" s="51"/>
      <c r="CI415" s="51"/>
      <c r="CJ415" s="51"/>
      <c r="CK415" s="51"/>
      <c r="CL415" s="51"/>
      <c r="CM415" s="51"/>
    </row>
    <row r="416" spans="1:91" s="50" customFormat="1" x14ac:dyDescent="0.25">
      <c r="A416" s="99" t="s">
        <v>369</v>
      </c>
      <c r="B416" s="4">
        <v>0</v>
      </c>
      <c r="C416" s="4">
        <v>0</v>
      </c>
      <c r="D416" s="4">
        <v>0</v>
      </c>
      <c r="E416" s="4">
        <v>0</v>
      </c>
      <c r="F416" s="4">
        <v>0</v>
      </c>
      <c r="G416" s="4">
        <v>0</v>
      </c>
      <c r="H416" s="4">
        <v>0</v>
      </c>
      <c r="I416" s="4">
        <v>0</v>
      </c>
      <c r="J416" s="4">
        <v>0</v>
      </c>
      <c r="K416" s="4">
        <v>0</v>
      </c>
      <c r="L416" s="4">
        <v>0</v>
      </c>
      <c r="M416" s="4">
        <v>0</v>
      </c>
      <c r="N416" s="4">
        <v>0</v>
      </c>
      <c r="O416" s="4">
        <v>0</v>
      </c>
      <c r="P416" s="4">
        <v>0</v>
      </c>
      <c r="Q416" s="4">
        <v>0</v>
      </c>
      <c r="R416" s="4">
        <v>0</v>
      </c>
      <c r="S416" s="4">
        <v>0</v>
      </c>
      <c r="T416" s="4">
        <v>0</v>
      </c>
      <c r="U416" s="4">
        <v>0</v>
      </c>
      <c r="V416" s="4">
        <v>0</v>
      </c>
      <c r="W416" s="4">
        <v>0</v>
      </c>
      <c r="X416" s="4">
        <v>0</v>
      </c>
      <c r="Y416" s="4">
        <v>0</v>
      </c>
      <c r="Z416" s="4">
        <v>0</v>
      </c>
      <c r="AA416" s="4">
        <v>0</v>
      </c>
      <c r="AB416" s="4">
        <v>0</v>
      </c>
      <c r="AC416" s="4">
        <v>0</v>
      </c>
      <c r="AD416" s="4">
        <v>0</v>
      </c>
      <c r="AE416" s="4">
        <v>0</v>
      </c>
      <c r="AF416" s="51">
        <v>8.6618671127481966E-4</v>
      </c>
      <c r="AG416" s="51">
        <v>8.7332065560907562E-4</v>
      </c>
      <c r="AH416" s="51">
        <v>8.8045459994333169E-4</v>
      </c>
      <c r="AI416" s="51">
        <v>8.8758854427758765E-4</v>
      </c>
      <c r="AJ416" s="51">
        <v>8.9472248861184372E-4</v>
      </c>
      <c r="AK416" s="51">
        <v>9.0185643294609969E-4</v>
      </c>
      <c r="AL416" s="51">
        <v>9.0899037728035576E-4</v>
      </c>
      <c r="AM416" s="51">
        <v>9.1612432161461172E-4</v>
      </c>
      <c r="AN416" s="51">
        <v>9.2325826594886768E-4</v>
      </c>
      <c r="AO416" s="51">
        <v>9.3039221028312375E-4</v>
      </c>
      <c r="AP416" s="51">
        <v>9.3752615461737982E-4</v>
      </c>
      <c r="AQ416" s="51">
        <v>9.4466009895163578E-4</v>
      </c>
      <c r="AR416" s="51">
        <v>9.5179404328589175E-4</v>
      </c>
      <c r="AS416" s="51">
        <v>9.5892798762014782E-4</v>
      </c>
      <c r="AT416" s="51">
        <v>9.6606193195440389E-4</v>
      </c>
      <c r="AU416" s="51">
        <v>9.7319587628865985E-4</v>
      </c>
      <c r="AV416" s="51">
        <v>9.9072164948453621E-4</v>
      </c>
      <c r="AW416" s="51">
        <v>1.0082474226804125E-3</v>
      </c>
      <c r="AX416" s="51">
        <v>1.0257731958762887E-3</v>
      </c>
      <c r="AY416" s="51">
        <v>1.043298969072165E-3</v>
      </c>
      <c r="AZ416" s="51">
        <v>1.0608247422680412E-3</v>
      </c>
      <c r="BA416" s="51">
        <v>1.0783505154639175E-3</v>
      </c>
      <c r="BB416" s="51">
        <v>1.095876288659794E-3</v>
      </c>
      <c r="BC416" s="51">
        <v>1.1134020618556702E-3</v>
      </c>
      <c r="BD416" s="51">
        <v>1.1309278350515465E-3</v>
      </c>
      <c r="BE416" s="51">
        <v>1.1484536082474227E-3</v>
      </c>
      <c r="BF416" s="51">
        <v>1.165979381443299E-3</v>
      </c>
      <c r="BG416" s="51">
        <v>1.1835051546391752E-3</v>
      </c>
      <c r="BH416" s="51">
        <v>1.2010309278350515E-3</v>
      </c>
      <c r="BI416" s="51">
        <v>1.2185567010309277E-3</v>
      </c>
      <c r="BJ416" s="51">
        <v>1.236082474226804E-3</v>
      </c>
      <c r="BK416" s="51">
        <v>1.2536082474226805E-3</v>
      </c>
      <c r="BL416" s="51">
        <v>1.2711340206185567E-3</v>
      </c>
      <c r="BM416" s="51">
        <v>1.288659793814433E-3</v>
      </c>
      <c r="BN416" s="51">
        <v>1.3061855670103092E-3</v>
      </c>
      <c r="BO416" s="51">
        <v>1.3237113402061855E-3</v>
      </c>
      <c r="BP416" s="51">
        <v>1.3412371134020619E-3</v>
      </c>
      <c r="BQ416" s="51">
        <v>1.3587628865979382E-3</v>
      </c>
      <c r="BR416" s="51">
        <v>1.3762886597938145E-3</v>
      </c>
      <c r="BS416" s="51">
        <v>1.3938144329896907E-3</v>
      </c>
      <c r="BT416" s="51">
        <v>1.411340206185567E-3</v>
      </c>
      <c r="BU416" s="51">
        <v>1.4288659793814432E-3</v>
      </c>
      <c r="BV416" s="51">
        <v>1.4463917525773195E-3</v>
      </c>
      <c r="BW416" s="51">
        <v>1.4639175257731957E-3</v>
      </c>
      <c r="BX416" s="51">
        <v>1.481443298969072E-3</v>
      </c>
      <c r="BY416" s="51">
        <v>1.4989690721649482E-3</v>
      </c>
      <c r="BZ416" s="51">
        <v>1.5164948453608247E-3</v>
      </c>
      <c r="CA416" s="51">
        <v>1.534020618556701E-3</v>
      </c>
      <c r="CB416" s="51">
        <v>1.5515463917525772E-3</v>
      </c>
      <c r="CC416" s="51">
        <v>1.5690721649484537E-3</v>
      </c>
      <c r="CD416" s="51">
        <v>1.5865979381443299E-3</v>
      </c>
      <c r="CE416" s="51">
        <v>1.6041237113402062E-3</v>
      </c>
      <c r="CF416" s="51">
        <v>1.6216494845360824E-3</v>
      </c>
      <c r="CG416" s="51">
        <v>1.6391752577319587E-3</v>
      </c>
      <c r="CH416" s="51">
        <v>1.656701030927835E-3</v>
      </c>
      <c r="CI416" s="51">
        <v>1.6742268041237112E-3</v>
      </c>
      <c r="CJ416" s="51">
        <v>1.6917525773195875E-3</v>
      </c>
      <c r="CK416" s="51">
        <v>1.7092783505154637E-3</v>
      </c>
      <c r="CL416" s="51">
        <v>1.72680412371134E-3</v>
      </c>
      <c r="CM416" s="51">
        <v>1.7443298969072164E-3</v>
      </c>
    </row>
    <row r="417" spans="1:91" s="50" customFormat="1" x14ac:dyDescent="0.25">
      <c r="A417" s="9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c r="BM417" s="51"/>
      <c r="BN417" s="51"/>
      <c r="BO417" s="51"/>
      <c r="BP417" s="51"/>
      <c r="BQ417" s="51"/>
      <c r="BR417" s="51"/>
      <c r="BS417" s="51"/>
      <c r="BT417" s="51"/>
      <c r="BU417" s="51"/>
      <c r="BV417" s="51"/>
      <c r="BW417" s="51"/>
      <c r="BX417" s="51"/>
      <c r="BY417" s="51"/>
      <c r="BZ417" s="51"/>
      <c r="CA417" s="51"/>
      <c r="CB417" s="51"/>
      <c r="CC417" s="51"/>
      <c r="CD417" s="51"/>
      <c r="CE417" s="51"/>
      <c r="CF417" s="51"/>
      <c r="CG417" s="51"/>
      <c r="CH417" s="51"/>
      <c r="CI417" s="51"/>
      <c r="CJ417" s="51"/>
      <c r="CK417" s="51"/>
      <c r="CL417" s="51"/>
      <c r="CM417" s="51"/>
    </row>
    <row r="418" spans="1:91" s="50" customFormat="1" x14ac:dyDescent="0.25">
      <c r="A418" s="99" t="s">
        <v>177</v>
      </c>
      <c r="B418" s="4">
        <v>0</v>
      </c>
      <c r="C418" s="4">
        <v>0</v>
      </c>
      <c r="D418" s="4">
        <v>0</v>
      </c>
      <c r="E418" s="4">
        <v>0</v>
      </c>
      <c r="F418" s="4">
        <v>0</v>
      </c>
      <c r="G418" s="4">
        <v>0</v>
      </c>
      <c r="H418" s="4">
        <v>0</v>
      </c>
      <c r="I418" s="4">
        <v>0</v>
      </c>
      <c r="J418" s="4">
        <v>0</v>
      </c>
      <c r="K418" s="4">
        <v>0</v>
      </c>
      <c r="L418" s="4">
        <v>0</v>
      </c>
      <c r="M418" s="4">
        <v>0</v>
      </c>
      <c r="N418" s="4">
        <v>0</v>
      </c>
      <c r="O418" s="4">
        <v>0</v>
      </c>
      <c r="P418" s="4">
        <v>0</v>
      </c>
      <c r="Q418" s="4">
        <v>0</v>
      </c>
      <c r="R418" s="4">
        <v>0</v>
      </c>
      <c r="S418" s="4">
        <v>0</v>
      </c>
      <c r="T418" s="4">
        <v>0</v>
      </c>
      <c r="U418" s="4">
        <v>0</v>
      </c>
      <c r="V418" s="4">
        <v>0</v>
      </c>
      <c r="W418" s="4">
        <v>0</v>
      </c>
      <c r="X418" s="4">
        <v>0</v>
      </c>
      <c r="Y418" s="4">
        <v>0</v>
      </c>
      <c r="Z418" s="4">
        <v>0</v>
      </c>
      <c r="AA418" s="4">
        <v>0</v>
      </c>
      <c r="AB418" s="4">
        <v>0</v>
      </c>
      <c r="AC418" s="4">
        <v>0</v>
      </c>
      <c r="AD418" s="4">
        <v>0</v>
      </c>
      <c r="AE418" s="4">
        <v>0</v>
      </c>
      <c r="AF418" s="51">
        <v>2.8586557155908612E-3</v>
      </c>
      <c r="AG418" s="51">
        <v>2.909963886131464E-3</v>
      </c>
      <c r="AH418" s="51">
        <v>2.9612720566720677E-3</v>
      </c>
      <c r="AI418" s="51">
        <v>3.0125802272126705E-3</v>
      </c>
      <c r="AJ418" s="51">
        <v>3.0638883977532742E-3</v>
      </c>
      <c r="AK418" s="51">
        <v>3.1151965682938766E-3</v>
      </c>
      <c r="AL418" s="51">
        <v>3.1665047388344802E-3</v>
      </c>
      <c r="AM418" s="51">
        <v>3.2178129093750835E-3</v>
      </c>
      <c r="AN418" s="51">
        <v>3.2691210799156863E-3</v>
      </c>
      <c r="AO418" s="51">
        <v>3.3204292504562887E-3</v>
      </c>
      <c r="AP418" s="51">
        <v>3.3717374209968911E-3</v>
      </c>
      <c r="AQ418" s="51">
        <v>3.4230455915374956E-3</v>
      </c>
      <c r="AR418" s="51">
        <v>3.474353762078098E-3</v>
      </c>
      <c r="AS418" s="51">
        <v>3.5256619326187004E-3</v>
      </c>
      <c r="AT418" s="51">
        <v>3.5769701031593041E-3</v>
      </c>
      <c r="AU418" s="51">
        <v>3.6282782736999073E-3</v>
      </c>
      <c r="AV418" s="51">
        <v>3.6601435786098075E-3</v>
      </c>
      <c r="AW418" s="51">
        <v>3.6920088835197063E-3</v>
      </c>
      <c r="AX418" s="51">
        <v>3.7238741884296055E-3</v>
      </c>
      <c r="AY418" s="51">
        <v>3.7557394933395052E-3</v>
      </c>
      <c r="AZ418" s="51">
        <v>3.7876047982494045E-3</v>
      </c>
      <c r="BA418" s="51">
        <v>3.8194701031593042E-3</v>
      </c>
      <c r="BB418" s="51">
        <v>3.8513354080692043E-3</v>
      </c>
      <c r="BC418" s="51">
        <v>3.8832007129791031E-3</v>
      </c>
      <c r="BD418" s="51">
        <v>3.9150660178890037E-3</v>
      </c>
      <c r="BE418" s="51">
        <v>3.9469313227989029E-3</v>
      </c>
      <c r="BF418" s="51">
        <v>3.9787966277088022E-3</v>
      </c>
      <c r="BG418" s="51">
        <v>4.0106619326187015E-3</v>
      </c>
      <c r="BH418" s="51">
        <v>4.0425272375286016E-3</v>
      </c>
      <c r="BI418" s="51">
        <v>4.0743925424385008E-3</v>
      </c>
      <c r="BJ418" s="51">
        <v>4.1062578473483992E-3</v>
      </c>
      <c r="BK418" s="51">
        <v>4.1381231522582993E-3</v>
      </c>
      <c r="BL418" s="51">
        <v>4.1699884571681986E-3</v>
      </c>
      <c r="BM418" s="51">
        <v>4.2018537620780979E-3</v>
      </c>
      <c r="BN418" s="51">
        <v>4.233719066987998E-3</v>
      </c>
      <c r="BO418" s="51">
        <v>4.2655843718978972E-3</v>
      </c>
      <c r="BP418" s="51">
        <v>4.2974496768077956E-3</v>
      </c>
      <c r="BQ418" s="51">
        <v>4.3293149817176958E-3</v>
      </c>
      <c r="BR418" s="51">
        <v>4.3611802866275959E-3</v>
      </c>
      <c r="BS418" s="51">
        <v>4.3930455915374969E-3</v>
      </c>
      <c r="BT418" s="51">
        <v>4.4249108964473944E-3</v>
      </c>
      <c r="BU418" s="51">
        <v>4.4567762013572945E-3</v>
      </c>
      <c r="BV418" s="51">
        <v>4.4886415062671938E-3</v>
      </c>
      <c r="BW418" s="51">
        <v>4.520506811177093E-3</v>
      </c>
      <c r="BX418" s="51">
        <v>4.5523721160869923E-3</v>
      </c>
      <c r="BY418" s="51">
        <v>4.5842374209968924E-3</v>
      </c>
      <c r="BZ418" s="51">
        <v>4.6161027259067908E-3</v>
      </c>
      <c r="CA418" s="51">
        <v>4.6479680308166918E-3</v>
      </c>
      <c r="CB418" s="51">
        <v>4.6798333357265902E-3</v>
      </c>
      <c r="CC418" s="51">
        <v>4.7116986406364903E-3</v>
      </c>
      <c r="CD418" s="51">
        <v>4.7435639455463896E-3</v>
      </c>
      <c r="CE418" s="51">
        <v>4.7754292504562897E-3</v>
      </c>
      <c r="CF418" s="51">
        <v>4.8072945553661881E-3</v>
      </c>
      <c r="CG418" s="51">
        <v>4.8391598602760891E-3</v>
      </c>
      <c r="CH418" s="51">
        <v>4.8710251651859866E-3</v>
      </c>
      <c r="CI418" s="51">
        <v>4.9028904700958876E-3</v>
      </c>
      <c r="CJ418" s="51">
        <v>4.9347557750057851E-3</v>
      </c>
      <c r="CK418" s="51">
        <v>4.9666210799156861E-3</v>
      </c>
      <c r="CL418" s="51">
        <v>4.9984863848255862E-3</v>
      </c>
      <c r="CM418" s="51">
        <v>5.0303516897354846E-3</v>
      </c>
    </row>
    <row r="419" spans="1:91" s="50" customFormat="1" x14ac:dyDescent="0.25">
      <c r="A419" s="99" t="s">
        <v>1</v>
      </c>
      <c r="B419" s="4">
        <v>0</v>
      </c>
      <c r="C419" s="4">
        <v>0</v>
      </c>
      <c r="D419" s="4">
        <v>0</v>
      </c>
      <c r="E419" s="4">
        <v>0</v>
      </c>
      <c r="F419" s="4">
        <v>0</v>
      </c>
      <c r="G419" s="4">
        <v>0</v>
      </c>
      <c r="H419" s="4">
        <v>0</v>
      </c>
      <c r="I419" s="4">
        <v>0</v>
      </c>
      <c r="J419" s="4">
        <v>0</v>
      </c>
      <c r="K419" s="4">
        <v>0</v>
      </c>
      <c r="L419" s="4">
        <v>0</v>
      </c>
      <c r="M419" s="4">
        <v>0</v>
      </c>
      <c r="N419" s="4">
        <v>0</v>
      </c>
      <c r="O419" s="4">
        <v>0</v>
      </c>
      <c r="P419" s="4">
        <v>0</v>
      </c>
      <c r="Q419" s="4">
        <v>0</v>
      </c>
      <c r="R419" s="4">
        <v>0</v>
      </c>
      <c r="S419" s="4">
        <v>0</v>
      </c>
      <c r="T419" s="4">
        <v>0</v>
      </c>
      <c r="U419" s="4">
        <v>0</v>
      </c>
      <c r="V419" s="4">
        <v>0</v>
      </c>
      <c r="W419" s="4">
        <v>0</v>
      </c>
      <c r="X419" s="4">
        <v>0</v>
      </c>
      <c r="Y419" s="4">
        <v>0</v>
      </c>
      <c r="Z419" s="4">
        <v>0</v>
      </c>
      <c r="AA419" s="4">
        <v>0</v>
      </c>
      <c r="AB419" s="4">
        <v>0</v>
      </c>
      <c r="AC419" s="4">
        <v>0</v>
      </c>
      <c r="AD419" s="4">
        <v>0</v>
      </c>
      <c r="AE419" s="4">
        <v>0</v>
      </c>
      <c r="AF419" s="51">
        <v>2.21991625074704E-3</v>
      </c>
      <c r="AG419" s="51">
        <v>2.2566263371078163E-3</v>
      </c>
      <c r="AH419" s="51">
        <v>2.2933364234685931E-3</v>
      </c>
      <c r="AI419" s="51">
        <v>2.3300465098293689E-3</v>
      </c>
      <c r="AJ419" s="51">
        <v>2.3667565961901457E-3</v>
      </c>
      <c r="AK419" s="51">
        <v>2.403466682550922E-3</v>
      </c>
      <c r="AL419" s="51">
        <v>2.4401767689116983E-3</v>
      </c>
      <c r="AM419" s="51">
        <v>2.4768868552724754E-3</v>
      </c>
      <c r="AN419" s="51">
        <v>2.5135969416332517E-3</v>
      </c>
      <c r="AO419" s="51">
        <v>2.5503070279940276E-3</v>
      </c>
      <c r="AP419" s="51">
        <v>2.5870171143548043E-3</v>
      </c>
      <c r="AQ419" s="51">
        <v>2.6237272007155811E-3</v>
      </c>
      <c r="AR419" s="51">
        <v>2.6604372870763569E-3</v>
      </c>
      <c r="AS419" s="51">
        <v>2.6971473734371336E-3</v>
      </c>
      <c r="AT419" s="51">
        <v>2.7338574597979095E-3</v>
      </c>
      <c r="AU419" s="51">
        <v>2.7705675461586858E-3</v>
      </c>
      <c r="AV419" s="51">
        <v>2.7941732069956472E-3</v>
      </c>
      <c r="AW419" s="51">
        <v>2.8177788678326082E-3</v>
      </c>
      <c r="AX419" s="51">
        <v>2.8413845286695688E-3</v>
      </c>
      <c r="AY419" s="51">
        <v>2.8649901895065294E-3</v>
      </c>
      <c r="AZ419" s="51">
        <v>2.8885958503434904E-3</v>
      </c>
      <c r="BA419" s="51">
        <v>2.9122015111804514E-3</v>
      </c>
      <c r="BB419" s="51">
        <v>2.9358071720174115E-3</v>
      </c>
      <c r="BC419" s="51">
        <v>2.9594128328543738E-3</v>
      </c>
      <c r="BD419" s="51">
        <v>2.9830184936913344E-3</v>
      </c>
      <c r="BE419" s="51">
        <v>3.0066241545282949E-3</v>
      </c>
      <c r="BF419" s="51">
        <v>3.030229815365256E-3</v>
      </c>
      <c r="BG419" s="51">
        <v>3.0538354762022174E-3</v>
      </c>
      <c r="BH419" s="51">
        <v>3.0774411370391771E-3</v>
      </c>
      <c r="BI419" s="51">
        <v>3.1010467978761381E-3</v>
      </c>
      <c r="BJ419" s="51">
        <v>3.1246524587130987E-3</v>
      </c>
      <c r="BK419" s="51">
        <v>3.1482581195500597E-3</v>
      </c>
      <c r="BL419" s="51">
        <v>3.1718637803870211E-3</v>
      </c>
      <c r="BM419" s="51">
        <v>3.1954694412239821E-3</v>
      </c>
      <c r="BN419" s="51">
        <v>3.2190751020609435E-3</v>
      </c>
      <c r="BO419" s="51">
        <v>3.2426807628979037E-3</v>
      </c>
      <c r="BP419" s="51">
        <v>3.2662864237348651E-3</v>
      </c>
      <c r="BQ419" s="51">
        <v>3.2898920845718252E-3</v>
      </c>
      <c r="BR419" s="51">
        <v>3.3134977454087858E-3</v>
      </c>
      <c r="BS419" s="51">
        <v>3.3371034062457468E-3</v>
      </c>
      <c r="BT419" s="51">
        <v>3.3607090670827078E-3</v>
      </c>
      <c r="BU419" s="51">
        <v>3.3843147279196684E-3</v>
      </c>
      <c r="BV419" s="51">
        <v>3.4079203887566302E-3</v>
      </c>
      <c r="BW419" s="51">
        <v>3.4315260495935899E-3</v>
      </c>
      <c r="BX419" s="51">
        <v>3.4551317104305514E-3</v>
      </c>
      <c r="BY419" s="51">
        <v>3.4787373712675128E-3</v>
      </c>
      <c r="BZ419" s="51">
        <v>3.5023430321044729E-3</v>
      </c>
      <c r="CA419" s="51">
        <v>3.5259486929414339E-3</v>
      </c>
      <c r="CB419" s="51">
        <v>3.5495543537783945E-3</v>
      </c>
      <c r="CC419" s="51">
        <v>3.5731600146153551E-3</v>
      </c>
      <c r="CD419" s="51">
        <v>3.5967656754523165E-3</v>
      </c>
      <c r="CE419" s="51">
        <v>3.6203713362892771E-3</v>
      </c>
      <c r="CF419" s="51">
        <v>3.6439769971262381E-3</v>
      </c>
      <c r="CG419" s="51">
        <v>3.6675826579631995E-3</v>
      </c>
      <c r="CH419" s="51">
        <v>3.6911883188001609E-3</v>
      </c>
      <c r="CI419" s="51">
        <v>3.7147939796371206E-3</v>
      </c>
      <c r="CJ419" s="51">
        <v>3.7383996404740821E-3</v>
      </c>
      <c r="CK419" s="51">
        <v>3.7620053013110422E-3</v>
      </c>
      <c r="CL419" s="51">
        <v>3.7856109621480032E-3</v>
      </c>
      <c r="CM419" s="51">
        <v>3.8092166229849646E-3</v>
      </c>
    </row>
    <row r="420" spans="1:91" s="50" customFormat="1" x14ac:dyDescent="0.25">
      <c r="A420" s="99" t="s">
        <v>1</v>
      </c>
      <c r="B420" s="4">
        <v>0</v>
      </c>
      <c r="C420" s="4">
        <v>0</v>
      </c>
      <c r="D420" s="4">
        <v>0</v>
      </c>
      <c r="E420" s="4">
        <v>0</v>
      </c>
      <c r="F420" s="4">
        <v>0</v>
      </c>
      <c r="G420" s="4">
        <v>0</v>
      </c>
      <c r="H420" s="4">
        <v>0</v>
      </c>
      <c r="I420" s="4">
        <v>0</v>
      </c>
      <c r="J420" s="4">
        <v>0</v>
      </c>
      <c r="K420" s="4">
        <v>0</v>
      </c>
      <c r="L420" s="4">
        <v>0</v>
      </c>
      <c r="M420" s="4">
        <v>0</v>
      </c>
      <c r="N420" s="4">
        <v>0</v>
      </c>
      <c r="O420" s="4">
        <v>0</v>
      </c>
      <c r="P420" s="4">
        <v>0</v>
      </c>
      <c r="Q420" s="4">
        <v>0</v>
      </c>
      <c r="R420" s="4">
        <v>0</v>
      </c>
      <c r="S420" s="4">
        <v>0</v>
      </c>
      <c r="T420" s="4">
        <v>0</v>
      </c>
      <c r="U420" s="4">
        <v>0</v>
      </c>
      <c r="V420" s="4">
        <v>0</v>
      </c>
      <c r="W420" s="4">
        <v>0</v>
      </c>
      <c r="X420" s="4">
        <v>0</v>
      </c>
      <c r="Y420" s="4">
        <v>0</v>
      </c>
      <c r="Z420" s="4">
        <v>0</v>
      </c>
      <c r="AA420" s="4">
        <v>0</v>
      </c>
      <c r="AB420" s="4">
        <v>0</v>
      </c>
      <c r="AC420" s="4">
        <v>0</v>
      </c>
      <c r="AD420" s="4">
        <v>0</v>
      </c>
      <c r="AE420" s="4">
        <v>0</v>
      </c>
      <c r="AF420" s="51">
        <v>3.2695631189309741E-3</v>
      </c>
      <c r="AG420" s="51">
        <v>3.3190680876783053E-3</v>
      </c>
      <c r="AH420" s="51">
        <v>3.3685730564256351E-3</v>
      </c>
      <c r="AI420" s="51">
        <v>3.4180780251729654E-3</v>
      </c>
      <c r="AJ420" s="51">
        <v>3.4675829939202975E-3</v>
      </c>
      <c r="AK420" s="51">
        <v>3.5170879626676278E-3</v>
      </c>
      <c r="AL420" s="51">
        <v>3.566592931414959E-3</v>
      </c>
      <c r="AM420" s="51">
        <v>3.6160979001622893E-3</v>
      </c>
      <c r="AN420" s="51">
        <v>3.66560286890962E-3</v>
      </c>
      <c r="AO420" s="51">
        <v>3.7151078376569512E-3</v>
      </c>
      <c r="AP420" s="51">
        <v>3.764612806404282E-3</v>
      </c>
      <c r="AQ420" s="51">
        <v>3.8141177751516123E-3</v>
      </c>
      <c r="AR420" s="51">
        <v>3.8636227438989435E-3</v>
      </c>
      <c r="AS420" s="51">
        <v>3.9131277126462733E-3</v>
      </c>
      <c r="AT420" s="51">
        <v>3.9626326813936045E-3</v>
      </c>
      <c r="AU420" s="51">
        <v>4.0121376501409357E-3</v>
      </c>
      <c r="AV420" s="51">
        <v>4.0409850921853223E-3</v>
      </c>
      <c r="AW420" s="51">
        <v>4.0698325342297097E-3</v>
      </c>
      <c r="AX420" s="51">
        <v>4.0986799762740963E-3</v>
      </c>
      <c r="AY420" s="51">
        <v>4.127527418318482E-3</v>
      </c>
      <c r="AZ420" s="51">
        <v>4.1563748603628704E-3</v>
      </c>
      <c r="BA420" s="51">
        <v>4.1852223024072561E-3</v>
      </c>
      <c r="BB420" s="51">
        <v>4.2140697444516435E-3</v>
      </c>
      <c r="BC420" s="51">
        <v>4.2429171864960301E-3</v>
      </c>
      <c r="BD420" s="51">
        <v>4.2717646285404158E-3</v>
      </c>
      <c r="BE420" s="51">
        <v>4.3006120705848042E-3</v>
      </c>
      <c r="BF420" s="51">
        <v>4.3294595126291899E-3</v>
      </c>
      <c r="BG420" s="51">
        <v>4.3583069546735782E-3</v>
      </c>
      <c r="BH420" s="51">
        <v>4.3871543967179639E-3</v>
      </c>
      <c r="BI420" s="51">
        <v>4.4160018387623514E-3</v>
      </c>
      <c r="BJ420" s="51">
        <v>4.444849280806738E-3</v>
      </c>
      <c r="BK420" s="51">
        <v>4.4736967228511245E-3</v>
      </c>
      <c r="BL420" s="51">
        <v>4.5025441648955111E-3</v>
      </c>
      <c r="BM420" s="51">
        <v>4.5313916069398994E-3</v>
      </c>
      <c r="BN420" s="51">
        <v>4.5602390489842852E-3</v>
      </c>
      <c r="BO420" s="51">
        <v>4.5890864910286726E-3</v>
      </c>
      <c r="BP420" s="51">
        <v>4.6179339330730601E-3</v>
      </c>
      <c r="BQ420" s="51">
        <v>4.6467813751174458E-3</v>
      </c>
      <c r="BR420" s="51">
        <v>4.6756288171618332E-3</v>
      </c>
      <c r="BS420" s="51">
        <v>4.7044762592062198E-3</v>
      </c>
      <c r="BT420" s="51">
        <v>4.7333237012506073E-3</v>
      </c>
      <c r="BU420" s="51">
        <v>4.762171143294993E-3</v>
      </c>
      <c r="BV420" s="51">
        <v>4.7910185853393805E-3</v>
      </c>
      <c r="BW420" s="51">
        <v>4.8198660273837679E-3</v>
      </c>
      <c r="BX420" s="51">
        <v>4.8487134694281545E-3</v>
      </c>
      <c r="BY420" s="51">
        <v>4.8775609114725419E-3</v>
      </c>
      <c r="BZ420" s="51">
        <v>4.9064083535169277E-3</v>
      </c>
      <c r="CA420" s="51">
        <v>4.9352557955613151E-3</v>
      </c>
      <c r="CB420" s="51">
        <v>4.9641032376057017E-3</v>
      </c>
      <c r="CC420" s="51">
        <v>4.9929506796500883E-3</v>
      </c>
      <c r="CD420" s="51">
        <v>5.0217981216944757E-3</v>
      </c>
      <c r="CE420" s="51">
        <v>5.0506455637388623E-3</v>
      </c>
      <c r="CF420" s="51">
        <v>5.0794930057832489E-3</v>
      </c>
      <c r="CG420" s="51">
        <v>5.1083404478276355E-3</v>
      </c>
      <c r="CH420" s="51">
        <v>5.1371878898720212E-3</v>
      </c>
      <c r="CI420" s="51">
        <v>5.1660353319164087E-3</v>
      </c>
      <c r="CJ420" s="51">
        <v>5.1948827739607961E-3</v>
      </c>
      <c r="CK420" s="51">
        <v>5.2237302160051836E-3</v>
      </c>
      <c r="CL420" s="51">
        <v>5.252577658049571E-3</v>
      </c>
      <c r="CM420" s="51">
        <v>5.2814251000939559E-3</v>
      </c>
    </row>
    <row r="421" spans="1:91" s="50" customFormat="1" x14ac:dyDescent="0.25">
      <c r="A421" s="99" t="s">
        <v>1</v>
      </c>
      <c r="B421" s="4">
        <v>0</v>
      </c>
      <c r="C421" s="4">
        <v>0</v>
      </c>
      <c r="D421" s="4">
        <v>0</v>
      </c>
      <c r="E421" s="4">
        <v>0</v>
      </c>
      <c r="F421" s="4">
        <v>0</v>
      </c>
      <c r="G421" s="4">
        <v>0</v>
      </c>
      <c r="H421" s="4">
        <v>0</v>
      </c>
      <c r="I421" s="4">
        <v>0</v>
      </c>
      <c r="J421" s="4">
        <v>0</v>
      </c>
      <c r="K421" s="4">
        <v>0</v>
      </c>
      <c r="L421" s="4">
        <v>0</v>
      </c>
      <c r="M421" s="4">
        <v>0</v>
      </c>
      <c r="N421" s="4">
        <v>0</v>
      </c>
      <c r="O421" s="4">
        <v>0</v>
      </c>
      <c r="P421" s="4">
        <v>0</v>
      </c>
      <c r="Q421" s="4">
        <v>0</v>
      </c>
      <c r="R421" s="4">
        <v>0</v>
      </c>
      <c r="S421" s="4">
        <v>0</v>
      </c>
      <c r="T421" s="4">
        <v>0</v>
      </c>
      <c r="U421" s="4">
        <v>0</v>
      </c>
      <c r="V421" s="4">
        <v>0</v>
      </c>
      <c r="W421" s="4">
        <v>0</v>
      </c>
      <c r="X421" s="4">
        <v>0</v>
      </c>
      <c r="Y421" s="4">
        <v>0</v>
      </c>
      <c r="Z421" s="4">
        <v>0</v>
      </c>
      <c r="AA421" s="4">
        <v>0</v>
      </c>
      <c r="AB421" s="4">
        <v>0</v>
      </c>
      <c r="AC421" s="4">
        <v>0</v>
      </c>
      <c r="AD421" s="4">
        <v>0</v>
      </c>
      <c r="AE421" s="4">
        <v>0</v>
      </c>
      <c r="AF421" s="51">
        <v>1.4251346260975677E-3</v>
      </c>
      <c r="AG421" s="51">
        <v>1.4394010133432365E-3</v>
      </c>
      <c r="AH421" s="51">
        <v>1.4536674005889065E-3</v>
      </c>
      <c r="AI421" s="51">
        <v>1.4679337878345756E-3</v>
      </c>
      <c r="AJ421" s="51">
        <v>1.4822001750802451E-3</v>
      </c>
      <c r="AK421" s="51">
        <v>1.4964665623259147E-3</v>
      </c>
      <c r="AL421" s="51">
        <v>1.5107329495715842E-3</v>
      </c>
      <c r="AM421" s="51">
        <v>1.5249993368172535E-3</v>
      </c>
      <c r="AN421" s="51">
        <v>1.5392657240629226E-3</v>
      </c>
      <c r="AO421" s="51">
        <v>1.5535321113085924E-3</v>
      </c>
      <c r="AP421" s="51">
        <v>1.5677984985542617E-3</v>
      </c>
      <c r="AQ421" s="51">
        <v>1.5820648857999312E-3</v>
      </c>
      <c r="AR421" s="51">
        <v>1.5963312730456008E-3</v>
      </c>
      <c r="AS421" s="51">
        <v>1.6105976602912699E-3</v>
      </c>
      <c r="AT421" s="51">
        <v>1.6248640475369394E-3</v>
      </c>
      <c r="AU421" s="51">
        <v>1.6391304347826087E-3</v>
      </c>
      <c r="AV421" s="51">
        <v>1.6512056578914661E-3</v>
      </c>
      <c r="AW421" s="51">
        <v>1.6632808810003231E-3</v>
      </c>
      <c r="AX421" s="51">
        <v>1.6753561041091803E-3</v>
      </c>
      <c r="AY421" s="51">
        <v>1.6874313272180379E-3</v>
      </c>
      <c r="AZ421" s="51">
        <v>1.6995065503268951E-3</v>
      </c>
      <c r="BA421" s="51">
        <v>1.7115817734357521E-3</v>
      </c>
      <c r="BB421" s="51">
        <v>1.7236569965446093E-3</v>
      </c>
      <c r="BC421" s="51">
        <v>1.7357322196534667E-3</v>
      </c>
      <c r="BD421" s="51">
        <v>1.7478074427623236E-3</v>
      </c>
      <c r="BE421" s="51">
        <v>1.759882665871181E-3</v>
      </c>
      <c r="BF421" s="51">
        <v>1.7719578889800382E-3</v>
      </c>
      <c r="BG421" s="51">
        <v>1.7840331120888959E-3</v>
      </c>
      <c r="BH421" s="51">
        <v>1.7961083351977531E-3</v>
      </c>
      <c r="BI421" s="51">
        <v>1.8081835583066094E-3</v>
      </c>
      <c r="BJ421" s="51">
        <v>1.8202587814154672E-3</v>
      </c>
      <c r="BK421" s="51">
        <v>1.8323340045243244E-3</v>
      </c>
      <c r="BL421" s="51">
        <v>1.844409227633182E-3</v>
      </c>
      <c r="BM421" s="51">
        <v>1.8564844507420388E-3</v>
      </c>
      <c r="BN421" s="51">
        <v>1.8685596738508962E-3</v>
      </c>
      <c r="BO421" s="51">
        <v>1.8806348969597534E-3</v>
      </c>
      <c r="BP421" s="51">
        <v>1.8927101200686108E-3</v>
      </c>
      <c r="BQ421" s="51">
        <v>1.9047853431774678E-3</v>
      </c>
      <c r="BR421" s="51">
        <v>1.9168605662863256E-3</v>
      </c>
      <c r="BS421" s="51">
        <v>1.9289357893951824E-3</v>
      </c>
      <c r="BT421" s="51">
        <v>1.9410110125040402E-3</v>
      </c>
      <c r="BU421" s="51">
        <v>1.9530862356128972E-3</v>
      </c>
      <c r="BV421" s="51">
        <v>1.9651614587217541E-3</v>
      </c>
      <c r="BW421" s="51">
        <v>1.9772366818306113E-3</v>
      </c>
      <c r="BX421" s="51">
        <v>1.989311904939469E-3</v>
      </c>
      <c r="BY421" s="51">
        <v>2.0013871280483257E-3</v>
      </c>
      <c r="BZ421" s="51">
        <v>2.0134623511571829E-3</v>
      </c>
      <c r="CA421" s="51">
        <v>2.0255375742660405E-3</v>
      </c>
      <c r="CB421" s="51">
        <v>2.0376127973748973E-3</v>
      </c>
      <c r="CC421" s="51">
        <v>2.0496880204837549E-3</v>
      </c>
      <c r="CD421" s="51">
        <v>2.0617632435926121E-3</v>
      </c>
      <c r="CE421" s="51">
        <v>2.0738384667014697E-3</v>
      </c>
      <c r="CF421" s="51">
        <v>2.0859136898103261E-3</v>
      </c>
      <c r="CG421" s="51">
        <v>2.0979889129191837E-3</v>
      </c>
      <c r="CH421" s="51">
        <v>2.1100641360280409E-3</v>
      </c>
      <c r="CI421" s="51">
        <v>2.1221393591368985E-3</v>
      </c>
      <c r="CJ421" s="51">
        <v>2.1342145822457557E-3</v>
      </c>
      <c r="CK421" s="51">
        <v>2.1462898053546129E-3</v>
      </c>
      <c r="CL421" s="51">
        <v>2.1583650284634701E-3</v>
      </c>
      <c r="CM421" s="51">
        <v>2.1704402515723277E-3</v>
      </c>
    </row>
    <row r="422" spans="1:91" s="50" customFormat="1" x14ac:dyDescent="0.25">
      <c r="A422" s="99" t="s">
        <v>1</v>
      </c>
      <c r="B422" s="4">
        <v>0</v>
      </c>
      <c r="C422" s="4">
        <v>0</v>
      </c>
      <c r="D422" s="4">
        <v>0</v>
      </c>
      <c r="E422" s="4">
        <v>0</v>
      </c>
      <c r="F422" s="4">
        <v>0</v>
      </c>
      <c r="G422" s="4">
        <v>0</v>
      </c>
      <c r="H422" s="4">
        <v>0</v>
      </c>
      <c r="I422" s="4">
        <v>0</v>
      </c>
      <c r="J422" s="4">
        <v>0</v>
      </c>
      <c r="K422" s="4">
        <v>0</v>
      </c>
      <c r="L422" s="4">
        <v>0</v>
      </c>
      <c r="M422" s="4">
        <v>0</v>
      </c>
      <c r="N422" s="4">
        <v>0</v>
      </c>
      <c r="O422" s="4">
        <v>0</v>
      </c>
      <c r="P422" s="4">
        <v>0</v>
      </c>
      <c r="Q422" s="4">
        <v>0</v>
      </c>
      <c r="R422" s="4">
        <v>0</v>
      </c>
      <c r="S422" s="4">
        <v>0</v>
      </c>
      <c r="T422" s="4">
        <v>0</v>
      </c>
      <c r="U422" s="4">
        <v>0</v>
      </c>
      <c r="V422" s="4">
        <v>0</v>
      </c>
      <c r="W422" s="4">
        <v>0</v>
      </c>
      <c r="X422" s="4">
        <v>0</v>
      </c>
      <c r="Y422" s="4">
        <v>0</v>
      </c>
      <c r="Z422" s="4">
        <v>0</v>
      </c>
      <c r="AA422" s="4">
        <v>0</v>
      </c>
      <c r="AB422" s="4">
        <v>0</v>
      </c>
      <c r="AC422" s="4">
        <v>0</v>
      </c>
      <c r="AD422" s="4">
        <v>0</v>
      </c>
      <c r="AE422" s="4">
        <v>0</v>
      </c>
      <c r="AF422" s="51">
        <v>1.6577549140049134E-3</v>
      </c>
      <c r="AG422" s="51">
        <v>1.6804361179361179E-3</v>
      </c>
      <c r="AH422" s="51">
        <v>1.7031173218673219E-3</v>
      </c>
      <c r="AI422" s="51">
        <v>1.7257985257985258E-3</v>
      </c>
      <c r="AJ422" s="51">
        <v>1.7484797297297294E-3</v>
      </c>
      <c r="AK422" s="51">
        <v>1.7711609336609332E-3</v>
      </c>
      <c r="AL422" s="51">
        <v>1.7938421375921377E-3</v>
      </c>
      <c r="AM422" s="51">
        <v>1.8165233415233415E-3</v>
      </c>
      <c r="AN422" s="51">
        <v>1.8392045454545453E-3</v>
      </c>
      <c r="AO422" s="51">
        <v>1.8618857493857496E-3</v>
      </c>
      <c r="AP422" s="51">
        <v>1.8845669533169532E-3</v>
      </c>
      <c r="AQ422" s="51">
        <v>1.9072481572481575E-3</v>
      </c>
      <c r="AR422" s="51">
        <v>1.9299293611793611E-3</v>
      </c>
      <c r="AS422" s="51">
        <v>1.9526105651105647E-3</v>
      </c>
      <c r="AT422" s="51">
        <v>1.9752917690417696E-3</v>
      </c>
      <c r="AU422" s="51">
        <v>1.9979729729729728E-3</v>
      </c>
      <c r="AV422" s="51">
        <v>2.0184735872235877E-3</v>
      </c>
      <c r="AW422" s="51">
        <v>2.0389742014742013E-3</v>
      </c>
      <c r="AX422" s="51">
        <v>2.0594748157248153E-3</v>
      </c>
      <c r="AY422" s="51">
        <v>2.0799754299754298E-3</v>
      </c>
      <c r="AZ422" s="51">
        <v>2.1004760442260443E-3</v>
      </c>
      <c r="BA422" s="51">
        <v>2.1209766584766587E-3</v>
      </c>
      <c r="BB422" s="51">
        <v>2.1414772727272723E-3</v>
      </c>
      <c r="BC422" s="51">
        <v>2.1619778869778868E-3</v>
      </c>
      <c r="BD422" s="51">
        <v>2.1824785012285013E-3</v>
      </c>
      <c r="BE422" s="51">
        <v>2.2029791154791153E-3</v>
      </c>
      <c r="BF422" s="51">
        <v>2.2234797297297293E-3</v>
      </c>
      <c r="BG422" s="51">
        <v>2.2439803439803438E-3</v>
      </c>
      <c r="BH422" s="51">
        <v>2.2644809582309583E-3</v>
      </c>
      <c r="BI422" s="51">
        <v>2.2849815724815723E-3</v>
      </c>
      <c r="BJ422" s="51">
        <v>2.3054821867321868E-3</v>
      </c>
      <c r="BK422" s="51">
        <v>2.3259828009828008E-3</v>
      </c>
      <c r="BL422" s="51">
        <v>2.3464834152334153E-3</v>
      </c>
      <c r="BM422" s="51">
        <v>2.3669840294840293E-3</v>
      </c>
      <c r="BN422" s="51">
        <v>2.3874846437346438E-3</v>
      </c>
      <c r="BO422" s="51">
        <v>2.4079852579852574E-3</v>
      </c>
      <c r="BP422" s="51">
        <v>2.4284858722358718E-3</v>
      </c>
      <c r="BQ422" s="51">
        <v>2.4489864864864859E-3</v>
      </c>
      <c r="BR422" s="51">
        <v>2.4694871007371003E-3</v>
      </c>
      <c r="BS422" s="51">
        <v>2.4899877149877148E-3</v>
      </c>
      <c r="BT422" s="51">
        <v>2.5104883292383293E-3</v>
      </c>
      <c r="BU422" s="51">
        <v>2.5309889434889433E-3</v>
      </c>
      <c r="BV422" s="51">
        <v>2.5514895577395573E-3</v>
      </c>
      <c r="BW422" s="51">
        <v>2.5719901719901722E-3</v>
      </c>
      <c r="BX422" s="51">
        <v>2.5924907862407863E-3</v>
      </c>
      <c r="BY422" s="51">
        <v>2.6129914004914007E-3</v>
      </c>
      <c r="BZ422" s="51">
        <v>2.6334920147420139E-3</v>
      </c>
      <c r="CA422" s="51">
        <v>2.6539926289926284E-3</v>
      </c>
      <c r="CB422" s="51">
        <v>2.6744932432432428E-3</v>
      </c>
      <c r="CC422" s="51">
        <v>2.6949938574938573E-3</v>
      </c>
      <c r="CD422" s="51">
        <v>2.7154944717444713E-3</v>
      </c>
      <c r="CE422" s="51">
        <v>2.7359950859950858E-3</v>
      </c>
      <c r="CF422" s="51">
        <v>2.7564957002457007E-3</v>
      </c>
      <c r="CG422" s="51">
        <v>2.7769963144963143E-3</v>
      </c>
      <c r="CH422" s="51">
        <v>2.7974969287469288E-3</v>
      </c>
      <c r="CI422" s="51">
        <v>2.8179975429975424E-3</v>
      </c>
      <c r="CJ422" s="51">
        <v>2.8384981572481573E-3</v>
      </c>
      <c r="CK422" s="51">
        <v>2.8589987714987713E-3</v>
      </c>
      <c r="CL422" s="51">
        <v>2.8794993857493853E-3</v>
      </c>
      <c r="CM422" s="51">
        <v>2.8999999999999998E-3</v>
      </c>
    </row>
    <row r="423" spans="1:91" s="50" customFormat="1" x14ac:dyDescent="0.25">
      <c r="A423" s="99" t="s">
        <v>1</v>
      </c>
      <c r="B423" s="4">
        <v>0</v>
      </c>
      <c r="C423" s="4">
        <v>0</v>
      </c>
      <c r="D423" s="4">
        <v>0</v>
      </c>
      <c r="E423" s="4">
        <v>0</v>
      </c>
      <c r="F423" s="4">
        <v>0</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c r="X423" s="4">
        <v>0</v>
      </c>
      <c r="Y423" s="4">
        <v>0</v>
      </c>
      <c r="Z423" s="4">
        <v>0</v>
      </c>
      <c r="AA423" s="4">
        <v>0</v>
      </c>
      <c r="AB423" s="4">
        <v>0</v>
      </c>
      <c r="AC423" s="4">
        <v>0</v>
      </c>
      <c r="AD423" s="4">
        <v>0</v>
      </c>
      <c r="AE423" s="4">
        <v>0</v>
      </c>
      <c r="AF423" s="51">
        <v>6.1522727272727278E-2</v>
      </c>
      <c r="AG423" s="51">
        <v>6.1954545454545457E-2</v>
      </c>
      <c r="AH423" s="51">
        <v>6.2386363636363643E-2</v>
      </c>
      <c r="AI423" s="51">
        <v>6.2818181818181829E-2</v>
      </c>
      <c r="AJ423" s="51">
        <v>6.3250000000000001E-2</v>
      </c>
      <c r="AK423" s="51">
        <v>6.3681818181818187E-2</v>
      </c>
      <c r="AL423" s="51">
        <v>6.4113636363636373E-2</v>
      </c>
      <c r="AM423" s="51">
        <v>6.4545454545454545E-2</v>
      </c>
      <c r="AN423" s="51">
        <v>6.4977272727272731E-2</v>
      </c>
      <c r="AO423" s="51">
        <v>6.5409090909090917E-2</v>
      </c>
      <c r="AP423" s="51">
        <v>6.5840909090909089E-2</v>
      </c>
      <c r="AQ423" s="51">
        <v>6.6272727272727275E-2</v>
      </c>
      <c r="AR423" s="51">
        <v>6.6704545454545461E-2</v>
      </c>
      <c r="AS423" s="51">
        <v>6.7136363636363633E-2</v>
      </c>
      <c r="AT423" s="51">
        <v>6.7568181818181819E-2</v>
      </c>
      <c r="AU423" s="51">
        <v>6.8000000000000005E-2</v>
      </c>
      <c r="AV423" s="51">
        <v>6.881818181818182E-2</v>
      </c>
      <c r="AW423" s="51">
        <v>6.9636363636363635E-2</v>
      </c>
      <c r="AX423" s="51">
        <v>7.0454545454545464E-2</v>
      </c>
      <c r="AY423" s="51">
        <v>7.1272727272727279E-2</v>
      </c>
      <c r="AZ423" s="51">
        <v>7.2090909090909094E-2</v>
      </c>
      <c r="BA423" s="51">
        <v>7.290909090909091E-2</v>
      </c>
      <c r="BB423" s="51">
        <v>7.3727272727272725E-2</v>
      </c>
      <c r="BC423" s="51">
        <v>7.4545454545454554E-2</v>
      </c>
      <c r="BD423" s="51">
        <v>7.5363636363636369E-2</v>
      </c>
      <c r="BE423" s="51">
        <v>7.6181818181818184E-2</v>
      </c>
      <c r="BF423" s="51">
        <v>7.6999999999999999E-2</v>
      </c>
      <c r="BG423" s="51">
        <v>7.7818181818181814E-2</v>
      </c>
      <c r="BH423" s="51">
        <v>7.8636363636363643E-2</v>
      </c>
      <c r="BI423" s="51">
        <v>7.9454545454545458E-2</v>
      </c>
      <c r="BJ423" s="51">
        <v>8.0272727272727273E-2</v>
      </c>
      <c r="BK423" s="51">
        <v>8.1090909090909088E-2</v>
      </c>
      <c r="BL423" s="51">
        <v>8.1909090909090904E-2</v>
      </c>
      <c r="BM423" s="51">
        <v>8.2727272727272733E-2</v>
      </c>
      <c r="BN423" s="51">
        <v>8.3545454545454548E-2</v>
      </c>
      <c r="BO423" s="51">
        <v>8.4363636363636363E-2</v>
      </c>
      <c r="BP423" s="51">
        <v>8.5181818181818178E-2</v>
      </c>
      <c r="BQ423" s="51">
        <v>8.5999999999999993E-2</v>
      </c>
      <c r="BR423" s="51">
        <v>8.6818181818181822E-2</v>
      </c>
      <c r="BS423" s="51">
        <v>8.7636363636363637E-2</v>
      </c>
      <c r="BT423" s="51">
        <v>8.8454545454545452E-2</v>
      </c>
      <c r="BU423" s="51">
        <v>8.9272727272727267E-2</v>
      </c>
      <c r="BV423" s="51">
        <v>9.0090909090909083E-2</v>
      </c>
      <c r="BW423" s="51">
        <v>9.0909090909090912E-2</v>
      </c>
      <c r="BX423" s="51">
        <v>9.1727272727272727E-2</v>
      </c>
      <c r="BY423" s="51">
        <v>9.2545454545454542E-2</v>
      </c>
      <c r="BZ423" s="51">
        <v>9.3363636363636357E-2</v>
      </c>
      <c r="CA423" s="51">
        <v>9.4181818181818172E-2</v>
      </c>
      <c r="CB423" s="51">
        <v>9.5000000000000001E-2</v>
      </c>
      <c r="CC423" s="51">
        <v>9.5818181818181816E-2</v>
      </c>
      <c r="CD423" s="51">
        <v>9.6636363636363631E-2</v>
      </c>
      <c r="CE423" s="51">
        <v>9.7454545454545446E-2</v>
      </c>
      <c r="CF423" s="51">
        <v>9.8272727272727262E-2</v>
      </c>
      <c r="CG423" s="51">
        <v>9.9090909090909091E-2</v>
      </c>
      <c r="CH423" s="51">
        <v>9.9909090909090906E-2</v>
      </c>
      <c r="CI423" s="51">
        <v>0.10072727272727272</v>
      </c>
      <c r="CJ423" s="51">
        <v>0.10154545454545455</v>
      </c>
      <c r="CK423" s="51">
        <v>0.10236363636363635</v>
      </c>
      <c r="CL423" s="51">
        <v>0.10318181818181818</v>
      </c>
      <c r="CM423" s="51">
        <v>0.104</v>
      </c>
    </row>
    <row r="424" spans="1:91" s="50" customFormat="1" x14ac:dyDescent="0.25">
      <c r="A424" s="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91" s="50" customFormat="1" x14ac:dyDescent="0.25">
      <c r="A425" s="99" t="s">
        <v>178</v>
      </c>
      <c r="B425" s="4">
        <v>0</v>
      </c>
      <c r="C425" s="4">
        <v>0</v>
      </c>
      <c r="D425" s="4">
        <v>0</v>
      </c>
      <c r="E425" s="4">
        <v>0</v>
      </c>
      <c r="F425" s="4">
        <v>0</v>
      </c>
      <c r="G425" s="4">
        <v>0</v>
      </c>
      <c r="H425" s="4">
        <v>0</v>
      </c>
      <c r="I425" s="4">
        <v>0</v>
      </c>
      <c r="J425" s="4">
        <v>0</v>
      </c>
      <c r="K425" s="4">
        <v>0</v>
      </c>
      <c r="L425" s="4">
        <v>0</v>
      </c>
      <c r="M425" s="4">
        <v>0</v>
      </c>
      <c r="N425" s="4">
        <v>0</v>
      </c>
      <c r="O425" s="4">
        <v>0</v>
      </c>
      <c r="P425" s="4">
        <v>0</v>
      </c>
      <c r="Q425" s="4">
        <v>0</v>
      </c>
      <c r="R425" s="4">
        <v>0</v>
      </c>
      <c r="S425" s="4">
        <v>0</v>
      </c>
      <c r="T425" s="4">
        <v>0</v>
      </c>
      <c r="U425" s="4">
        <v>0</v>
      </c>
      <c r="V425" s="4">
        <v>0</v>
      </c>
      <c r="W425" s="4">
        <v>0</v>
      </c>
      <c r="X425" s="4">
        <v>0</v>
      </c>
      <c r="Y425" s="4">
        <v>0</v>
      </c>
      <c r="Z425" s="4">
        <v>0</v>
      </c>
      <c r="AA425" s="4">
        <v>0</v>
      </c>
      <c r="AB425" s="4">
        <v>0</v>
      </c>
      <c r="AC425" s="4">
        <v>0</v>
      </c>
      <c r="AD425" s="4">
        <v>0</v>
      </c>
      <c r="AE425" s="4">
        <v>0</v>
      </c>
      <c r="AF425" s="51">
        <v>9.6590909090909095E-4</v>
      </c>
      <c r="AG425" s="51">
        <v>9.6818181818181823E-4</v>
      </c>
      <c r="AH425" s="51">
        <v>9.704545454545454E-4</v>
      </c>
      <c r="AI425" s="51">
        <v>9.7272727272727268E-4</v>
      </c>
      <c r="AJ425" s="51">
        <v>9.7499999999999996E-4</v>
      </c>
      <c r="AK425" s="51">
        <v>9.7727272727272723E-4</v>
      </c>
      <c r="AL425" s="51">
        <v>9.7954545454545451E-4</v>
      </c>
      <c r="AM425" s="51">
        <v>9.8181818181818179E-4</v>
      </c>
      <c r="AN425" s="51">
        <v>9.8409090909090907E-4</v>
      </c>
      <c r="AO425" s="51">
        <v>9.8636363636363635E-4</v>
      </c>
      <c r="AP425" s="51">
        <v>9.8863636363636363E-4</v>
      </c>
      <c r="AQ425" s="51">
        <v>9.9090909090909091E-4</v>
      </c>
      <c r="AR425" s="51">
        <v>9.9318181818181818E-4</v>
      </c>
      <c r="AS425" s="51">
        <v>9.9545454545454546E-4</v>
      </c>
      <c r="AT425" s="51">
        <v>9.9772727272727274E-4</v>
      </c>
      <c r="AU425" s="51">
        <v>1E-3</v>
      </c>
      <c r="AV425" s="51">
        <v>1.0363636363636365E-3</v>
      </c>
      <c r="AW425" s="51">
        <v>1.0727272727272727E-3</v>
      </c>
      <c r="AX425" s="51">
        <v>1.1090909090909092E-3</v>
      </c>
      <c r="AY425" s="51">
        <v>1.1454545454545454E-3</v>
      </c>
      <c r="AZ425" s="51">
        <v>1.1818181818181819E-3</v>
      </c>
      <c r="BA425" s="51">
        <v>1.2181818181818181E-3</v>
      </c>
      <c r="BB425" s="51">
        <v>1.2545454545454546E-3</v>
      </c>
      <c r="BC425" s="51">
        <v>1.2909090909090908E-3</v>
      </c>
      <c r="BD425" s="51">
        <v>1.3272727272727273E-3</v>
      </c>
      <c r="BE425" s="51">
        <v>1.3636363636363635E-3</v>
      </c>
      <c r="BF425" s="51">
        <v>1.4E-3</v>
      </c>
      <c r="BG425" s="51">
        <v>1.4363636363636362E-3</v>
      </c>
      <c r="BH425" s="51">
        <v>1.4727272727272727E-3</v>
      </c>
      <c r="BI425" s="51">
        <v>1.5090909090909091E-3</v>
      </c>
      <c r="BJ425" s="51">
        <v>1.5454545454545454E-3</v>
      </c>
      <c r="BK425" s="51">
        <v>1.5818181818181816E-3</v>
      </c>
      <c r="BL425" s="51">
        <v>1.6181818181818181E-3</v>
      </c>
      <c r="BM425" s="51">
        <v>1.6545454545454545E-3</v>
      </c>
      <c r="BN425" s="51">
        <v>1.6909090909090908E-3</v>
      </c>
      <c r="BO425" s="51">
        <v>1.727272727272727E-3</v>
      </c>
      <c r="BP425" s="51">
        <v>1.7636363636363635E-3</v>
      </c>
      <c r="BQ425" s="51">
        <v>1.8E-3</v>
      </c>
      <c r="BR425" s="51">
        <v>1.8363636363636362E-3</v>
      </c>
      <c r="BS425" s="51">
        <v>1.8727272727272727E-3</v>
      </c>
      <c r="BT425" s="51">
        <v>1.9090909090909089E-3</v>
      </c>
      <c r="BU425" s="51">
        <v>1.9454545454545454E-3</v>
      </c>
      <c r="BV425" s="51">
        <v>1.9818181818181818E-3</v>
      </c>
      <c r="BW425" s="51">
        <v>2.0181818181818183E-3</v>
      </c>
      <c r="BX425" s="51">
        <v>2.0545454545454543E-3</v>
      </c>
      <c r="BY425" s="51">
        <v>2.0909090909090908E-3</v>
      </c>
      <c r="BZ425" s="51">
        <v>2.1272727272727268E-3</v>
      </c>
      <c r="CA425" s="51">
        <v>2.1636363636363632E-3</v>
      </c>
      <c r="CB425" s="51">
        <v>2.1999999999999997E-3</v>
      </c>
      <c r="CC425" s="51">
        <v>2.2363636363636362E-3</v>
      </c>
      <c r="CD425" s="51">
        <v>2.2727272727272726E-3</v>
      </c>
      <c r="CE425" s="51">
        <v>2.3090909090909091E-3</v>
      </c>
      <c r="CF425" s="51">
        <v>2.3454545454545455E-3</v>
      </c>
      <c r="CG425" s="51">
        <v>2.3818181818181816E-3</v>
      </c>
      <c r="CH425" s="51">
        <v>2.418181818181818E-3</v>
      </c>
      <c r="CI425" s="51">
        <v>2.454545454545454E-3</v>
      </c>
      <c r="CJ425" s="51">
        <v>2.4909090909090905E-3</v>
      </c>
      <c r="CK425" s="51">
        <v>2.527272727272727E-3</v>
      </c>
      <c r="CL425" s="51">
        <v>2.5636363636363634E-3</v>
      </c>
      <c r="CM425" s="51">
        <v>2.5999999999999999E-3</v>
      </c>
    </row>
    <row r="426" spans="1:91" s="50" customFormat="1" x14ac:dyDescent="0.25">
      <c r="A426" s="9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91" s="50" customFormat="1" x14ac:dyDescent="0.25">
      <c r="A427" s="99" t="s">
        <v>387</v>
      </c>
      <c r="B427" s="4">
        <v>0</v>
      </c>
      <c r="C427" s="4">
        <v>0</v>
      </c>
      <c r="D427" s="4">
        <v>0</v>
      </c>
      <c r="E427" s="4">
        <v>0</v>
      </c>
      <c r="F427" s="4">
        <v>0</v>
      </c>
      <c r="G427" s="4">
        <v>0</v>
      </c>
      <c r="H427" s="4">
        <v>0</v>
      </c>
      <c r="I427" s="4">
        <v>0</v>
      </c>
      <c r="J427" s="4">
        <v>0</v>
      </c>
      <c r="K427" s="4">
        <v>0</v>
      </c>
      <c r="L427" s="4">
        <v>0</v>
      </c>
      <c r="M427" s="4">
        <v>0</v>
      </c>
      <c r="N427" s="4">
        <v>0</v>
      </c>
      <c r="O427" s="4">
        <v>0</v>
      </c>
      <c r="P427" s="4">
        <v>0</v>
      </c>
      <c r="Q427" s="4">
        <v>0</v>
      </c>
      <c r="R427" s="4">
        <v>0</v>
      </c>
      <c r="S427" s="4">
        <v>0</v>
      </c>
      <c r="T427" s="4">
        <v>0</v>
      </c>
      <c r="U427" s="4">
        <v>0</v>
      </c>
      <c r="V427" s="4">
        <v>0</v>
      </c>
      <c r="W427" s="4">
        <v>0</v>
      </c>
      <c r="X427" s="4">
        <v>0</v>
      </c>
      <c r="Y427" s="4">
        <v>0</v>
      </c>
      <c r="Z427" s="4">
        <v>0</v>
      </c>
      <c r="AA427" s="4">
        <v>0</v>
      </c>
      <c r="AB427" s="4">
        <v>0</v>
      </c>
      <c r="AC427" s="4">
        <v>0</v>
      </c>
      <c r="AD427" s="4">
        <v>0</v>
      </c>
      <c r="AE427" s="4">
        <v>0</v>
      </c>
      <c r="AF427" s="51">
        <v>9.6590909090909095E-4</v>
      </c>
      <c r="AG427" s="51">
        <v>9.6818181818181823E-4</v>
      </c>
      <c r="AH427" s="51">
        <v>9.704545454545454E-4</v>
      </c>
      <c r="AI427" s="51">
        <v>9.7272727272727268E-4</v>
      </c>
      <c r="AJ427" s="51">
        <v>9.7499999999999996E-4</v>
      </c>
      <c r="AK427" s="51">
        <v>9.7727272727272723E-4</v>
      </c>
      <c r="AL427" s="51">
        <v>9.7954545454545451E-4</v>
      </c>
      <c r="AM427" s="51">
        <v>9.8181818181818179E-4</v>
      </c>
      <c r="AN427" s="51">
        <v>9.8409090909090907E-4</v>
      </c>
      <c r="AO427" s="51">
        <v>9.8636363636363635E-4</v>
      </c>
      <c r="AP427" s="51">
        <v>9.8863636363636363E-4</v>
      </c>
      <c r="AQ427" s="51">
        <v>9.9090909090909091E-4</v>
      </c>
      <c r="AR427" s="51">
        <v>9.9318181818181818E-4</v>
      </c>
      <c r="AS427" s="51">
        <v>9.9545454545454546E-4</v>
      </c>
      <c r="AT427" s="51">
        <v>9.9772727272727274E-4</v>
      </c>
      <c r="AU427" s="51">
        <v>1E-3</v>
      </c>
      <c r="AV427" s="51">
        <v>1.0363636363636365E-3</v>
      </c>
      <c r="AW427" s="51">
        <v>1.0727272727272727E-3</v>
      </c>
      <c r="AX427" s="51">
        <v>1.1090909090909092E-3</v>
      </c>
      <c r="AY427" s="51">
        <v>1.1454545454545454E-3</v>
      </c>
      <c r="AZ427" s="51">
        <v>1.1818181818181819E-3</v>
      </c>
      <c r="BA427" s="51">
        <v>1.2181818181818181E-3</v>
      </c>
      <c r="BB427" s="51">
        <v>1.2545454545454546E-3</v>
      </c>
      <c r="BC427" s="51">
        <v>1.2909090909090908E-3</v>
      </c>
      <c r="BD427" s="51">
        <v>1.3272727272727273E-3</v>
      </c>
      <c r="BE427" s="51">
        <v>1.3636363636363635E-3</v>
      </c>
      <c r="BF427" s="51">
        <v>1.4E-3</v>
      </c>
      <c r="BG427" s="51">
        <v>1.4363636363636362E-3</v>
      </c>
      <c r="BH427" s="51">
        <v>1.4727272727272727E-3</v>
      </c>
      <c r="BI427" s="51">
        <v>1.5090909090909091E-3</v>
      </c>
      <c r="BJ427" s="51">
        <v>1.5454545454545454E-3</v>
      </c>
      <c r="BK427" s="51">
        <v>1.5818181818181816E-3</v>
      </c>
      <c r="BL427" s="51">
        <v>1.6181818181818181E-3</v>
      </c>
      <c r="BM427" s="51">
        <v>1.6545454545454545E-3</v>
      </c>
      <c r="BN427" s="51">
        <v>1.6909090909090908E-3</v>
      </c>
      <c r="BO427" s="51">
        <v>1.727272727272727E-3</v>
      </c>
      <c r="BP427" s="51">
        <v>1.7636363636363635E-3</v>
      </c>
      <c r="BQ427" s="51">
        <v>1.8E-3</v>
      </c>
      <c r="BR427" s="51">
        <v>1.8363636363636362E-3</v>
      </c>
      <c r="BS427" s="51">
        <v>1.8727272727272727E-3</v>
      </c>
      <c r="BT427" s="51">
        <v>1.9090909090909089E-3</v>
      </c>
      <c r="BU427" s="51">
        <v>1.9454545454545454E-3</v>
      </c>
      <c r="BV427" s="51">
        <v>1.9818181818181818E-3</v>
      </c>
      <c r="BW427" s="51">
        <v>2.0181818181818183E-3</v>
      </c>
      <c r="BX427" s="51">
        <v>2.0545454545454543E-3</v>
      </c>
      <c r="BY427" s="51">
        <v>2.0909090909090908E-3</v>
      </c>
      <c r="BZ427" s="51">
        <v>2.1272727272727268E-3</v>
      </c>
      <c r="CA427" s="51">
        <v>2.1636363636363632E-3</v>
      </c>
      <c r="CB427" s="51">
        <v>2.1999999999999997E-3</v>
      </c>
      <c r="CC427" s="51">
        <v>2.2363636363636362E-3</v>
      </c>
      <c r="CD427" s="51">
        <v>2.2727272727272726E-3</v>
      </c>
      <c r="CE427" s="51">
        <v>2.3090909090909091E-3</v>
      </c>
      <c r="CF427" s="51">
        <v>2.3454545454545455E-3</v>
      </c>
      <c r="CG427" s="51">
        <v>2.3818181818181816E-3</v>
      </c>
      <c r="CH427" s="51">
        <v>2.418181818181818E-3</v>
      </c>
      <c r="CI427" s="51">
        <v>2.454545454545454E-3</v>
      </c>
      <c r="CJ427" s="51">
        <v>2.4909090909090905E-3</v>
      </c>
      <c r="CK427" s="51">
        <v>2.527272727272727E-3</v>
      </c>
      <c r="CL427" s="51">
        <v>2.5636363636363634E-3</v>
      </c>
      <c r="CM427" s="51">
        <v>2.5999999999999999E-3</v>
      </c>
    </row>
    <row r="428" spans="1:91" s="50" customFormat="1" x14ac:dyDescent="0.25">
      <c r="A428" s="9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91" s="50" customFormat="1" x14ac:dyDescent="0.25">
      <c r="A429" s="99" t="s">
        <v>351</v>
      </c>
      <c r="B429" s="4">
        <v>0</v>
      </c>
      <c r="C429" s="4">
        <v>0</v>
      </c>
      <c r="D429" s="4">
        <v>0</v>
      </c>
      <c r="E429" s="4">
        <v>0</v>
      </c>
      <c r="F429" s="4">
        <v>0</v>
      </c>
      <c r="G429" s="4">
        <v>0</v>
      </c>
      <c r="H429" s="4">
        <v>0</v>
      </c>
      <c r="I429" s="4">
        <v>0</v>
      </c>
      <c r="J429" s="4">
        <v>0</v>
      </c>
      <c r="K429" s="4">
        <v>0</v>
      </c>
      <c r="L429" s="4">
        <v>0</v>
      </c>
      <c r="M429" s="4">
        <v>0</v>
      </c>
      <c r="N429" s="4">
        <v>0</v>
      </c>
      <c r="O429" s="4">
        <v>0</v>
      </c>
      <c r="P429" s="4">
        <v>0</v>
      </c>
      <c r="Q429" s="4">
        <v>0</v>
      </c>
      <c r="R429" s="4">
        <v>0</v>
      </c>
      <c r="S429" s="4">
        <v>0</v>
      </c>
      <c r="T429" s="4">
        <v>0</v>
      </c>
      <c r="U429" s="4">
        <v>0</v>
      </c>
      <c r="V429" s="4">
        <v>0</v>
      </c>
      <c r="W429" s="4">
        <v>0</v>
      </c>
      <c r="X429" s="4">
        <v>0</v>
      </c>
      <c r="Y429" s="4">
        <v>0</v>
      </c>
      <c r="Z429" s="4">
        <v>0</v>
      </c>
      <c r="AA429" s="4">
        <v>0</v>
      </c>
      <c r="AB429" s="4">
        <v>0</v>
      </c>
      <c r="AC429" s="4">
        <v>0</v>
      </c>
      <c r="AD429" s="4">
        <v>0</v>
      </c>
      <c r="AE429" s="4">
        <v>0</v>
      </c>
      <c r="AF429" s="51">
        <v>8.6618671127481966E-4</v>
      </c>
      <c r="AG429" s="51">
        <v>8.7332065560907562E-4</v>
      </c>
      <c r="AH429" s="51">
        <v>8.8045459994333169E-4</v>
      </c>
      <c r="AI429" s="51">
        <v>8.8758854427758765E-4</v>
      </c>
      <c r="AJ429" s="51">
        <v>8.9472248861184372E-4</v>
      </c>
      <c r="AK429" s="51">
        <v>9.0185643294609969E-4</v>
      </c>
      <c r="AL429" s="51">
        <v>9.0899037728035576E-4</v>
      </c>
      <c r="AM429" s="51">
        <v>9.1612432161461172E-4</v>
      </c>
      <c r="AN429" s="51">
        <v>9.2325826594886768E-4</v>
      </c>
      <c r="AO429" s="51">
        <v>9.3039221028312375E-4</v>
      </c>
      <c r="AP429" s="51">
        <v>9.3752615461737982E-4</v>
      </c>
      <c r="AQ429" s="51">
        <v>9.4466009895163578E-4</v>
      </c>
      <c r="AR429" s="51">
        <v>9.5179404328589175E-4</v>
      </c>
      <c r="AS429" s="51">
        <v>9.5892798762014782E-4</v>
      </c>
      <c r="AT429" s="51">
        <v>9.6606193195440389E-4</v>
      </c>
      <c r="AU429" s="51">
        <v>9.7319587628865985E-4</v>
      </c>
      <c r="AV429" s="51">
        <v>9.9072164948453621E-4</v>
      </c>
      <c r="AW429" s="51">
        <v>1.0082474226804125E-3</v>
      </c>
      <c r="AX429" s="51">
        <v>1.0257731958762887E-3</v>
      </c>
      <c r="AY429" s="51">
        <v>1.043298969072165E-3</v>
      </c>
      <c r="AZ429" s="51">
        <v>1.0608247422680412E-3</v>
      </c>
      <c r="BA429" s="51">
        <v>1.0783505154639175E-3</v>
      </c>
      <c r="BB429" s="51">
        <v>1.095876288659794E-3</v>
      </c>
      <c r="BC429" s="51">
        <v>1.1134020618556702E-3</v>
      </c>
      <c r="BD429" s="51">
        <v>1.1309278350515465E-3</v>
      </c>
      <c r="BE429" s="51">
        <v>1.1484536082474227E-3</v>
      </c>
      <c r="BF429" s="51">
        <v>1.165979381443299E-3</v>
      </c>
      <c r="BG429" s="51">
        <v>1.1835051546391752E-3</v>
      </c>
      <c r="BH429" s="51">
        <v>1.2010309278350515E-3</v>
      </c>
      <c r="BI429" s="51">
        <v>1.2185567010309277E-3</v>
      </c>
      <c r="BJ429" s="51">
        <v>1.236082474226804E-3</v>
      </c>
      <c r="BK429" s="51">
        <v>1.2536082474226805E-3</v>
      </c>
      <c r="BL429" s="51">
        <v>1.2711340206185567E-3</v>
      </c>
      <c r="BM429" s="51">
        <v>1.288659793814433E-3</v>
      </c>
      <c r="BN429" s="51">
        <v>1.3061855670103092E-3</v>
      </c>
      <c r="BO429" s="51">
        <v>1.3237113402061855E-3</v>
      </c>
      <c r="BP429" s="51">
        <v>1.3412371134020619E-3</v>
      </c>
      <c r="BQ429" s="51">
        <v>1.3587628865979382E-3</v>
      </c>
      <c r="BR429" s="51">
        <v>1.3762886597938145E-3</v>
      </c>
      <c r="BS429" s="51">
        <v>1.3938144329896907E-3</v>
      </c>
      <c r="BT429" s="51">
        <v>1.411340206185567E-3</v>
      </c>
      <c r="BU429" s="51">
        <v>1.4288659793814432E-3</v>
      </c>
      <c r="BV429" s="51">
        <v>1.4463917525773195E-3</v>
      </c>
      <c r="BW429" s="51">
        <v>1.4639175257731957E-3</v>
      </c>
      <c r="BX429" s="51">
        <v>1.481443298969072E-3</v>
      </c>
      <c r="BY429" s="51">
        <v>1.4989690721649482E-3</v>
      </c>
      <c r="BZ429" s="51">
        <v>1.5164948453608247E-3</v>
      </c>
      <c r="CA429" s="51">
        <v>1.534020618556701E-3</v>
      </c>
      <c r="CB429" s="51">
        <v>1.5515463917525772E-3</v>
      </c>
      <c r="CC429" s="51">
        <v>1.5690721649484537E-3</v>
      </c>
      <c r="CD429" s="51">
        <v>1.5865979381443299E-3</v>
      </c>
      <c r="CE429" s="51">
        <v>1.6041237113402062E-3</v>
      </c>
      <c r="CF429" s="51">
        <v>1.6216494845360824E-3</v>
      </c>
      <c r="CG429" s="51">
        <v>1.6391752577319587E-3</v>
      </c>
      <c r="CH429" s="51">
        <v>1.656701030927835E-3</v>
      </c>
      <c r="CI429" s="51">
        <v>1.6742268041237112E-3</v>
      </c>
      <c r="CJ429" s="51">
        <v>1.6917525773195875E-3</v>
      </c>
      <c r="CK429" s="51">
        <v>1.7092783505154637E-3</v>
      </c>
      <c r="CL429" s="51">
        <v>1.72680412371134E-3</v>
      </c>
      <c r="CM429" s="51">
        <v>1.7443298969072164E-3</v>
      </c>
    </row>
    <row r="430" spans="1:91" s="50" customFormat="1" x14ac:dyDescent="0.25">
      <c r="A430" s="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91" s="50" customFormat="1" x14ac:dyDescent="0.25">
      <c r="A431" s="99" t="s">
        <v>370</v>
      </c>
      <c r="B431" s="4">
        <v>0</v>
      </c>
      <c r="C431" s="4">
        <v>0</v>
      </c>
      <c r="D431" s="4">
        <v>0</v>
      </c>
      <c r="E431" s="4">
        <v>0</v>
      </c>
      <c r="F431" s="4">
        <v>0</v>
      </c>
      <c r="G431" s="4">
        <v>0</v>
      </c>
      <c r="H431" s="4">
        <v>0</v>
      </c>
      <c r="I431" s="4">
        <v>0</v>
      </c>
      <c r="J431" s="4">
        <v>0</v>
      </c>
      <c r="K431" s="4">
        <v>0</v>
      </c>
      <c r="L431" s="4">
        <v>0</v>
      </c>
      <c r="M431" s="4">
        <v>0</v>
      </c>
      <c r="N431" s="4">
        <v>0</v>
      </c>
      <c r="O431" s="4">
        <v>0</v>
      </c>
      <c r="P431" s="4">
        <v>0</v>
      </c>
      <c r="Q431" s="4">
        <v>0</v>
      </c>
      <c r="R431" s="4">
        <v>0</v>
      </c>
      <c r="S431" s="4">
        <v>0</v>
      </c>
      <c r="T431" s="4">
        <v>0</v>
      </c>
      <c r="U431" s="4">
        <v>0</v>
      </c>
      <c r="V431" s="4">
        <v>0</v>
      </c>
      <c r="W431" s="4">
        <v>0</v>
      </c>
      <c r="X431" s="4">
        <v>0</v>
      </c>
      <c r="Y431" s="4">
        <v>0</v>
      </c>
      <c r="Z431" s="4">
        <v>0</v>
      </c>
      <c r="AA431" s="4">
        <v>0</v>
      </c>
      <c r="AB431" s="4">
        <v>0</v>
      </c>
      <c r="AC431" s="4">
        <v>0</v>
      </c>
      <c r="AD431" s="4">
        <v>0</v>
      </c>
      <c r="AE431" s="4">
        <v>0</v>
      </c>
      <c r="AF431" s="51">
        <v>8.6618671127481966E-4</v>
      </c>
      <c r="AG431" s="51">
        <v>8.7332065560907562E-4</v>
      </c>
      <c r="AH431" s="51">
        <v>8.8045459994333169E-4</v>
      </c>
      <c r="AI431" s="51">
        <v>8.8758854427758765E-4</v>
      </c>
      <c r="AJ431" s="51">
        <v>8.9472248861184372E-4</v>
      </c>
      <c r="AK431" s="51">
        <v>9.0185643294609969E-4</v>
      </c>
      <c r="AL431" s="51">
        <v>9.0899037728035576E-4</v>
      </c>
      <c r="AM431" s="51">
        <v>9.1612432161461172E-4</v>
      </c>
      <c r="AN431" s="51">
        <v>9.2325826594886768E-4</v>
      </c>
      <c r="AO431" s="51">
        <v>9.3039221028312375E-4</v>
      </c>
      <c r="AP431" s="51">
        <v>9.3752615461737982E-4</v>
      </c>
      <c r="AQ431" s="51">
        <v>9.4466009895163578E-4</v>
      </c>
      <c r="AR431" s="51">
        <v>9.5179404328589175E-4</v>
      </c>
      <c r="AS431" s="51">
        <v>9.5892798762014782E-4</v>
      </c>
      <c r="AT431" s="51">
        <v>9.6606193195440389E-4</v>
      </c>
      <c r="AU431" s="51">
        <v>9.7319587628865985E-4</v>
      </c>
      <c r="AV431" s="51">
        <v>9.9072164948453621E-4</v>
      </c>
      <c r="AW431" s="51">
        <v>1.0082474226804125E-3</v>
      </c>
      <c r="AX431" s="51">
        <v>1.0257731958762887E-3</v>
      </c>
      <c r="AY431" s="51">
        <v>1.043298969072165E-3</v>
      </c>
      <c r="AZ431" s="51">
        <v>1.0608247422680412E-3</v>
      </c>
      <c r="BA431" s="51">
        <v>1.0783505154639175E-3</v>
      </c>
      <c r="BB431" s="51">
        <v>1.095876288659794E-3</v>
      </c>
      <c r="BC431" s="51">
        <v>1.1134020618556702E-3</v>
      </c>
      <c r="BD431" s="51">
        <v>1.1309278350515465E-3</v>
      </c>
      <c r="BE431" s="51">
        <v>1.1484536082474227E-3</v>
      </c>
      <c r="BF431" s="51">
        <v>1.165979381443299E-3</v>
      </c>
      <c r="BG431" s="51">
        <v>1.1835051546391752E-3</v>
      </c>
      <c r="BH431" s="51">
        <v>1.2010309278350515E-3</v>
      </c>
      <c r="BI431" s="51">
        <v>1.2185567010309277E-3</v>
      </c>
      <c r="BJ431" s="51">
        <v>1.236082474226804E-3</v>
      </c>
      <c r="BK431" s="51">
        <v>1.2536082474226805E-3</v>
      </c>
      <c r="BL431" s="51">
        <v>1.2711340206185567E-3</v>
      </c>
      <c r="BM431" s="51">
        <v>1.288659793814433E-3</v>
      </c>
      <c r="BN431" s="51">
        <v>1.3061855670103092E-3</v>
      </c>
      <c r="BO431" s="51">
        <v>1.3237113402061855E-3</v>
      </c>
      <c r="BP431" s="51">
        <v>1.3412371134020619E-3</v>
      </c>
      <c r="BQ431" s="51">
        <v>1.3587628865979382E-3</v>
      </c>
      <c r="BR431" s="51">
        <v>1.3762886597938145E-3</v>
      </c>
      <c r="BS431" s="51">
        <v>1.3938144329896907E-3</v>
      </c>
      <c r="BT431" s="51">
        <v>1.411340206185567E-3</v>
      </c>
      <c r="BU431" s="51">
        <v>1.4288659793814432E-3</v>
      </c>
      <c r="BV431" s="51">
        <v>1.4463917525773195E-3</v>
      </c>
      <c r="BW431" s="51">
        <v>1.4639175257731957E-3</v>
      </c>
      <c r="BX431" s="51">
        <v>1.481443298969072E-3</v>
      </c>
      <c r="BY431" s="51">
        <v>1.4989690721649482E-3</v>
      </c>
      <c r="BZ431" s="51">
        <v>1.5164948453608247E-3</v>
      </c>
      <c r="CA431" s="51">
        <v>1.534020618556701E-3</v>
      </c>
      <c r="CB431" s="51">
        <v>1.5515463917525772E-3</v>
      </c>
      <c r="CC431" s="51">
        <v>1.5690721649484537E-3</v>
      </c>
      <c r="CD431" s="51">
        <v>1.5865979381443299E-3</v>
      </c>
      <c r="CE431" s="51">
        <v>1.6041237113402062E-3</v>
      </c>
      <c r="CF431" s="51">
        <v>1.6216494845360824E-3</v>
      </c>
      <c r="CG431" s="51">
        <v>1.6391752577319587E-3</v>
      </c>
      <c r="CH431" s="51">
        <v>1.656701030927835E-3</v>
      </c>
      <c r="CI431" s="51">
        <v>1.6742268041237112E-3</v>
      </c>
      <c r="CJ431" s="51">
        <v>1.6917525773195875E-3</v>
      </c>
      <c r="CK431" s="51">
        <v>1.7092783505154637E-3</v>
      </c>
      <c r="CL431" s="51">
        <v>1.72680412371134E-3</v>
      </c>
      <c r="CM431" s="51">
        <v>1.7443298969072164E-3</v>
      </c>
    </row>
    <row r="432" spans="1:91" s="50" customFormat="1" x14ac:dyDescent="0.25">
      <c r="A432" s="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91" s="50" customFormat="1" x14ac:dyDescent="0.25">
      <c r="A433" s="99" t="s">
        <v>179</v>
      </c>
      <c r="B433" s="4">
        <v>0</v>
      </c>
      <c r="C433" s="4">
        <v>0</v>
      </c>
      <c r="D433" s="4">
        <v>0</v>
      </c>
      <c r="E433" s="4">
        <v>0</v>
      </c>
      <c r="F433" s="4">
        <v>0</v>
      </c>
      <c r="G433" s="4">
        <v>0</v>
      </c>
      <c r="H433" s="4">
        <v>0</v>
      </c>
      <c r="I433" s="4">
        <v>0</v>
      </c>
      <c r="J433" s="4">
        <v>0</v>
      </c>
      <c r="K433" s="4">
        <v>0</v>
      </c>
      <c r="L433" s="4">
        <v>0</v>
      </c>
      <c r="M433" s="4">
        <v>0</v>
      </c>
      <c r="N433" s="4">
        <v>0</v>
      </c>
      <c r="O433" s="4">
        <v>0</v>
      </c>
      <c r="P433" s="4">
        <v>0</v>
      </c>
      <c r="Q433" s="4">
        <v>0</v>
      </c>
      <c r="R433" s="4">
        <v>0</v>
      </c>
      <c r="S433" s="4">
        <v>0</v>
      </c>
      <c r="T433" s="4">
        <v>0</v>
      </c>
      <c r="U433" s="4">
        <v>0</v>
      </c>
      <c r="V433" s="4">
        <v>0</v>
      </c>
      <c r="W433" s="4">
        <v>0</v>
      </c>
      <c r="X433" s="4">
        <v>0</v>
      </c>
      <c r="Y433" s="4">
        <v>0</v>
      </c>
      <c r="Z433" s="4">
        <v>0</v>
      </c>
      <c r="AA433" s="4">
        <v>0</v>
      </c>
      <c r="AB433" s="4">
        <v>0</v>
      </c>
      <c r="AC433" s="4">
        <v>0</v>
      </c>
      <c r="AD433" s="4">
        <v>0</v>
      </c>
      <c r="AE433" s="4">
        <v>0</v>
      </c>
      <c r="AF433" s="51">
        <v>5.0675000000000008E-3</v>
      </c>
      <c r="AG433" s="51">
        <v>5.1450000000000003E-3</v>
      </c>
      <c r="AH433" s="51">
        <v>5.2225000000000006E-3</v>
      </c>
      <c r="AI433" s="51">
        <v>5.3000000000000009E-3</v>
      </c>
      <c r="AJ433" s="51">
        <v>5.3775000000000003E-3</v>
      </c>
      <c r="AK433" s="51">
        <v>5.4550000000000006E-3</v>
      </c>
      <c r="AL433" s="51">
        <v>5.532500000000001E-3</v>
      </c>
      <c r="AM433" s="51">
        <v>5.6100000000000004E-3</v>
      </c>
      <c r="AN433" s="51">
        <v>5.6874999999999998E-3</v>
      </c>
      <c r="AO433" s="51">
        <v>5.765000000000001E-3</v>
      </c>
      <c r="AP433" s="51">
        <v>5.8425000000000005E-3</v>
      </c>
      <c r="AQ433" s="51">
        <v>5.9199999999999999E-3</v>
      </c>
      <c r="AR433" s="51">
        <v>5.9975000000000011E-3</v>
      </c>
      <c r="AS433" s="51">
        <v>6.0750000000000005E-3</v>
      </c>
      <c r="AT433" s="51">
        <v>6.1525E-3</v>
      </c>
      <c r="AU433" s="51">
        <v>6.2300000000000003E-3</v>
      </c>
      <c r="AV433" s="51">
        <v>6.2575E-3</v>
      </c>
      <c r="AW433" s="51">
        <v>6.2850000000000007E-3</v>
      </c>
      <c r="AX433" s="51">
        <v>6.3125000000000004E-3</v>
      </c>
      <c r="AY433" s="51">
        <v>6.3400000000000001E-3</v>
      </c>
      <c r="AZ433" s="51">
        <v>6.3674999999999999E-3</v>
      </c>
      <c r="BA433" s="51">
        <v>6.3950000000000005E-3</v>
      </c>
      <c r="BB433" s="51">
        <v>6.4225000000000003E-3</v>
      </c>
      <c r="BC433" s="51">
        <v>6.45E-3</v>
      </c>
      <c r="BD433" s="51">
        <v>6.4774999999999998E-3</v>
      </c>
      <c r="BE433" s="51">
        <v>6.5050000000000004E-3</v>
      </c>
      <c r="BF433" s="51">
        <v>6.5325000000000001E-3</v>
      </c>
      <c r="BG433" s="51">
        <v>6.5599999999999999E-3</v>
      </c>
      <c r="BH433" s="51">
        <v>6.5875000000000005E-3</v>
      </c>
      <c r="BI433" s="51">
        <v>6.6150000000000002E-3</v>
      </c>
      <c r="BJ433" s="51">
        <v>6.6425E-3</v>
      </c>
      <c r="BK433" s="51">
        <v>6.6699999999999997E-3</v>
      </c>
      <c r="BL433" s="51">
        <v>6.6975000000000003E-3</v>
      </c>
      <c r="BM433" s="51">
        <v>6.7250000000000001E-3</v>
      </c>
      <c r="BN433" s="51">
        <v>6.7524999999999998E-3</v>
      </c>
      <c r="BO433" s="51">
        <v>6.7799999999999996E-3</v>
      </c>
      <c r="BP433" s="51">
        <v>6.8075000000000002E-3</v>
      </c>
      <c r="BQ433" s="51">
        <v>6.8349999999999999E-3</v>
      </c>
      <c r="BR433" s="51">
        <v>6.8624999999999997E-3</v>
      </c>
      <c r="BS433" s="51">
        <v>6.8900000000000003E-3</v>
      </c>
      <c r="BT433" s="51">
        <v>6.9175E-3</v>
      </c>
      <c r="BU433" s="51">
        <v>6.9449999999999998E-3</v>
      </c>
      <c r="BV433" s="51">
        <v>6.9724999999999995E-3</v>
      </c>
      <c r="BW433" s="51">
        <v>7.0000000000000001E-3</v>
      </c>
      <c r="BX433" s="51">
        <v>7.0274999999999999E-3</v>
      </c>
      <c r="BY433" s="51">
        <v>7.0549999999999996E-3</v>
      </c>
      <c r="BZ433" s="51">
        <v>7.0825000000000003E-3</v>
      </c>
      <c r="CA433" s="51">
        <v>7.11E-3</v>
      </c>
      <c r="CB433" s="51">
        <v>7.1374999999999997E-3</v>
      </c>
      <c r="CC433" s="51">
        <v>7.1649999999999995E-3</v>
      </c>
      <c r="CD433" s="51">
        <v>7.1925000000000001E-3</v>
      </c>
      <c r="CE433" s="51">
        <v>7.2199999999999999E-3</v>
      </c>
      <c r="CF433" s="51">
        <v>7.2474999999999996E-3</v>
      </c>
      <c r="CG433" s="51">
        <v>7.2750000000000002E-3</v>
      </c>
      <c r="CH433" s="51">
        <v>7.3025E-3</v>
      </c>
      <c r="CI433" s="51">
        <v>7.3299999999999997E-3</v>
      </c>
      <c r="CJ433" s="51">
        <v>7.3574999999999995E-3</v>
      </c>
      <c r="CK433" s="51">
        <v>7.3849999999999992E-3</v>
      </c>
      <c r="CL433" s="51">
        <v>7.4124999999999998E-3</v>
      </c>
      <c r="CM433" s="51">
        <v>7.4399999999999996E-3</v>
      </c>
    </row>
    <row r="434" spans="1:91" s="50" customFormat="1" x14ac:dyDescent="0.25">
      <c r="A434" s="99" t="s">
        <v>1</v>
      </c>
      <c r="B434" s="4">
        <v>0</v>
      </c>
      <c r="C434" s="4">
        <v>0</v>
      </c>
      <c r="D434" s="4">
        <v>0</v>
      </c>
      <c r="E434" s="4">
        <v>0</v>
      </c>
      <c r="F434" s="4">
        <v>0</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c r="X434" s="4">
        <v>0</v>
      </c>
      <c r="Y434" s="4">
        <v>0</v>
      </c>
      <c r="Z434" s="4">
        <v>0</v>
      </c>
      <c r="AA434" s="4">
        <v>0</v>
      </c>
      <c r="AB434" s="4">
        <v>0</v>
      </c>
      <c r="AC434" s="4">
        <v>0</v>
      </c>
      <c r="AD434" s="4">
        <v>0</v>
      </c>
      <c r="AE434" s="4">
        <v>0</v>
      </c>
      <c r="AF434" s="51">
        <v>2.3129545454545456E-3</v>
      </c>
      <c r="AG434" s="51">
        <v>2.3440909090909094E-3</v>
      </c>
      <c r="AH434" s="51">
        <v>2.3752272727272728E-3</v>
      </c>
      <c r="AI434" s="51">
        <v>2.4063636363636366E-3</v>
      </c>
      <c r="AJ434" s="51">
        <v>2.4375000000000004E-3</v>
      </c>
      <c r="AK434" s="51">
        <v>2.4686363636363638E-3</v>
      </c>
      <c r="AL434" s="51">
        <v>2.4997727272727276E-3</v>
      </c>
      <c r="AM434" s="51">
        <v>2.5309090909090915E-3</v>
      </c>
      <c r="AN434" s="51">
        <v>2.5620454545454549E-3</v>
      </c>
      <c r="AO434" s="51">
        <v>2.5931818181818183E-3</v>
      </c>
      <c r="AP434" s="51">
        <v>2.6243181818181821E-3</v>
      </c>
      <c r="AQ434" s="51">
        <v>2.6554545454545459E-3</v>
      </c>
      <c r="AR434" s="51">
        <v>2.6865909090909093E-3</v>
      </c>
      <c r="AS434" s="51">
        <v>2.7177272727272731E-3</v>
      </c>
      <c r="AT434" s="51">
        <v>2.748863636363637E-3</v>
      </c>
      <c r="AU434" s="51">
        <v>2.7800000000000004E-3</v>
      </c>
      <c r="AV434" s="51">
        <v>2.7993181818181823E-3</v>
      </c>
      <c r="AW434" s="51">
        <v>2.8186363636363639E-3</v>
      </c>
      <c r="AX434" s="51">
        <v>2.8379545454545459E-3</v>
      </c>
      <c r="AY434" s="51">
        <v>2.8572727272727274E-3</v>
      </c>
      <c r="AZ434" s="51">
        <v>2.8765909090909094E-3</v>
      </c>
      <c r="BA434" s="51">
        <v>2.8959090909090913E-3</v>
      </c>
      <c r="BB434" s="51">
        <v>2.9152272727272729E-3</v>
      </c>
      <c r="BC434" s="51">
        <v>2.9345454545454549E-3</v>
      </c>
      <c r="BD434" s="51">
        <v>2.9538636363636368E-3</v>
      </c>
      <c r="BE434" s="51">
        <v>2.9731818181818184E-3</v>
      </c>
      <c r="BF434" s="51">
        <v>2.9925000000000004E-3</v>
      </c>
      <c r="BG434" s="51">
        <v>3.0118181818181819E-3</v>
      </c>
      <c r="BH434" s="51">
        <v>3.0311363636363639E-3</v>
      </c>
      <c r="BI434" s="51">
        <v>3.0504545454545459E-3</v>
      </c>
      <c r="BJ434" s="51">
        <v>3.0697727272727274E-3</v>
      </c>
      <c r="BK434" s="51">
        <v>3.0890909090909094E-3</v>
      </c>
      <c r="BL434" s="51">
        <v>3.1084090909090914E-3</v>
      </c>
      <c r="BM434" s="51">
        <v>3.1277272727272729E-3</v>
      </c>
      <c r="BN434" s="51">
        <v>3.1470454545454549E-3</v>
      </c>
      <c r="BO434" s="51">
        <v>3.1663636363636364E-3</v>
      </c>
      <c r="BP434" s="51">
        <v>3.1856818181818184E-3</v>
      </c>
      <c r="BQ434" s="51">
        <v>3.2050000000000004E-3</v>
      </c>
      <c r="BR434" s="51">
        <v>3.2243181818181819E-3</v>
      </c>
      <c r="BS434" s="51">
        <v>3.2436363636363639E-3</v>
      </c>
      <c r="BT434" s="51">
        <v>3.2629545454545454E-3</v>
      </c>
      <c r="BU434" s="51">
        <v>3.2822727272727274E-3</v>
      </c>
      <c r="BV434" s="51">
        <v>3.3015909090909094E-3</v>
      </c>
      <c r="BW434" s="51">
        <v>3.3209090909090909E-3</v>
      </c>
      <c r="BX434" s="51">
        <v>3.3402272727272729E-3</v>
      </c>
      <c r="BY434" s="51">
        <v>3.3595454545454545E-3</v>
      </c>
      <c r="BZ434" s="51">
        <v>3.3788636363636364E-3</v>
      </c>
      <c r="CA434" s="51">
        <v>3.3981818181818184E-3</v>
      </c>
      <c r="CB434" s="51">
        <v>3.4175E-3</v>
      </c>
      <c r="CC434" s="51">
        <v>3.4368181818181819E-3</v>
      </c>
      <c r="CD434" s="51">
        <v>3.4561363636363635E-3</v>
      </c>
      <c r="CE434" s="51">
        <v>3.4754545454545455E-3</v>
      </c>
      <c r="CF434" s="51">
        <v>3.4947727272727274E-3</v>
      </c>
      <c r="CG434" s="51">
        <v>3.5140909090909094E-3</v>
      </c>
      <c r="CH434" s="51">
        <v>3.533409090909091E-3</v>
      </c>
      <c r="CI434" s="51">
        <v>3.5527272727272729E-3</v>
      </c>
      <c r="CJ434" s="51">
        <v>3.5720454545454545E-3</v>
      </c>
      <c r="CK434" s="51">
        <v>3.5913636363636365E-3</v>
      </c>
      <c r="CL434" s="51">
        <v>3.6106818181818184E-3</v>
      </c>
      <c r="CM434" s="51">
        <v>3.63E-3</v>
      </c>
    </row>
    <row r="435" spans="1:91" s="50" customFormat="1" x14ac:dyDescent="0.25">
      <c r="A435" s="99" t="s">
        <v>1</v>
      </c>
      <c r="B435" s="4">
        <v>0</v>
      </c>
      <c r="C435" s="4">
        <v>0</v>
      </c>
      <c r="D435" s="4">
        <v>0</v>
      </c>
      <c r="E435" s="4">
        <v>0</v>
      </c>
      <c r="F435" s="4">
        <v>0</v>
      </c>
      <c r="G435" s="4">
        <v>0</v>
      </c>
      <c r="H435" s="4">
        <v>0</v>
      </c>
      <c r="I435" s="4">
        <v>0</v>
      </c>
      <c r="J435" s="4">
        <v>0</v>
      </c>
      <c r="K435" s="4">
        <v>0</v>
      </c>
      <c r="L435" s="4">
        <v>0</v>
      </c>
      <c r="M435" s="4">
        <v>0</v>
      </c>
      <c r="N435" s="4">
        <v>0</v>
      </c>
      <c r="O435" s="4">
        <v>0</v>
      </c>
      <c r="P435" s="4">
        <v>0</v>
      </c>
      <c r="Q435" s="4">
        <v>0</v>
      </c>
      <c r="R435" s="4">
        <v>0</v>
      </c>
      <c r="S435" s="4">
        <v>0</v>
      </c>
      <c r="T435" s="4">
        <v>0</v>
      </c>
      <c r="U435" s="4">
        <v>0</v>
      </c>
      <c r="V435" s="4">
        <v>0</v>
      </c>
      <c r="W435" s="4">
        <v>0</v>
      </c>
      <c r="X435" s="4">
        <v>0</v>
      </c>
      <c r="Y435" s="4">
        <v>0</v>
      </c>
      <c r="Z435" s="4">
        <v>0</v>
      </c>
      <c r="AA435" s="4">
        <v>0</v>
      </c>
      <c r="AB435" s="4">
        <v>0</v>
      </c>
      <c r="AC435" s="4">
        <v>0</v>
      </c>
      <c r="AD435" s="4">
        <v>0</v>
      </c>
      <c r="AE435" s="4">
        <v>0</v>
      </c>
      <c r="AF435" s="51">
        <v>3.4209090909090912E-3</v>
      </c>
      <c r="AG435" s="51">
        <v>3.4681818181818186E-3</v>
      </c>
      <c r="AH435" s="51">
        <v>3.5154545454545456E-3</v>
      </c>
      <c r="AI435" s="51">
        <v>3.562727272727273E-3</v>
      </c>
      <c r="AJ435" s="51">
        <v>3.6100000000000004E-3</v>
      </c>
      <c r="AK435" s="51">
        <v>3.6572727272727278E-3</v>
      </c>
      <c r="AL435" s="51">
        <v>3.7045454545454552E-3</v>
      </c>
      <c r="AM435" s="51">
        <v>3.7518181818181826E-3</v>
      </c>
      <c r="AN435" s="51">
        <v>3.7990909090909099E-3</v>
      </c>
      <c r="AO435" s="51">
        <v>3.8463636363636369E-3</v>
      </c>
      <c r="AP435" s="51">
        <v>3.8936363636363643E-3</v>
      </c>
      <c r="AQ435" s="51">
        <v>3.9409090909090913E-3</v>
      </c>
      <c r="AR435" s="51">
        <v>3.9881818181818187E-3</v>
      </c>
      <c r="AS435" s="51">
        <v>4.0354545454545461E-3</v>
      </c>
      <c r="AT435" s="51">
        <v>4.0827272727272735E-3</v>
      </c>
      <c r="AU435" s="51">
        <v>4.1300000000000009E-3</v>
      </c>
      <c r="AV435" s="51">
        <v>4.1579545454545463E-3</v>
      </c>
      <c r="AW435" s="51">
        <v>4.1859090909090917E-3</v>
      </c>
      <c r="AX435" s="51">
        <v>4.2138636363636371E-3</v>
      </c>
      <c r="AY435" s="51">
        <v>4.2418181818181825E-3</v>
      </c>
      <c r="AZ435" s="51">
        <v>4.269772727272728E-3</v>
      </c>
      <c r="BA435" s="51">
        <v>4.2977272727272734E-3</v>
      </c>
      <c r="BB435" s="51">
        <v>4.3256818181818188E-3</v>
      </c>
      <c r="BC435" s="51">
        <v>4.3536363636363642E-3</v>
      </c>
      <c r="BD435" s="51">
        <v>4.3815909090909096E-3</v>
      </c>
      <c r="BE435" s="51">
        <v>4.4095454545454551E-3</v>
      </c>
      <c r="BF435" s="51">
        <v>4.4375000000000005E-3</v>
      </c>
      <c r="BG435" s="51">
        <v>4.4654545454545459E-3</v>
      </c>
      <c r="BH435" s="51">
        <v>4.4934090909090913E-3</v>
      </c>
      <c r="BI435" s="51">
        <v>4.5213636363636367E-3</v>
      </c>
      <c r="BJ435" s="51">
        <v>4.5493181818181821E-3</v>
      </c>
      <c r="BK435" s="51">
        <v>4.5772727272727276E-3</v>
      </c>
      <c r="BL435" s="51">
        <v>4.605227272727273E-3</v>
      </c>
      <c r="BM435" s="51">
        <v>4.6331818181818184E-3</v>
      </c>
      <c r="BN435" s="51">
        <v>4.6611363636363638E-3</v>
      </c>
      <c r="BO435" s="51">
        <v>4.6890909090909101E-3</v>
      </c>
      <c r="BP435" s="51">
        <v>4.7170454545454547E-3</v>
      </c>
      <c r="BQ435" s="51">
        <v>4.745000000000001E-3</v>
      </c>
      <c r="BR435" s="51">
        <v>4.7729545454545455E-3</v>
      </c>
      <c r="BS435" s="51">
        <v>4.8009090909090918E-3</v>
      </c>
      <c r="BT435" s="51">
        <v>4.8288636363636372E-3</v>
      </c>
      <c r="BU435" s="51">
        <v>4.8568181818181826E-3</v>
      </c>
      <c r="BV435" s="51">
        <v>4.8847727272727281E-3</v>
      </c>
      <c r="BW435" s="51">
        <v>4.9127272727272735E-3</v>
      </c>
      <c r="BX435" s="51">
        <v>4.9406818181818189E-3</v>
      </c>
      <c r="BY435" s="51">
        <v>4.9686363636363643E-3</v>
      </c>
      <c r="BZ435" s="51">
        <v>4.9965909090909097E-3</v>
      </c>
      <c r="CA435" s="51">
        <v>5.0245454545454551E-3</v>
      </c>
      <c r="CB435" s="51">
        <v>5.0525000000000006E-3</v>
      </c>
      <c r="CC435" s="51">
        <v>5.080454545454546E-3</v>
      </c>
      <c r="CD435" s="51">
        <v>5.1084090909090914E-3</v>
      </c>
      <c r="CE435" s="51">
        <v>5.1363636363636368E-3</v>
      </c>
      <c r="CF435" s="51">
        <v>5.1643181818181822E-3</v>
      </c>
      <c r="CG435" s="51">
        <v>5.1922727272727277E-3</v>
      </c>
      <c r="CH435" s="51">
        <v>5.2202272727272731E-3</v>
      </c>
      <c r="CI435" s="51">
        <v>5.2481818181818185E-3</v>
      </c>
      <c r="CJ435" s="51">
        <v>5.2761363636363639E-3</v>
      </c>
      <c r="CK435" s="51">
        <v>5.3040909090909093E-3</v>
      </c>
      <c r="CL435" s="51">
        <v>5.3320454545454548E-3</v>
      </c>
      <c r="CM435" s="51">
        <v>5.3600000000000002E-3</v>
      </c>
    </row>
    <row r="436" spans="1:91" s="50" customFormat="1" x14ac:dyDescent="0.25">
      <c r="A436" s="99" t="s">
        <v>1</v>
      </c>
      <c r="B436" s="4">
        <v>0</v>
      </c>
      <c r="C436" s="4">
        <v>0</v>
      </c>
      <c r="D436" s="4">
        <v>0</v>
      </c>
      <c r="E436" s="4">
        <v>0</v>
      </c>
      <c r="F436" s="4">
        <v>0</v>
      </c>
      <c r="G436" s="4">
        <v>0</v>
      </c>
      <c r="H436" s="4">
        <v>0</v>
      </c>
      <c r="I436" s="4">
        <v>0</v>
      </c>
      <c r="J436" s="4">
        <v>0</v>
      </c>
      <c r="K436" s="4">
        <v>0</v>
      </c>
      <c r="L436" s="4">
        <v>0</v>
      </c>
      <c r="M436" s="4">
        <v>0</v>
      </c>
      <c r="N436" s="4">
        <v>0</v>
      </c>
      <c r="O436" s="4">
        <v>0</v>
      </c>
      <c r="P436" s="4">
        <v>0</v>
      </c>
      <c r="Q436" s="4">
        <v>0</v>
      </c>
      <c r="R436" s="4">
        <v>0</v>
      </c>
      <c r="S436" s="4">
        <v>0</v>
      </c>
      <c r="T436" s="4">
        <v>0</v>
      </c>
      <c r="U436" s="4">
        <v>0</v>
      </c>
      <c r="V436" s="4">
        <v>0</v>
      </c>
      <c r="W436" s="4">
        <v>0</v>
      </c>
      <c r="X436" s="4">
        <v>0</v>
      </c>
      <c r="Y436" s="4">
        <v>0</v>
      </c>
      <c r="Z436" s="4">
        <v>0</v>
      </c>
      <c r="AA436" s="4">
        <v>0</v>
      </c>
      <c r="AB436" s="4">
        <v>0</v>
      </c>
      <c r="AC436" s="4">
        <v>0</v>
      </c>
      <c r="AD436" s="4">
        <v>0</v>
      </c>
      <c r="AE436" s="4">
        <v>0</v>
      </c>
      <c r="AF436" s="51">
        <v>1.4251346260975674E-3</v>
      </c>
      <c r="AG436" s="51">
        <v>1.4394010133432368E-3</v>
      </c>
      <c r="AH436" s="51">
        <v>1.4536674005889063E-3</v>
      </c>
      <c r="AI436" s="51">
        <v>1.4679337878345756E-3</v>
      </c>
      <c r="AJ436" s="51">
        <v>1.4822001750802451E-3</v>
      </c>
      <c r="AK436" s="51">
        <v>1.4964665623259145E-3</v>
      </c>
      <c r="AL436" s="51">
        <v>1.510732949571584E-3</v>
      </c>
      <c r="AM436" s="51">
        <v>1.5249993368172533E-3</v>
      </c>
      <c r="AN436" s="51">
        <v>1.5392657240629226E-3</v>
      </c>
      <c r="AO436" s="51">
        <v>1.5535321113085922E-3</v>
      </c>
      <c r="AP436" s="51">
        <v>1.5677984985542617E-3</v>
      </c>
      <c r="AQ436" s="51">
        <v>1.582064885799931E-3</v>
      </c>
      <c r="AR436" s="51">
        <v>1.5963312730456003E-3</v>
      </c>
      <c r="AS436" s="51">
        <v>1.6105976602912699E-3</v>
      </c>
      <c r="AT436" s="51">
        <v>1.6248640475369394E-3</v>
      </c>
      <c r="AU436" s="51">
        <v>1.6391304347826087E-3</v>
      </c>
      <c r="AV436" s="51">
        <v>1.6512056578914659E-3</v>
      </c>
      <c r="AW436" s="51">
        <v>1.6632808810003231E-3</v>
      </c>
      <c r="AX436" s="51">
        <v>1.6753561041091805E-3</v>
      </c>
      <c r="AY436" s="51">
        <v>1.6874313272180377E-3</v>
      </c>
      <c r="AZ436" s="51">
        <v>1.6995065503268949E-3</v>
      </c>
      <c r="BA436" s="51">
        <v>1.7115817734357521E-3</v>
      </c>
      <c r="BB436" s="51">
        <v>1.7236569965446095E-3</v>
      </c>
      <c r="BC436" s="51">
        <v>1.7357322196534667E-3</v>
      </c>
      <c r="BD436" s="51">
        <v>1.7478074427623239E-3</v>
      </c>
      <c r="BE436" s="51">
        <v>1.759882665871181E-3</v>
      </c>
      <c r="BF436" s="51">
        <v>1.7719578889800382E-3</v>
      </c>
      <c r="BG436" s="51">
        <v>1.7840331120888956E-3</v>
      </c>
      <c r="BH436" s="51">
        <v>1.7961083351977528E-3</v>
      </c>
      <c r="BI436" s="51">
        <v>1.80818355830661E-3</v>
      </c>
      <c r="BJ436" s="51">
        <v>1.8202587814154672E-3</v>
      </c>
      <c r="BK436" s="51">
        <v>1.8323340045243246E-3</v>
      </c>
      <c r="BL436" s="51">
        <v>1.8444092276331818E-3</v>
      </c>
      <c r="BM436" s="51">
        <v>1.856484450742039E-3</v>
      </c>
      <c r="BN436" s="51">
        <v>1.8685596738508962E-3</v>
      </c>
      <c r="BO436" s="51">
        <v>1.8806348969597534E-3</v>
      </c>
      <c r="BP436" s="51">
        <v>1.8927101200686108E-3</v>
      </c>
      <c r="BQ436" s="51">
        <v>1.904785343177468E-3</v>
      </c>
      <c r="BR436" s="51">
        <v>1.9168605662863252E-3</v>
      </c>
      <c r="BS436" s="51">
        <v>1.9289357893951826E-3</v>
      </c>
      <c r="BT436" s="51">
        <v>1.9410110125040398E-3</v>
      </c>
      <c r="BU436" s="51">
        <v>1.953086235612897E-3</v>
      </c>
      <c r="BV436" s="51">
        <v>1.9651614587217541E-3</v>
      </c>
      <c r="BW436" s="51">
        <v>1.9772366818306113E-3</v>
      </c>
      <c r="BX436" s="51">
        <v>1.9893119049394685E-3</v>
      </c>
      <c r="BY436" s="51">
        <v>2.0013871280483257E-3</v>
      </c>
      <c r="BZ436" s="51">
        <v>2.0134623511571829E-3</v>
      </c>
      <c r="CA436" s="51">
        <v>2.0255375742660405E-3</v>
      </c>
      <c r="CB436" s="51">
        <v>2.0376127973748977E-3</v>
      </c>
      <c r="CC436" s="51">
        <v>2.0496880204837549E-3</v>
      </c>
      <c r="CD436" s="51">
        <v>2.0617632435926121E-3</v>
      </c>
      <c r="CE436" s="51">
        <v>2.0738384667014693E-3</v>
      </c>
      <c r="CF436" s="51">
        <v>2.0859136898103265E-3</v>
      </c>
      <c r="CG436" s="51">
        <v>2.0979889129191837E-3</v>
      </c>
      <c r="CH436" s="51">
        <v>2.1100641360280409E-3</v>
      </c>
      <c r="CI436" s="51">
        <v>2.1221393591368985E-3</v>
      </c>
      <c r="CJ436" s="51">
        <v>2.1342145822457557E-3</v>
      </c>
      <c r="CK436" s="51">
        <v>2.1462898053546129E-3</v>
      </c>
      <c r="CL436" s="51">
        <v>2.1583650284634701E-3</v>
      </c>
      <c r="CM436" s="51">
        <v>2.1704402515723272E-3</v>
      </c>
    </row>
    <row r="437" spans="1:91" s="50" customFormat="1" x14ac:dyDescent="0.25">
      <c r="A437" s="99" t="s">
        <v>1</v>
      </c>
      <c r="B437" s="4">
        <v>0</v>
      </c>
      <c r="C437" s="4">
        <v>0</v>
      </c>
      <c r="D437" s="4">
        <v>0</v>
      </c>
      <c r="E437" s="4">
        <v>0</v>
      </c>
      <c r="F437" s="4">
        <v>0</v>
      </c>
      <c r="G437" s="4">
        <v>0</v>
      </c>
      <c r="H437" s="4">
        <v>0</v>
      </c>
      <c r="I437" s="4">
        <v>0</v>
      </c>
      <c r="J437" s="4">
        <v>0</v>
      </c>
      <c r="K437" s="4">
        <v>0</v>
      </c>
      <c r="L437" s="4">
        <v>0</v>
      </c>
      <c r="M437" s="4">
        <v>0</v>
      </c>
      <c r="N437" s="4">
        <v>0</v>
      </c>
      <c r="O437" s="4">
        <v>0</v>
      </c>
      <c r="P437" s="4">
        <v>0</v>
      </c>
      <c r="Q437" s="4">
        <v>0</v>
      </c>
      <c r="R437" s="4">
        <v>0</v>
      </c>
      <c r="S437" s="4">
        <v>0</v>
      </c>
      <c r="T437" s="4">
        <v>0</v>
      </c>
      <c r="U437" s="4">
        <v>0</v>
      </c>
      <c r="V437" s="4">
        <v>0</v>
      </c>
      <c r="W437" s="4">
        <v>0</v>
      </c>
      <c r="X437" s="4">
        <v>0</v>
      </c>
      <c r="Y437" s="4">
        <v>0</v>
      </c>
      <c r="Z437" s="4">
        <v>0</v>
      </c>
      <c r="AA437" s="4">
        <v>0</v>
      </c>
      <c r="AB437" s="4">
        <v>0</v>
      </c>
      <c r="AC437" s="4">
        <v>0</v>
      </c>
      <c r="AD437" s="4">
        <v>0</v>
      </c>
      <c r="AE437" s="4">
        <v>0</v>
      </c>
      <c r="AF437" s="51">
        <v>1.6577549140049139E-3</v>
      </c>
      <c r="AG437" s="51">
        <v>1.6804361179361179E-3</v>
      </c>
      <c r="AH437" s="51">
        <v>1.7031173218673219E-3</v>
      </c>
      <c r="AI437" s="51">
        <v>1.7257985257985258E-3</v>
      </c>
      <c r="AJ437" s="51">
        <v>1.7484797297297296E-3</v>
      </c>
      <c r="AK437" s="51">
        <v>1.7711609336609336E-3</v>
      </c>
      <c r="AL437" s="51">
        <v>1.7938421375921377E-3</v>
      </c>
      <c r="AM437" s="51">
        <v>1.8165233415233415E-3</v>
      </c>
      <c r="AN437" s="51">
        <v>1.8392045454545453E-3</v>
      </c>
      <c r="AO437" s="51">
        <v>1.8618857493857494E-3</v>
      </c>
      <c r="AP437" s="51">
        <v>1.8845669533169532E-3</v>
      </c>
      <c r="AQ437" s="51">
        <v>1.907248157248157E-3</v>
      </c>
      <c r="AR437" s="51">
        <v>1.9299293611793611E-3</v>
      </c>
      <c r="AS437" s="51">
        <v>1.9526105651105651E-3</v>
      </c>
      <c r="AT437" s="51">
        <v>1.9752917690417692E-3</v>
      </c>
      <c r="AU437" s="51">
        <v>1.9979729729729728E-3</v>
      </c>
      <c r="AV437" s="51">
        <v>2.0184735872235873E-3</v>
      </c>
      <c r="AW437" s="51">
        <v>2.0389742014742013E-3</v>
      </c>
      <c r="AX437" s="51">
        <v>2.0594748157248153E-3</v>
      </c>
      <c r="AY437" s="51">
        <v>2.0799754299754298E-3</v>
      </c>
      <c r="AZ437" s="51">
        <v>2.1004760442260443E-3</v>
      </c>
      <c r="BA437" s="51">
        <v>2.1209766584766583E-3</v>
      </c>
      <c r="BB437" s="51">
        <v>2.1414772727272723E-3</v>
      </c>
      <c r="BC437" s="51">
        <v>2.1619778869778868E-3</v>
      </c>
      <c r="BD437" s="51">
        <v>2.1824785012285013E-3</v>
      </c>
      <c r="BE437" s="51">
        <v>2.2029791154791153E-3</v>
      </c>
      <c r="BF437" s="51">
        <v>2.2234797297297293E-3</v>
      </c>
      <c r="BG437" s="51">
        <v>2.2439803439803438E-3</v>
      </c>
      <c r="BH437" s="51">
        <v>2.2644809582309583E-3</v>
      </c>
      <c r="BI437" s="51">
        <v>2.2849815724815723E-3</v>
      </c>
      <c r="BJ437" s="51">
        <v>2.3054821867321863E-3</v>
      </c>
      <c r="BK437" s="51">
        <v>2.3259828009828008E-3</v>
      </c>
      <c r="BL437" s="51">
        <v>2.3464834152334153E-3</v>
      </c>
      <c r="BM437" s="51">
        <v>2.3669840294840293E-3</v>
      </c>
      <c r="BN437" s="51">
        <v>2.3874846437346433E-3</v>
      </c>
      <c r="BO437" s="51">
        <v>2.4079852579852578E-3</v>
      </c>
      <c r="BP437" s="51">
        <v>2.4284858722358723E-3</v>
      </c>
      <c r="BQ437" s="51">
        <v>2.4489864864864863E-3</v>
      </c>
      <c r="BR437" s="51">
        <v>2.4694871007371003E-3</v>
      </c>
      <c r="BS437" s="51">
        <v>2.4899877149877148E-3</v>
      </c>
      <c r="BT437" s="51">
        <v>2.5104883292383293E-3</v>
      </c>
      <c r="BU437" s="51">
        <v>2.5309889434889433E-3</v>
      </c>
      <c r="BV437" s="51">
        <v>2.5514895577395573E-3</v>
      </c>
      <c r="BW437" s="51">
        <v>2.5719901719901718E-3</v>
      </c>
      <c r="BX437" s="51">
        <v>2.5924907862407863E-3</v>
      </c>
      <c r="BY437" s="51">
        <v>2.6129914004914003E-3</v>
      </c>
      <c r="BZ437" s="51">
        <v>2.6334920147420143E-3</v>
      </c>
      <c r="CA437" s="51">
        <v>2.6539926289926288E-3</v>
      </c>
      <c r="CB437" s="51">
        <v>2.6744932432432433E-3</v>
      </c>
      <c r="CC437" s="51">
        <v>2.6949938574938573E-3</v>
      </c>
      <c r="CD437" s="51">
        <v>2.7154944717444713E-3</v>
      </c>
      <c r="CE437" s="51">
        <v>2.7359950859950858E-3</v>
      </c>
      <c r="CF437" s="51">
        <v>2.7564957002457003E-3</v>
      </c>
      <c r="CG437" s="51">
        <v>2.7769963144963143E-3</v>
      </c>
      <c r="CH437" s="51">
        <v>2.7974969287469283E-3</v>
      </c>
      <c r="CI437" s="51">
        <v>2.8179975429975428E-3</v>
      </c>
      <c r="CJ437" s="51">
        <v>2.8384981572481573E-3</v>
      </c>
      <c r="CK437" s="51">
        <v>2.8589987714987713E-3</v>
      </c>
      <c r="CL437" s="51">
        <v>2.8794993857493853E-3</v>
      </c>
      <c r="CM437" s="51">
        <v>2.8999999999999998E-3</v>
      </c>
    </row>
    <row r="438" spans="1:91" s="50" customFormat="1" x14ac:dyDescent="0.25">
      <c r="A438" s="99" t="s">
        <v>1</v>
      </c>
      <c r="B438" s="4">
        <v>0</v>
      </c>
      <c r="C438" s="4">
        <v>0</v>
      </c>
      <c r="D438" s="4">
        <v>0</v>
      </c>
      <c r="E438" s="4">
        <v>0</v>
      </c>
      <c r="F438" s="4">
        <v>0</v>
      </c>
      <c r="G438" s="4">
        <v>0</v>
      </c>
      <c r="H438" s="4">
        <v>0</v>
      </c>
      <c r="I438" s="4">
        <v>0</v>
      </c>
      <c r="J438" s="4">
        <v>0</v>
      </c>
      <c r="K438" s="4">
        <v>0</v>
      </c>
      <c r="L438" s="4">
        <v>0</v>
      </c>
      <c r="M438" s="4">
        <v>0</v>
      </c>
      <c r="N438" s="4">
        <v>0</v>
      </c>
      <c r="O438" s="4">
        <v>0</v>
      </c>
      <c r="P438" s="4">
        <v>0</v>
      </c>
      <c r="Q438" s="4">
        <v>0</v>
      </c>
      <c r="R438" s="4">
        <v>0</v>
      </c>
      <c r="S438" s="4">
        <v>0</v>
      </c>
      <c r="T438" s="4">
        <v>0</v>
      </c>
      <c r="U438" s="4">
        <v>0</v>
      </c>
      <c r="V438" s="4">
        <v>0</v>
      </c>
      <c r="W438" s="4">
        <v>0</v>
      </c>
      <c r="X438" s="4">
        <v>0</v>
      </c>
      <c r="Y438" s="4">
        <v>0</v>
      </c>
      <c r="Z438" s="4">
        <v>0</v>
      </c>
      <c r="AA438" s="4">
        <v>0</v>
      </c>
      <c r="AB438" s="4">
        <v>0</v>
      </c>
      <c r="AC438" s="4">
        <v>0</v>
      </c>
      <c r="AD438" s="4">
        <v>0</v>
      </c>
      <c r="AE438" s="4">
        <v>0</v>
      </c>
      <c r="AF438" s="51">
        <v>6.1522727272727278E-2</v>
      </c>
      <c r="AG438" s="51">
        <v>6.1954545454545457E-2</v>
      </c>
      <c r="AH438" s="51">
        <v>6.2386363636363643E-2</v>
      </c>
      <c r="AI438" s="51">
        <v>6.2818181818181829E-2</v>
      </c>
      <c r="AJ438" s="51">
        <v>6.3250000000000001E-2</v>
      </c>
      <c r="AK438" s="51">
        <v>6.3681818181818187E-2</v>
      </c>
      <c r="AL438" s="51">
        <v>6.4113636363636373E-2</v>
      </c>
      <c r="AM438" s="51">
        <v>6.4545454545454545E-2</v>
      </c>
      <c r="AN438" s="51">
        <v>6.4977272727272731E-2</v>
      </c>
      <c r="AO438" s="51">
        <v>6.5409090909090917E-2</v>
      </c>
      <c r="AP438" s="51">
        <v>6.5840909090909089E-2</v>
      </c>
      <c r="AQ438" s="51">
        <v>6.6272727272727275E-2</v>
      </c>
      <c r="AR438" s="51">
        <v>6.6704545454545461E-2</v>
      </c>
      <c r="AS438" s="51">
        <v>6.7136363636363633E-2</v>
      </c>
      <c r="AT438" s="51">
        <v>6.7568181818181819E-2</v>
      </c>
      <c r="AU438" s="51">
        <v>6.8000000000000005E-2</v>
      </c>
      <c r="AV438" s="51">
        <v>6.881818181818182E-2</v>
      </c>
      <c r="AW438" s="51">
        <v>6.9636363636363635E-2</v>
      </c>
      <c r="AX438" s="51">
        <v>7.0454545454545464E-2</v>
      </c>
      <c r="AY438" s="51">
        <v>7.1272727272727279E-2</v>
      </c>
      <c r="AZ438" s="51">
        <v>7.2090909090909094E-2</v>
      </c>
      <c r="BA438" s="51">
        <v>7.290909090909091E-2</v>
      </c>
      <c r="BB438" s="51">
        <v>7.3727272727272725E-2</v>
      </c>
      <c r="BC438" s="51">
        <v>7.4545454545454554E-2</v>
      </c>
      <c r="BD438" s="51">
        <v>7.5363636363636369E-2</v>
      </c>
      <c r="BE438" s="51">
        <v>7.6181818181818184E-2</v>
      </c>
      <c r="BF438" s="51">
        <v>7.6999999999999999E-2</v>
      </c>
      <c r="BG438" s="51">
        <v>7.7818181818181814E-2</v>
      </c>
      <c r="BH438" s="51">
        <v>7.8636363636363643E-2</v>
      </c>
      <c r="BI438" s="51">
        <v>7.9454545454545458E-2</v>
      </c>
      <c r="BJ438" s="51">
        <v>8.0272727272727273E-2</v>
      </c>
      <c r="BK438" s="51">
        <v>8.1090909090909088E-2</v>
      </c>
      <c r="BL438" s="51">
        <v>8.1909090909090904E-2</v>
      </c>
      <c r="BM438" s="51">
        <v>8.2727272727272733E-2</v>
      </c>
      <c r="BN438" s="51">
        <v>8.3545454545454548E-2</v>
      </c>
      <c r="BO438" s="51">
        <v>8.4363636363636363E-2</v>
      </c>
      <c r="BP438" s="51">
        <v>8.5181818181818178E-2</v>
      </c>
      <c r="BQ438" s="51">
        <v>8.5999999999999993E-2</v>
      </c>
      <c r="BR438" s="51">
        <v>8.6818181818181822E-2</v>
      </c>
      <c r="BS438" s="51">
        <v>8.7636363636363637E-2</v>
      </c>
      <c r="BT438" s="51">
        <v>8.8454545454545452E-2</v>
      </c>
      <c r="BU438" s="51">
        <v>8.9272727272727267E-2</v>
      </c>
      <c r="BV438" s="51">
        <v>9.0090909090909083E-2</v>
      </c>
      <c r="BW438" s="51">
        <v>9.0909090909090912E-2</v>
      </c>
      <c r="BX438" s="51">
        <v>9.1727272727272727E-2</v>
      </c>
      <c r="BY438" s="51">
        <v>9.2545454545454542E-2</v>
      </c>
      <c r="BZ438" s="51">
        <v>9.3363636363636357E-2</v>
      </c>
      <c r="CA438" s="51">
        <v>9.4181818181818172E-2</v>
      </c>
      <c r="CB438" s="51">
        <v>9.5000000000000001E-2</v>
      </c>
      <c r="CC438" s="51">
        <v>9.5818181818181816E-2</v>
      </c>
      <c r="CD438" s="51">
        <v>9.6636363636363631E-2</v>
      </c>
      <c r="CE438" s="51">
        <v>9.7454545454545446E-2</v>
      </c>
      <c r="CF438" s="51">
        <v>9.8272727272727262E-2</v>
      </c>
      <c r="CG438" s="51">
        <v>9.9090909090909091E-2</v>
      </c>
      <c r="CH438" s="51">
        <v>9.9909090909090906E-2</v>
      </c>
      <c r="CI438" s="51">
        <v>0.10072727272727272</v>
      </c>
      <c r="CJ438" s="51">
        <v>0.10154545454545455</v>
      </c>
      <c r="CK438" s="51">
        <v>0.10236363636363635</v>
      </c>
      <c r="CL438" s="51">
        <v>0.10318181818181818</v>
      </c>
      <c r="CM438" s="51">
        <v>0.104</v>
      </c>
    </row>
    <row r="439" spans="1:91" s="50" customFormat="1" x14ac:dyDescent="0.25">
      <c r="A439" s="9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c r="BS439" s="51"/>
      <c r="BT439" s="51"/>
      <c r="BU439" s="51"/>
      <c r="BV439" s="51"/>
      <c r="BW439" s="51"/>
      <c r="BX439" s="51"/>
      <c r="BY439" s="51"/>
      <c r="BZ439" s="51"/>
      <c r="CA439" s="51"/>
      <c r="CB439" s="51"/>
      <c r="CC439" s="51"/>
      <c r="CD439" s="51"/>
      <c r="CE439" s="51"/>
      <c r="CF439" s="51"/>
      <c r="CG439" s="51"/>
      <c r="CH439" s="51"/>
      <c r="CI439" s="51"/>
      <c r="CJ439" s="51"/>
      <c r="CK439" s="51"/>
      <c r="CL439" s="51"/>
      <c r="CM439" s="51"/>
    </row>
    <row r="440" spans="1:91" s="50" customFormat="1" x14ac:dyDescent="0.25">
      <c r="A440" s="99" t="s">
        <v>180</v>
      </c>
      <c r="B440" s="4">
        <v>0</v>
      </c>
      <c r="C440" s="4">
        <v>0</v>
      </c>
      <c r="D440" s="4">
        <v>0</v>
      </c>
      <c r="E440" s="4">
        <v>0</v>
      </c>
      <c r="F440" s="4">
        <v>0</v>
      </c>
      <c r="G440" s="4">
        <v>0</v>
      </c>
      <c r="H440" s="4">
        <v>0</v>
      </c>
      <c r="I440" s="4">
        <v>0</v>
      </c>
      <c r="J440" s="4">
        <v>0</v>
      </c>
      <c r="K440" s="4">
        <v>0</v>
      </c>
      <c r="L440" s="4">
        <v>0</v>
      </c>
      <c r="M440" s="4">
        <v>0</v>
      </c>
      <c r="N440" s="4">
        <v>0</v>
      </c>
      <c r="O440" s="4">
        <v>0</v>
      </c>
      <c r="P440" s="4">
        <v>0</v>
      </c>
      <c r="Q440" s="4">
        <v>0</v>
      </c>
      <c r="R440" s="4">
        <v>0</v>
      </c>
      <c r="S440" s="4">
        <v>0</v>
      </c>
      <c r="T440" s="4">
        <v>0</v>
      </c>
      <c r="U440" s="4">
        <v>0</v>
      </c>
      <c r="V440" s="4">
        <v>0</v>
      </c>
      <c r="W440" s="4">
        <v>0</v>
      </c>
      <c r="X440" s="4">
        <v>0</v>
      </c>
      <c r="Y440" s="4">
        <v>0</v>
      </c>
      <c r="Z440" s="4">
        <v>0</v>
      </c>
      <c r="AA440" s="4">
        <v>0</v>
      </c>
      <c r="AB440" s="4">
        <v>0</v>
      </c>
      <c r="AC440" s="4">
        <v>0</v>
      </c>
      <c r="AD440" s="4">
        <v>0</v>
      </c>
      <c r="AE440" s="4">
        <v>0</v>
      </c>
      <c r="AF440" s="51">
        <v>3.0288636363636368E-3</v>
      </c>
      <c r="AG440" s="51">
        <v>3.1022727272727278E-3</v>
      </c>
      <c r="AH440" s="51">
        <v>3.1756818181818188E-3</v>
      </c>
      <c r="AI440" s="51">
        <v>3.2490909090909098E-3</v>
      </c>
      <c r="AJ440" s="51">
        <v>3.3225000000000008E-3</v>
      </c>
      <c r="AK440" s="51">
        <v>3.3959090909090918E-3</v>
      </c>
      <c r="AL440" s="51">
        <v>3.4693181818181828E-3</v>
      </c>
      <c r="AM440" s="51">
        <v>3.5427272727272738E-3</v>
      </c>
      <c r="AN440" s="51">
        <v>3.6161363636363648E-3</v>
      </c>
      <c r="AO440" s="51">
        <v>3.6895454545454558E-3</v>
      </c>
      <c r="AP440" s="51">
        <v>3.7629545454545468E-3</v>
      </c>
      <c r="AQ440" s="51">
        <v>3.8363636363636378E-3</v>
      </c>
      <c r="AR440" s="51">
        <v>3.9097727272727287E-3</v>
      </c>
      <c r="AS440" s="51">
        <v>3.9831818181818197E-3</v>
      </c>
      <c r="AT440" s="51">
        <v>4.0565909090909107E-3</v>
      </c>
      <c r="AU440" s="51">
        <v>4.1300000000000009E-3</v>
      </c>
      <c r="AV440" s="51">
        <v>4.1579545454545463E-3</v>
      </c>
      <c r="AW440" s="51">
        <v>4.1859090909090917E-3</v>
      </c>
      <c r="AX440" s="51">
        <v>4.2138636363636371E-3</v>
      </c>
      <c r="AY440" s="51">
        <v>4.2418181818181825E-3</v>
      </c>
      <c r="AZ440" s="51">
        <v>4.269772727272728E-3</v>
      </c>
      <c r="BA440" s="51">
        <v>4.2977272727272734E-3</v>
      </c>
      <c r="BB440" s="51">
        <v>4.3256818181818188E-3</v>
      </c>
      <c r="BC440" s="51">
        <v>4.3536363636363642E-3</v>
      </c>
      <c r="BD440" s="51">
        <v>4.3815909090909096E-3</v>
      </c>
      <c r="BE440" s="51">
        <v>4.4095454545454551E-3</v>
      </c>
      <c r="BF440" s="51">
        <v>4.4375000000000005E-3</v>
      </c>
      <c r="BG440" s="51">
        <v>4.4654545454545459E-3</v>
      </c>
      <c r="BH440" s="51">
        <v>4.4934090909090913E-3</v>
      </c>
      <c r="BI440" s="51">
        <v>4.5213636363636367E-3</v>
      </c>
      <c r="BJ440" s="51">
        <v>4.5493181818181821E-3</v>
      </c>
      <c r="BK440" s="51">
        <v>4.5772727272727276E-3</v>
      </c>
      <c r="BL440" s="51">
        <v>4.605227272727273E-3</v>
      </c>
      <c r="BM440" s="51">
        <v>4.6331818181818184E-3</v>
      </c>
      <c r="BN440" s="51">
        <v>4.6611363636363638E-3</v>
      </c>
      <c r="BO440" s="51">
        <v>4.6890909090909101E-3</v>
      </c>
      <c r="BP440" s="51">
        <v>4.7170454545454547E-3</v>
      </c>
      <c r="BQ440" s="51">
        <v>4.745000000000001E-3</v>
      </c>
      <c r="BR440" s="51">
        <v>4.7729545454545455E-3</v>
      </c>
      <c r="BS440" s="51">
        <v>4.8009090909090918E-3</v>
      </c>
      <c r="BT440" s="51">
        <v>4.8288636363636372E-3</v>
      </c>
      <c r="BU440" s="51">
        <v>4.8568181818181826E-3</v>
      </c>
      <c r="BV440" s="51">
        <v>4.8847727272727281E-3</v>
      </c>
      <c r="BW440" s="51">
        <v>4.9127272727272735E-3</v>
      </c>
      <c r="BX440" s="51">
        <v>4.9406818181818189E-3</v>
      </c>
      <c r="BY440" s="51">
        <v>4.9686363636363643E-3</v>
      </c>
      <c r="BZ440" s="51">
        <v>4.9965909090909097E-3</v>
      </c>
      <c r="CA440" s="51">
        <v>5.0245454545454551E-3</v>
      </c>
      <c r="CB440" s="51">
        <v>5.0525000000000006E-3</v>
      </c>
      <c r="CC440" s="51">
        <v>5.080454545454546E-3</v>
      </c>
      <c r="CD440" s="51">
        <v>5.1084090909090914E-3</v>
      </c>
      <c r="CE440" s="51">
        <v>5.1363636363636368E-3</v>
      </c>
      <c r="CF440" s="51">
        <v>5.1643181818181822E-3</v>
      </c>
      <c r="CG440" s="51">
        <v>5.1922727272727277E-3</v>
      </c>
      <c r="CH440" s="51">
        <v>5.2202272727272731E-3</v>
      </c>
      <c r="CI440" s="51">
        <v>5.2481818181818185E-3</v>
      </c>
      <c r="CJ440" s="51">
        <v>5.2761363636363639E-3</v>
      </c>
      <c r="CK440" s="51">
        <v>5.3040909090909093E-3</v>
      </c>
      <c r="CL440" s="51">
        <v>5.3320454545454548E-3</v>
      </c>
      <c r="CM440" s="51">
        <v>5.3600000000000002E-3</v>
      </c>
    </row>
    <row r="441" spans="1:91" s="50" customFormat="1" x14ac:dyDescent="0.25">
      <c r="A441" s="9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c r="BS441" s="51"/>
      <c r="BT441" s="51"/>
      <c r="BU441" s="51"/>
      <c r="BV441" s="51"/>
      <c r="BW441" s="51"/>
      <c r="BX441" s="51"/>
      <c r="BY441" s="51"/>
      <c r="BZ441" s="51"/>
      <c r="CA441" s="51"/>
      <c r="CB441" s="51"/>
      <c r="CC441" s="51"/>
      <c r="CD441" s="51"/>
      <c r="CE441" s="51"/>
      <c r="CF441" s="51"/>
      <c r="CG441" s="51"/>
      <c r="CH441" s="51"/>
      <c r="CI441" s="51"/>
      <c r="CJ441" s="51"/>
      <c r="CK441" s="51"/>
      <c r="CL441" s="51"/>
      <c r="CM441" s="51"/>
    </row>
    <row r="442" spans="1:91" s="50" customFormat="1" x14ac:dyDescent="0.25">
      <c r="A442" s="99" t="s">
        <v>386</v>
      </c>
      <c r="B442" s="4">
        <v>0</v>
      </c>
      <c r="C442" s="4">
        <v>0</v>
      </c>
      <c r="D442" s="4">
        <v>0</v>
      </c>
      <c r="E442" s="4">
        <v>0</v>
      </c>
      <c r="F442" s="4">
        <v>0</v>
      </c>
      <c r="G442" s="4">
        <v>0</v>
      </c>
      <c r="H442" s="4">
        <v>0</v>
      </c>
      <c r="I442" s="4">
        <v>0</v>
      </c>
      <c r="J442" s="4">
        <v>0</v>
      </c>
      <c r="K442" s="4">
        <v>0</v>
      </c>
      <c r="L442" s="4">
        <v>0</v>
      </c>
      <c r="M442" s="4">
        <v>0</v>
      </c>
      <c r="N442" s="4">
        <v>0</v>
      </c>
      <c r="O442" s="4">
        <v>0</v>
      </c>
      <c r="P442" s="4">
        <v>0</v>
      </c>
      <c r="Q442" s="4">
        <v>0</v>
      </c>
      <c r="R442" s="4">
        <v>0</v>
      </c>
      <c r="S442" s="4">
        <v>0</v>
      </c>
      <c r="T442" s="4">
        <v>0</v>
      </c>
      <c r="U442" s="4">
        <v>0</v>
      </c>
      <c r="V442" s="4">
        <v>0</v>
      </c>
      <c r="W442" s="4">
        <v>0</v>
      </c>
      <c r="X442" s="4">
        <v>0</v>
      </c>
      <c r="Y442" s="4">
        <v>0</v>
      </c>
      <c r="Z442" s="4">
        <v>0</v>
      </c>
      <c r="AA442" s="4">
        <v>0</v>
      </c>
      <c r="AB442" s="4">
        <v>0</v>
      </c>
      <c r="AC442" s="4">
        <v>0</v>
      </c>
      <c r="AD442" s="4">
        <v>0</v>
      </c>
      <c r="AE442" s="4">
        <v>0</v>
      </c>
      <c r="AF442" s="51">
        <v>3.0288636363636368E-3</v>
      </c>
      <c r="AG442" s="51">
        <v>3.1022727272727278E-3</v>
      </c>
      <c r="AH442" s="51">
        <v>3.1756818181818188E-3</v>
      </c>
      <c r="AI442" s="51">
        <v>3.2490909090909098E-3</v>
      </c>
      <c r="AJ442" s="51">
        <v>3.3225000000000008E-3</v>
      </c>
      <c r="AK442" s="51">
        <v>3.3959090909090918E-3</v>
      </c>
      <c r="AL442" s="51">
        <v>3.4693181818181828E-3</v>
      </c>
      <c r="AM442" s="51">
        <v>3.5427272727272738E-3</v>
      </c>
      <c r="AN442" s="51">
        <v>3.6161363636363648E-3</v>
      </c>
      <c r="AO442" s="51">
        <v>3.6895454545454558E-3</v>
      </c>
      <c r="AP442" s="51">
        <v>3.7629545454545468E-3</v>
      </c>
      <c r="AQ442" s="51">
        <v>3.8363636363636378E-3</v>
      </c>
      <c r="AR442" s="51">
        <v>3.9097727272727287E-3</v>
      </c>
      <c r="AS442" s="51">
        <v>3.9831818181818197E-3</v>
      </c>
      <c r="AT442" s="51">
        <v>4.0565909090909107E-3</v>
      </c>
      <c r="AU442" s="51">
        <v>4.1300000000000009E-3</v>
      </c>
      <c r="AV442" s="51">
        <v>4.1579545454545463E-3</v>
      </c>
      <c r="AW442" s="51">
        <v>4.1859090909090917E-3</v>
      </c>
      <c r="AX442" s="51">
        <v>4.2138636363636371E-3</v>
      </c>
      <c r="AY442" s="51">
        <v>4.2418181818181825E-3</v>
      </c>
      <c r="AZ442" s="51">
        <v>4.269772727272728E-3</v>
      </c>
      <c r="BA442" s="51">
        <v>4.2977272727272734E-3</v>
      </c>
      <c r="BB442" s="51">
        <v>4.3256818181818188E-3</v>
      </c>
      <c r="BC442" s="51">
        <v>4.3536363636363642E-3</v>
      </c>
      <c r="BD442" s="51">
        <v>4.3815909090909096E-3</v>
      </c>
      <c r="BE442" s="51">
        <v>4.4095454545454551E-3</v>
      </c>
      <c r="BF442" s="51">
        <v>4.4375000000000005E-3</v>
      </c>
      <c r="BG442" s="51">
        <v>4.4654545454545459E-3</v>
      </c>
      <c r="BH442" s="51">
        <v>4.4934090909090913E-3</v>
      </c>
      <c r="BI442" s="51">
        <v>4.5213636363636367E-3</v>
      </c>
      <c r="BJ442" s="51">
        <v>4.5493181818181821E-3</v>
      </c>
      <c r="BK442" s="51">
        <v>4.5772727272727276E-3</v>
      </c>
      <c r="BL442" s="51">
        <v>4.605227272727273E-3</v>
      </c>
      <c r="BM442" s="51">
        <v>4.6331818181818184E-3</v>
      </c>
      <c r="BN442" s="51">
        <v>4.6611363636363638E-3</v>
      </c>
      <c r="BO442" s="51">
        <v>4.6890909090909101E-3</v>
      </c>
      <c r="BP442" s="51">
        <v>4.7170454545454547E-3</v>
      </c>
      <c r="BQ442" s="51">
        <v>4.745000000000001E-3</v>
      </c>
      <c r="BR442" s="51">
        <v>4.7729545454545455E-3</v>
      </c>
      <c r="BS442" s="51">
        <v>4.8009090909090918E-3</v>
      </c>
      <c r="BT442" s="51">
        <v>4.8288636363636372E-3</v>
      </c>
      <c r="BU442" s="51">
        <v>4.8568181818181826E-3</v>
      </c>
      <c r="BV442" s="51">
        <v>4.8847727272727281E-3</v>
      </c>
      <c r="BW442" s="51">
        <v>4.9127272727272735E-3</v>
      </c>
      <c r="BX442" s="51">
        <v>4.9406818181818189E-3</v>
      </c>
      <c r="BY442" s="51">
        <v>4.9686363636363643E-3</v>
      </c>
      <c r="BZ442" s="51">
        <v>4.9965909090909097E-3</v>
      </c>
      <c r="CA442" s="51">
        <v>5.0245454545454551E-3</v>
      </c>
      <c r="CB442" s="51">
        <v>5.0525000000000006E-3</v>
      </c>
      <c r="CC442" s="51">
        <v>5.080454545454546E-3</v>
      </c>
      <c r="CD442" s="51">
        <v>5.1084090909090914E-3</v>
      </c>
      <c r="CE442" s="51">
        <v>5.1363636363636368E-3</v>
      </c>
      <c r="CF442" s="51">
        <v>5.1643181818181822E-3</v>
      </c>
      <c r="CG442" s="51">
        <v>5.1922727272727277E-3</v>
      </c>
      <c r="CH442" s="51">
        <v>5.2202272727272731E-3</v>
      </c>
      <c r="CI442" s="51">
        <v>5.2481818181818185E-3</v>
      </c>
      <c r="CJ442" s="51">
        <v>5.2761363636363639E-3</v>
      </c>
      <c r="CK442" s="51">
        <v>5.3040909090909093E-3</v>
      </c>
      <c r="CL442" s="51">
        <v>5.3320454545454548E-3</v>
      </c>
      <c r="CM442" s="51">
        <v>5.3600000000000002E-3</v>
      </c>
    </row>
    <row r="443" spans="1:91" s="50" customFormat="1" x14ac:dyDescent="0.25">
      <c r="A443" s="9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c r="BS443" s="51"/>
      <c r="BT443" s="51"/>
      <c r="BU443" s="51"/>
      <c r="BV443" s="51"/>
      <c r="BW443" s="51"/>
      <c r="BX443" s="51"/>
      <c r="BY443" s="51"/>
      <c r="BZ443" s="51"/>
      <c r="CA443" s="51"/>
      <c r="CB443" s="51"/>
      <c r="CC443" s="51"/>
      <c r="CD443" s="51"/>
      <c r="CE443" s="51"/>
      <c r="CF443" s="51"/>
      <c r="CG443" s="51"/>
      <c r="CH443" s="51"/>
      <c r="CI443" s="51"/>
      <c r="CJ443" s="51"/>
      <c r="CK443" s="51"/>
      <c r="CL443" s="51"/>
      <c r="CM443" s="51"/>
    </row>
    <row r="444" spans="1:91" s="50" customFormat="1" x14ac:dyDescent="0.25">
      <c r="A444" s="99" t="s">
        <v>352</v>
      </c>
      <c r="B444" s="4">
        <v>0</v>
      </c>
      <c r="C444" s="4">
        <v>0</v>
      </c>
      <c r="D444" s="4">
        <v>0</v>
      </c>
      <c r="E444" s="4">
        <v>0</v>
      </c>
      <c r="F444" s="4">
        <v>0</v>
      </c>
      <c r="G444" s="4">
        <v>0</v>
      </c>
      <c r="H444" s="4">
        <v>0</v>
      </c>
      <c r="I444" s="4">
        <v>0</v>
      </c>
      <c r="J444" s="4">
        <v>0</v>
      </c>
      <c r="K444" s="4">
        <v>0</v>
      </c>
      <c r="L444" s="4">
        <v>0</v>
      </c>
      <c r="M444" s="4">
        <v>0</v>
      </c>
      <c r="N444" s="4">
        <v>0</v>
      </c>
      <c r="O444" s="4">
        <v>0</v>
      </c>
      <c r="P444" s="4">
        <v>0</v>
      </c>
      <c r="Q444" s="4">
        <v>0</v>
      </c>
      <c r="R444" s="4">
        <v>0</v>
      </c>
      <c r="S444" s="4">
        <v>0</v>
      </c>
      <c r="T444" s="4">
        <v>0</v>
      </c>
      <c r="U444" s="4">
        <v>0</v>
      </c>
      <c r="V444" s="4">
        <v>0</v>
      </c>
      <c r="W444" s="4">
        <v>0</v>
      </c>
      <c r="X444" s="4">
        <v>0</v>
      </c>
      <c r="Y444" s="4">
        <v>0</v>
      </c>
      <c r="Z444" s="4">
        <v>0</v>
      </c>
      <c r="AA444" s="4">
        <v>0</v>
      </c>
      <c r="AB444" s="4">
        <v>0</v>
      </c>
      <c r="AC444" s="4">
        <v>0</v>
      </c>
      <c r="AD444" s="4">
        <v>0</v>
      </c>
      <c r="AE444" s="4">
        <v>0</v>
      </c>
      <c r="AF444" s="51">
        <v>8.6618671127481966E-4</v>
      </c>
      <c r="AG444" s="51">
        <v>8.7332065560907562E-4</v>
      </c>
      <c r="AH444" s="51">
        <v>8.8045459994333169E-4</v>
      </c>
      <c r="AI444" s="51">
        <v>8.8758854427758765E-4</v>
      </c>
      <c r="AJ444" s="51">
        <v>8.9472248861184372E-4</v>
      </c>
      <c r="AK444" s="51">
        <v>9.0185643294609969E-4</v>
      </c>
      <c r="AL444" s="51">
        <v>9.0899037728035576E-4</v>
      </c>
      <c r="AM444" s="51">
        <v>9.1612432161461172E-4</v>
      </c>
      <c r="AN444" s="51">
        <v>9.2325826594886768E-4</v>
      </c>
      <c r="AO444" s="51">
        <v>9.3039221028312375E-4</v>
      </c>
      <c r="AP444" s="51">
        <v>9.3752615461737982E-4</v>
      </c>
      <c r="AQ444" s="51">
        <v>9.4466009895163578E-4</v>
      </c>
      <c r="AR444" s="51">
        <v>9.5179404328589175E-4</v>
      </c>
      <c r="AS444" s="51">
        <v>9.5892798762014782E-4</v>
      </c>
      <c r="AT444" s="51">
        <v>9.6606193195440389E-4</v>
      </c>
      <c r="AU444" s="51">
        <v>9.7319587628865985E-4</v>
      </c>
      <c r="AV444" s="51">
        <v>9.9072164948453621E-4</v>
      </c>
      <c r="AW444" s="51">
        <v>1.0082474226804125E-3</v>
      </c>
      <c r="AX444" s="51">
        <v>1.0257731958762887E-3</v>
      </c>
      <c r="AY444" s="51">
        <v>1.043298969072165E-3</v>
      </c>
      <c r="AZ444" s="51">
        <v>1.0608247422680412E-3</v>
      </c>
      <c r="BA444" s="51">
        <v>1.0783505154639175E-3</v>
      </c>
      <c r="BB444" s="51">
        <v>1.095876288659794E-3</v>
      </c>
      <c r="BC444" s="51">
        <v>1.1134020618556702E-3</v>
      </c>
      <c r="BD444" s="51">
        <v>1.1309278350515465E-3</v>
      </c>
      <c r="BE444" s="51">
        <v>1.1484536082474227E-3</v>
      </c>
      <c r="BF444" s="51">
        <v>1.165979381443299E-3</v>
      </c>
      <c r="BG444" s="51">
        <v>1.1835051546391752E-3</v>
      </c>
      <c r="BH444" s="51">
        <v>1.2010309278350515E-3</v>
      </c>
      <c r="BI444" s="51">
        <v>1.2185567010309277E-3</v>
      </c>
      <c r="BJ444" s="51">
        <v>1.236082474226804E-3</v>
      </c>
      <c r="BK444" s="51">
        <v>1.2536082474226805E-3</v>
      </c>
      <c r="BL444" s="51">
        <v>1.2711340206185567E-3</v>
      </c>
      <c r="BM444" s="51">
        <v>1.288659793814433E-3</v>
      </c>
      <c r="BN444" s="51">
        <v>1.3061855670103092E-3</v>
      </c>
      <c r="BO444" s="51">
        <v>1.3237113402061855E-3</v>
      </c>
      <c r="BP444" s="51">
        <v>1.3412371134020619E-3</v>
      </c>
      <c r="BQ444" s="51">
        <v>1.3587628865979382E-3</v>
      </c>
      <c r="BR444" s="51">
        <v>1.3762886597938145E-3</v>
      </c>
      <c r="BS444" s="51">
        <v>1.3938144329896907E-3</v>
      </c>
      <c r="BT444" s="51">
        <v>1.411340206185567E-3</v>
      </c>
      <c r="BU444" s="51">
        <v>1.4288659793814432E-3</v>
      </c>
      <c r="BV444" s="51">
        <v>1.4463917525773195E-3</v>
      </c>
      <c r="BW444" s="51">
        <v>1.4639175257731957E-3</v>
      </c>
      <c r="BX444" s="51">
        <v>1.481443298969072E-3</v>
      </c>
      <c r="BY444" s="51">
        <v>1.4989690721649482E-3</v>
      </c>
      <c r="BZ444" s="51">
        <v>1.5164948453608247E-3</v>
      </c>
      <c r="CA444" s="51">
        <v>1.534020618556701E-3</v>
      </c>
      <c r="CB444" s="51">
        <v>1.5515463917525772E-3</v>
      </c>
      <c r="CC444" s="51">
        <v>1.5690721649484537E-3</v>
      </c>
      <c r="CD444" s="51">
        <v>1.5865979381443299E-3</v>
      </c>
      <c r="CE444" s="51">
        <v>1.6041237113402062E-3</v>
      </c>
      <c r="CF444" s="51">
        <v>1.6216494845360824E-3</v>
      </c>
      <c r="CG444" s="51">
        <v>1.6391752577319587E-3</v>
      </c>
      <c r="CH444" s="51">
        <v>1.656701030927835E-3</v>
      </c>
      <c r="CI444" s="51">
        <v>1.6742268041237112E-3</v>
      </c>
      <c r="CJ444" s="51">
        <v>1.6917525773195875E-3</v>
      </c>
      <c r="CK444" s="51">
        <v>1.7092783505154637E-3</v>
      </c>
      <c r="CL444" s="51">
        <v>1.72680412371134E-3</v>
      </c>
      <c r="CM444" s="51">
        <v>1.7443298969072164E-3</v>
      </c>
    </row>
    <row r="445" spans="1:91" s="50" customFormat="1" x14ac:dyDescent="0.25">
      <c r="A445" s="9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c r="BS445" s="51"/>
      <c r="BT445" s="51"/>
      <c r="BU445" s="51"/>
      <c r="BV445" s="51"/>
      <c r="BW445" s="51"/>
      <c r="BX445" s="51"/>
      <c r="BY445" s="51"/>
      <c r="BZ445" s="51"/>
      <c r="CA445" s="51"/>
      <c r="CB445" s="51"/>
      <c r="CC445" s="51"/>
      <c r="CD445" s="51"/>
      <c r="CE445" s="51"/>
      <c r="CF445" s="51"/>
      <c r="CG445" s="51"/>
      <c r="CH445" s="51"/>
      <c r="CI445" s="51"/>
      <c r="CJ445" s="51"/>
      <c r="CK445" s="51"/>
      <c r="CL445" s="51"/>
      <c r="CM445" s="51"/>
    </row>
    <row r="446" spans="1:91" s="50" customFormat="1" x14ac:dyDescent="0.25">
      <c r="A446" s="99" t="s">
        <v>371</v>
      </c>
      <c r="B446" s="4">
        <v>0</v>
      </c>
      <c r="C446" s="4">
        <v>0</v>
      </c>
      <c r="D446" s="4">
        <v>0</v>
      </c>
      <c r="E446" s="4">
        <v>0</v>
      </c>
      <c r="F446" s="4">
        <v>0</v>
      </c>
      <c r="G446" s="4">
        <v>0</v>
      </c>
      <c r="H446" s="4">
        <v>0</v>
      </c>
      <c r="I446" s="4">
        <v>0</v>
      </c>
      <c r="J446" s="4">
        <v>0</v>
      </c>
      <c r="K446" s="4">
        <v>0</v>
      </c>
      <c r="L446" s="4">
        <v>0</v>
      </c>
      <c r="M446" s="4">
        <v>0</v>
      </c>
      <c r="N446" s="4">
        <v>0</v>
      </c>
      <c r="O446" s="4">
        <v>0</v>
      </c>
      <c r="P446" s="4">
        <v>0</v>
      </c>
      <c r="Q446" s="4">
        <v>0</v>
      </c>
      <c r="R446" s="4">
        <v>0</v>
      </c>
      <c r="S446" s="4">
        <v>0</v>
      </c>
      <c r="T446" s="4">
        <v>0</v>
      </c>
      <c r="U446" s="4">
        <v>0</v>
      </c>
      <c r="V446" s="4">
        <v>0</v>
      </c>
      <c r="W446" s="4">
        <v>0</v>
      </c>
      <c r="X446" s="4">
        <v>0</v>
      </c>
      <c r="Y446" s="4">
        <v>0</v>
      </c>
      <c r="Z446" s="4">
        <v>0</v>
      </c>
      <c r="AA446" s="4">
        <v>0</v>
      </c>
      <c r="AB446" s="4">
        <v>0</v>
      </c>
      <c r="AC446" s="4">
        <v>0</v>
      </c>
      <c r="AD446" s="4">
        <v>0</v>
      </c>
      <c r="AE446" s="4">
        <v>0</v>
      </c>
      <c r="AF446" s="51">
        <v>8.6618671127481966E-4</v>
      </c>
      <c r="AG446" s="51">
        <v>8.7332065560907562E-4</v>
      </c>
      <c r="AH446" s="51">
        <v>8.8045459994333169E-4</v>
      </c>
      <c r="AI446" s="51">
        <v>8.8758854427758765E-4</v>
      </c>
      <c r="AJ446" s="51">
        <v>8.9472248861184372E-4</v>
      </c>
      <c r="AK446" s="51">
        <v>9.0185643294609969E-4</v>
      </c>
      <c r="AL446" s="51">
        <v>9.0899037728035576E-4</v>
      </c>
      <c r="AM446" s="51">
        <v>9.1612432161461172E-4</v>
      </c>
      <c r="AN446" s="51">
        <v>9.2325826594886768E-4</v>
      </c>
      <c r="AO446" s="51">
        <v>9.3039221028312375E-4</v>
      </c>
      <c r="AP446" s="51">
        <v>9.3752615461737982E-4</v>
      </c>
      <c r="AQ446" s="51">
        <v>9.4466009895163578E-4</v>
      </c>
      <c r="AR446" s="51">
        <v>9.5179404328589175E-4</v>
      </c>
      <c r="AS446" s="51">
        <v>9.5892798762014782E-4</v>
      </c>
      <c r="AT446" s="51">
        <v>9.6606193195440389E-4</v>
      </c>
      <c r="AU446" s="51">
        <v>9.7319587628865985E-4</v>
      </c>
      <c r="AV446" s="51">
        <v>9.9072164948453621E-4</v>
      </c>
      <c r="AW446" s="51">
        <v>1.0082474226804125E-3</v>
      </c>
      <c r="AX446" s="51">
        <v>1.0257731958762887E-3</v>
      </c>
      <c r="AY446" s="51">
        <v>1.043298969072165E-3</v>
      </c>
      <c r="AZ446" s="51">
        <v>1.0608247422680412E-3</v>
      </c>
      <c r="BA446" s="51">
        <v>1.0783505154639175E-3</v>
      </c>
      <c r="BB446" s="51">
        <v>1.095876288659794E-3</v>
      </c>
      <c r="BC446" s="51">
        <v>1.1134020618556702E-3</v>
      </c>
      <c r="BD446" s="51">
        <v>1.1309278350515465E-3</v>
      </c>
      <c r="BE446" s="51">
        <v>1.1484536082474227E-3</v>
      </c>
      <c r="BF446" s="51">
        <v>1.165979381443299E-3</v>
      </c>
      <c r="BG446" s="51">
        <v>1.1835051546391752E-3</v>
      </c>
      <c r="BH446" s="51">
        <v>1.2010309278350515E-3</v>
      </c>
      <c r="BI446" s="51">
        <v>1.2185567010309277E-3</v>
      </c>
      <c r="BJ446" s="51">
        <v>1.236082474226804E-3</v>
      </c>
      <c r="BK446" s="51">
        <v>1.2536082474226805E-3</v>
      </c>
      <c r="BL446" s="51">
        <v>1.2711340206185567E-3</v>
      </c>
      <c r="BM446" s="51">
        <v>1.288659793814433E-3</v>
      </c>
      <c r="BN446" s="51">
        <v>1.3061855670103092E-3</v>
      </c>
      <c r="BO446" s="51">
        <v>1.3237113402061855E-3</v>
      </c>
      <c r="BP446" s="51">
        <v>1.3412371134020619E-3</v>
      </c>
      <c r="BQ446" s="51">
        <v>1.3587628865979382E-3</v>
      </c>
      <c r="BR446" s="51">
        <v>1.3762886597938145E-3</v>
      </c>
      <c r="BS446" s="51">
        <v>1.3938144329896907E-3</v>
      </c>
      <c r="BT446" s="51">
        <v>1.411340206185567E-3</v>
      </c>
      <c r="BU446" s="51">
        <v>1.4288659793814432E-3</v>
      </c>
      <c r="BV446" s="51">
        <v>1.4463917525773195E-3</v>
      </c>
      <c r="BW446" s="51">
        <v>1.4639175257731957E-3</v>
      </c>
      <c r="BX446" s="51">
        <v>1.481443298969072E-3</v>
      </c>
      <c r="BY446" s="51">
        <v>1.4989690721649482E-3</v>
      </c>
      <c r="BZ446" s="51">
        <v>1.5164948453608247E-3</v>
      </c>
      <c r="CA446" s="51">
        <v>1.534020618556701E-3</v>
      </c>
      <c r="CB446" s="51">
        <v>1.5515463917525772E-3</v>
      </c>
      <c r="CC446" s="51">
        <v>1.5690721649484537E-3</v>
      </c>
      <c r="CD446" s="51">
        <v>1.5865979381443299E-3</v>
      </c>
      <c r="CE446" s="51">
        <v>1.6041237113402062E-3</v>
      </c>
      <c r="CF446" s="51">
        <v>1.6216494845360824E-3</v>
      </c>
      <c r="CG446" s="51">
        <v>1.6391752577319587E-3</v>
      </c>
      <c r="CH446" s="51">
        <v>1.656701030927835E-3</v>
      </c>
      <c r="CI446" s="51">
        <v>1.6742268041237112E-3</v>
      </c>
      <c r="CJ446" s="51">
        <v>1.6917525773195875E-3</v>
      </c>
      <c r="CK446" s="51">
        <v>1.7092783505154637E-3</v>
      </c>
      <c r="CL446" s="51">
        <v>1.72680412371134E-3</v>
      </c>
      <c r="CM446" s="51">
        <v>1.7443298969072164E-3</v>
      </c>
    </row>
    <row r="447" spans="1:91" s="50" customFormat="1" x14ac:dyDescent="0.25">
      <c r="A447" s="9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c r="BS447" s="51"/>
      <c r="BT447" s="51"/>
      <c r="BU447" s="51"/>
      <c r="BV447" s="51"/>
      <c r="BW447" s="51"/>
      <c r="BX447" s="51"/>
      <c r="BY447" s="51"/>
      <c r="BZ447" s="51"/>
      <c r="CA447" s="51"/>
      <c r="CB447" s="51"/>
      <c r="CC447" s="51"/>
      <c r="CD447" s="51"/>
      <c r="CE447" s="51"/>
      <c r="CF447" s="51"/>
      <c r="CG447" s="51"/>
      <c r="CH447" s="51"/>
      <c r="CI447" s="51"/>
      <c r="CJ447" s="51"/>
      <c r="CK447" s="51"/>
      <c r="CL447" s="51"/>
      <c r="CM447" s="51"/>
    </row>
    <row r="448" spans="1:91" s="50" customFormat="1" x14ac:dyDescent="0.25">
      <c r="A448" s="99" t="s">
        <v>181</v>
      </c>
      <c r="B448" s="4">
        <v>0</v>
      </c>
      <c r="C448" s="4">
        <v>0</v>
      </c>
      <c r="D448" s="4">
        <v>0</v>
      </c>
      <c r="E448" s="4">
        <v>0</v>
      </c>
      <c r="F448" s="4">
        <v>0</v>
      </c>
      <c r="G448" s="4">
        <v>0</v>
      </c>
      <c r="H448" s="4">
        <v>0</v>
      </c>
      <c r="I448" s="4">
        <v>0</v>
      </c>
      <c r="J448" s="4">
        <v>0</v>
      </c>
      <c r="K448" s="4">
        <v>0</v>
      </c>
      <c r="L448" s="4">
        <v>0</v>
      </c>
      <c r="M448" s="4">
        <v>0</v>
      </c>
      <c r="N448" s="4">
        <v>0</v>
      </c>
      <c r="O448" s="4">
        <v>0</v>
      </c>
      <c r="P448" s="4">
        <v>0</v>
      </c>
      <c r="Q448" s="4">
        <v>0</v>
      </c>
      <c r="R448" s="4">
        <v>0</v>
      </c>
      <c r="S448" s="4">
        <v>0</v>
      </c>
      <c r="T448" s="4">
        <v>0</v>
      </c>
      <c r="U448" s="4">
        <v>0</v>
      </c>
      <c r="V448" s="4">
        <v>0</v>
      </c>
      <c r="W448" s="4">
        <v>0</v>
      </c>
      <c r="X448" s="4">
        <v>0</v>
      </c>
      <c r="Y448" s="4">
        <v>0</v>
      </c>
      <c r="Z448" s="4">
        <v>0</v>
      </c>
      <c r="AA448" s="4">
        <v>0</v>
      </c>
      <c r="AB448" s="4">
        <v>0</v>
      </c>
      <c r="AC448" s="4">
        <v>0</v>
      </c>
      <c r="AD448" s="4">
        <v>0</v>
      </c>
      <c r="AE448" s="4">
        <v>0</v>
      </c>
      <c r="AF448" s="51">
        <v>2.8586557155908612E-3</v>
      </c>
      <c r="AG448" s="51">
        <v>2.909963886131464E-3</v>
      </c>
      <c r="AH448" s="51">
        <v>2.9612720566720677E-3</v>
      </c>
      <c r="AI448" s="51">
        <v>3.0125802272126705E-3</v>
      </c>
      <c r="AJ448" s="51">
        <v>3.0638883977532742E-3</v>
      </c>
      <c r="AK448" s="51">
        <v>3.1151965682938766E-3</v>
      </c>
      <c r="AL448" s="51">
        <v>3.1665047388344802E-3</v>
      </c>
      <c r="AM448" s="51">
        <v>3.2178129093750835E-3</v>
      </c>
      <c r="AN448" s="51">
        <v>3.2691210799156863E-3</v>
      </c>
      <c r="AO448" s="51">
        <v>3.3204292504562887E-3</v>
      </c>
      <c r="AP448" s="51">
        <v>3.3717374209968911E-3</v>
      </c>
      <c r="AQ448" s="51">
        <v>3.4230455915374956E-3</v>
      </c>
      <c r="AR448" s="51">
        <v>3.474353762078098E-3</v>
      </c>
      <c r="AS448" s="51">
        <v>3.5256619326187004E-3</v>
      </c>
      <c r="AT448" s="51">
        <v>3.5769701031593041E-3</v>
      </c>
      <c r="AU448" s="51">
        <v>3.6282782736999073E-3</v>
      </c>
      <c r="AV448" s="51">
        <v>3.6601435786098075E-3</v>
      </c>
      <c r="AW448" s="51">
        <v>3.6920088835197063E-3</v>
      </c>
      <c r="AX448" s="51">
        <v>3.7238741884296055E-3</v>
      </c>
      <c r="AY448" s="51">
        <v>3.7557394933395052E-3</v>
      </c>
      <c r="AZ448" s="51">
        <v>3.7876047982494045E-3</v>
      </c>
      <c r="BA448" s="51">
        <v>3.8194701031593042E-3</v>
      </c>
      <c r="BB448" s="51">
        <v>3.8513354080692043E-3</v>
      </c>
      <c r="BC448" s="51">
        <v>3.8832007129791031E-3</v>
      </c>
      <c r="BD448" s="51">
        <v>3.9150660178890037E-3</v>
      </c>
      <c r="BE448" s="51">
        <v>3.9469313227989029E-3</v>
      </c>
      <c r="BF448" s="51">
        <v>3.9787966277088022E-3</v>
      </c>
      <c r="BG448" s="51">
        <v>4.0106619326187015E-3</v>
      </c>
      <c r="BH448" s="51">
        <v>4.0425272375286016E-3</v>
      </c>
      <c r="BI448" s="51">
        <v>4.0743925424385008E-3</v>
      </c>
      <c r="BJ448" s="51">
        <v>4.1062578473483992E-3</v>
      </c>
      <c r="BK448" s="51">
        <v>4.1381231522582993E-3</v>
      </c>
      <c r="BL448" s="51">
        <v>4.1699884571681986E-3</v>
      </c>
      <c r="BM448" s="51">
        <v>4.2018537620780979E-3</v>
      </c>
      <c r="BN448" s="51">
        <v>4.233719066987998E-3</v>
      </c>
      <c r="BO448" s="51">
        <v>4.2655843718978972E-3</v>
      </c>
      <c r="BP448" s="51">
        <v>4.2974496768077956E-3</v>
      </c>
      <c r="BQ448" s="51">
        <v>4.3293149817176958E-3</v>
      </c>
      <c r="BR448" s="51">
        <v>4.3611802866275959E-3</v>
      </c>
      <c r="BS448" s="51">
        <v>4.3930455915374969E-3</v>
      </c>
      <c r="BT448" s="51">
        <v>4.4249108964473944E-3</v>
      </c>
      <c r="BU448" s="51">
        <v>4.4567762013572945E-3</v>
      </c>
      <c r="BV448" s="51">
        <v>4.4886415062671938E-3</v>
      </c>
      <c r="BW448" s="51">
        <v>4.520506811177093E-3</v>
      </c>
      <c r="BX448" s="51">
        <v>4.5523721160869923E-3</v>
      </c>
      <c r="BY448" s="51">
        <v>4.5842374209968924E-3</v>
      </c>
      <c r="BZ448" s="51">
        <v>4.6161027259067908E-3</v>
      </c>
      <c r="CA448" s="51">
        <v>4.6479680308166918E-3</v>
      </c>
      <c r="CB448" s="51">
        <v>4.6798333357265902E-3</v>
      </c>
      <c r="CC448" s="51">
        <v>4.7116986406364903E-3</v>
      </c>
      <c r="CD448" s="51">
        <v>4.7435639455463896E-3</v>
      </c>
      <c r="CE448" s="51">
        <v>4.7754292504562897E-3</v>
      </c>
      <c r="CF448" s="51">
        <v>4.8072945553661881E-3</v>
      </c>
      <c r="CG448" s="51">
        <v>4.8391598602760891E-3</v>
      </c>
      <c r="CH448" s="51">
        <v>4.8710251651859866E-3</v>
      </c>
      <c r="CI448" s="51">
        <v>4.9028904700958876E-3</v>
      </c>
      <c r="CJ448" s="51">
        <v>4.9347557750057851E-3</v>
      </c>
      <c r="CK448" s="51">
        <v>4.9666210799156861E-3</v>
      </c>
      <c r="CL448" s="51">
        <v>4.9984863848255862E-3</v>
      </c>
      <c r="CM448" s="51">
        <v>5.0303516897354846E-3</v>
      </c>
    </row>
    <row r="449" spans="1:91" s="50" customFormat="1" x14ac:dyDescent="0.25">
      <c r="A449" s="99" t="s">
        <v>1</v>
      </c>
      <c r="B449" s="4">
        <v>0</v>
      </c>
      <c r="C449" s="4">
        <v>0</v>
      </c>
      <c r="D449" s="4">
        <v>0</v>
      </c>
      <c r="E449" s="4">
        <v>0</v>
      </c>
      <c r="F449" s="4">
        <v>0</v>
      </c>
      <c r="G449" s="4">
        <v>0</v>
      </c>
      <c r="H449" s="4">
        <v>0</v>
      </c>
      <c r="I449" s="4">
        <v>0</v>
      </c>
      <c r="J449" s="4">
        <v>0</v>
      </c>
      <c r="K449" s="4">
        <v>0</v>
      </c>
      <c r="L449" s="4">
        <v>0</v>
      </c>
      <c r="M449" s="4">
        <v>0</v>
      </c>
      <c r="N449" s="4">
        <v>0</v>
      </c>
      <c r="O449" s="4">
        <v>0</v>
      </c>
      <c r="P449" s="4">
        <v>0</v>
      </c>
      <c r="Q449" s="4">
        <v>0</v>
      </c>
      <c r="R449" s="4">
        <v>0</v>
      </c>
      <c r="S449" s="4">
        <v>0</v>
      </c>
      <c r="T449" s="4">
        <v>0</v>
      </c>
      <c r="U449" s="4">
        <v>0</v>
      </c>
      <c r="V449" s="4">
        <v>0</v>
      </c>
      <c r="W449" s="4">
        <v>0</v>
      </c>
      <c r="X449" s="4">
        <v>0</v>
      </c>
      <c r="Y449" s="4">
        <v>0</v>
      </c>
      <c r="Z449" s="4">
        <v>0</v>
      </c>
      <c r="AA449" s="4">
        <v>0</v>
      </c>
      <c r="AB449" s="4">
        <v>0</v>
      </c>
      <c r="AC449" s="4">
        <v>0</v>
      </c>
      <c r="AD449" s="4">
        <v>0</v>
      </c>
      <c r="AE449" s="4">
        <v>0</v>
      </c>
      <c r="AF449" s="51">
        <v>2.21991625074704E-3</v>
      </c>
      <c r="AG449" s="51">
        <v>2.2566263371078163E-3</v>
      </c>
      <c r="AH449" s="51">
        <v>2.2933364234685931E-3</v>
      </c>
      <c r="AI449" s="51">
        <v>2.3300465098293689E-3</v>
      </c>
      <c r="AJ449" s="51">
        <v>2.3667565961901457E-3</v>
      </c>
      <c r="AK449" s="51">
        <v>2.403466682550922E-3</v>
      </c>
      <c r="AL449" s="51">
        <v>2.4401767689116983E-3</v>
      </c>
      <c r="AM449" s="51">
        <v>2.4768868552724754E-3</v>
      </c>
      <c r="AN449" s="51">
        <v>2.5135969416332517E-3</v>
      </c>
      <c r="AO449" s="51">
        <v>2.5503070279940276E-3</v>
      </c>
      <c r="AP449" s="51">
        <v>2.5870171143548043E-3</v>
      </c>
      <c r="AQ449" s="51">
        <v>2.6237272007155811E-3</v>
      </c>
      <c r="AR449" s="51">
        <v>2.6604372870763569E-3</v>
      </c>
      <c r="AS449" s="51">
        <v>2.6971473734371336E-3</v>
      </c>
      <c r="AT449" s="51">
        <v>2.7338574597979095E-3</v>
      </c>
      <c r="AU449" s="51">
        <v>2.7705675461586858E-3</v>
      </c>
      <c r="AV449" s="51">
        <v>2.7941732069956472E-3</v>
      </c>
      <c r="AW449" s="51">
        <v>2.8177788678326082E-3</v>
      </c>
      <c r="AX449" s="51">
        <v>2.8413845286695688E-3</v>
      </c>
      <c r="AY449" s="51">
        <v>2.8649901895065294E-3</v>
      </c>
      <c r="AZ449" s="51">
        <v>2.8885958503434904E-3</v>
      </c>
      <c r="BA449" s="51">
        <v>2.9122015111804514E-3</v>
      </c>
      <c r="BB449" s="51">
        <v>2.9358071720174115E-3</v>
      </c>
      <c r="BC449" s="51">
        <v>2.9594128328543738E-3</v>
      </c>
      <c r="BD449" s="51">
        <v>2.9830184936913344E-3</v>
      </c>
      <c r="BE449" s="51">
        <v>3.0066241545282949E-3</v>
      </c>
      <c r="BF449" s="51">
        <v>3.030229815365256E-3</v>
      </c>
      <c r="BG449" s="51">
        <v>3.0538354762022174E-3</v>
      </c>
      <c r="BH449" s="51">
        <v>3.0774411370391771E-3</v>
      </c>
      <c r="BI449" s="51">
        <v>3.1010467978761381E-3</v>
      </c>
      <c r="BJ449" s="51">
        <v>3.1246524587130987E-3</v>
      </c>
      <c r="BK449" s="51">
        <v>3.1482581195500597E-3</v>
      </c>
      <c r="BL449" s="51">
        <v>3.1718637803870211E-3</v>
      </c>
      <c r="BM449" s="51">
        <v>3.1954694412239821E-3</v>
      </c>
      <c r="BN449" s="51">
        <v>3.2190751020609435E-3</v>
      </c>
      <c r="BO449" s="51">
        <v>3.2426807628979037E-3</v>
      </c>
      <c r="BP449" s="51">
        <v>3.2662864237348651E-3</v>
      </c>
      <c r="BQ449" s="51">
        <v>3.2898920845718252E-3</v>
      </c>
      <c r="BR449" s="51">
        <v>3.3134977454087858E-3</v>
      </c>
      <c r="BS449" s="51">
        <v>3.3371034062457468E-3</v>
      </c>
      <c r="BT449" s="51">
        <v>3.3607090670827078E-3</v>
      </c>
      <c r="BU449" s="51">
        <v>3.3843147279196684E-3</v>
      </c>
      <c r="BV449" s="51">
        <v>3.4079203887566302E-3</v>
      </c>
      <c r="BW449" s="51">
        <v>3.4315260495935899E-3</v>
      </c>
      <c r="BX449" s="51">
        <v>3.4551317104305514E-3</v>
      </c>
      <c r="BY449" s="51">
        <v>3.4787373712675128E-3</v>
      </c>
      <c r="BZ449" s="51">
        <v>3.5023430321044729E-3</v>
      </c>
      <c r="CA449" s="51">
        <v>3.5259486929414339E-3</v>
      </c>
      <c r="CB449" s="51">
        <v>3.5495543537783945E-3</v>
      </c>
      <c r="CC449" s="51">
        <v>3.5731600146153551E-3</v>
      </c>
      <c r="CD449" s="51">
        <v>3.5967656754523165E-3</v>
      </c>
      <c r="CE449" s="51">
        <v>3.6203713362892771E-3</v>
      </c>
      <c r="CF449" s="51">
        <v>3.6439769971262381E-3</v>
      </c>
      <c r="CG449" s="51">
        <v>3.6675826579631995E-3</v>
      </c>
      <c r="CH449" s="51">
        <v>3.6911883188001609E-3</v>
      </c>
      <c r="CI449" s="51">
        <v>3.7147939796371206E-3</v>
      </c>
      <c r="CJ449" s="51">
        <v>3.7383996404740821E-3</v>
      </c>
      <c r="CK449" s="51">
        <v>3.7620053013110422E-3</v>
      </c>
      <c r="CL449" s="51">
        <v>3.7856109621480032E-3</v>
      </c>
      <c r="CM449" s="51">
        <v>3.8092166229849646E-3</v>
      </c>
    </row>
    <row r="450" spans="1:91" s="50" customFormat="1" x14ac:dyDescent="0.25">
      <c r="A450" s="99" t="s">
        <v>1</v>
      </c>
      <c r="B450" s="4">
        <v>0</v>
      </c>
      <c r="C450" s="4">
        <v>0</v>
      </c>
      <c r="D450" s="4">
        <v>0</v>
      </c>
      <c r="E450" s="4">
        <v>0</v>
      </c>
      <c r="F450" s="4">
        <v>0</v>
      </c>
      <c r="G450" s="4">
        <v>0</v>
      </c>
      <c r="H450" s="4">
        <v>0</v>
      </c>
      <c r="I450" s="4">
        <v>0</v>
      </c>
      <c r="J450" s="4">
        <v>0</v>
      </c>
      <c r="K450" s="4">
        <v>0</v>
      </c>
      <c r="L450" s="4">
        <v>0</v>
      </c>
      <c r="M450" s="4">
        <v>0</v>
      </c>
      <c r="N450" s="4">
        <v>0</v>
      </c>
      <c r="O450" s="4">
        <v>0</v>
      </c>
      <c r="P450" s="4">
        <v>0</v>
      </c>
      <c r="Q450" s="4">
        <v>0</v>
      </c>
      <c r="R450" s="4">
        <v>0</v>
      </c>
      <c r="S450" s="4">
        <v>0</v>
      </c>
      <c r="T450" s="4">
        <v>0</v>
      </c>
      <c r="U450" s="4">
        <v>0</v>
      </c>
      <c r="V450" s="4">
        <v>0</v>
      </c>
      <c r="W450" s="4">
        <v>0</v>
      </c>
      <c r="X450" s="4">
        <v>0</v>
      </c>
      <c r="Y450" s="4">
        <v>0</v>
      </c>
      <c r="Z450" s="4">
        <v>0</v>
      </c>
      <c r="AA450" s="4">
        <v>0</v>
      </c>
      <c r="AB450" s="4">
        <v>0</v>
      </c>
      <c r="AC450" s="4">
        <v>0</v>
      </c>
      <c r="AD450" s="4">
        <v>0</v>
      </c>
      <c r="AE450" s="4">
        <v>0</v>
      </c>
      <c r="AF450" s="51">
        <v>3.2695631189309741E-3</v>
      </c>
      <c r="AG450" s="51">
        <v>3.3190680876783053E-3</v>
      </c>
      <c r="AH450" s="51">
        <v>3.3685730564256351E-3</v>
      </c>
      <c r="AI450" s="51">
        <v>3.4180780251729654E-3</v>
      </c>
      <c r="AJ450" s="51">
        <v>3.4675829939202975E-3</v>
      </c>
      <c r="AK450" s="51">
        <v>3.5170879626676278E-3</v>
      </c>
      <c r="AL450" s="51">
        <v>3.566592931414959E-3</v>
      </c>
      <c r="AM450" s="51">
        <v>3.6160979001622893E-3</v>
      </c>
      <c r="AN450" s="51">
        <v>3.66560286890962E-3</v>
      </c>
      <c r="AO450" s="51">
        <v>3.7151078376569512E-3</v>
      </c>
      <c r="AP450" s="51">
        <v>3.764612806404282E-3</v>
      </c>
      <c r="AQ450" s="51">
        <v>3.8141177751516123E-3</v>
      </c>
      <c r="AR450" s="51">
        <v>3.8636227438989435E-3</v>
      </c>
      <c r="AS450" s="51">
        <v>3.9131277126462733E-3</v>
      </c>
      <c r="AT450" s="51">
        <v>3.9626326813936045E-3</v>
      </c>
      <c r="AU450" s="51">
        <v>4.0121376501409357E-3</v>
      </c>
      <c r="AV450" s="51">
        <v>4.0409850921853223E-3</v>
      </c>
      <c r="AW450" s="51">
        <v>4.0698325342297097E-3</v>
      </c>
      <c r="AX450" s="51">
        <v>4.0986799762740963E-3</v>
      </c>
      <c r="AY450" s="51">
        <v>4.127527418318482E-3</v>
      </c>
      <c r="AZ450" s="51">
        <v>4.1563748603628704E-3</v>
      </c>
      <c r="BA450" s="51">
        <v>4.1852223024072561E-3</v>
      </c>
      <c r="BB450" s="51">
        <v>4.2140697444516435E-3</v>
      </c>
      <c r="BC450" s="51">
        <v>4.2429171864960301E-3</v>
      </c>
      <c r="BD450" s="51">
        <v>4.2717646285404158E-3</v>
      </c>
      <c r="BE450" s="51">
        <v>4.3006120705848042E-3</v>
      </c>
      <c r="BF450" s="51">
        <v>4.3294595126291899E-3</v>
      </c>
      <c r="BG450" s="51">
        <v>4.3583069546735782E-3</v>
      </c>
      <c r="BH450" s="51">
        <v>4.3871543967179639E-3</v>
      </c>
      <c r="BI450" s="51">
        <v>4.4160018387623514E-3</v>
      </c>
      <c r="BJ450" s="51">
        <v>4.444849280806738E-3</v>
      </c>
      <c r="BK450" s="51">
        <v>4.4736967228511245E-3</v>
      </c>
      <c r="BL450" s="51">
        <v>4.5025441648955111E-3</v>
      </c>
      <c r="BM450" s="51">
        <v>4.5313916069398994E-3</v>
      </c>
      <c r="BN450" s="51">
        <v>4.5602390489842852E-3</v>
      </c>
      <c r="BO450" s="51">
        <v>4.5890864910286726E-3</v>
      </c>
      <c r="BP450" s="51">
        <v>4.6179339330730601E-3</v>
      </c>
      <c r="BQ450" s="51">
        <v>4.6467813751174458E-3</v>
      </c>
      <c r="BR450" s="51">
        <v>4.6756288171618332E-3</v>
      </c>
      <c r="BS450" s="51">
        <v>4.7044762592062198E-3</v>
      </c>
      <c r="BT450" s="51">
        <v>4.7333237012506073E-3</v>
      </c>
      <c r="BU450" s="51">
        <v>4.762171143294993E-3</v>
      </c>
      <c r="BV450" s="51">
        <v>4.7910185853393805E-3</v>
      </c>
      <c r="BW450" s="51">
        <v>4.8198660273837679E-3</v>
      </c>
      <c r="BX450" s="51">
        <v>4.8487134694281545E-3</v>
      </c>
      <c r="BY450" s="51">
        <v>4.8775609114725419E-3</v>
      </c>
      <c r="BZ450" s="51">
        <v>4.9064083535169277E-3</v>
      </c>
      <c r="CA450" s="51">
        <v>4.9352557955613151E-3</v>
      </c>
      <c r="CB450" s="51">
        <v>4.9641032376057017E-3</v>
      </c>
      <c r="CC450" s="51">
        <v>4.9929506796500883E-3</v>
      </c>
      <c r="CD450" s="51">
        <v>5.0217981216944757E-3</v>
      </c>
      <c r="CE450" s="51">
        <v>5.0506455637388623E-3</v>
      </c>
      <c r="CF450" s="51">
        <v>5.0794930057832489E-3</v>
      </c>
      <c r="CG450" s="51">
        <v>5.1083404478276355E-3</v>
      </c>
      <c r="CH450" s="51">
        <v>5.1371878898720212E-3</v>
      </c>
      <c r="CI450" s="51">
        <v>5.1660353319164087E-3</v>
      </c>
      <c r="CJ450" s="51">
        <v>5.1948827739607961E-3</v>
      </c>
      <c r="CK450" s="51">
        <v>5.2237302160051836E-3</v>
      </c>
      <c r="CL450" s="51">
        <v>5.252577658049571E-3</v>
      </c>
      <c r="CM450" s="51">
        <v>5.2814251000939559E-3</v>
      </c>
    </row>
    <row r="451" spans="1:91" s="50" customFormat="1" x14ac:dyDescent="0.25">
      <c r="A451" s="99" t="s">
        <v>1</v>
      </c>
      <c r="B451" s="4">
        <v>0</v>
      </c>
      <c r="C451" s="4">
        <v>0</v>
      </c>
      <c r="D451" s="4">
        <v>0</v>
      </c>
      <c r="E451" s="4">
        <v>0</v>
      </c>
      <c r="F451" s="4">
        <v>0</v>
      </c>
      <c r="G451" s="4">
        <v>0</v>
      </c>
      <c r="H451" s="4">
        <v>0</v>
      </c>
      <c r="I451" s="4">
        <v>0</v>
      </c>
      <c r="J451" s="4">
        <v>0</v>
      </c>
      <c r="K451" s="4">
        <v>0</v>
      </c>
      <c r="L451" s="4">
        <v>0</v>
      </c>
      <c r="M451" s="4">
        <v>0</v>
      </c>
      <c r="N451" s="4">
        <v>0</v>
      </c>
      <c r="O451" s="4">
        <v>0</v>
      </c>
      <c r="P451" s="4">
        <v>0</v>
      </c>
      <c r="Q451" s="4">
        <v>0</v>
      </c>
      <c r="R451" s="4">
        <v>0</v>
      </c>
      <c r="S451" s="4">
        <v>0</v>
      </c>
      <c r="T451" s="4">
        <v>0</v>
      </c>
      <c r="U451" s="4">
        <v>0</v>
      </c>
      <c r="V451" s="4">
        <v>0</v>
      </c>
      <c r="W451" s="4">
        <v>0</v>
      </c>
      <c r="X451" s="4">
        <v>0</v>
      </c>
      <c r="Y451" s="4">
        <v>0</v>
      </c>
      <c r="Z451" s="4">
        <v>0</v>
      </c>
      <c r="AA451" s="4">
        <v>0</v>
      </c>
      <c r="AB451" s="4">
        <v>0</v>
      </c>
      <c r="AC451" s="4">
        <v>0</v>
      </c>
      <c r="AD451" s="4">
        <v>0</v>
      </c>
      <c r="AE451" s="4">
        <v>0</v>
      </c>
      <c r="AF451" s="51">
        <v>1.4251346260975677E-3</v>
      </c>
      <c r="AG451" s="51">
        <v>1.4394010133432365E-3</v>
      </c>
      <c r="AH451" s="51">
        <v>1.4536674005889065E-3</v>
      </c>
      <c r="AI451" s="51">
        <v>1.4679337878345756E-3</v>
      </c>
      <c r="AJ451" s="51">
        <v>1.4822001750802451E-3</v>
      </c>
      <c r="AK451" s="51">
        <v>1.4964665623259147E-3</v>
      </c>
      <c r="AL451" s="51">
        <v>1.5107329495715842E-3</v>
      </c>
      <c r="AM451" s="51">
        <v>1.5249993368172535E-3</v>
      </c>
      <c r="AN451" s="51">
        <v>1.5392657240629226E-3</v>
      </c>
      <c r="AO451" s="51">
        <v>1.5535321113085924E-3</v>
      </c>
      <c r="AP451" s="51">
        <v>1.5677984985542617E-3</v>
      </c>
      <c r="AQ451" s="51">
        <v>1.5820648857999312E-3</v>
      </c>
      <c r="AR451" s="51">
        <v>1.5963312730456008E-3</v>
      </c>
      <c r="AS451" s="51">
        <v>1.6105976602912699E-3</v>
      </c>
      <c r="AT451" s="51">
        <v>1.6248640475369394E-3</v>
      </c>
      <c r="AU451" s="51">
        <v>1.6391304347826087E-3</v>
      </c>
      <c r="AV451" s="51">
        <v>1.6512056578914661E-3</v>
      </c>
      <c r="AW451" s="51">
        <v>1.6632808810003231E-3</v>
      </c>
      <c r="AX451" s="51">
        <v>1.6753561041091803E-3</v>
      </c>
      <c r="AY451" s="51">
        <v>1.6874313272180379E-3</v>
      </c>
      <c r="AZ451" s="51">
        <v>1.6995065503268951E-3</v>
      </c>
      <c r="BA451" s="51">
        <v>1.7115817734357521E-3</v>
      </c>
      <c r="BB451" s="51">
        <v>1.7236569965446093E-3</v>
      </c>
      <c r="BC451" s="51">
        <v>1.7357322196534667E-3</v>
      </c>
      <c r="BD451" s="51">
        <v>1.7478074427623236E-3</v>
      </c>
      <c r="BE451" s="51">
        <v>1.759882665871181E-3</v>
      </c>
      <c r="BF451" s="51">
        <v>1.7719578889800382E-3</v>
      </c>
      <c r="BG451" s="51">
        <v>1.7840331120888959E-3</v>
      </c>
      <c r="BH451" s="51">
        <v>1.7961083351977531E-3</v>
      </c>
      <c r="BI451" s="51">
        <v>1.8081835583066094E-3</v>
      </c>
      <c r="BJ451" s="51">
        <v>1.8202587814154672E-3</v>
      </c>
      <c r="BK451" s="51">
        <v>1.8323340045243244E-3</v>
      </c>
      <c r="BL451" s="51">
        <v>1.844409227633182E-3</v>
      </c>
      <c r="BM451" s="51">
        <v>1.8564844507420388E-3</v>
      </c>
      <c r="BN451" s="51">
        <v>1.8685596738508962E-3</v>
      </c>
      <c r="BO451" s="51">
        <v>1.8806348969597534E-3</v>
      </c>
      <c r="BP451" s="51">
        <v>1.8927101200686108E-3</v>
      </c>
      <c r="BQ451" s="51">
        <v>1.9047853431774678E-3</v>
      </c>
      <c r="BR451" s="51">
        <v>1.9168605662863256E-3</v>
      </c>
      <c r="BS451" s="51">
        <v>1.9289357893951824E-3</v>
      </c>
      <c r="BT451" s="51">
        <v>1.9410110125040402E-3</v>
      </c>
      <c r="BU451" s="51">
        <v>1.9530862356128972E-3</v>
      </c>
      <c r="BV451" s="51">
        <v>1.9651614587217541E-3</v>
      </c>
      <c r="BW451" s="51">
        <v>1.9772366818306113E-3</v>
      </c>
      <c r="BX451" s="51">
        <v>1.989311904939469E-3</v>
      </c>
      <c r="BY451" s="51">
        <v>2.0013871280483257E-3</v>
      </c>
      <c r="BZ451" s="51">
        <v>2.0134623511571829E-3</v>
      </c>
      <c r="CA451" s="51">
        <v>2.0255375742660405E-3</v>
      </c>
      <c r="CB451" s="51">
        <v>2.0376127973748973E-3</v>
      </c>
      <c r="CC451" s="51">
        <v>2.0496880204837549E-3</v>
      </c>
      <c r="CD451" s="51">
        <v>2.0617632435926121E-3</v>
      </c>
      <c r="CE451" s="51">
        <v>2.0738384667014697E-3</v>
      </c>
      <c r="CF451" s="51">
        <v>2.0859136898103261E-3</v>
      </c>
      <c r="CG451" s="51">
        <v>2.0979889129191837E-3</v>
      </c>
      <c r="CH451" s="51">
        <v>2.1100641360280409E-3</v>
      </c>
      <c r="CI451" s="51">
        <v>2.1221393591368985E-3</v>
      </c>
      <c r="CJ451" s="51">
        <v>2.1342145822457557E-3</v>
      </c>
      <c r="CK451" s="51">
        <v>2.1462898053546129E-3</v>
      </c>
      <c r="CL451" s="51">
        <v>2.1583650284634701E-3</v>
      </c>
      <c r="CM451" s="51">
        <v>2.1704402515723277E-3</v>
      </c>
    </row>
    <row r="452" spans="1:91" s="50" customFormat="1" x14ac:dyDescent="0.25">
      <c r="A452" s="99" t="s">
        <v>1</v>
      </c>
      <c r="B452" s="4">
        <v>0</v>
      </c>
      <c r="C452" s="4">
        <v>0</v>
      </c>
      <c r="D452" s="4">
        <v>0</v>
      </c>
      <c r="E452" s="4">
        <v>0</v>
      </c>
      <c r="F452" s="4">
        <v>0</v>
      </c>
      <c r="G452" s="4">
        <v>0</v>
      </c>
      <c r="H452" s="4">
        <v>0</v>
      </c>
      <c r="I452" s="4">
        <v>0</v>
      </c>
      <c r="J452" s="4">
        <v>0</v>
      </c>
      <c r="K452" s="4">
        <v>0</v>
      </c>
      <c r="L452" s="4">
        <v>0</v>
      </c>
      <c r="M452" s="4">
        <v>0</v>
      </c>
      <c r="N452" s="4">
        <v>0</v>
      </c>
      <c r="O452" s="4">
        <v>0</v>
      </c>
      <c r="P452" s="4">
        <v>0</v>
      </c>
      <c r="Q452" s="4">
        <v>0</v>
      </c>
      <c r="R452" s="4">
        <v>0</v>
      </c>
      <c r="S452" s="4">
        <v>0</v>
      </c>
      <c r="T452" s="4">
        <v>0</v>
      </c>
      <c r="U452" s="4">
        <v>0</v>
      </c>
      <c r="V452" s="4">
        <v>0</v>
      </c>
      <c r="W452" s="4">
        <v>0</v>
      </c>
      <c r="X452" s="4">
        <v>0</v>
      </c>
      <c r="Y452" s="4">
        <v>0</v>
      </c>
      <c r="Z452" s="4">
        <v>0</v>
      </c>
      <c r="AA452" s="4">
        <v>0</v>
      </c>
      <c r="AB452" s="4">
        <v>0</v>
      </c>
      <c r="AC452" s="4">
        <v>0</v>
      </c>
      <c r="AD452" s="4">
        <v>0</v>
      </c>
      <c r="AE452" s="4">
        <v>0</v>
      </c>
      <c r="AF452" s="51">
        <v>1.6577549140049134E-3</v>
      </c>
      <c r="AG452" s="51">
        <v>1.6804361179361179E-3</v>
      </c>
      <c r="AH452" s="51">
        <v>1.7031173218673219E-3</v>
      </c>
      <c r="AI452" s="51">
        <v>1.7257985257985258E-3</v>
      </c>
      <c r="AJ452" s="51">
        <v>1.7484797297297294E-3</v>
      </c>
      <c r="AK452" s="51">
        <v>1.7711609336609332E-3</v>
      </c>
      <c r="AL452" s="51">
        <v>1.7938421375921377E-3</v>
      </c>
      <c r="AM452" s="51">
        <v>1.8165233415233415E-3</v>
      </c>
      <c r="AN452" s="51">
        <v>1.8392045454545453E-3</v>
      </c>
      <c r="AO452" s="51">
        <v>1.8618857493857496E-3</v>
      </c>
      <c r="AP452" s="51">
        <v>1.8845669533169532E-3</v>
      </c>
      <c r="AQ452" s="51">
        <v>1.9072481572481575E-3</v>
      </c>
      <c r="AR452" s="51">
        <v>1.9299293611793611E-3</v>
      </c>
      <c r="AS452" s="51">
        <v>1.9526105651105647E-3</v>
      </c>
      <c r="AT452" s="51">
        <v>1.9752917690417696E-3</v>
      </c>
      <c r="AU452" s="51">
        <v>1.9979729729729728E-3</v>
      </c>
      <c r="AV452" s="51">
        <v>2.0184735872235877E-3</v>
      </c>
      <c r="AW452" s="51">
        <v>2.0389742014742013E-3</v>
      </c>
      <c r="AX452" s="51">
        <v>2.0594748157248153E-3</v>
      </c>
      <c r="AY452" s="51">
        <v>2.0799754299754298E-3</v>
      </c>
      <c r="AZ452" s="51">
        <v>2.1004760442260443E-3</v>
      </c>
      <c r="BA452" s="51">
        <v>2.1209766584766587E-3</v>
      </c>
      <c r="BB452" s="51">
        <v>2.1414772727272723E-3</v>
      </c>
      <c r="BC452" s="51">
        <v>2.1619778869778868E-3</v>
      </c>
      <c r="BD452" s="51">
        <v>2.1824785012285013E-3</v>
      </c>
      <c r="BE452" s="51">
        <v>2.2029791154791153E-3</v>
      </c>
      <c r="BF452" s="51">
        <v>2.2234797297297293E-3</v>
      </c>
      <c r="BG452" s="51">
        <v>2.2439803439803438E-3</v>
      </c>
      <c r="BH452" s="51">
        <v>2.2644809582309583E-3</v>
      </c>
      <c r="BI452" s="51">
        <v>2.2849815724815723E-3</v>
      </c>
      <c r="BJ452" s="51">
        <v>2.3054821867321868E-3</v>
      </c>
      <c r="BK452" s="51">
        <v>2.3259828009828008E-3</v>
      </c>
      <c r="BL452" s="51">
        <v>2.3464834152334153E-3</v>
      </c>
      <c r="BM452" s="51">
        <v>2.3669840294840293E-3</v>
      </c>
      <c r="BN452" s="51">
        <v>2.3874846437346438E-3</v>
      </c>
      <c r="BO452" s="51">
        <v>2.4079852579852574E-3</v>
      </c>
      <c r="BP452" s="51">
        <v>2.4284858722358718E-3</v>
      </c>
      <c r="BQ452" s="51">
        <v>2.4489864864864859E-3</v>
      </c>
      <c r="BR452" s="51">
        <v>2.4694871007371003E-3</v>
      </c>
      <c r="BS452" s="51">
        <v>2.4899877149877148E-3</v>
      </c>
      <c r="BT452" s="51">
        <v>2.5104883292383293E-3</v>
      </c>
      <c r="BU452" s="51">
        <v>2.5309889434889433E-3</v>
      </c>
      <c r="BV452" s="51">
        <v>2.5514895577395573E-3</v>
      </c>
      <c r="BW452" s="51">
        <v>2.5719901719901722E-3</v>
      </c>
      <c r="BX452" s="51">
        <v>2.5924907862407863E-3</v>
      </c>
      <c r="BY452" s="51">
        <v>2.6129914004914007E-3</v>
      </c>
      <c r="BZ452" s="51">
        <v>2.6334920147420139E-3</v>
      </c>
      <c r="CA452" s="51">
        <v>2.6539926289926284E-3</v>
      </c>
      <c r="CB452" s="51">
        <v>2.6744932432432428E-3</v>
      </c>
      <c r="CC452" s="51">
        <v>2.6949938574938573E-3</v>
      </c>
      <c r="CD452" s="51">
        <v>2.7154944717444713E-3</v>
      </c>
      <c r="CE452" s="51">
        <v>2.7359950859950858E-3</v>
      </c>
      <c r="CF452" s="51">
        <v>2.7564957002457007E-3</v>
      </c>
      <c r="CG452" s="51">
        <v>2.7769963144963143E-3</v>
      </c>
      <c r="CH452" s="51">
        <v>2.7974969287469288E-3</v>
      </c>
      <c r="CI452" s="51">
        <v>2.8179975429975424E-3</v>
      </c>
      <c r="CJ452" s="51">
        <v>2.8384981572481573E-3</v>
      </c>
      <c r="CK452" s="51">
        <v>2.8589987714987713E-3</v>
      </c>
      <c r="CL452" s="51">
        <v>2.8794993857493853E-3</v>
      </c>
      <c r="CM452" s="51">
        <v>2.8999999999999998E-3</v>
      </c>
    </row>
    <row r="453" spans="1:91" s="50" customFormat="1" x14ac:dyDescent="0.25">
      <c r="A453" s="99" t="s">
        <v>1</v>
      </c>
      <c r="B453" s="4">
        <v>0</v>
      </c>
      <c r="C453" s="4">
        <v>0</v>
      </c>
      <c r="D453" s="4">
        <v>0</v>
      </c>
      <c r="E453" s="4">
        <v>0</v>
      </c>
      <c r="F453" s="4">
        <v>0</v>
      </c>
      <c r="G453" s="4">
        <v>0</v>
      </c>
      <c r="H453" s="4">
        <v>0</v>
      </c>
      <c r="I453" s="4">
        <v>0</v>
      </c>
      <c r="J453" s="4">
        <v>0</v>
      </c>
      <c r="K453" s="4">
        <v>0</v>
      </c>
      <c r="L453" s="4">
        <v>0</v>
      </c>
      <c r="M453" s="4">
        <v>0</v>
      </c>
      <c r="N453" s="4">
        <v>0</v>
      </c>
      <c r="O453" s="4">
        <v>0</v>
      </c>
      <c r="P453" s="4">
        <v>0</v>
      </c>
      <c r="Q453" s="4">
        <v>0</v>
      </c>
      <c r="R453" s="4">
        <v>0</v>
      </c>
      <c r="S453" s="4">
        <v>0</v>
      </c>
      <c r="T453" s="4">
        <v>0</v>
      </c>
      <c r="U453" s="4">
        <v>0</v>
      </c>
      <c r="V453" s="4">
        <v>0</v>
      </c>
      <c r="W453" s="4">
        <v>0</v>
      </c>
      <c r="X453" s="4">
        <v>0</v>
      </c>
      <c r="Y453" s="4">
        <v>0</v>
      </c>
      <c r="Z453" s="4">
        <v>0</v>
      </c>
      <c r="AA453" s="4">
        <v>0</v>
      </c>
      <c r="AB453" s="4">
        <v>0</v>
      </c>
      <c r="AC453" s="4">
        <v>0</v>
      </c>
      <c r="AD453" s="4">
        <v>0</v>
      </c>
      <c r="AE453" s="4">
        <v>0</v>
      </c>
      <c r="AF453" s="51">
        <v>6.1522727272727278E-2</v>
      </c>
      <c r="AG453" s="51">
        <v>6.1954545454545457E-2</v>
      </c>
      <c r="AH453" s="51">
        <v>6.2386363636363643E-2</v>
      </c>
      <c r="AI453" s="51">
        <v>6.2818181818181829E-2</v>
      </c>
      <c r="AJ453" s="51">
        <v>6.3250000000000001E-2</v>
      </c>
      <c r="AK453" s="51">
        <v>6.3681818181818187E-2</v>
      </c>
      <c r="AL453" s="51">
        <v>6.4113636363636373E-2</v>
      </c>
      <c r="AM453" s="51">
        <v>6.4545454545454545E-2</v>
      </c>
      <c r="AN453" s="51">
        <v>6.4977272727272731E-2</v>
      </c>
      <c r="AO453" s="51">
        <v>6.5409090909090917E-2</v>
      </c>
      <c r="AP453" s="51">
        <v>6.5840909090909089E-2</v>
      </c>
      <c r="AQ453" s="51">
        <v>6.6272727272727275E-2</v>
      </c>
      <c r="AR453" s="51">
        <v>6.6704545454545461E-2</v>
      </c>
      <c r="AS453" s="51">
        <v>6.7136363636363633E-2</v>
      </c>
      <c r="AT453" s="51">
        <v>6.7568181818181819E-2</v>
      </c>
      <c r="AU453" s="51">
        <v>6.8000000000000005E-2</v>
      </c>
      <c r="AV453" s="51">
        <v>6.881818181818182E-2</v>
      </c>
      <c r="AW453" s="51">
        <v>6.9636363636363635E-2</v>
      </c>
      <c r="AX453" s="51">
        <v>7.0454545454545464E-2</v>
      </c>
      <c r="AY453" s="51">
        <v>7.1272727272727279E-2</v>
      </c>
      <c r="AZ453" s="51">
        <v>7.2090909090909094E-2</v>
      </c>
      <c r="BA453" s="51">
        <v>7.290909090909091E-2</v>
      </c>
      <c r="BB453" s="51">
        <v>7.3727272727272725E-2</v>
      </c>
      <c r="BC453" s="51">
        <v>7.4545454545454554E-2</v>
      </c>
      <c r="BD453" s="51">
        <v>7.5363636363636369E-2</v>
      </c>
      <c r="BE453" s="51">
        <v>7.6181818181818184E-2</v>
      </c>
      <c r="BF453" s="51">
        <v>7.6999999999999999E-2</v>
      </c>
      <c r="BG453" s="51">
        <v>7.7818181818181814E-2</v>
      </c>
      <c r="BH453" s="51">
        <v>7.8636363636363643E-2</v>
      </c>
      <c r="BI453" s="51">
        <v>7.9454545454545458E-2</v>
      </c>
      <c r="BJ453" s="51">
        <v>8.0272727272727273E-2</v>
      </c>
      <c r="BK453" s="51">
        <v>8.1090909090909088E-2</v>
      </c>
      <c r="BL453" s="51">
        <v>8.1909090909090904E-2</v>
      </c>
      <c r="BM453" s="51">
        <v>8.2727272727272733E-2</v>
      </c>
      <c r="BN453" s="51">
        <v>8.3545454545454548E-2</v>
      </c>
      <c r="BO453" s="51">
        <v>8.4363636363636363E-2</v>
      </c>
      <c r="BP453" s="51">
        <v>8.5181818181818178E-2</v>
      </c>
      <c r="BQ453" s="51">
        <v>8.5999999999999993E-2</v>
      </c>
      <c r="BR453" s="51">
        <v>8.6818181818181822E-2</v>
      </c>
      <c r="BS453" s="51">
        <v>8.7636363636363637E-2</v>
      </c>
      <c r="BT453" s="51">
        <v>8.8454545454545452E-2</v>
      </c>
      <c r="BU453" s="51">
        <v>8.9272727272727267E-2</v>
      </c>
      <c r="BV453" s="51">
        <v>9.0090909090909083E-2</v>
      </c>
      <c r="BW453" s="51">
        <v>9.0909090909090912E-2</v>
      </c>
      <c r="BX453" s="51">
        <v>9.1727272727272727E-2</v>
      </c>
      <c r="BY453" s="51">
        <v>9.2545454545454542E-2</v>
      </c>
      <c r="BZ453" s="51">
        <v>9.3363636363636357E-2</v>
      </c>
      <c r="CA453" s="51">
        <v>9.4181818181818172E-2</v>
      </c>
      <c r="CB453" s="51">
        <v>9.5000000000000001E-2</v>
      </c>
      <c r="CC453" s="51">
        <v>9.5818181818181816E-2</v>
      </c>
      <c r="CD453" s="51">
        <v>9.6636363636363631E-2</v>
      </c>
      <c r="CE453" s="51">
        <v>9.7454545454545446E-2</v>
      </c>
      <c r="CF453" s="51">
        <v>9.8272727272727262E-2</v>
      </c>
      <c r="CG453" s="51">
        <v>9.9090909090909091E-2</v>
      </c>
      <c r="CH453" s="51">
        <v>9.9909090909090906E-2</v>
      </c>
      <c r="CI453" s="51">
        <v>0.10072727272727272</v>
      </c>
      <c r="CJ453" s="51">
        <v>0.10154545454545455</v>
      </c>
      <c r="CK453" s="51">
        <v>0.10236363636363635</v>
      </c>
      <c r="CL453" s="51">
        <v>0.10318181818181818</v>
      </c>
      <c r="CM453" s="51">
        <v>0.104</v>
      </c>
    </row>
    <row r="454" spans="1:91" s="50" customFormat="1" x14ac:dyDescent="0.25">
      <c r="A454" s="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91" s="50" customFormat="1" x14ac:dyDescent="0.25">
      <c r="A455" s="99" t="s">
        <v>182</v>
      </c>
      <c r="B455" s="4">
        <v>0</v>
      </c>
      <c r="C455" s="4">
        <v>0</v>
      </c>
      <c r="D455" s="4">
        <v>0</v>
      </c>
      <c r="E455" s="4">
        <v>0</v>
      </c>
      <c r="F455" s="4">
        <v>0</v>
      </c>
      <c r="G455" s="4">
        <v>0</v>
      </c>
      <c r="H455" s="4">
        <v>0</v>
      </c>
      <c r="I455" s="4">
        <v>0</v>
      </c>
      <c r="J455" s="4">
        <v>0</v>
      </c>
      <c r="K455" s="4">
        <v>0</v>
      </c>
      <c r="L455" s="4">
        <v>0</v>
      </c>
      <c r="M455" s="4">
        <v>0</v>
      </c>
      <c r="N455" s="4">
        <v>0</v>
      </c>
      <c r="O455" s="4">
        <v>0</v>
      </c>
      <c r="P455" s="4">
        <v>0</v>
      </c>
      <c r="Q455" s="4">
        <v>0</v>
      </c>
      <c r="R455" s="4">
        <v>0</v>
      </c>
      <c r="S455" s="4">
        <v>0</v>
      </c>
      <c r="T455" s="4">
        <v>0</v>
      </c>
      <c r="U455" s="4">
        <v>0</v>
      </c>
      <c r="V455" s="4">
        <v>0</v>
      </c>
      <c r="W455" s="4">
        <v>0</v>
      </c>
      <c r="X455" s="4">
        <v>0</v>
      </c>
      <c r="Y455" s="4">
        <v>0</v>
      </c>
      <c r="Z455" s="4">
        <v>0</v>
      </c>
      <c r="AA455" s="4">
        <v>0</v>
      </c>
      <c r="AB455" s="4">
        <v>0</v>
      </c>
      <c r="AC455" s="4">
        <v>0</v>
      </c>
      <c r="AD455" s="4">
        <v>0</v>
      </c>
      <c r="AE455" s="4">
        <v>0</v>
      </c>
      <c r="AF455" s="51">
        <v>9.6590909090909095E-4</v>
      </c>
      <c r="AG455" s="51">
        <v>9.6818181818181823E-4</v>
      </c>
      <c r="AH455" s="51">
        <v>9.704545454545454E-4</v>
      </c>
      <c r="AI455" s="51">
        <v>9.7272727272727268E-4</v>
      </c>
      <c r="AJ455" s="51">
        <v>9.7499999999999996E-4</v>
      </c>
      <c r="AK455" s="51">
        <v>9.7727272727272723E-4</v>
      </c>
      <c r="AL455" s="51">
        <v>9.7954545454545451E-4</v>
      </c>
      <c r="AM455" s="51">
        <v>9.8181818181818179E-4</v>
      </c>
      <c r="AN455" s="51">
        <v>9.8409090909090907E-4</v>
      </c>
      <c r="AO455" s="51">
        <v>9.8636363636363635E-4</v>
      </c>
      <c r="AP455" s="51">
        <v>9.8863636363636363E-4</v>
      </c>
      <c r="AQ455" s="51">
        <v>9.9090909090909091E-4</v>
      </c>
      <c r="AR455" s="51">
        <v>9.9318181818181818E-4</v>
      </c>
      <c r="AS455" s="51">
        <v>9.9545454545454546E-4</v>
      </c>
      <c r="AT455" s="51">
        <v>9.9772727272727274E-4</v>
      </c>
      <c r="AU455" s="51">
        <v>1E-3</v>
      </c>
      <c r="AV455" s="51">
        <v>1.0363636363636365E-3</v>
      </c>
      <c r="AW455" s="51">
        <v>1.0727272727272727E-3</v>
      </c>
      <c r="AX455" s="51">
        <v>1.1090909090909092E-3</v>
      </c>
      <c r="AY455" s="51">
        <v>1.1454545454545454E-3</v>
      </c>
      <c r="AZ455" s="51">
        <v>1.1818181818181819E-3</v>
      </c>
      <c r="BA455" s="51">
        <v>1.2181818181818181E-3</v>
      </c>
      <c r="BB455" s="51">
        <v>1.2545454545454546E-3</v>
      </c>
      <c r="BC455" s="51">
        <v>1.2909090909090908E-3</v>
      </c>
      <c r="BD455" s="51">
        <v>1.3272727272727273E-3</v>
      </c>
      <c r="BE455" s="51">
        <v>1.3636363636363635E-3</v>
      </c>
      <c r="BF455" s="51">
        <v>1.4E-3</v>
      </c>
      <c r="BG455" s="51">
        <v>1.4363636363636362E-3</v>
      </c>
      <c r="BH455" s="51">
        <v>1.4727272727272727E-3</v>
      </c>
      <c r="BI455" s="51">
        <v>1.5090909090909091E-3</v>
      </c>
      <c r="BJ455" s="51">
        <v>1.5454545454545454E-3</v>
      </c>
      <c r="BK455" s="51">
        <v>1.5818181818181816E-3</v>
      </c>
      <c r="BL455" s="51">
        <v>1.6181818181818181E-3</v>
      </c>
      <c r="BM455" s="51">
        <v>1.6545454545454545E-3</v>
      </c>
      <c r="BN455" s="51">
        <v>1.6909090909090908E-3</v>
      </c>
      <c r="BO455" s="51">
        <v>1.727272727272727E-3</v>
      </c>
      <c r="BP455" s="51">
        <v>1.7636363636363635E-3</v>
      </c>
      <c r="BQ455" s="51">
        <v>1.8E-3</v>
      </c>
      <c r="BR455" s="51">
        <v>1.8363636363636362E-3</v>
      </c>
      <c r="BS455" s="51">
        <v>1.8727272727272727E-3</v>
      </c>
      <c r="BT455" s="51">
        <v>1.9090909090909089E-3</v>
      </c>
      <c r="BU455" s="51">
        <v>1.9454545454545454E-3</v>
      </c>
      <c r="BV455" s="51">
        <v>1.9818181818181818E-3</v>
      </c>
      <c r="BW455" s="51">
        <v>2.0181818181818183E-3</v>
      </c>
      <c r="BX455" s="51">
        <v>2.0545454545454543E-3</v>
      </c>
      <c r="BY455" s="51">
        <v>2.0909090909090908E-3</v>
      </c>
      <c r="BZ455" s="51">
        <v>2.1272727272727268E-3</v>
      </c>
      <c r="CA455" s="51">
        <v>2.1636363636363632E-3</v>
      </c>
      <c r="CB455" s="51">
        <v>2.1999999999999997E-3</v>
      </c>
      <c r="CC455" s="51">
        <v>2.2363636363636362E-3</v>
      </c>
      <c r="CD455" s="51">
        <v>2.2727272727272726E-3</v>
      </c>
      <c r="CE455" s="51">
        <v>2.3090909090909091E-3</v>
      </c>
      <c r="CF455" s="51">
        <v>2.3454545454545455E-3</v>
      </c>
      <c r="CG455" s="51">
        <v>2.3818181818181816E-3</v>
      </c>
      <c r="CH455" s="51">
        <v>2.418181818181818E-3</v>
      </c>
      <c r="CI455" s="51">
        <v>2.454545454545454E-3</v>
      </c>
      <c r="CJ455" s="51">
        <v>2.4909090909090905E-3</v>
      </c>
      <c r="CK455" s="51">
        <v>2.527272727272727E-3</v>
      </c>
      <c r="CL455" s="51">
        <v>2.5636363636363634E-3</v>
      </c>
      <c r="CM455" s="51">
        <v>2.5999999999999999E-3</v>
      </c>
    </row>
    <row r="456" spans="1:91" s="50" customFormat="1" x14ac:dyDescent="0.25">
      <c r="A456" s="9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91" s="50" customFormat="1" x14ac:dyDescent="0.25">
      <c r="A457" s="99" t="s">
        <v>385</v>
      </c>
      <c r="B457" s="4">
        <v>0</v>
      </c>
      <c r="C457" s="4">
        <v>0</v>
      </c>
      <c r="D457" s="4">
        <v>0</v>
      </c>
      <c r="E457" s="4">
        <v>0</v>
      </c>
      <c r="F457" s="4">
        <v>0</v>
      </c>
      <c r="G457" s="4">
        <v>0</v>
      </c>
      <c r="H457" s="4">
        <v>0</v>
      </c>
      <c r="I457" s="4">
        <v>0</v>
      </c>
      <c r="J457" s="4">
        <v>0</v>
      </c>
      <c r="K457" s="4">
        <v>0</v>
      </c>
      <c r="L457" s="4">
        <v>0</v>
      </c>
      <c r="M457" s="4">
        <v>0</v>
      </c>
      <c r="N457" s="4">
        <v>0</v>
      </c>
      <c r="O457" s="4">
        <v>0</v>
      </c>
      <c r="P457" s="4">
        <v>0</v>
      </c>
      <c r="Q457" s="4">
        <v>0</v>
      </c>
      <c r="R457" s="4">
        <v>0</v>
      </c>
      <c r="S457" s="4">
        <v>0</v>
      </c>
      <c r="T457" s="4">
        <v>0</v>
      </c>
      <c r="U457" s="4">
        <v>0</v>
      </c>
      <c r="V457" s="4">
        <v>0</v>
      </c>
      <c r="W457" s="4">
        <v>0</v>
      </c>
      <c r="X457" s="4">
        <v>0</v>
      </c>
      <c r="Y457" s="4">
        <v>0</v>
      </c>
      <c r="Z457" s="4">
        <v>0</v>
      </c>
      <c r="AA457" s="4">
        <v>0</v>
      </c>
      <c r="AB457" s="4">
        <v>0</v>
      </c>
      <c r="AC457" s="4">
        <v>0</v>
      </c>
      <c r="AD457" s="4">
        <v>0</v>
      </c>
      <c r="AE457" s="4">
        <v>0</v>
      </c>
      <c r="AF457" s="51">
        <v>9.6590909090909095E-4</v>
      </c>
      <c r="AG457" s="51">
        <v>9.6818181818181823E-4</v>
      </c>
      <c r="AH457" s="51">
        <v>9.704545454545454E-4</v>
      </c>
      <c r="AI457" s="51">
        <v>9.7272727272727268E-4</v>
      </c>
      <c r="AJ457" s="51">
        <v>9.7499999999999996E-4</v>
      </c>
      <c r="AK457" s="51">
        <v>9.7727272727272723E-4</v>
      </c>
      <c r="AL457" s="51">
        <v>9.7954545454545451E-4</v>
      </c>
      <c r="AM457" s="51">
        <v>9.8181818181818179E-4</v>
      </c>
      <c r="AN457" s="51">
        <v>9.8409090909090907E-4</v>
      </c>
      <c r="AO457" s="51">
        <v>9.8636363636363635E-4</v>
      </c>
      <c r="AP457" s="51">
        <v>9.8863636363636363E-4</v>
      </c>
      <c r="AQ457" s="51">
        <v>9.9090909090909091E-4</v>
      </c>
      <c r="AR457" s="51">
        <v>9.9318181818181818E-4</v>
      </c>
      <c r="AS457" s="51">
        <v>9.9545454545454546E-4</v>
      </c>
      <c r="AT457" s="51">
        <v>9.9772727272727274E-4</v>
      </c>
      <c r="AU457" s="51">
        <v>1E-3</v>
      </c>
      <c r="AV457" s="51">
        <v>1.0363636363636365E-3</v>
      </c>
      <c r="AW457" s="51">
        <v>1.0727272727272727E-3</v>
      </c>
      <c r="AX457" s="51">
        <v>1.1090909090909092E-3</v>
      </c>
      <c r="AY457" s="51">
        <v>1.1454545454545454E-3</v>
      </c>
      <c r="AZ457" s="51">
        <v>1.1818181818181819E-3</v>
      </c>
      <c r="BA457" s="51">
        <v>1.2181818181818181E-3</v>
      </c>
      <c r="BB457" s="51">
        <v>1.2545454545454546E-3</v>
      </c>
      <c r="BC457" s="51">
        <v>1.2909090909090908E-3</v>
      </c>
      <c r="BD457" s="51">
        <v>1.3272727272727273E-3</v>
      </c>
      <c r="BE457" s="51">
        <v>1.3636363636363635E-3</v>
      </c>
      <c r="BF457" s="51">
        <v>1.4E-3</v>
      </c>
      <c r="BG457" s="51">
        <v>1.4363636363636362E-3</v>
      </c>
      <c r="BH457" s="51">
        <v>1.4727272727272727E-3</v>
      </c>
      <c r="BI457" s="51">
        <v>1.5090909090909091E-3</v>
      </c>
      <c r="BJ457" s="51">
        <v>1.5454545454545454E-3</v>
      </c>
      <c r="BK457" s="51">
        <v>1.5818181818181816E-3</v>
      </c>
      <c r="BL457" s="51">
        <v>1.6181818181818181E-3</v>
      </c>
      <c r="BM457" s="51">
        <v>1.6545454545454545E-3</v>
      </c>
      <c r="BN457" s="51">
        <v>1.6909090909090908E-3</v>
      </c>
      <c r="BO457" s="51">
        <v>1.727272727272727E-3</v>
      </c>
      <c r="BP457" s="51">
        <v>1.7636363636363635E-3</v>
      </c>
      <c r="BQ457" s="51">
        <v>1.8E-3</v>
      </c>
      <c r="BR457" s="51">
        <v>1.8363636363636362E-3</v>
      </c>
      <c r="BS457" s="51">
        <v>1.8727272727272727E-3</v>
      </c>
      <c r="BT457" s="51">
        <v>1.9090909090909089E-3</v>
      </c>
      <c r="BU457" s="51">
        <v>1.9454545454545454E-3</v>
      </c>
      <c r="BV457" s="51">
        <v>1.9818181818181818E-3</v>
      </c>
      <c r="BW457" s="51">
        <v>2.0181818181818183E-3</v>
      </c>
      <c r="BX457" s="51">
        <v>2.0545454545454543E-3</v>
      </c>
      <c r="BY457" s="51">
        <v>2.0909090909090908E-3</v>
      </c>
      <c r="BZ457" s="51">
        <v>2.1272727272727268E-3</v>
      </c>
      <c r="CA457" s="51">
        <v>2.1636363636363632E-3</v>
      </c>
      <c r="CB457" s="51">
        <v>2.1999999999999997E-3</v>
      </c>
      <c r="CC457" s="51">
        <v>2.2363636363636362E-3</v>
      </c>
      <c r="CD457" s="51">
        <v>2.2727272727272726E-3</v>
      </c>
      <c r="CE457" s="51">
        <v>2.3090909090909091E-3</v>
      </c>
      <c r="CF457" s="51">
        <v>2.3454545454545455E-3</v>
      </c>
      <c r="CG457" s="51">
        <v>2.3818181818181816E-3</v>
      </c>
      <c r="CH457" s="51">
        <v>2.418181818181818E-3</v>
      </c>
      <c r="CI457" s="51">
        <v>2.454545454545454E-3</v>
      </c>
      <c r="CJ457" s="51">
        <v>2.4909090909090905E-3</v>
      </c>
      <c r="CK457" s="51">
        <v>2.527272727272727E-3</v>
      </c>
      <c r="CL457" s="51">
        <v>2.5636363636363634E-3</v>
      </c>
      <c r="CM457" s="51">
        <v>2.5999999999999999E-3</v>
      </c>
    </row>
    <row r="458" spans="1:91" s="50" customFormat="1" x14ac:dyDescent="0.25">
      <c r="A458" s="9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91" s="50" customFormat="1" x14ac:dyDescent="0.25">
      <c r="A459" s="99" t="s">
        <v>353</v>
      </c>
      <c r="B459" s="4">
        <v>0</v>
      </c>
      <c r="C459" s="4">
        <v>0</v>
      </c>
      <c r="D459" s="4">
        <v>0</v>
      </c>
      <c r="E459" s="4">
        <v>0</v>
      </c>
      <c r="F459" s="4">
        <v>0</v>
      </c>
      <c r="G459" s="4">
        <v>0</v>
      </c>
      <c r="H459" s="4">
        <v>0</v>
      </c>
      <c r="I459" s="4">
        <v>0</v>
      </c>
      <c r="J459" s="4">
        <v>0</v>
      </c>
      <c r="K459" s="4">
        <v>0</v>
      </c>
      <c r="L459" s="4">
        <v>0</v>
      </c>
      <c r="M459" s="4">
        <v>0</v>
      </c>
      <c r="N459" s="4">
        <v>0</v>
      </c>
      <c r="O459" s="4">
        <v>0</v>
      </c>
      <c r="P459" s="4">
        <v>0</v>
      </c>
      <c r="Q459" s="4">
        <v>0</v>
      </c>
      <c r="R459" s="4">
        <v>0</v>
      </c>
      <c r="S459" s="4">
        <v>0</v>
      </c>
      <c r="T459" s="4">
        <v>0</v>
      </c>
      <c r="U459" s="4">
        <v>0</v>
      </c>
      <c r="V459" s="4">
        <v>0</v>
      </c>
      <c r="W459" s="4">
        <v>0</v>
      </c>
      <c r="X459" s="4">
        <v>0</v>
      </c>
      <c r="Y459" s="4">
        <v>0</v>
      </c>
      <c r="Z459" s="4">
        <v>0</v>
      </c>
      <c r="AA459" s="4">
        <v>0</v>
      </c>
      <c r="AB459" s="4">
        <v>0</v>
      </c>
      <c r="AC459" s="4">
        <v>0</v>
      </c>
      <c r="AD459" s="4">
        <v>0</v>
      </c>
      <c r="AE459" s="4">
        <v>0</v>
      </c>
      <c r="AF459" s="51">
        <v>8.6618671127481966E-4</v>
      </c>
      <c r="AG459" s="51">
        <v>8.7332065560907562E-4</v>
      </c>
      <c r="AH459" s="51">
        <v>8.8045459994333169E-4</v>
      </c>
      <c r="AI459" s="51">
        <v>8.8758854427758765E-4</v>
      </c>
      <c r="AJ459" s="51">
        <v>8.9472248861184372E-4</v>
      </c>
      <c r="AK459" s="51">
        <v>9.0185643294609969E-4</v>
      </c>
      <c r="AL459" s="51">
        <v>9.0899037728035576E-4</v>
      </c>
      <c r="AM459" s="51">
        <v>9.1612432161461172E-4</v>
      </c>
      <c r="AN459" s="51">
        <v>9.2325826594886768E-4</v>
      </c>
      <c r="AO459" s="51">
        <v>9.3039221028312375E-4</v>
      </c>
      <c r="AP459" s="51">
        <v>9.3752615461737982E-4</v>
      </c>
      <c r="AQ459" s="51">
        <v>9.4466009895163578E-4</v>
      </c>
      <c r="AR459" s="51">
        <v>9.5179404328589175E-4</v>
      </c>
      <c r="AS459" s="51">
        <v>9.5892798762014782E-4</v>
      </c>
      <c r="AT459" s="51">
        <v>9.6606193195440389E-4</v>
      </c>
      <c r="AU459" s="51">
        <v>9.7319587628865985E-4</v>
      </c>
      <c r="AV459" s="51">
        <v>9.9072164948453621E-4</v>
      </c>
      <c r="AW459" s="51">
        <v>1.0082474226804125E-3</v>
      </c>
      <c r="AX459" s="51">
        <v>1.0257731958762887E-3</v>
      </c>
      <c r="AY459" s="51">
        <v>1.043298969072165E-3</v>
      </c>
      <c r="AZ459" s="51">
        <v>1.0608247422680412E-3</v>
      </c>
      <c r="BA459" s="51">
        <v>1.0783505154639175E-3</v>
      </c>
      <c r="BB459" s="51">
        <v>1.095876288659794E-3</v>
      </c>
      <c r="BC459" s="51">
        <v>1.1134020618556702E-3</v>
      </c>
      <c r="BD459" s="51">
        <v>1.1309278350515465E-3</v>
      </c>
      <c r="BE459" s="51">
        <v>1.1484536082474227E-3</v>
      </c>
      <c r="BF459" s="51">
        <v>1.165979381443299E-3</v>
      </c>
      <c r="BG459" s="51">
        <v>1.1835051546391752E-3</v>
      </c>
      <c r="BH459" s="51">
        <v>1.2010309278350515E-3</v>
      </c>
      <c r="BI459" s="51">
        <v>1.2185567010309277E-3</v>
      </c>
      <c r="BJ459" s="51">
        <v>1.236082474226804E-3</v>
      </c>
      <c r="BK459" s="51">
        <v>1.2536082474226805E-3</v>
      </c>
      <c r="BL459" s="51">
        <v>1.2711340206185567E-3</v>
      </c>
      <c r="BM459" s="51">
        <v>1.288659793814433E-3</v>
      </c>
      <c r="BN459" s="51">
        <v>1.3061855670103092E-3</v>
      </c>
      <c r="BO459" s="51">
        <v>1.3237113402061855E-3</v>
      </c>
      <c r="BP459" s="51">
        <v>1.3412371134020619E-3</v>
      </c>
      <c r="BQ459" s="51">
        <v>1.3587628865979382E-3</v>
      </c>
      <c r="BR459" s="51">
        <v>1.3762886597938145E-3</v>
      </c>
      <c r="BS459" s="51">
        <v>1.3938144329896907E-3</v>
      </c>
      <c r="BT459" s="51">
        <v>1.411340206185567E-3</v>
      </c>
      <c r="BU459" s="51">
        <v>1.4288659793814432E-3</v>
      </c>
      <c r="BV459" s="51">
        <v>1.4463917525773195E-3</v>
      </c>
      <c r="BW459" s="51">
        <v>1.4639175257731957E-3</v>
      </c>
      <c r="BX459" s="51">
        <v>1.481443298969072E-3</v>
      </c>
      <c r="BY459" s="51">
        <v>1.4989690721649482E-3</v>
      </c>
      <c r="BZ459" s="51">
        <v>1.5164948453608247E-3</v>
      </c>
      <c r="CA459" s="51">
        <v>1.534020618556701E-3</v>
      </c>
      <c r="CB459" s="51">
        <v>1.5515463917525772E-3</v>
      </c>
      <c r="CC459" s="51">
        <v>1.5690721649484537E-3</v>
      </c>
      <c r="CD459" s="51">
        <v>1.5865979381443299E-3</v>
      </c>
      <c r="CE459" s="51">
        <v>1.6041237113402062E-3</v>
      </c>
      <c r="CF459" s="51">
        <v>1.6216494845360824E-3</v>
      </c>
      <c r="CG459" s="51">
        <v>1.6391752577319587E-3</v>
      </c>
      <c r="CH459" s="51">
        <v>1.656701030927835E-3</v>
      </c>
      <c r="CI459" s="51">
        <v>1.6742268041237112E-3</v>
      </c>
      <c r="CJ459" s="51">
        <v>1.6917525773195875E-3</v>
      </c>
      <c r="CK459" s="51">
        <v>1.7092783505154637E-3</v>
      </c>
      <c r="CL459" s="51">
        <v>1.72680412371134E-3</v>
      </c>
      <c r="CM459" s="51">
        <v>1.7443298969072164E-3</v>
      </c>
    </row>
    <row r="460" spans="1:91" s="50" customFormat="1" x14ac:dyDescent="0.25">
      <c r="A460" s="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91" s="50" customFormat="1" x14ac:dyDescent="0.25">
      <c r="A461" s="99" t="s">
        <v>372</v>
      </c>
      <c r="B461" s="4">
        <v>0</v>
      </c>
      <c r="C461" s="4">
        <v>0</v>
      </c>
      <c r="D461" s="4">
        <v>0</v>
      </c>
      <c r="E461" s="4">
        <v>0</v>
      </c>
      <c r="F461" s="4">
        <v>0</v>
      </c>
      <c r="G461" s="4">
        <v>0</v>
      </c>
      <c r="H461" s="4">
        <v>0</v>
      </c>
      <c r="I461" s="4">
        <v>0</v>
      </c>
      <c r="J461" s="4">
        <v>0</v>
      </c>
      <c r="K461" s="4">
        <v>0</v>
      </c>
      <c r="L461" s="4">
        <v>0</v>
      </c>
      <c r="M461" s="4">
        <v>0</v>
      </c>
      <c r="N461" s="4">
        <v>0</v>
      </c>
      <c r="O461" s="4">
        <v>0</v>
      </c>
      <c r="P461" s="4">
        <v>0</v>
      </c>
      <c r="Q461" s="4">
        <v>0</v>
      </c>
      <c r="R461" s="4">
        <v>0</v>
      </c>
      <c r="S461" s="4">
        <v>0</v>
      </c>
      <c r="T461" s="4">
        <v>0</v>
      </c>
      <c r="U461" s="4">
        <v>0</v>
      </c>
      <c r="V461" s="4">
        <v>0</v>
      </c>
      <c r="W461" s="4">
        <v>0</v>
      </c>
      <c r="X461" s="4">
        <v>0</v>
      </c>
      <c r="Y461" s="4">
        <v>0</v>
      </c>
      <c r="Z461" s="4">
        <v>0</v>
      </c>
      <c r="AA461" s="4">
        <v>0</v>
      </c>
      <c r="AB461" s="4">
        <v>0</v>
      </c>
      <c r="AC461" s="4">
        <v>0</v>
      </c>
      <c r="AD461" s="4">
        <v>0</v>
      </c>
      <c r="AE461" s="4">
        <v>0</v>
      </c>
      <c r="AF461" s="51">
        <v>8.6618671127481966E-4</v>
      </c>
      <c r="AG461" s="51">
        <v>8.7332065560907562E-4</v>
      </c>
      <c r="AH461" s="51">
        <v>8.8045459994333169E-4</v>
      </c>
      <c r="AI461" s="51">
        <v>8.8758854427758765E-4</v>
      </c>
      <c r="AJ461" s="51">
        <v>8.9472248861184372E-4</v>
      </c>
      <c r="AK461" s="51">
        <v>9.0185643294609969E-4</v>
      </c>
      <c r="AL461" s="51">
        <v>9.0899037728035576E-4</v>
      </c>
      <c r="AM461" s="51">
        <v>9.1612432161461172E-4</v>
      </c>
      <c r="AN461" s="51">
        <v>9.2325826594886768E-4</v>
      </c>
      <c r="AO461" s="51">
        <v>9.3039221028312375E-4</v>
      </c>
      <c r="AP461" s="51">
        <v>9.3752615461737982E-4</v>
      </c>
      <c r="AQ461" s="51">
        <v>9.4466009895163578E-4</v>
      </c>
      <c r="AR461" s="51">
        <v>9.5179404328589175E-4</v>
      </c>
      <c r="AS461" s="51">
        <v>9.5892798762014782E-4</v>
      </c>
      <c r="AT461" s="51">
        <v>9.6606193195440389E-4</v>
      </c>
      <c r="AU461" s="51">
        <v>9.7319587628865985E-4</v>
      </c>
      <c r="AV461" s="51">
        <v>9.9072164948453621E-4</v>
      </c>
      <c r="AW461" s="51">
        <v>1.0082474226804125E-3</v>
      </c>
      <c r="AX461" s="51">
        <v>1.0257731958762887E-3</v>
      </c>
      <c r="AY461" s="51">
        <v>1.043298969072165E-3</v>
      </c>
      <c r="AZ461" s="51">
        <v>1.0608247422680412E-3</v>
      </c>
      <c r="BA461" s="51">
        <v>1.0783505154639175E-3</v>
      </c>
      <c r="BB461" s="51">
        <v>1.095876288659794E-3</v>
      </c>
      <c r="BC461" s="51">
        <v>1.1134020618556702E-3</v>
      </c>
      <c r="BD461" s="51">
        <v>1.1309278350515465E-3</v>
      </c>
      <c r="BE461" s="51">
        <v>1.1484536082474227E-3</v>
      </c>
      <c r="BF461" s="51">
        <v>1.165979381443299E-3</v>
      </c>
      <c r="BG461" s="51">
        <v>1.1835051546391752E-3</v>
      </c>
      <c r="BH461" s="51">
        <v>1.2010309278350515E-3</v>
      </c>
      <c r="BI461" s="51">
        <v>1.2185567010309277E-3</v>
      </c>
      <c r="BJ461" s="51">
        <v>1.236082474226804E-3</v>
      </c>
      <c r="BK461" s="51">
        <v>1.2536082474226805E-3</v>
      </c>
      <c r="BL461" s="51">
        <v>1.2711340206185567E-3</v>
      </c>
      <c r="BM461" s="51">
        <v>1.288659793814433E-3</v>
      </c>
      <c r="BN461" s="51">
        <v>1.3061855670103092E-3</v>
      </c>
      <c r="BO461" s="51">
        <v>1.3237113402061855E-3</v>
      </c>
      <c r="BP461" s="51">
        <v>1.3412371134020619E-3</v>
      </c>
      <c r="BQ461" s="51">
        <v>1.3587628865979382E-3</v>
      </c>
      <c r="BR461" s="51">
        <v>1.3762886597938145E-3</v>
      </c>
      <c r="BS461" s="51">
        <v>1.3938144329896907E-3</v>
      </c>
      <c r="BT461" s="51">
        <v>1.411340206185567E-3</v>
      </c>
      <c r="BU461" s="51">
        <v>1.4288659793814432E-3</v>
      </c>
      <c r="BV461" s="51">
        <v>1.4463917525773195E-3</v>
      </c>
      <c r="BW461" s="51">
        <v>1.4639175257731957E-3</v>
      </c>
      <c r="BX461" s="51">
        <v>1.481443298969072E-3</v>
      </c>
      <c r="BY461" s="51">
        <v>1.4989690721649482E-3</v>
      </c>
      <c r="BZ461" s="51">
        <v>1.5164948453608247E-3</v>
      </c>
      <c r="CA461" s="51">
        <v>1.534020618556701E-3</v>
      </c>
      <c r="CB461" s="51">
        <v>1.5515463917525772E-3</v>
      </c>
      <c r="CC461" s="51">
        <v>1.5690721649484537E-3</v>
      </c>
      <c r="CD461" s="51">
        <v>1.5865979381443299E-3</v>
      </c>
      <c r="CE461" s="51">
        <v>1.6041237113402062E-3</v>
      </c>
      <c r="CF461" s="51">
        <v>1.6216494845360824E-3</v>
      </c>
      <c r="CG461" s="51">
        <v>1.6391752577319587E-3</v>
      </c>
      <c r="CH461" s="51">
        <v>1.656701030927835E-3</v>
      </c>
      <c r="CI461" s="51">
        <v>1.6742268041237112E-3</v>
      </c>
      <c r="CJ461" s="51">
        <v>1.6917525773195875E-3</v>
      </c>
      <c r="CK461" s="51">
        <v>1.7092783505154637E-3</v>
      </c>
      <c r="CL461" s="51">
        <v>1.72680412371134E-3</v>
      </c>
      <c r="CM461" s="51">
        <v>1.7443298969072164E-3</v>
      </c>
    </row>
    <row r="462" spans="1:91" s="50" customFormat="1" x14ac:dyDescent="0.25">
      <c r="A462" s="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91" s="50" customFormat="1" x14ac:dyDescent="0.25">
      <c r="A463" s="99" t="s">
        <v>183</v>
      </c>
      <c r="B463" s="4">
        <v>0</v>
      </c>
      <c r="C463" s="4">
        <v>0</v>
      </c>
      <c r="D463" s="4">
        <v>0</v>
      </c>
      <c r="E463" s="4">
        <v>0</v>
      </c>
      <c r="F463" s="4">
        <v>0</v>
      </c>
      <c r="G463" s="4">
        <v>0</v>
      </c>
      <c r="H463" s="4">
        <v>0</v>
      </c>
      <c r="I463" s="4">
        <v>0</v>
      </c>
      <c r="J463" s="4">
        <v>0</v>
      </c>
      <c r="K463" s="4">
        <v>0</v>
      </c>
      <c r="L463" s="4">
        <v>0</v>
      </c>
      <c r="M463" s="4">
        <v>0</v>
      </c>
      <c r="N463" s="4">
        <v>0</v>
      </c>
      <c r="O463" s="4">
        <v>0</v>
      </c>
      <c r="P463" s="4">
        <v>0</v>
      </c>
      <c r="Q463" s="4">
        <v>0</v>
      </c>
      <c r="R463" s="4">
        <v>0</v>
      </c>
      <c r="S463" s="4">
        <v>0</v>
      </c>
      <c r="T463" s="4">
        <v>0</v>
      </c>
      <c r="U463" s="4">
        <v>0</v>
      </c>
      <c r="V463" s="4">
        <v>0</v>
      </c>
      <c r="W463" s="4">
        <v>0</v>
      </c>
      <c r="X463" s="4">
        <v>0</v>
      </c>
      <c r="Y463" s="4">
        <v>0</v>
      </c>
      <c r="Z463" s="4">
        <v>0</v>
      </c>
      <c r="AA463" s="4">
        <v>0</v>
      </c>
      <c r="AB463" s="4">
        <v>0</v>
      </c>
      <c r="AC463" s="4">
        <v>0</v>
      </c>
      <c r="AD463" s="4">
        <v>0</v>
      </c>
      <c r="AE463" s="4">
        <v>0</v>
      </c>
      <c r="AF463" s="51">
        <v>5.0675000000000008E-3</v>
      </c>
      <c r="AG463" s="51">
        <v>5.1450000000000003E-3</v>
      </c>
      <c r="AH463" s="51">
        <v>5.2225000000000006E-3</v>
      </c>
      <c r="AI463" s="51">
        <v>5.3000000000000009E-3</v>
      </c>
      <c r="AJ463" s="51">
        <v>5.3775000000000003E-3</v>
      </c>
      <c r="AK463" s="51">
        <v>5.4550000000000006E-3</v>
      </c>
      <c r="AL463" s="51">
        <v>5.532500000000001E-3</v>
      </c>
      <c r="AM463" s="51">
        <v>5.6100000000000004E-3</v>
      </c>
      <c r="AN463" s="51">
        <v>5.6874999999999998E-3</v>
      </c>
      <c r="AO463" s="51">
        <v>5.765000000000001E-3</v>
      </c>
      <c r="AP463" s="51">
        <v>5.8425000000000005E-3</v>
      </c>
      <c r="AQ463" s="51">
        <v>5.9199999999999999E-3</v>
      </c>
      <c r="AR463" s="51">
        <v>5.9975000000000011E-3</v>
      </c>
      <c r="AS463" s="51">
        <v>6.0750000000000005E-3</v>
      </c>
      <c r="AT463" s="51">
        <v>6.1525E-3</v>
      </c>
      <c r="AU463" s="51">
        <v>6.2300000000000003E-3</v>
      </c>
      <c r="AV463" s="51">
        <v>6.2575E-3</v>
      </c>
      <c r="AW463" s="51">
        <v>6.2850000000000007E-3</v>
      </c>
      <c r="AX463" s="51">
        <v>6.3125000000000004E-3</v>
      </c>
      <c r="AY463" s="51">
        <v>6.3400000000000001E-3</v>
      </c>
      <c r="AZ463" s="51">
        <v>6.3674999999999999E-3</v>
      </c>
      <c r="BA463" s="51">
        <v>6.3950000000000005E-3</v>
      </c>
      <c r="BB463" s="51">
        <v>6.4225000000000003E-3</v>
      </c>
      <c r="BC463" s="51">
        <v>6.45E-3</v>
      </c>
      <c r="BD463" s="51">
        <v>6.4774999999999998E-3</v>
      </c>
      <c r="BE463" s="51">
        <v>6.5050000000000004E-3</v>
      </c>
      <c r="BF463" s="51">
        <v>6.5325000000000001E-3</v>
      </c>
      <c r="BG463" s="51">
        <v>6.5599999999999999E-3</v>
      </c>
      <c r="BH463" s="51">
        <v>6.5875000000000005E-3</v>
      </c>
      <c r="BI463" s="51">
        <v>6.6150000000000002E-3</v>
      </c>
      <c r="BJ463" s="51">
        <v>6.6425E-3</v>
      </c>
      <c r="BK463" s="51">
        <v>6.6699999999999997E-3</v>
      </c>
      <c r="BL463" s="51">
        <v>6.6975000000000003E-3</v>
      </c>
      <c r="BM463" s="51">
        <v>6.7250000000000001E-3</v>
      </c>
      <c r="BN463" s="51">
        <v>6.7524999999999998E-3</v>
      </c>
      <c r="BO463" s="51">
        <v>6.7799999999999996E-3</v>
      </c>
      <c r="BP463" s="51">
        <v>6.8075000000000002E-3</v>
      </c>
      <c r="BQ463" s="51">
        <v>6.8349999999999999E-3</v>
      </c>
      <c r="BR463" s="51">
        <v>6.8624999999999997E-3</v>
      </c>
      <c r="BS463" s="51">
        <v>6.8900000000000003E-3</v>
      </c>
      <c r="BT463" s="51">
        <v>6.9175E-3</v>
      </c>
      <c r="BU463" s="51">
        <v>6.9449999999999998E-3</v>
      </c>
      <c r="BV463" s="51">
        <v>6.9724999999999995E-3</v>
      </c>
      <c r="BW463" s="51">
        <v>7.0000000000000001E-3</v>
      </c>
      <c r="BX463" s="51">
        <v>7.0274999999999999E-3</v>
      </c>
      <c r="BY463" s="51">
        <v>7.0549999999999996E-3</v>
      </c>
      <c r="BZ463" s="51">
        <v>7.0825000000000003E-3</v>
      </c>
      <c r="CA463" s="51">
        <v>7.11E-3</v>
      </c>
      <c r="CB463" s="51">
        <v>7.1374999999999997E-3</v>
      </c>
      <c r="CC463" s="51">
        <v>7.1649999999999995E-3</v>
      </c>
      <c r="CD463" s="51">
        <v>7.1925000000000001E-3</v>
      </c>
      <c r="CE463" s="51">
        <v>7.2199999999999999E-3</v>
      </c>
      <c r="CF463" s="51">
        <v>7.2474999999999996E-3</v>
      </c>
      <c r="CG463" s="51">
        <v>7.2750000000000002E-3</v>
      </c>
      <c r="CH463" s="51">
        <v>7.3025E-3</v>
      </c>
      <c r="CI463" s="51">
        <v>7.3299999999999997E-3</v>
      </c>
      <c r="CJ463" s="51">
        <v>7.3574999999999995E-3</v>
      </c>
      <c r="CK463" s="51">
        <v>7.3849999999999992E-3</v>
      </c>
      <c r="CL463" s="51">
        <v>7.4124999999999998E-3</v>
      </c>
      <c r="CM463" s="51">
        <v>7.4399999999999996E-3</v>
      </c>
    </row>
    <row r="464" spans="1:91" s="50" customFormat="1" x14ac:dyDescent="0.25">
      <c r="A464" s="99" t="s">
        <v>1</v>
      </c>
      <c r="B464" s="4">
        <v>0</v>
      </c>
      <c r="C464" s="4">
        <v>0</v>
      </c>
      <c r="D464" s="4">
        <v>0</v>
      </c>
      <c r="E464" s="4">
        <v>0</v>
      </c>
      <c r="F464" s="4">
        <v>0</v>
      </c>
      <c r="G464" s="4">
        <v>0</v>
      </c>
      <c r="H464" s="4">
        <v>0</v>
      </c>
      <c r="I464" s="4">
        <v>0</v>
      </c>
      <c r="J464" s="4">
        <v>0</v>
      </c>
      <c r="K464" s="4">
        <v>0</v>
      </c>
      <c r="L464" s="4">
        <v>0</v>
      </c>
      <c r="M464" s="4">
        <v>0</v>
      </c>
      <c r="N464" s="4">
        <v>0</v>
      </c>
      <c r="O464" s="4">
        <v>0</v>
      </c>
      <c r="P464" s="4">
        <v>0</v>
      </c>
      <c r="Q464" s="4">
        <v>0</v>
      </c>
      <c r="R464" s="4">
        <v>0</v>
      </c>
      <c r="S464" s="4">
        <v>0</v>
      </c>
      <c r="T464" s="4">
        <v>0</v>
      </c>
      <c r="U464" s="4">
        <v>0</v>
      </c>
      <c r="V464" s="4">
        <v>0</v>
      </c>
      <c r="W464" s="4">
        <v>0</v>
      </c>
      <c r="X464" s="4">
        <v>0</v>
      </c>
      <c r="Y464" s="4">
        <v>0</v>
      </c>
      <c r="Z464" s="4">
        <v>0</v>
      </c>
      <c r="AA464" s="4">
        <v>0</v>
      </c>
      <c r="AB464" s="4">
        <v>0</v>
      </c>
      <c r="AC464" s="4">
        <v>0</v>
      </c>
      <c r="AD464" s="4">
        <v>0</v>
      </c>
      <c r="AE464" s="4">
        <v>0</v>
      </c>
      <c r="AF464" s="51">
        <v>2.3129545454545456E-3</v>
      </c>
      <c r="AG464" s="51">
        <v>2.3440909090909094E-3</v>
      </c>
      <c r="AH464" s="51">
        <v>2.3752272727272728E-3</v>
      </c>
      <c r="AI464" s="51">
        <v>2.4063636363636366E-3</v>
      </c>
      <c r="AJ464" s="51">
        <v>2.4375000000000004E-3</v>
      </c>
      <c r="AK464" s="51">
        <v>2.4686363636363638E-3</v>
      </c>
      <c r="AL464" s="51">
        <v>2.4997727272727276E-3</v>
      </c>
      <c r="AM464" s="51">
        <v>2.5309090909090915E-3</v>
      </c>
      <c r="AN464" s="51">
        <v>2.5620454545454549E-3</v>
      </c>
      <c r="AO464" s="51">
        <v>2.5931818181818183E-3</v>
      </c>
      <c r="AP464" s="51">
        <v>2.6243181818181821E-3</v>
      </c>
      <c r="AQ464" s="51">
        <v>2.6554545454545459E-3</v>
      </c>
      <c r="AR464" s="51">
        <v>2.6865909090909093E-3</v>
      </c>
      <c r="AS464" s="51">
        <v>2.7177272727272731E-3</v>
      </c>
      <c r="AT464" s="51">
        <v>2.748863636363637E-3</v>
      </c>
      <c r="AU464" s="51">
        <v>2.7800000000000004E-3</v>
      </c>
      <c r="AV464" s="51">
        <v>2.7993181818181823E-3</v>
      </c>
      <c r="AW464" s="51">
        <v>2.8186363636363639E-3</v>
      </c>
      <c r="AX464" s="51">
        <v>2.8379545454545459E-3</v>
      </c>
      <c r="AY464" s="51">
        <v>2.8572727272727274E-3</v>
      </c>
      <c r="AZ464" s="51">
        <v>2.8765909090909094E-3</v>
      </c>
      <c r="BA464" s="51">
        <v>2.8959090909090913E-3</v>
      </c>
      <c r="BB464" s="51">
        <v>2.9152272727272729E-3</v>
      </c>
      <c r="BC464" s="51">
        <v>2.9345454545454549E-3</v>
      </c>
      <c r="BD464" s="51">
        <v>2.9538636363636368E-3</v>
      </c>
      <c r="BE464" s="51">
        <v>2.9731818181818184E-3</v>
      </c>
      <c r="BF464" s="51">
        <v>2.9925000000000004E-3</v>
      </c>
      <c r="BG464" s="51">
        <v>3.0118181818181819E-3</v>
      </c>
      <c r="BH464" s="51">
        <v>3.0311363636363639E-3</v>
      </c>
      <c r="BI464" s="51">
        <v>3.0504545454545459E-3</v>
      </c>
      <c r="BJ464" s="51">
        <v>3.0697727272727274E-3</v>
      </c>
      <c r="BK464" s="51">
        <v>3.0890909090909094E-3</v>
      </c>
      <c r="BL464" s="51">
        <v>3.1084090909090914E-3</v>
      </c>
      <c r="BM464" s="51">
        <v>3.1277272727272729E-3</v>
      </c>
      <c r="BN464" s="51">
        <v>3.1470454545454549E-3</v>
      </c>
      <c r="BO464" s="51">
        <v>3.1663636363636364E-3</v>
      </c>
      <c r="BP464" s="51">
        <v>3.1856818181818184E-3</v>
      </c>
      <c r="BQ464" s="51">
        <v>3.2050000000000004E-3</v>
      </c>
      <c r="BR464" s="51">
        <v>3.2243181818181819E-3</v>
      </c>
      <c r="BS464" s="51">
        <v>3.2436363636363639E-3</v>
      </c>
      <c r="BT464" s="51">
        <v>3.2629545454545454E-3</v>
      </c>
      <c r="BU464" s="51">
        <v>3.2822727272727274E-3</v>
      </c>
      <c r="BV464" s="51">
        <v>3.3015909090909094E-3</v>
      </c>
      <c r="BW464" s="51">
        <v>3.3209090909090909E-3</v>
      </c>
      <c r="BX464" s="51">
        <v>3.3402272727272729E-3</v>
      </c>
      <c r="BY464" s="51">
        <v>3.3595454545454545E-3</v>
      </c>
      <c r="BZ464" s="51">
        <v>3.3788636363636364E-3</v>
      </c>
      <c r="CA464" s="51">
        <v>3.3981818181818184E-3</v>
      </c>
      <c r="CB464" s="51">
        <v>3.4175E-3</v>
      </c>
      <c r="CC464" s="51">
        <v>3.4368181818181819E-3</v>
      </c>
      <c r="CD464" s="51">
        <v>3.4561363636363635E-3</v>
      </c>
      <c r="CE464" s="51">
        <v>3.4754545454545455E-3</v>
      </c>
      <c r="CF464" s="51">
        <v>3.4947727272727274E-3</v>
      </c>
      <c r="CG464" s="51">
        <v>3.5140909090909094E-3</v>
      </c>
      <c r="CH464" s="51">
        <v>3.533409090909091E-3</v>
      </c>
      <c r="CI464" s="51">
        <v>3.5527272727272729E-3</v>
      </c>
      <c r="CJ464" s="51">
        <v>3.5720454545454545E-3</v>
      </c>
      <c r="CK464" s="51">
        <v>3.5913636363636365E-3</v>
      </c>
      <c r="CL464" s="51">
        <v>3.6106818181818184E-3</v>
      </c>
      <c r="CM464" s="51">
        <v>3.63E-3</v>
      </c>
    </row>
    <row r="465" spans="1:91" s="50" customFormat="1" x14ac:dyDescent="0.25">
      <c r="A465" s="99" t="s">
        <v>1</v>
      </c>
      <c r="B465" s="4">
        <v>0</v>
      </c>
      <c r="C465" s="4">
        <v>0</v>
      </c>
      <c r="D465" s="4">
        <v>0</v>
      </c>
      <c r="E465" s="4">
        <v>0</v>
      </c>
      <c r="F465" s="4">
        <v>0</v>
      </c>
      <c r="G465" s="4">
        <v>0</v>
      </c>
      <c r="H465" s="4">
        <v>0</v>
      </c>
      <c r="I465" s="4">
        <v>0</v>
      </c>
      <c r="J465" s="4">
        <v>0</v>
      </c>
      <c r="K465" s="4">
        <v>0</v>
      </c>
      <c r="L465" s="4">
        <v>0</v>
      </c>
      <c r="M465" s="4">
        <v>0</v>
      </c>
      <c r="N465" s="4">
        <v>0</v>
      </c>
      <c r="O465" s="4">
        <v>0</v>
      </c>
      <c r="P465" s="4">
        <v>0</v>
      </c>
      <c r="Q465" s="4">
        <v>0</v>
      </c>
      <c r="R465" s="4">
        <v>0</v>
      </c>
      <c r="S465" s="4">
        <v>0</v>
      </c>
      <c r="T465" s="4">
        <v>0</v>
      </c>
      <c r="U465" s="4">
        <v>0</v>
      </c>
      <c r="V465" s="4">
        <v>0</v>
      </c>
      <c r="W465" s="4">
        <v>0</v>
      </c>
      <c r="X465" s="4">
        <v>0</v>
      </c>
      <c r="Y465" s="4">
        <v>0</v>
      </c>
      <c r="Z465" s="4">
        <v>0</v>
      </c>
      <c r="AA465" s="4">
        <v>0</v>
      </c>
      <c r="AB465" s="4">
        <v>0</v>
      </c>
      <c r="AC465" s="4">
        <v>0</v>
      </c>
      <c r="AD465" s="4">
        <v>0</v>
      </c>
      <c r="AE465" s="4">
        <v>0</v>
      </c>
      <c r="AF465" s="51">
        <v>3.4209090909090912E-3</v>
      </c>
      <c r="AG465" s="51">
        <v>3.4681818181818186E-3</v>
      </c>
      <c r="AH465" s="51">
        <v>3.5154545454545456E-3</v>
      </c>
      <c r="AI465" s="51">
        <v>3.562727272727273E-3</v>
      </c>
      <c r="AJ465" s="51">
        <v>3.6100000000000004E-3</v>
      </c>
      <c r="AK465" s="51">
        <v>3.6572727272727278E-3</v>
      </c>
      <c r="AL465" s="51">
        <v>3.7045454545454552E-3</v>
      </c>
      <c r="AM465" s="51">
        <v>3.7518181818181826E-3</v>
      </c>
      <c r="AN465" s="51">
        <v>3.7990909090909099E-3</v>
      </c>
      <c r="AO465" s="51">
        <v>3.8463636363636369E-3</v>
      </c>
      <c r="AP465" s="51">
        <v>3.8936363636363643E-3</v>
      </c>
      <c r="AQ465" s="51">
        <v>3.9409090909090913E-3</v>
      </c>
      <c r="AR465" s="51">
        <v>3.9881818181818187E-3</v>
      </c>
      <c r="AS465" s="51">
        <v>4.0354545454545461E-3</v>
      </c>
      <c r="AT465" s="51">
        <v>4.0827272727272735E-3</v>
      </c>
      <c r="AU465" s="51">
        <v>4.1300000000000009E-3</v>
      </c>
      <c r="AV465" s="51">
        <v>4.1579545454545463E-3</v>
      </c>
      <c r="AW465" s="51">
        <v>4.1859090909090917E-3</v>
      </c>
      <c r="AX465" s="51">
        <v>4.2138636363636371E-3</v>
      </c>
      <c r="AY465" s="51">
        <v>4.2418181818181825E-3</v>
      </c>
      <c r="AZ465" s="51">
        <v>4.269772727272728E-3</v>
      </c>
      <c r="BA465" s="51">
        <v>4.2977272727272734E-3</v>
      </c>
      <c r="BB465" s="51">
        <v>4.3256818181818188E-3</v>
      </c>
      <c r="BC465" s="51">
        <v>4.3536363636363642E-3</v>
      </c>
      <c r="BD465" s="51">
        <v>4.3815909090909096E-3</v>
      </c>
      <c r="BE465" s="51">
        <v>4.4095454545454551E-3</v>
      </c>
      <c r="BF465" s="51">
        <v>4.4375000000000005E-3</v>
      </c>
      <c r="BG465" s="51">
        <v>4.4654545454545459E-3</v>
      </c>
      <c r="BH465" s="51">
        <v>4.4934090909090913E-3</v>
      </c>
      <c r="BI465" s="51">
        <v>4.5213636363636367E-3</v>
      </c>
      <c r="BJ465" s="51">
        <v>4.5493181818181821E-3</v>
      </c>
      <c r="BK465" s="51">
        <v>4.5772727272727276E-3</v>
      </c>
      <c r="BL465" s="51">
        <v>4.605227272727273E-3</v>
      </c>
      <c r="BM465" s="51">
        <v>4.6331818181818184E-3</v>
      </c>
      <c r="BN465" s="51">
        <v>4.6611363636363638E-3</v>
      </c>
      <c r="BO465" s="51">
        <v>4.6890909090909101E-3</v>
      </c>
      <c r="BP465" s="51">
        <v>4.7170454545454547E-3</v>
      </c>
      <c r="BQ465" s="51">
        <v>4.745000000000001E-3</v>
      </c>
      <c r="BR465" s="51">
        <v>4.7729545454545455E-3</v>
      </c>
      <c r="BS465" s="51">
        <v>4.8009090909090918E-3</v>
      </c>
      <c r="BT465" s="51">
        <v>4.8288636363636372E-3</v>
      </c>
      <c r="BU465" s="51">
        <v>4.8568181818181826E-3</v>
      </c>
      <c r="BV465" s="51">
        <v>4.8847727272727281E-3</v>
      </c>
      <c r="BW465" s="51">
        <v>4.9127272727272735E-3</v>
      </c>
      <c r="BX465" s="51">
        <v>4.9406818181818189E-3</v>
      </c>
      <c r="BY465" s="51">
        <v>4.9686363636363643E-3</v>
      </c>
      <c r="BZ465" s="51">
        <v>4.9965909090909097E-3</v>
      </c>
      <c r="CA465" s="51">
        <v>5.0245454545454551E-3</v>
      </c>
      <c r="CB465" s="51">
        <v>5.0525000000000006E-3</v>
      </c>
      <c r="CC465" s="51">
        <v>5.080454545454546E-3</v>
      </c>
      <c r="CD465" s="51">
        <v>5.1084090909090914E-3</v>
      </c>
      <c r="CE465" s="51">
        <v>5.1363636363636368E-3</v>
      </c>
      <c r="CF465" s="51">
        <v>5.1643181818181822E-3</v>
      </c>
      <c r="CG465" s="51">
        <v>5.1922727272727277E-3</v>
      </c>
      <c r="CH465" s="51">
        <v>5.2202272727272731E-3</v>
      </c>
      <c r="CI465" s="51">
        <v>5.2481818181818185E-3</v>
      </c>
      <c r="CJ465" s="51">
        <v>5.2761363636363639E-3</v>
      </c>
      <c r="CK465" s="51">
        <v>5.3040909090909093E-3</v>
      </c>
      <c r="CL465" s="51">
        <v>5.3320454545454548E-3</v>
      </c>
      <c r="CM465" s="51">
        <v>5.3600000000000002E-3</v>
      </c>
    </row>
    <row r="466" spans="1:91" s="50" customFormat="1" x14ac:dyDescent="0.25">
      <c r="A466" s="99" t="s">
        <v>1</v>
      </c>
      <c r="B466" s="4">
        <v>0</v>
      </c>
      <c r="C466" s="4">
        <v>0</v>
      </c>
      <c r="D466" s="4">
        <v>0</v>
      </c>
      <c r="E466" s="4">
        <v>0</v>
      </c>
      <c r="F466" s="4">
        <v>0</v>
      </c>
      <c r="G466" s="4">
        <v>0</v>
      </c>
      <c r="H466" s="4">
        <v>0</v>
      </c>
      <c r="I466" s="4">
        <v>0</v>
      </c>
      <c r="J466" s="4">
        <v>0</v>
      </c>
      <c r="K466" s="4">
        <v>0</v>
      </c>
      <c r="L466" s="4">
        <v>0</v>
      </c>
      <c r="M466" s="4">
        <v>0</v>
      </c>
      <c r="N466" s="4">
        <v>0</v>
      </c>
      <c r="O466" s="4">
        <v>0</v>
      </c>
      <c r="P466" s="4">
        <v>0</v>
      </c>
      <c r="Q466" s="4">
        <v>0</v>
      </c>
      <c r="R466" s="4">
        <v>0</v>
      </c>
      <c r="S466" s="4">
        <v>0</v>
      </c>
      <c r="T466" s="4">
        <v>0</v>
      </c>
      <c r="U466" s="4">
        <v>0</v>
      </c>
      <c r="V466" s="4">
        <v>0</v>
      </c>
      <c r="W466" s="4">
        <v>0</v>
      </c>
      <c r="X466" s="4">
        <v>0</v>
      </c>
      <c r="Y466" s="4">
        <v>0</v>
      </c>
      <c r="Z466" s="4">
        <v>0</v>
      </c>
      <c r="AA466" s="4">
        <v>0</v>
      </c>
      <c r="AB466" s="4">
        <v>0</v>
      </c>
      <c r="AC466" s="4">
        <v>0</v>
      </c>
      <c r="AD466" s="4">
        <v>0</v>
      </c>
      <c r="AE466" s="4">
        <v>0</v>
      </c>
      <c r="AF466" s="51">
        <v>1.4251346260975674E-3</v>
      </c>
      <c r="AG466" s="51">
        <v>1.4394010133432368E-3</v>
      </c>
      <c r="AH466" s="51">
        <v>1.4536674005889063E-3</v>
      </c>
      <c r="AI466" s="51">
        <v>1.4679337878345756E-3</v>
      </c>
      <c r="AJ466" s="51">
        <v>1.4822001750802451E-3</v>
      </c>
      <c r="AK466" s="51">
        <v>1.4964665623259145E-3</v>
      </c>
      <c r="AL466" s="51">
        <v>1.510732949571584E-3</v>
      </c>
      <c r="AM466" s="51">
        <v>1.5249993368172533E-3</v>
      </c>
      <c r="AN466" s="51">
        <v>1.5392657240629226E-3</v>
      </c>
      <c r="AO466" s="51">
        <v>1.5535321113085922E-3</v>
      </c>
      <c r="AP466" s="51">
        <v>1.5677984985542617E-3</v>
      </c>
      <c r="AQ466" s="51">
        <v>1.582064885799931E-3</v>
      </c>
      <c r="AR466" s="51">
        <v>1.5963312730456003E-3</v>
      </c>
      <c r="AS466" s="51">
        <v>1.6105976602912699E-3</v>
      </c>
      <c r="AT466" s="51">
        <v>1.6248640475369394E-3</v>
      </c>
      <c r="AU466" s="51">
        <v>1.6391304347826087E-3</v>
      </c>
      <c r="AV466" s="51">
        <v>1.6512056578914659E-3</v>
      </c>
      <c r="AW466" s="51">
        <v>1.6632808810003231E-3</v>
      </c>
      <c r="AX466" s="51">
        <v>1.6753561041091805E-3</v>
      </c>
      <c r="AY466" s="51">
        <v>1.6874313272180377E-3</v>
      </c>
      <c r="AZ466" s="51">
        <v>1.6995065503268949E-3</v>
      </c>
      <c r="BA466" s="51">
        <v>1.7115817734357521E-3</v>
      </c>
      <c r="BB466" s="51">
        <v>1.7236569965446095E-3</v>
      </c>
      <c r="BC466" s="51">
        <v>1.7357322196534667E-3</v>
      </c>
      <c r="BD466" s="51">
        <v>1.7478074427623239E-3</v>
      </c>
      <c r="BE466" s="51">
        <v>1.759882665871181E-3</v>
      </c>
      <c r="BF466" s="51">
        <v>1.7719578889800382E-3</v>
      </c>
      <c r="BG466" s="51">
        <v>1.7840331120888956E-3</v>
      </c>
      <c r="BH466" s="51">
        <v>1.7961083351977528E-3</v>
      </c>
      <c r="BI466" s="51">
        <v>1.80818355830661E-3</v>
      </c>
      <c r="BJ466" s="51">
        <v>1.8202587814154672E-3</v>
      </c>
      <c r="BK466" s="51">
        <v>1.8323340045243246E-3</v>
      </c>
      <c r="BL466" s="51">
        <v>1.8444092276331818E-3</v>
      </c>
      <c r="BM466" s="51">
        <v>1.856484450742039E-3</v>
      </c>
      <c r="BN466" s="51">
        <v>1.8685596738508962E-3</v>
      </c>
      <c r="BO466" s="51">
        <v>1.8806348969597534E-3</v>
      </c>
      <c r="BP466" s="51">
        <v>1.8927101200686108E-3</v>
      </c>
      <c r="BQ466" s="51">
        <v>1.904785343177468E-3</v>
      </c>
      <c r="BR466" s="51">
        <v>1.9168605662863252E-3</v>
      </c>
      <c r="BS466" s="51">
        <v>1.9289357893951826E-3</v>
      </c>
      <c r="BT466" s="51">
        <v>1.9410110125040398E-3</v>
      </c>
      <c r="BU466" s="51">
        <v>1.953086235612897E-3</v>
      </c>
      <c r="BV466" s="51">
        <v>1.9651614587217541E-3</v>
      </c>
      <c r="BW466" s="51">
        <v>1.9772366818306113E-3</v>
      </c>
      <c r="BX466" s="51">
        <v>1.9893119049394685E-3</v>
      </c>
      <c r="BY466" s="51">
        <v>2.0013871280483257E-3</v>
      </c>
      <c r="BZ466" s="51">
        <v>2.0134623511571829E-3</v>
      </c>
      <c r="CA466" s="51">
        <v>2.0255375742660405E-3</v>
      </c>
      <c r="CB466" s="51">
        <v>2.0376127973748977E-3</v>
      </c>
      <c r="CC466" s="51">
        <v>2.0496880204837549E-3</v>
      </c>
      <c r="CD466" s="51">
        <v>2.0617632435926121E-3</v>
      </c>
      <c r="CE466" s="51">
        <v>2.0738384667014693E-3</v>
      </c>
      <c r="CF466" s="51">
        <v>2.0859136898103265E-3</v>
      </c>
      <c r="CG466" s="51">
        <v>2.0979889129191837E-3</v>
      </c>
      <c r="CH466" s="51">
        <v>2.1100641360280409E-3</v>
      </c>
      <c r="CI466" s="51">
        <v>2.1221393591368985E-3</v>
      </c>
      <c r="CJ466" s="51">
        <v>2.1342145822457557E-3</v>
      </c>
      <c r="CK466" s="51">
        <v>2.1462898053546129E-3</v>
      </c>
      <c r="CL466" s="51">
        <v>2.1583650284634701E-3</v>
      </c>
      <c r="CM466" s="51">
        <v>2.1704402515723272E-3</v>
      </c>
    </row>
    <row r="467" spans="1:91" s="50" customFormat="1" x14ac:dyDescent="0.25">
      <c r="A467" s="99" t="s">
        <v>1</v>
      </c>
      <c r="B467" s="4">
        <v>0</v>
      </c>
      <c r="C467" s="4">
        <v>0</v>
      </c>
      <c r="D467" s="4">
        <v>0</v>
      </c>
      <c r="E467" s="4">
        <v>0</v>
      </c>
      <c r="F467" s="4">
        <v>0</v>
      </c>
      <c r="G467" s="4">
        <v>0</v>
      </c>
      <c r="H467" s="4">
        <v>0</v>
      </c>
      <c r="I467" s="4">
        <v>0</v>
      </c>
      <c r="J467" s="4">
        <v>0</v>
      </c>
      <c r="K467" s="4">
        <v>0</v>
      </c>
      <c r="L467" s="4">
        <v>0</v>
      </c>
      <c r="M467" s="4">
        <v>0</v>
      </c>
      <c r="N467" s="4">
        <v>0</v>
      </c>
      <c r="O467" s="4">
        <v>0</v>
      </c>
      <c r="P467" s="4">
        <v>0</v>
      </c>
      <c r="Q467" s="4">
        <v>0</v>
      </c>
      <c r="R467" s="4">
        <v>0</v>
      </c>
      <c r="S467" s="4">
        <v>0</v>
      </c>
      <c r="T467" s="4">
        <v>0</v>
      </c>
      <c r="U467" s="4">
        <v>0</v>
      </c>
      <c r="V467" s="4">
        <v>0</v>
      </c>
      <c r="W467" s="4">
        <v>0</v>
      </c>
      <c r="X467" s="4">
        <v>0</v>
      </c>
      <c r="Y467" s="4">
        <v>0</v>
      </c>
      <c r="Z467" s="4">
        <v>0</v>
      </c>
      <c r="AA467" s="4">
        <v>0</v>
      </c>
      <c r="AB467" s="4">
        <v>0</v>
      </c>
      <c r="AC467" s="4">
        <v>0</v>
      </c>
      <c r="AD467" s="4">
        <v>0</v>
      </c>
      <c r="AE467" s="4">
        <v>0</v>
      </c>
      <c r="AF467" s="51">
        <v>1.6577549140049139E-3</v>
      </c>
      <c r="AG467" s="51">
        <v>1.6804361179361179E-3</v>
      </c>
      <c r="AH467" s="51">
        <v>1.7031173218673219E-3</v>
      </c>
      <c r="AI467" s="51">
        <v>1.7257985257985258E-3</v>
      </c>
      <c r="AJ467" s="51">
        <v>1.7484797297297296E-3</v>
      </c>
      <c r="AK467" s="51">
        <v>1.7711609336609336E-3</v>
      </c>
      <c r="AL467" s="51">
        <v>1.7938421375921377E-3</v>
      </c>
      <c r="AM467" s="51">
        <v>1.8165233415233415E-3</v>
      </c>
      <c r="AN467" s="51">
        <v>1.8392045454545453E-3</v>
      </c>
      <c r="AO467" s="51">
        <v>1.8618857493857494E-3</v>
      </c>
      <c r="AP467" s="51">
        <v>1.8845669533169532E-3</v>
      </c>
      <c r="AQ467" s="51">
        <v>1.907248157248157E-3</v>
      </c>
      <c r="AR467" s="51">
        <v>1.9299293611793611E-3</v>
      </c>
      <c r="AS467" s="51">
        <v>1.9526105651105651E-3</v>
      </c>
      <c r="AT467" s="51">
        <v>1.9752917690417692E-3</v>
      </c>
      <c r="AU467" s="51">
        <v>1.9979729729729728E-3</v>
      </c>
      <c r="AV467" s="51">
        <v>2.0184735872235873E-3</v>
      </c>
      <c r="AW467" s="51">
        <v>2.0389742014742013E-3</v>
      </c>
      <c r="AX467" s="51">
        <v>2.0594748157248153E-3</v>
      </c>
      <c r="AY467" s="51">
        <v>2.0799754299754298E-3</v>
      </c>
      <c r="AZ467" s="51">
        <v>2.1004760442260443E-3</v>
      </c>
      <c r="BA467" s="51">
        <v>2.1209766584766583E-3</v>
      </c>
      <c r="BB467" s="51">
        <v>2.1414772727272723E-3</v>
      </c>
      <c r="BC467" s="51">
        <v>2.1619778869778868E-3</v>
      </c>
      <c r="BD467" s="51">
        <v>2.1824785012285013E-3</v>
      </c>
      <c r="BE467" s="51">
        <v>2.2029791154791153E-3</v>
      </c>
      <c r="BF467" s="51">
        <v>2.2234797297297293E-3</v>
      </c>
      <c r="BG467" s="51">
        <v>2.2439803439803438E-3</v>
      </c>
      <c r="BH467" s="51">
        <v>2.2644809582309583E-3</v>
      </c>
      <c r="BI467" s="51">
        <v>2.2849815724815723E-3</v>
      </c>
      <c r="BJ467" s="51">
        <v>2.3054821867321863E-3</v>
      </c>
      <c r="BK467" s="51">
        <v>2.3259828009828008E-3</v>
      </c>
      <c r="BL467" s="51">
        <v>2.3464834152334153E-3</v>
      </c>
      <c r="BM467" s="51">
        <v>2.3669840294840293E-3</v>
      </c>
      <c r="BN467" s="51">
        <v>2.3874846437346433E-3</v>
      </c>
      <c r="BO467" s="51">
        <v>2.4079852579852578E-3</v>
      </c>
      <c r="BP467" s="51">
        <v>2.4284858722358723E-3</v>
      </c>
      <c r="BQ467" s="51">
        <v>2.4489864864864863E-3</v>
      </c>
      <c r="BR467" s="51">
        <v>2.4694871007371003E-3</v>
      </c>
      <c r="BS467" s="51">
        <v>2.4899877149877148E-3</v>
      </c>
      <c r="BT467" s="51">
        <v>2.5104883292383293E-3</v>
      </c>
      <c r="BU467" s="51">
        <v>2.5309889434889433E-3</v>
      </c>
      <c r="BV467" s="51">
        <v>2.5514895577395573E-3</v>
      </c>
      <c r="BW467" s="51">
        <v>2.5719901719901718E-3</v>
      </c>
      <c r="BX467" s="51">
        <v>2.5924907862407863E-3</v>
      </c>
      <c r="BY467" s="51">
        <v>2.6129914004914003E-3</v>
      </c>
      <c r="BZ467" s="51">
        <v>2.6334920147420143E-3</v>
      </c>
      <c r="CA467" s="51">
        <v>2.6539926289926288E-3</v>
      </c>
      <c r="CB467" s="51">
        <v>2.6744932432432433E-3</v>
      </c>
      <c r="CC467" s="51">
        <v>2.6949938574938573E-3</v>
      </c>
      <c r="CD467" s="51">
        <v>2.7154944717444713E-3</v>
      </c>
      <c r="CE467" s="51">
        <v>2.7359950859950858E-3</v>
      </c>
      <c r="CF467" s="51">
        <v>2.7564957002457003E-3</v>
      </c>
      <c r="CG467" s="51">
        <v>2.7769963144963143E-3</v>
      </c>
      <c r="CH467" s="51">
        <v>2.7974969287469283E-3</v>
      </c>
      <c r="CI467" s="51">
        <v>2.8179975429975428E-3</v>
      </c>
      <c r="CJ467" s="51">
        <v>2.8384981572481573E-3</v>
      </c>
      <c r="CK467" s="51">
        <v>2.8589987714987713E-3</v>
      </c>
      <c r="CL467" s="51">
        <v>2.8794993857493853E-3</v>
      </c>
      <c r="CM467" s="51">
        <v>2.8999999999999998E-3</v>
      </c>
    </row>
    <row r="468" spans="1:91" s="50" customFormat="1" x14ac:dyDescent="0.25">
      <c r="A468" s="99" t="s">
        <v>1</v>
      </c>
      <c r="B468" s="4">
        <v>0</v>
      </c>
      <c r="C468" s="4">
        <v>0</v>
      </c>
      <c r="D468" s="4">
        <v>0</v>
      </c>
      <c r="E468" s="4">
        <v>0</v>
      </c>
      <c r="F468" s="4">
        <v>0</v>
      </c>
      <c r="G468" s="4">
        <v>0</v>
      </c>
      <c r="H468" s="4">
        <v>0</v>
      </c>
      <c r="I468" s="4">
        <v>0</v>
      </c>
      <c r="J468" s="4">
        <v>0</v>
      </c>
      <c r="K468" s="4">
        <v>0</v>
      </c>
      <c r="L468" s="4">
        <v>0</v>
      </c>
      <c r="M468" s="4">
        <v>0</v>
      </c>
      <c r="N468" s="4">
        <v>0</v>
      </c>
      <c r="O468" s="4">
        <v>0</v>
      </c>
      <c r="P468" s="4">
        <v>0</v>
      </c>
      <c r="Q468" s="4">
        <v>0</v>
      </c>
      <c r="R468" s="4">
        <v>0</v>
      </c>
      <c r="S468" s="4">
        <v>0</v>
      </c>
      <c r="T468" s="4">
        <v>0</v>
      </c>
      <c r="U468" s="4">
        <v>0</v>
      </c>
      <c r="V468" s="4">
        <v>0</v>
      </c>
      <c r="W468" s="4">
        <v>0</v>
      </c>
      <c r="X468" s="4">
        <v>0</v>
      </c>
      <c r="Y468" s="4">
        <v>0</v>
      </c>
      <c r="Z468" s="4">
        <v>0</v>
      </c>
      <c r="AA468" s="4">
        <v>0</v>
      </c>
      <c r="AB468" s="4">
        <v>0</v>
      </c>
      <c r="AC468" s="4">
        <v>0</v>
      </c>
      <c r="AD468" s="4">
        <v>0</v>
      </c>
      <c r="AE468" s="4">
        <v>0</v>
      </c>
      <c r="AF468" s="51">
        <v>6.1522727272727278E-2</v>
      </c>
      <c r="AG468" s="51">
        <v>6.1954545454545457E-2</v>
      </c>
      <c r="AH468" s="51">
        <v>6.2386363636363643E-2</v>
      </c>
      <c r="AI468" s="51">
        <v>6.2818181818181829E-2</v>
      </c>
      <c r="AJ468" s="51">
        <v>6.3250000000000001E-2</v>
      </c>
      <c r="AK468" s="51">
        <v>6.3681818181818187E-2</v>
      </c>
      <c r="AL468" s="51">
        <v>6.4113636363636373E-2</v>
      </c>
      <c r="AM468" s="51">
        <v>6.4545454545454545E-2</v>
      </c>
      <c r="AN468" s="51">
        <v>6.4977272727272731E-2</v>
      </c>
      <c r="AO468" s="51">
        <v>6.5409090909090917E-2</v>
      </c>
      <c r="AP468" s="51">
        <v>6.5840909090909089E-2</v>
      </c>
      <c r="AQ468" s="51">
        <v>6.6272727272727275E-2</v>
      </c>
      <c r="AR468" s="51">
        <v>6.6704545454545461E-2</v>
      </c>
      <c r="AS468" s="51">
        <v>6.7136363636363633E-2</v>
      </c>
      <c r="AT468" s="51">
        <v>6.7568181818181819E-2</v>
      </c>
      <c r="AU468" s="51">
        <v>6.8000000000000005E-2</v>
      </c>
      <c r="AV468" s="51">
        <v>6.881818181818182E-2</v>
      </c>
      <c r="AW468" s="51">
        <v>6.9636363636363635E-2</v>
      </c>
      <c r="AX468" s="51">
        <v>7.0454545454545464E-2</v>
      </c>
      <c r="AY468" s="51">
        <v>7.1272727272727279E-2</v>
      </c>
      <c r="AZ468" s="51">
        <v>7.2090909090909094E-2</v>
      </c>
      <c r="BA468" s="51">
        <v>7.290909090909091E-2</v>
      </c>
      <c r="BB468" s="51">
        <v>7.3727272727272725E-2</v>
      </c>
      <c r="BC468" s="51">
        <v>7.4545454545454554E-2</v>
      </c>
      <c r="BD468" s="51">
        <v>7.5363636363636369E-2</v>
      </c>
      <c r="BE468" s="51">
        <v>7.6181818181818184E-2</v>
      </c>
      <c r="BF468" s="51">
        <v>7.6999999999999999E-2</v>
      </c>
      <c r="BG468" s="51">
        <v>7.7818181818181814E-2</v>
      </c>
      <c r="BH468" s="51">
        <v>7.8636363636363643E-2</v>
      </c>
      <c r="BI468" s="51">
        <v>7.9454545454545458E-2</v>
      </c>
      <c r="BJ468" s="51">
        <v>8.0272727272727273E-2</v>
      </c>
      <c r="BK468" s="51">
        <v>8.1090909090909088E-2</v>
      </c>
      <c r="BL468" s="51">
        <v>8.1909090909090904E-2</v>
      </c>
      <c r="BM468" s="51">
        <v>8.2727272727272733E-2</v>
      </c>
      <c r="BN468" s="51">
        <v>8.3545454545454548E-2</v>
      </c>
      <c r="BO468" s="51">
        <v>8.4363636363636363E-2</v>
      </c>
      <c r="BP468" s="51">
        <v>8.5181818181818178E-2</v>
      </c>
      <c r="BQ468" s="51">
        <v>8.5999999999999993E-2</v>
      </c>
      <c r="BR468" s="51">
        <v>8.6818181818181822E-2</v>
      </c>
      <c r="BS468" s="51">
        <v>8.7636363636363637E-2</v>
      </c>
      <c r="BT468" s="51">
        <v>8.8454545454545452E-2</v>
      </c>
      <c r="BU468" s="51">
        <v>8.9272727272727267E-2</v>
      </c>
      <c r="BV468" s="51">
        <v>9.0090909090909083E-2</v>
      </c>
      <c r="BW468" s="51">
        <v>9.0909090909090912E-2</v>
      </c>
      <c r="BX468" s="51">
        <v>9.1727272727272727E-2</v>
      </c>
      <c r="BY468" s="51">
        <v>9.2545454545454542E-2</v>
      </c>
      <c r="BZ468" s="51">
        <v>9.3363636363636357E-2</v>
      </c>
      <c r="CA468" s="51">
        <v>9.4181818181818172E-2</v>
      </c>
      <c r="CB468" s="51">
        <v>9.5000000000000001E-2</v>
      </c>
      <c r="CC468" s="51">
        <v>9.5818181818181816E-2</v>
      </c>
      <c r="CD468" s="51">
        <v>9.6636363636363631E-2</v>
      </c>
      <c r="CE468" s="51">
        <v>9.7454545454545446E-2</v>
      </c>
      <c r="CF468" s="51">
        <v>9.8272727272727262E-2</v>
      </c>
      <c r="CG468" s="51">
        <v>9.9090909090909091E-2</v>
      </c>
      <c r="CH468" s="51">
        <v>9.9909090909090906E-2</v>
      </c>
      <c r="CI468" s="51">
        <v>0.10072727272727272</v>
      </c>
      <c r="CJ468" s="51">
        <v>0.10154545454545455</v>
      </c>
      <c r="CK468" s="51">
        <v>0.10236363636363635</v>
      </c>
      <c r="CL468" s="51">
        <v>0.10318181818181818</v>
      </c>
      <c r="CM468" s="51">
        <v>0.104</v>
      </c>
    </row>
    <row r="469" spans="1:91" s="50" customFormat="1" x14ac:dyDescent="0.25">
      <c r="A469" s="9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c r="BS469" s="51"/>
      <c r="BT469" s="51"/>
      <c r="BU469" s="51"/>
      <c r="BV469" s="51"/>
      <c r="BW469" s="51"/>
      <c r="BX469" s="51"/>
      <c r="BY469" s="51"/>
      <c r="BZ469" s="51"/>
      <c r="CA469" s="51"/>
      <c r="CB469" s="51"/>
      <c r="CC469" s="51"/>
      <c r="CD469" s="51"/>
      <c r="CE469" s="51"/>
      <c r="CF469" s="51"/>
      <c r="CG469" s="51"/>
      <c r="CH469" s="51"/>
      <c r="CI469" s="51"/>
      <c r="CJ469" s="51"/>
      <c r="CK469" s="51"/>
      <c r="CL469" s="51"/>
      <c r="CM469" s="51"/>
    </row>
    <row r="470" spans="1:91" s="50" customFormat="1" x14ac:dyDescent="0.25">
      <c r="A470" s="99" t="s">
        <v>184</v>
      </c>
      <c r="B470" s="4">
        <v>0</v>
      </c>
      <c r="C470" s="4">
        <v>0</v>
      </c>
      <c r="D470" s="4">
        <v>0</v>
      </c>
      <c r="E470" s="4">
        <v>0</v>
      </c>
      <c r="F470" s="4">
        <v>0</v>
      </c>
      <c r="G470" s="4">
        <v>0</v>
      </c>
      <c r="H470" s="4">
        <v>0</v>
      </c>
      <c r="I470" s="4">
        <v>0</v>
      </c>
      <c r="J470" s="4">
        <v>0</v>
      </c>
      <c r="K470" s="4">
        <v>0</v>
      </c>
      <c r="L470" s="4">
        <v>0</v>
      </c>
      <c r="M470" s="4">
        <v>0</v>
      </c>
      <c r="N470" s="4">
        <v>0</v>
      </c>
      <c r="O470" s="4">
        <v>0</v>
      </c>
      <c r="P470" s="4">
        <v>0</v>
      </c>
      <c r="Q470" s="4">
        <v>0</v>
      </c>
      <c r="R470" s="4">
        <v>0</v>
      </c>
      <c r="S470" s="4">
        <v>0</v>
      </c>
      <c r="T470" s="4">
        <v>0</v>
      </c>
      <c r="U470" s="4">
        <v>0</v>
      </c>
      <c r="V470" s="4">
        <v>0</v>
      </c>
      <c r="W470" s="4">
        <v>0</v>
      </c>
      <c r="X470" s="4">
        <v>0</v>
      </c>
      <c r="Y470" s="4">
        <v>0</v>
      </c>
      <c r="Z470" s="4">
        <v>0</v>
      </c>
      <c r="AA470" s="4">
        <v>0</v>
      </c>
      <c r="AB470" s="4">
        <v>0</v>
      </c>
      <c r="AC470" s="4">
        <v>0</v>
      </c>
      <c r="AD470" s="4">
        <v>0</v>
      </c>
      <c r="AE470" s="4">
        <v>0</v>
      </c>
      <c r="AF470" s="51">
        <v>3.0288636363636368E-3</v>
      </c>
      <c r="AG470" s="51">
        <v>3.1022727272727278E-3</v>
      </c>
      <c r="AH470" s="51">
        <v>3.1756818181818188E-3</v>
      </c>
      <c r="AI470" s="51">
        <v>3.2490909090909098E-3</v>
      </c>
      <c r="AJ470" s="51">
        <v>3.3225000000000008E-3</v>
      </c>
      <c r="AK470" s="51">
        <v>3.3959090909090918E-3</v>
      </c>
      <c r="AL470" s="51">
        <v>3.4693181818181828E-3</v>
      </c>
      <c r="AM470" s="51">
        <v>3.5427272727272738E-3</v>
      </c>
      <c r="AN470" s="51">
        <v>3.6161363636363648E-3</v>
      </c>
      <c r="AO470" s="51">
        <v>3.6895454545454558E-3</v>
      </c>
      <c r="AP470" s="51">
        <v>3.7629545454545468E-3</v>
      </c>
      <c r="AQ470" s="51">
        <v>3.8363636363636378E-3</v>
      </c>
      <c r="AR470" s="51">
        <v>3.9097727272727287E-3</v>
      </c>
      <c r="AS470" s="51">
        <v>3.9831818181818197E-3</v>
      </c>
      <c r="AT470" s="51">
        <v>4.0565909090909107E-3</v>
      </c>
      <c r="AU470" s="51">
        <v>4.1300000000000009E-3</v>
      </c>
      <c r="AV470" s="51">
        <v>4.1579545454545463E-3</v>
      </c>
      <c r="AW470" s="51">
        <v>4.1859090909090917E-3</v>
      </c>
      <c r="AX470" s="51">
        <v>4.2138636363636371E-3</v>
      </c>
      <c r="AY470" s="51">
        <v>4.2418181818181825E-3</v>
      </c>
      <c r="AZ470" s="51">
        <v>4.269772727272728E-3</v>
      </c>
      <c r="BA470" s="51">
        <v>4.2977272727272734E-3</v>
      </c>
      <c r="BB470" s="51">
        <v>4.3256818181818188E-3</v>
      </c>
      <c r="BC470" s="51">
        <v>4.3536363636363642E-3</v>
      </c>
      <c r="BD470" s="51">
        <v>4.3815909090909096E-3</v>
      </c>
      <c r="BE470" s="51">
        <v>4.4095454545454551E-3</v>
      </c>
      <c r="BF470" s="51">
        <v>4.4375000000000005E-3</v>
      </c>
      <c r="BG470" s="51">
        <v>4.4654545454545459E-3</v>
      </c>
      <c r="BH470" s="51">
        <v>4.4934090909090913E-3</v>
      </c>
      <c r="BI470" s="51">
        <v>4.5213636363636367E-3</v>
      </c>
      <c r="BJ470" s="51">
        <v>4.5493181818181821E-3</v>
      </c>
      <c r="BK470" s="51">
        <v>4.5772727272727276E-3</v>
      </c>
      <c r="BL470" s="51">
        <v>4.605227272727273E-3</v>
      </c>
      <c r="BM470" s="51">
        <v>4.6331818181818184E-3</v>
      </c>
      <c r="BN470" s="51">
        <v>4.6611363636363638E-3</v>
      </c>
      <c r="BO470" s="51">
        <v>4.6890909090909101E-3</v>
      </c>
      <c r="BP470" s="51">
        <v>4.7170454545454547E-3</v>
      </c>
      <c r="BQ470" s="51">
        <v>4.745000000000001E-3</v>
      </c>
      <c r="BR470" s="51">
        <v>4.7729545454545455E-3</v>
      </c>
      <c r="BS470" s="51">
        <v>4.8009090909090918E-3</v>
      </c>
      <c r="BT470" s="51">
        <v>4.8288636363636372E-3</v>
      </c>
      <c r="BU470" s="51">
        <v>4.8568181818181826E-3</v>
      </c>
      <c r="BV470" s="51">
        <v>4.8847727272727281E-3</v>
      </c>
      <c r="BW470" s="51">
        <v>4.9127272727272735E-3</v>
      </c>
      <c r="BX470" s="51">
        <v>4.9406818181818189E-3</v>
      </c>
      <c r="BY470" s="51">
        <v>4.9686363636363643E-3</v>
      </c>
      <c r="BZ470" s="51">
        <v>4.9965909090909097E-3</v>
      </c>
      <c r="CA470" s="51">
        <v>5.0245454545454551E-3</v>
      </c>
      <c r="CB470" s="51">
        <v>5.0525000000000006E-3</v>
      </c>
      <c r="CC470" s="51">
        <v>5.080454545454546E-3</v>
      </c>
      <c r="CD470" s="51">
        <v>5.1084090909090914E-3</v>
      </c>
      <c r="CE470" s="51">
        <v>5.1363636363636368E-3</v>
      </c>
      <c r="CF470" s="51">
        <v>5.1643181818181822E-3</v>
      </c>
      <c r="CG470" s="51">
        <v>5.1922727272727277E-3</v>
      </c>
      <c r="CH470" s="51">
        <v>5.2202272727272731E-3</v>
      </c>
      <c r="CI470" s="51">
        <v>5.2481818181818185E-3</v>
      </c>
      <c r="CJ470" s="51">
        <v>5.2761363636363639E-3</v>
      </c>
      <c r="CK470" s="51">
        <v>5.3040909090909093E-3</v>
      </c>
      <c r="CL470" s="51">
        <v>5.3320454545454548E-3</v>
      </c>
      <c r="CM470" s="51">
        <v>5.3600000000000002E-3</v>
      </c>
    </row>
    <row r="471" spans="1:91" s="50" customFormat="1" x14ac:dyDescent="0.25">
      <c r="A471" s="9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c r="BS471" s="51"/>
      <c r="BT471" s="51"/>
      <c r="BU471" s="51"/>
      <c r="BV471" s="51"/>
      <c r="BW471" s="51"/>
      <c r="BX471" s="51"/>
      <c r="BY471" s="51"/>
      <c r="BZ471" s="51"/>
      <c r="CA471" s="51"/>
      <c r="CB471" s="51"/>
      <c r="CC471" s="51"/>
      <c r="CD471" s="51"/>
      <c r="CE471" s="51"/>
      <c r="CF471" s="51"/>
      <c r="CG471" s="51"/>
      <c r="CH471" s="51"/>
      <c r="CI471" s="51"/>
      <c r="CJ471" s="51"/>
      <c r="CK471" s="51"/>
      <c r="CL471" s="51"/>
      <c r="CM471" s="51"/>
    </row>
    <row r="472" spans="1:91" s="50" customFormat="1" x14ac:dyDescent="0.25">
      <c r="A472" s="99" t="s">
        <v>384</v>
      </c>
      <c r="B472" s="4">
        <v>0</v>
      </c>
      <c r="C472" s="4">
        <v>0</v>
      </c>
      <c r="D472" s="4">
        <v>0</v>
      </c>
      <c r="E472" s="4">
        <v>0</v>
      </c>
      <c r="F472" s="4">
        <v>0</v>
      </c>
      <c r="G472" s="4">
        <v>0</v>
      </c>
      <c r="H472" s="4">
        <v>0</v>
      </c>
      <c r="I472" s="4">
        <v>0</v>
      </c>
      <c r="J472" s="4">
        <v>0</v>
      </c>
      <c r="K472" s="4">
        <v>0</v>
      </c>
      <c r="L472" s="4">
        <v>0</v>
      </c>
      <c r="M472" s="4">
        <v>0</v>
      </c>
      <c r="N472" s="4">
        <v>0</v>
      </c>
      <c r="O472" s="4">
        <v>0</v>
      </c>
      <c r="P472" s="4">
        <v>0</v>
      </c>
      <c r="Q472" s="4">
        <v>0</v>
      </c>
      <c r="R472" s="4">
        <v>0</v>
      </c>
      <c r="S472" s="4">
        <v>0</v>
      </c>
      <c r="T472" s="4">
        <v>0</v>
      </c>
      <c r="U472" s="4">
        <v>0</v>
      </c>
      <c r="V472" s="4">
        <v>0</v>
      </c>
      <c r="W472" s="4">
        <v>0</v>
      </c>
      <c r="X472" s="4">
        <v>0</v>
      </c>
      <c r="Y472" s="4">
        <v>0</v>
      </c>
      <c r="Z472" s="4">
        <v>0</v>
      </c>
      <c r="AA472" s="4">
        <v>0</v>
      </c>
      <c r="AB472" s="4">
        <v>0</v>
      </c>
      <c r="AC472" s="4">
        <v>0</v>
      </c>
      <c r="AD472" s="4">
        <v>0</v>
      </c>
      <c r="AE472" s="4">
        <v>0</v>
      </c>
      <c r="AF472" s="51">
        <v>3.0288636363636368E-3</v>
      </c>
      <c r="AG472" s="51">
        <v>3.1022727272727278E-3</v>
      </c>
      <c r="AH472" s="51">
        <v>3.1756818181818188E-3</v>
      </c>
      <c r="AI472" s="51">
        <v>3.2490909090909098E-3</v>
      </c>
      <c r="AJ472" s="51">
        <v>3.3225000000000008E-3</v>
      </c>
      <c r="AK472" s="51">
        <v>3.3959090909090918E-3</v>
      </c>
      <c r="AL472" s="51">
        <v>3.4693181818181828E-3</v>
      </c>
      <c r="AM472" s="51">
        <v>3.5427272727272738E-3</v>
      </c>
      <c r="AN472" s="51">
        <v>3.6161363636363648E-3</v>
      </c>
      <c r="AO472" s="51">
        <v>3.6895454545454558E-3</v>
      </c>
      <c r="AP472" s="51">
        <v>3.7629545454545468E-3</v>
      </c>
      <c r="AQ472" s="51">
        <v>3.8363636363636378E-3</v>
      </c>
      <c r="AR472" s="51">
        <v>3.9097727272727287E-3</v>
      </c>
      <c r="AS472" s="51">
        <v>3.9831818181818197E-3</v>
      </c>
      <c r="AT472" s="51">
        <v>4.0565909090909107E-3</v>
      </c>
      <c r="AU472" s="51">
        <v>4.1300000000000009E-3</v>
      </c>
      <c r="AV472" s="51">
        <v>4.1579545454545463E-3</v>
      </c>
      <c r="AW472" s="51">
        <v>4.1859090909090917E-3</v>
      </c>
      <c r="AX472" s="51">
        <v>4.2138636363636371E-3</v>
      </c>
      <c r="AY472" s="51">
        <v>4.2418181818181825E-3</v>
      </c>
      <c r="AZ472" s="51">
        <v>4.269772727272728E-3</v>
      </c>
      <c r="BA472" s="51">
        <v>4.2977272727272734E-3</v>
      </c>
      <c r="BB472" s="51">
        <v>4.3256818181818188E-3</v>
      </c>
      <c r="BC472" s="51">
        <v>4.3536363636363642E-3</v>
      </c>
      <c r="BD472" s="51">
        <v>4.3815909090909096E-3</v>
      </c>
      <c r="BE472" s="51">
        <v>4.4095454545454551E-3</v>
      </c>
      <c r="BF472" s="51">
        <v>4.4375000000000005E-3</v>
      </c>
      <c r="BG472" s="51">
        <v>4.4654545454545459E-3</v>
      </c>
      <c r="BH472" s="51">
        <v>4.4934090909090913E-3</v>
      </c>
      <c r="BI472" s="51">
        <v>4.5213636363636367E-3</v>
      </c>
      <c r="BJ472" s="51">
        <v>4.5493181818181821E-3</v>
      </c>
      <c r="BK472" s="51">
        <v>4.5772727272727276E-3</v>
      </c>
      <c r="BL472" s="51">
        <v>4.605227272727273E-3</v>
      </c>
      <c r="BM472" s="51">
        <v>4.6331818181818184E-3</v>
      </c>
      <c r="BN472" s="51">
        <v>4.6611363636363638E-3</v>
      </c>
      <c r="BO472" s="51">
        <v>4.6890909090909101E-3</v>
      </c>
      <c r="BP472" s="51">
        <v>4.7170454545454547E-3</v>
      </c>
      <c r="BQ472" s="51">
        <v>4.745000000000001E-3</v>
      </c>
      <c r="BR472" s="51">
        <v>4.7729545454545455E-3</v>
      </c>
      <c r="BS472" s="51">
        <v>4.8009090909090918E-3</v>
      </c>
      <c r="BT472" s="51">
        <v>4.8288636363636372E-3</v>
      </c>
      <c r="BU472" s="51">
        <v>4.8568181818181826E-3</v>
      </c>
      <c r="BV472" s="51">
        <v>4.8847727272727281E-3</v>
      </c>
      <c r="BW472" s="51">
        <v>4.9127272727272735E-3</v>
      </c>
      <c r="BX472" s="51">
        <v>4.9406818181818189E-3</v>
      </c>
      <c r="BY472" s="51">
        <v>4.9686363636363643E-3</v>
      </c>
      <c r="BZ472" s="51">
        <v>4.9965909090909097E-3</v>
      </c>
      <c r="CA472" s="51">
        <v>5.0245454545454551E-3</v>
      </c>
      <c r="CB472" s="51">
        <v>5.0525000000000006E-3</v>
      </c>
      <c r="CC472" s="51">
        <v>5.080454545454546E-3</v>
      </c>
      <c r="CD472" s="51">
        <v>5.1084090909090914E-3</v>
      </c>
      <c r="CE472" s="51">
        <v>5.1363636363636368E-3</v>
      </c>
      <c r="CF472" s="51">
        <v>5.1643181818181822E-3</v>
      </c>
      <c r="CG472" s="51">
        <v>5.1922727272727277E-3</v>
      </c>
      <c r="CH472" s="51">
        <v>5.2202272727272731E-3</v>
      </c>
      <c r="CI472" s="51">
        <v>5.2481818181818185E-3</v>
      </c>
      <c r="CJ472" s="51">
        <v>5.2761363636363639E-3</v>
      </c>
      <c r="CK472" s="51">
        <v>5.3040909090909093E-3</v>
      </c>
      <c r="CL472" s="51">
        <v>5.3320454545454548E-3</v>
      </c>
      <c r="CM472" s="51">
        <v>5.3600000000000002E-3</v>
      </c>
    </row>
    <row r="473" spans="1:91" s="50" customFormat="1" x14ac:dyDescent="0.25">
      <c r="A473" s="9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c r="BS473" s="51"/>
      <c r="BT473" s="51"/>
      <c r="BU473" s="51"/>
      <c r="BV473" s="51"/>
      <c r="BW473" s="51"/>
      <c r="BX473" s="51"/>
      <c r="BY473" s="51"/>
      <c r="BZ473" s="51"/>
      <c r="CA473" s="51"/>
      <c r="CB473" s="51"/>
      <c r="CC473" s="51"/>
      <c r="CD473" s="51"/>
      <c r="CE473" s="51"/>
      <c r="CF473" s="51"/>
      <c r="CG473" s="51"/>
      <c r="CH473" s="51"/>
      <c r="CI473" s="51"/>
      <c r="CJ473" s="51"/>
      <c r="CK473" s="51"/>
      <c r="CL473" s="51"/>
      <c r="CM473" s="51"/>
    </row>
    <row r="474" spans="1:91" s="50" customFormat="1" x14ac:dyDescent="0.25">
      <c r="A474" s="99" t="s">
        <v>354</v>
      </c>
      <c r="B474" s="4">
        <v>0</v>
      </c>
      <c r="C474" s="4">
        <v>0</v>
      </c>
      <c r="D474" s="4">
        <v>0</v>
      </c>
      <c r="E474" s="4">
        <v>0</v>
      </c>
      <c r="F474" s="4">
        <v>0</v>
      </c>
      <c r="G474" s="4">
        <v>0</v>
      </c>
      <c r="H474" s="4">
        <v>0</v>
      </c>
      <c r="I474" s="4">
        <v>0</v>
      </c>
      <c r="J474" s="4">
        <v>0</v>
      </c>
      <c r="K474" s="4">
        <v>0</v>
      </c>
      <c r="L474" s="4">
        <v>0</v>
      </c>
      <c r="M474" s="4">
        <v>0</v>
      </c>
      <c r="N474" s="4">
        <v>0</v>
      </c>
      <c r="O474" s="4">
        <v>0</v>
      </c>
      <c r="P474" s="4">
        <v>0</v>
      </c>
      <c r="Q474" s="4">
        <v>0</v>
      </c>
      <c r="R474" s="4">
        <v>0</v>
      </c>
      <c r="S474" s="4">
        <v>0</v>
      </c>
      <c r="T474" s="4">
        <v>0</v>
      </c>
      <c r="U474" s="4">
        <v>0</v>
      </c>
      <c r="V474" s="4">
        <v>0</v>
      </c>
      <c r="W474" s="4">
        <v>0</v>
      </c>
      <c r="X474" s="4">
        <v>0</v>
      </c>
      <c r="Y474" s="4">
        <v>0</v>
      </c>
      <c r="Z474" s="4">
        <v>0</v>
      </c>
      <c r="AA474" s="4">
        <v>0</v>
      </c>
      <c r="AB474" s="4">
        <v>0</v>
      </c>
      <c r="AC474" s="4">
        <v>0</v>
      </c>
      <c r="AD474" s="4">
        <v>0</v>
      </c>
      <c r="AE474" s="4">
        <v>0</v>
      </c>
      <c r="AF474" s="51">
        <v>8.6618671127481966E-4</v>
      </c>
      <c r="AG474" s="51">
        <v>8.7332065560907562E-4</v>
      </c>
      <c r="AH474" s="51">
        <v>8.8045459994333169E-4</v>
      </c>
      <c r="AI474" s="51">
        <v>8.8758854427758765E-4</v>
      </c>
      <c r="AJ474" s="51">
        <v>8.9472248861184372E-4</v>
      </c>
      <c r="AK474" s="51">
        <v>9.0185643294609969E-4</v>
      </c>
      <c r="AL474" s="51">
        <v>9.0899037728035576E-4</v>
      </c>
      <c r="AM474" s="51">
        <v>9.1612432161461172E-4</v>
      </c>
      <c r="AN474" s="51">
        <v>9.2325826594886768E-4</v>
      </c>
      <c r="AO474" s="51">
        <v>9.3039221028312375E-4</v>
      </c>
      <c r="AP474" s="51">
        <v>9.3752615461737982E-4</v>
      </c>
      <c r="AQ474" s="51">
        <v>9.4466009895163578E-4</v>
      </c>
      <c r="AR474" s="51">
        <v>9.5179404328589175E-4</v>
      </c>
      <c r="AS474" s="51">
        <v>9.5892798762014782E-4</v>
      </c>
      <c r="AT474" s="51">
        <v>9.6606193195440389E-4</v>
      </c>
      <c r="AU474" s="51">
        <v>9.7319587628865985E-4</v>
      </c>
      <c r="AV474" s="51">
        <v>9.9072164948453621E-4</v>
      </c>
      <c r="AW474" s="51">
        <v>1.0082474226804125E-3</v>
      </c>
      <c r="AX474" s="51">
        <v>1.0257731958762887E-3</v>
      </c>
      <c r="AY474" s="51">
        <v>1.043298969072165E-3</v>
      </c>
      <c r="AZ474" s="51">
        <v>1.0608247422680412E-3</v>
      </c>
      <c r="BA474" s="51">
        <v>1.0783505154639175E-3</v>
      </c>
      <c r="BB474" s="51">
        <v>1.095876288659794E-3</v>
      </c>
      <c r="BC474" s="51">
        <v>1.1134020618556702E-3</v>
      </c>
      <c r="BD474" s="51">
        <v>1.1309278350515465E-3</v>
      </c>
      <c r="BE474" s="51">
        <v>1.1484536082474227E-3</v>
      </c>
      <c r="BF474" s="51">
        <v>1.165979381443299E-3</v>
      </c>
      <c r="BG474" s="51">
        <v>1.1835051546391752E-3</v>
      </c>
      <c r="BH474" s="51">
        <v>1.2010309278350515E-3</v>
      </c>
      <c r="BI474" s="51">
        <v>1.2185567010309277E-3</v>
      </c>
      <c r="BJ474" s="51">
        <v>1.236082474226804E-3</v>
      </c>
      <c r="BK474" s="51">
        <v>1.2536082474226805E-3</v>
      </c>
      <c r="BL474" s="51">
        <v>1.2711340206185567E-3</v>
      </c>
      <c r="BM474" s="51">
        <v>1.288659793814433E-3</v>
      </c>
      <c r="BN474" s="51">
        <v>1.3061855670103092E-3</v>
      </c>
      <c r="BO474" s="51">
        <v>1.3237113402061855E-3</v>
      </c>
      <c r="BP474" s="51">
        <v>1.3412371134020619E-3</v>
      </c>
      <c r="BQ474" s="51">
        <v>1.3587628865979382E-3</v>
      </c>
      <c r="BR474" s="51">
        <v>1.3762886597938145E-3</v>
      </c>
      <c r="BS474" s="51">
        <v>1.3938144329896907E-3</v>
      </c>
      <c r="BT474" s="51">
        <v>1.411340206185567E-3</v>
      </c>
      <c r="BU474" s="51">
        <v>1.4288659793814432E-3</v>
      </c>
      <c r="BV474" s="51">
        <v>1.4463917525773195E-3</v>
      </c>
      <c r="BW474" s="51">
        <v>1.4639175257731957E-3</v>
      </c>
      <c r="BX474" s="51">
        <v>1.481443298969072E-3</v>
      </c>
      <c r="BY474" s="51">
        <v>1.4989690721649482E-3</v>
      </c>
      <c r="BZ474" s="51">
        <v>1.5164948453608247E-3</v>
      </c>
      <c r="CA474" s="51">
        <v>1.534020618556701E-3</v>
      </c>
      <c r="CB474" s="51">
        <v>1.5515463917525772E-3</v>
      </c>
      <c r="CC474" s="51">
        <v>1.5690721649484537E-3</v>
      </c>
      <c r="CD474" s="51">
        <v>1.5865979381443299E-3</v>
      </c>
      <c r="CE474" s="51">
        <v>1.6041237113402062E-3</v>
      </c>
      <c r="CF474" s="51">
        <v>1.6216494845360824E-3</v>
      </c>
      <c r="CG474" s="51">
        <v>1.6391752577319587E-3</v>
      </c>
      <c r="CH474" s="51">
        <v>1.656701030927835E-3</v>
      </c>
      <c r="CI474" s="51">
        <v>1.6742268041237112E-3</v>
      </c>
      <c r="CJ474" s="51">
        <v>1.6917525773195875E-3</v>
      </c>
      <c r="CK474" s="51">
        <v>1.7092783505154637E-3</v>
      </c>
      <c r="CL474" s="51">
        <v>1.72680412371134E-3</v>
      </c>
      <c r="CM474" s="51">
        <v>1.7443298969072164E-3</v>
      </c>
    </row>
    <row r="475" spans="1:91" s="50" customFormat="1" x14ac:dyDescent="0.25">
      <c r="A475" s="9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c r="BS475" s="51"/>
      <c r="BT475" s="51"/>
      <c r="BU475" s="51"/>
      <c r="BV475" s="51"/>
      <c r="BW475" s="51"/>
      <c r="BX475" s="51"/>
      <c r="BY475" s="51"/>
      <c r="BZ475" s="51"/>
      <c r="CA475" s="51"/>
      <c r="CB475" s="51"/>
      <c r="CC475" s="51"/>
      <c r="CD475" s="51"/>
      <c r="CE475" s="51"/>
      <c r="CF475" s="51"/>
      <c r="CG475" s="51"/>
      <c r="CH475" s="51"/>
      <c r="CI475" s="51"/>
      <c r="CJ475" s="51"/>
      <c r="CK475" s="51"/>
      <c r="CL475" s="51"/>
      <c r="CM475" s="51"/>
    </row>
    <row r="476" spans="1:91" s="50" customFormat="1" x14ac:dyDescent="0.25">
      <c r="A476" s="99" t="s">
        <v>373</v>
      </c>
      <c r="B476" s="4">
        <v>0</v>
      </c>
      <c r="C476" s="4">
        <v>0</v>
      </c>
      <c r="D476" s="4">
        <v>0</v>
      </c>
      <c r="E476" s="4">
        <v>0</v>
      </c>
      <c r="F476" s="4">
        <v>0</v>
      </c>
      <c r="G476" s="4">
        <v>0</v>
      </c>
      <c r="H476" s="4">
        <v>0</v>
      </c>
      <c r="I476" s="4">
        <v>0</v>
      </c>
      <c r="J476" s="4">
        <v>0</v>
      </c>
      <c r="K476" s="4">
        <v>0</v>
      </c>
      <c r="L476" s="4">
        <v>0</v>
      </c>
      <c r="M476" s="4">
        <v>0</v>
      </c>
      <c r="N476" s="4">
        <v>0</v>
      </c>
      <c r="O476" s="4">
        <v>0</v>
      </c>
      <c r="P476" s="4">
        <v>0</v>
      </c>
      <c r="Q476" s="4">
        <v>0</v>
      </c>
      <c r="R476" s="4">
        <v>0</v>
      </c>
      <c r="S476" s="4">
        <v>0</v>
      </c>
      <c r="T476" s="4">
        <v>0</v>
      </c>
      <c r="U476" s="4">
        <v>0</v>
      </c>
      <c r="V476" s="4">
        <v>0</v>
      </c>
      <c r="W476" s="4">
        <v>0</v>
      </c>
      <c r="X476" s="4">
        <v>0</v>
      </c>
      <c r="Y476" s="4">
        <v>0</v>
      </c>
      <c r="Z476" s="4">
        <v>0</v>
      </c>
      <c r="AA476" s="4">
        <v>0</v>
      </c>
      <c r="AB476" s="4">
        <v>0</v>
      </c>
      <c r="AC476" s="4">
        <v>0</v>
      </c>
      <c r="AD476" s="4">
        <v>0</v>
      </c>
      <c r="AE476" s="4">
        <v>0</v>
      </c>
      <c r="AF476" s="51">
        <v>8.6618671127481966E-4</v>
      </c>
      <c r="AG476" s="51">
        <v>8.7332065560907562E-4</v>
      </c>
      <c r="AH476" s="51">
        <v>8.8045459994333169E-4</v>
      </c>
      <c r="AI476" s="51">
        <v>8.8758854427758765E-4</v>
      </c>
      <c r="AJ476" s="51">
        <v>8.9472248861184372E-4</v>
      </c>
      <c r="AK476" s="51">
        <v>9.0185643294609969E-4</v>
      </c>
      <c r="AL476" s="51">
        <v>9.0899037728035576E-4</v>
      </c>
      <c r="AM476" s="51">
        <v>9.1612432161461172E-4</v>
      </c>
      <c r="AN476" s="51">
        <v>9.2325826594886768E-4</v>
      </c>
      <c r="AO476" s="51">
        <v>9.3039221028312375E-4</v>
      </c>
      <c r="AP476" s="51">
        <v>9.3752615461737982E-4</v>
      </c>
      <c r="AQ476" s="51">
        <v>9.4466009895163578E-4</v>
      </c>
      <c r="AR476" s="51">
        <v>9.5179404328589175E-4</v>
      </c>
      <c r="AS476" s="51">
        <v>9.5892798762014782E-4</v>
      </c>
      <c r="AT476" s="51">
        <v>9.6606193195440389E-4</v>
      </c>
      <c r="AU476" s="51">
        <v>9.7319587628865985E-4</v>
      </c>
      <c r="AV476" s="51">
        <v>9.9072164948453621E-4</v>
      </c>
      <c r="AW476" s="51">
        <v>1.0082474226804125E-3</v>
      </c>
      <c r="AX476" s="51">
        <v>1.0257731958762887E-3</v>
      </c>
      <c r="AY476" s="51">
        <v>1.043298969072165E-3</v>
      </c>
      <c r="AZ476" s="51">
        <v>1.0608247422680412E-3</v>
      </c>
      <c r="BA476" s="51">
        <v>1.0783505154639175E-3</v>
      </c>
      <c r="BB476" s="51">
        <v>1.095876288659794E-3</v>
      </c>
      <c r="BC476" s="51">
        <v>1.1134020618556702E-3</v>
      </c>
      <c r="BD476" s="51">
        <v>1.1309278350515465E-3</v>
      </c>
      <c r="BE476" s="51">
        <v>1.1484536082474227E-3</v>
      </c>
      <c r="BF476" s="51">
        <v>1.165979381443299E-3</v>
      </c>
      <c r="BG476" s="51">
        <v>1.1835051546391752E-3</v>
      </c>
      <c r="BH476" s="51">
        <v>1.2010309278350515E-3</v>
      </c>
      <c r="BI476" s="51">
        <v>1.2185567010309277E-3</v>
      </c>
      <c r="BJ476" s="51">
        <v>1.236082474226804E-3</v>
      </c>
      <c r="BK476" s="51">
        <v>1.2536082474226805E-3</v>
      </c>
      <c r="BL476" s="51">
        <v>1.2711340206185567E-3</v>
      </c>
      <c r="BM476" s="51">
        <v>1.288659793814433E-3</v>
      </c>
      <c r="BN476" s="51">
        <v>1.3061855670103092E-3</v>
      </c>
      <c r="BO476" s="51">
        <v>1.3237113402061855E-3</v>
      </c>
      <c r="BP476" s="51">
        <v>1.3412371134020619E-3</v>
      </c>
      <c r="BQ476" s="51">
        <v>1.3587628865979382E-3</v>
      </c>
      <c r="BR476" s="51">
        <v>1.3762886597938145E-3</v>
      </c>
      <c r="BS476" s="51">
        <v>1.3938144329896907E-3</v>
      </c>
      <c r="BT476" s="51">
        <v>1.411340206185567E-3</v>
      </c>
      <c r="BU476" s="51">
        <v>1.4288659793814432E-3</v>
      </c>
      <c r="BV476" s="51">
        <v>1.4463917525773195E-3</v>
      </c>
      <c r="BW476" s="51">
        <v>1.4639175257731957E-3</v>
      </c>
      <c r="BX476" s="51">
        <v>1.481443298969072E-3</v>
      </c>
      <c r="BY476" s="51">
        <v>1.4989690721649482E-3</v>
      </c>
      <c r="BZ476" s="51">
        <v>1.5164948453608247E-3</v>
      </c>
      <c r="CA476" s="51">
        <v>1.534020618556701E-3</v>
      </c>
      <c r="CB476" s="51">
        <v>1.5515463917525772E-3</v>
      </c>
      <c r="CC476" s="51">
        <v>1.5690721649484537E-3</v>
      </c>
      <c r="CD476" s="51">
        <v>1.5865979381443299E-3</v>
      </c>
      <c r="CE476" s="51">
        <v>1.6041237113402062E-3</v>
      </c>
      <c r="CF476" s="51">
        <v>1.6216494845360824E-3</v>
      </c>
      <c r="CG476" s="51">
        <v>1.6391752577319587E-3</v>
      </c>
      <c r="CH476" s="51">
        <v>1.656701030927835E-3</v>
      </c>
      <c r="CI476" s="51">
        <v>1.6742268041237112E-3</v>
      </c>
      <c r="CJ476" s="51">
        <v>1.6917525773195875E-3</v>
      </c>
      <c r="CK476" s="51">
        <v>1.7092783505154637E-3</v>
      </c>
      <c r="CL476" s="51">
        <v>1.72680412371134E-3</v>
      </c>
      <c r="CM476" s="51">
        <v>1.7443298969072164E-3</v>
      </c>
    </row>
    <row r="477" spans="1:91" s="50" customFormat="1" x14ac:dyDescent="0.25">
      <c r="A477" s="9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c r="BS477" s="51"/>
      <c r="BT477" s="51"/>
      <c r="BU477" s="51"/>
      <c r="BV477" s="51"/>
      <c r="BW477" s="51"/>
      <c r="BX477" s="51"/>
      <c r="BY477" s="51"/>
      <c r="BZ477" s="51"/>
      <c r="CA477" s="51"/>
      <c r="CB477" s="51"/>
      <c r="CC477" s="51"/>
      <c r="CD477" s="51"/>
      <c r="CE477" s="51"/>
      <c r="CF477" s="51"/>
      <c r="CG477" s="51"/>
      <c r="CH477" s="51"/>
      <c r="CI477" s="51"/>
      <c r="CJ477" s="51"/>
      <c r="CK477" s="51"/>
      <c r="CL477" s="51"/>
      <c r="CM477" s="51"/>
    </row>
    <row r="478" spans="1:91" s="50" customFormat="1" x14ac:dyDescent="0.25">
      <c r="A478" s="99" t="s">
        <v>185</v>
      </c>
      <c r="B478" s="4">
        <v>0</v>
      </c>
      <c r="C478" s="4">
        <v>0</v>
      </c>
      <c r="D478" s="4">
        <v>0</v>
      </c>
      <c r="E478" s="4">
        <v>0</v>
      </c>
      <c r="F478" s="4">
        <v>0</v>
      </c>
      <c r="G478" s="4">
        <v>0</v>
      </c>
      <c r="H478" s="4">
        <v>0</v>
      </c>
      <c r="I478" s="4">
        <v>0</v>
      </c>
      <c r="J478" s="4">
        <v>0</v>
      </c>
      <c r="K478" s="4">
        <v>0</v>
      </c>
      <c r="L478" s="4">
        <v>0</v>
      </c>
      <c r="M478" s="4">
        <v>0</v>
      </c>
      <c r="N478" s="4">
        <v>0</v>
      </c>
      <c r="O478" s="4">
        <v>0</v>
      </c>
      <c r="P478" s="4">
        <v>0</v>
      </c>
      <c r="Q478" s="4">
        <v>0</v>
      </c>
      <c r="R478" s="4">
        <v>0</v>
      </c>
      <c r="S478" s="4">
        <v>0</v>
      </c>
      <c r="T478" s="4">
        <v>0</v>
      </c>
      <c r="U478" s="4">
        <v>0</v>
      </c>
      <c r="V478" s="4">
        <v>0</v>
      </c>
      <c r="W478" s="4">
        <v>0</v>
      </c>
      <c r="X478" s="4">
        <v>0</v>
      </c>
      <c r="Y478" s="4">
        <v>0</v>
      </c>
      <c r="Z478" s="4">
        <v>0</v>
      </c>
      <c r="AA478" s="4">
        <v>0</v>
      </c>
      <c r="AB478" s="4">
        <v>0</v>
      </c>
      <c r="AC478" s="4">
        <v>0</v>
      </c>
      <c r="AD478" s="4">
        <v>0</v>
      </c>
      <c r="AE478" s="4">
        <v>0</v>
      </c>
      <c r="AF478" s="51">
        <v>2.8586557155908612E-3</v>
      </c>
      <c r="AG478" s="51">
        <v>2.909963886131464E-3</v>
      </c>
      <c r="AH478" s="51">
        <v>2.9612720566720677E-3</v>
      </c>
      <c r="AI478" s="51">
        <v>3.0125802272126705E-3</v>
      </c>
      <c r="AJ478" s="51">
        <v>3.0638883977532742E-3</v>
      </c>
      <c r="AK478" s="51">
        <v>3.1151965682938766E-3</v>
      </c>
      <c r="AL478" s="51">
        <v>3.1665047388344802E-3</v>
      </c>
      <c r="AM478" s="51">
        <v>3.2178129093750835E-3</v>
      </c>
      <c r="AN478" s="51">
        <v>3.2691210799156863E-3</v>
      </c>
      <c r="AO478" s="51">
        <v>3.3204292504562887E-3</v>
      </c>
      <c r="AP478" s="51">
        <v>3.3717374209968911E-3</v>
      </c>
      <c r="AQ478" s="51">
        <v>3.4230455915374956E-3</v>
      </c>
      <c r="AR478" s="51">
        <v>3.474353762078098E-3</v>
      </c>
      <c r="AS478" s="51">
        <v>3.5256619326187004E-3</v>
      </c>
      <c r="AT478" s="51">
        <v>3.5769701031593041E-3</v>
      </c>
      <c r="AU478" s="51">
        <v>3.6282782736999073E-3</v>
      </c>
      <c r="AV478" s="51">
        <v>3.6601435786098075E-3</v>
      </c>
      <c r="AW478" s="51">
        <v>3.6920088835197063E-3</v>
      </c>
      <c r="AX478" s="51">
        <v>3.7238741884296055E-3</v>
      </c>
      <c r="AY478" s="51">
        <v>3.7557394933395052E-3</v>
      </c>
      <c r="AZ478" s="51">
        <v>3.7876047982494045E-3</v>
      </c>
      <c r="BA478" s="51">
        <v>3.8194701031593042E-3</v>
      </c>
      <c r="BB478" s="51">
        <v>3.8513354080692043E-3</v>
      </c>
      <c r="BC478" s="51">
        <v>3.8832007129791031E-3</v>
      </c>
      <c r="BD478" s="51">
        <v>3.9150660178890037E-3</v>
      </c>
      <c r="BE478" s="51">
        <v>3.9469313227989029E-3</v>
      </c>
      <c r="BF478" s="51">
        <v>3.9787966277088022E-3</v>
      </c>
      <c r="BG478" s="51">
        <v>4.0106619326187015E-3</v>
      </c>
      <c r="BH478" s="51">
        <v>4.0425272375286016E-3</v>
      </c>
      <c r="BI478" s="51">
        <v>4.0743925424385008E-3</v>
      </c>
      <c r="BJ478" s="51">
        <v>4.1062578473483992E-3</v>
      </c>
      <c r="BK478" s="51">
        <v>4.1381231522582993E-3</v>
      </c>
      <c r="BL478" s="51">
        <v>4.1699884571681986E-3</v>
      </c>
      <c r="BM478" s="51">
        <v>4.2018537620780979E-3</v>
      </c>
      <c r="BN478" s="51">
        <v>4.233719066987998E-3</v>
      </c>
      <c r="BO478" s="51">
        <v>4.2655843718978972E-3</v>
      </c>
      <c r="BP478" s="51">
        <v>4.2974496768077956E-3</v>
      </c>
      <c r="BQ478" s="51">
        <v>4.3293149817176958E-3</v>
      </c>
      <c r="BR478" s="51">
        <v>4.3611802866275959E-3</v>
      </c>
      <c r="BS478" s="51">
        <v>4.3930455915374969E-3</v>
      </c>
      <c r="BT478" s="51">
        <v>4.4249108964473944E-3</v>
      </c>
      <c r="BU478" s="51">
        <v>4.4567762013572945E-3</v>
      </c>
      <c r="BV478" s="51">
        <v>4.4886415062671938E-3</v>
      </c>
      <c r="BW478" s="51">
        <v>4.520506811177093E-3</v>
      </c>
      <c r="BX478" s="51">
        <v>4.5523721160869923E-3</v>
      </c>
      <c r="BY478" s="51">
        <v>4.5842374209968924E-3</v>
      </c>
      <c r="BZ478" s="51">
        <v>4.6161027259067908E-3</v>
      </c>
      <c r="CA478" s="51">
        <v>4.6479680308166918E-3</v>
      </c>
      <c r="CB478" s="51">
        <v>4.6798333357265902E-3</v>
      </c>
      <c r="CC478" s="51">
        <v>4.7116986406364903E-3</v>
      </c>
      <c r="CD478" s="51">
        <v>4.7435639455463896E-3</v>
      </c>
      <c r="CE478" s="51">
        <v>4.7754292504562897E-3</v>
      </c>
      <c r="CF478" s="51">
        <v>4.8072945553661881E-3</v>
      </c>
      <c r="CG478" s="51">
        <v>4.8391598602760891E-3</v>
      </c>
      <c r="CH478" s="51">
        <v>4.8710251651859866E-3</v>
      </c>
      <c r="CI478" s="51">
        <v>4.9028904700958876E-3</v>
      </c>
      <c r="CJ478" s="51">
        <v>4.9347557750057851E-3</v>
      </c>
      <c r="CK478" s="51">
        <v>4.9666210799156861E-3</v>
      </c>
      <c r="CL478" s="51">
        <v>4.9984863848255862E-3</v>
      </c>
      <c r="CM478" s="51">
        <v>5.0303516897354846E-3</v>
      </c>
    </row>
    <row r="479" spans="1:91" s="50" customFormat="1" x14ac:dyDescent="0.25">
      <c r="A479" s="99" t="s">
        <v>1</v>
      </c>
      <c r="B479" s="4">
        <v>0</v>
      </c>
      <c r="C479" s="4">
        <v>0</v>
      </c>
      <c r="D479" s="4">
        <v>0</v>
      </c>
      <c r="E479" s="4">
        <v>0</v>
      </c>
      <c r="F479" s="4">
        <v>0</v>
      </c>
      <c r="G479" s="4">
        <v>0</v>
      </c>
      <c r="H479" s="4">
        <v>0</v>
      </c>
      <c r="I479" s="4">
        <v>0</v>
      </c>
      <c r="J479" s="4">
        <v>0</v>
      </c>
      <c r="K479" s="4">
        <v>0</v>
      </c>
      <c r="L479" s="4">
        <v>0</v>
      </c>
      <c r="M479" s="4">
        <v>0</v>
      </c>
      <c r="N479" s="4">
        <v>0</v>
      </c>
      <c r="O479" s="4">
        <v>0</v>
      </c>
      <c r="P479" s="4">
        <v>0</v>
      </c>
      <c r="Q479" s="4">
        <v>0</v>
      </c>
      <c r="R479" s="4">
        <v>0</v>
      </c>
      <c r="S479" s="4">
        <v>0</v>
      </c>
      <c r="T479" s="4">
        <v>0</v>
      </c>
      <c r="U479" s="4">
        <v>0</v>
      </c>
      <c r="V479" s="4">
        <v>0</v>
      </c>
      <c r="W479" s="4">
        <v>0</v>
      </c>
      <c r="X479" s="4">
        <v>0</v>
      </c>
      <c r="Y479" s="4">
        <v>0</v>
      </c>
      <c r="Z479" s="4">
        <v>0</v>
      </c>
      <c r="AA479" s="4">
        <v>0</v>
      </c>
      <c r="AB479" s="4">
        <v>0</v>
      </c>
      <c r="AC479" s="4">
        <v>0</v>
      </c>
      <c r="AD479" s="4">
        <v>0</v>
      </c>
      <c r="AE479" s="4">
        <v>0</v>
      </c>
      <c r="AF479" s="51">
        <v>2.21991625074704E-3</v>
      </c>
      <c r="AG479" s="51">
        <v>2.2566263371078163E-3</v>
      </c>
      <c r="AH479" s="51">
        <v>2.2933364234685931E-3</v>
      </c>
      <c r="AI479" s="51">
        <v>2.3300465098293689E-3</v>
      </c>
      <c r="AJ479" s="51">
        <v>2.3667565961901457E-3</v>
      </c>
      <c r="AK479" s="51">
        <v>2.403466682550922E-3</v>
      </c>
      <c r="AL479" s="51">
        <v>2.4401767689116983E-3</v>
      </c>
      <c r="AM479" s="51">
        <v>2.4768868552724754E-3</v>
      </c>
      <c r="AN479" s="51">
        <v>2.5135969416332517E-3</v>
      </c>
      <c r="AO479" s="51">
        <v>2.5503070279940276E-3</v>
      </c>
      <c r="AP479" s="51">
        <v>2.5870171143548043E-3</v>
      </c>
      <c r="AQ479" s="51">
        <v>2.6237272007155811E-3</v>
      </c>
      <c r="AR479" s="51">
        <v>2.6604372870763569E-3</v>
      </c>
      <c r="AS479" s="51">
        <v>2.6971473734371336E-3</v>
      </c>
      <c r="AT479" s="51">
        <v>2.7338574597979095E-3</v>
      </c>
      <c r="AU479" s="51">
        <v>2.7705675461586858E-3</v>
      </c>
      <c r="AV479" s="51">
        <v>2.7941732069956472E-3</v>
      </c>
      <c r="AW479" s="51">
        <v>2.8177788678326082E-3</v>
      </c>
      <c r="AX479" s="51">
        <v>2.8413845286695688E-3</v>
      </c>
      <c r="AY479" s="51">
        <v>2.8649901895065294E-3</v>
      </c>
      <c r="AZ479" s="51">
        <v>2.8885958503434904E-3</v>
      </c>
      <c r="BA479" s="51">
        <v>2.9122015111804514E-3</v>
      </c>
      <c r="BB479" s="51">
        <v>2.9358071720174115E-3</v>
      </c>
      <c r="BC479" s="51">
        <v>2.9594128328543738E-3</v>
      </c>
      <c r="BD479" s="51">
        <v>2.9830184936913344E-3</v>
      </c>
      <c r="BE479" s="51">
        <v>3.0066241545282949E-3</v>
      </c>
      <c r="BF479" s="51">
        <v>3.030229815365256E-3</v>
      </c>
      <c r="BG479" s="51">
        <v>3.0538354762022174E-3</v>
      </c>
      <c r="BH479" s="51">
        <v>3.0774411370391771E-3</v>
      </c>
      <c r="BI479" s="51">
        <v>3.1010467978761381E-3</v>
      </c>
      <c r="BJ479" s="51">
        <v>3.1246524587130987E-3</v>
      </c>
      <c r="BK479" s="51">
        <v>3.1482581195500597E-3</v>
      </c>
      <c r="BL479" s="51">
        <v>3.1718637803870211E-3</v>
      </c>
      <c r="BM479" s="51">
        <v>3.1954694412239821E-3</v>
      </c>
      <c r="BN479" s="51">
        <v>3.2190751020609435E-3</v>
      </c>
      <c r="BO479" s="51">
        <v>3.2426807628979037E-3</v>
      </c>
      <c r="BP479" s="51">
        <v>3.2662864237348651E-3</v>
      </c>
      <c r="BQ479" s="51">
        <v>3.2898920845718252E-3</v>
      </c>
      <c r="BR479" s="51">
        <v>3.3134977454087858E-3</v>
      </c>
      <c r="BS479" s="51">
        <v>3.3371034062457468E-3</v>
      </c>
      <c r="BT479" s="51">
        <v>3.3607090670827078E-3</v>
      </c>
      <c r="BU479" s="51">
        <v>3.3843147279196684E-3</v>
      </c>
      <c r="BV479" s="51">
        <v>3.4079203887566302E-3</v>
      </c>
      <c r="BW479" s="51">
        <v>3.4315260495935899E-3</v>
      </c>
      <c r="BX479" s="51">
        <v>3.4551317104305514E-3</v>
      </c>
      <c r="BY479" s="51">
        <v>3.4787373712675128E-3</v>
      </c>
      <c r="BZ479" s="51">
        <v>3.5023430321044729E-3</v>
      </c>
      <c r="CA479" s="51">
        <v>3.5259486929414339E-3</v>
      </c>
      <c r="CB479" s="51">
        <v>3.5495543537783945E-3</v>
      </c>
      <c r="CC479" s="51">
        <v>3.5731600146153551E-3</v>
      </c>
      <c r="CD479" s="51">
        <v>3.5967656754523165E-3</v>
      </c>
      <c r="CE479" s="51">
        <v>3.6203713362892771E-3</v>
      </c>
      <c r="CF479" s="51">
        <v>3.6439769971262381E-3</v>
      </c>
      <c r="CG479" s="51">
        <v>3.6675826579631995E-3</v>
      </c>
      <c r="CH479" s="51">
        <v>3.6911883188001609E-3</v>
      </c>
      <c r="CI479" s="51">
        <v>3.7147939796371206E-3</v>
      </c>
      <c r="CJ479" s="51">
        <v>3.7383996404740821E-3</v>
      </c>
      <c r="CK479" s="51">
        <v>3.7620053013110422E-3</v>
      </c>
      <c r="CL479" s="51">
        <v>3.7856109621480032E-3</v>
      </c>
      <c r="CM479" s="51">
        <v>3.8092166229849646E-3</v>
      </c>
    </row>
    <row r="480" spans="1:91" s="50" customFormat="1" x14ac:dyDescent="0.25">
      <c r="A480" s="99" t="s">
        <v>1</v>
      </c>
      <c r="B480" s="4">
        <v>0</v>
      </c>
      <c r="C480" s="4">
        <v>0</v>
      </c>
      <c r="D480" s="4">
        <v>0</v>
      </c>
      <c r="E480" s="4">
        <v>0</v>
      </c>
      <c r="F480" s="4">
        <v>0</v>
      </c>
      <c r="G480" s="4">
        <v>0</v>
      </c>
      <c r="H480" s="4">
        <v>0</v>
      </c>
      <c r="I480" s="4">
        <v>0</v>
      </c>
      <c r="J480" s="4">
        <v>0</v>
      </c>
      <c r="K480" s="4">
        <v>0</v>
      </c>
      <c r="L480" s="4">
        <v>0</v>
      </c>
      <c r="M480" s="4">
        <v>0</v>
      </c>
      <c r="N480" s="4">
        <v>0</v>
      </c>
      <c r="O480" s="4">
        <v>0</v>
      </c>
      <c r="P480" s="4">
        <v>0</v>
      </c>
      <c r="Q480" s="4">
        <v>0</v>
      </c>
      <c r="R480" s="4">
        <v>0</v>
      </c>
      <c r="S480" s="4">
        <v>0</v>
      </c>
      <c r="T480" s="4">
        <v>0</v>
      </c>
      <c r="U480" s="4">
        <v>0</v>
      </c>
      <c r="V480" s="4">
        <v>0</v>
      </c>
      <c r="W480" s="4">
        <v>0</v>
      </c>
      <c r="X480" s="4">
        <v>0</v>
      </c>
      <c r="Y480" s="4">
        <v>0</v>
      </c>
      <c r="Z480" s="4">
        <v>0</v>
      </c>
      <c r="AA480" s="4">
        <v>0</v>
      </c>
      <c r="AB480" s="4">
        <v>0</v>
      </c>
      <c r="AC480" s="4">
        <v>0</v>
      </c>
      <c r="AD480" s="4">
        <v>0</v>
      </c>
      <c r="AE480" s="4">
        <v>0</v>
      </c>
      <c r="AF480" s="51">
        <v>3.2695631189309741E-3</v>
      </c>
      <c r="AG480" s="51">
        <v>3.3190680876783053E-3</v>
      </c>
      <c r="AH480" s="51">
        <v>3.3685730564256351E-3</v>
      </c>
      <c r="AI480" s="51">
        <v>3.4180780251729654E-3</v>
      </c>
      <c r="AJ480" s="51">
        <v>3.4675829939202975E-3</v>
      </c>
      <c r="AK480" s="51">
        <v>3.5170879626676278E-3</v>
      </c>
      <c r="AL480" s="51">
        <v>3.566592931414959E-3</v>
      </c>
      <c r="AM480" s="51">
        <v>3.6160979001622893E-3</v>
      </c>
      <c r="AN480" s="51">
        <v>3.66560286890962E-3</v>
      </c>
      <c r="AO480" s="51">
        <v>3.7151078376569512E-3</v>
      </c>
      <c r="AP480" s="51">
        <v>3.764612806404282E-3</v>
      </c>
      <c r="AQ480" s="51">
        <v>3.8141177751516123E-3</v>
      </c>
      <c r="AR480" s="51">
        <v>3.8636227438989435E-3</v>
      </c>
      <c r="AS480" s="51">
        <v>3.9131277126462733E-3</v>
      </c>
      <c r="AT480" s="51">
        <v>3.9626326813936045E-3</v>
      </c>
      <c r="AU480" s="51">
        <v>4.0121376501409357E-3</v>
      </c>
      <c r="AV480" s="51">
        <v>4.0409850921853223E-3</v>
      </c>
      <c r="AW480" s="51">
        <v>4.0698325342297097E-3</v>
      </c>
      <c r="AX480" s="51">
        <v>4.0986799762740963E-3</v>
      </c>
      <c r="AY480" s="51">
        <v>4.127527418318482E-3</v>
      </c>
      <c r="AZ480" s="51">
        <v>4.1563748603628704E-3</v>
      </c>
      <c r="BA480" s="51">
        <v>4.1852223024072561E-3</v>
      </c>
      <c r="BB480" s="51">
        <v>4.2140697444516435E-3</v>
      </c>
      <c r="BC480" s="51">
        <v>4.2429171864960301E-3</v>
      </c>
      <c r="BD480" s="51">
        <v>4.2717646285404158E-3</v>
      </c>
      <c r="BE480" s="51">
        <v>4.3006120705848042E-3</v>
      </c>
      <c r="BF480" s="51">
        <v>4.3294595126291899E-3</v>
      </c>
      <c r="BG480" s="51">
        <v>4.3583069546735782E-3</v>
      </c>
      <c r="BH480" s="51">
        <v>4.3871543967179639E-3</v>
      </c>
      <c r="BI480" s="51">
        <v>4.4160018387623514E-3</v>
      </c>
      <c r="BJ480" s="51">
        <v>4.444849280806738E-3</v>
      </c>
      <c r="BK480" s="51">
        <v>4.4736967228511245E-3</v>
      </c>
      <c r="BL480" s="51">
        <v>4.5025441648955111E-3</v>
      </c>
      <c r="BM480" s="51">
        <v>4.5313916069398994E-3</v>
      </c>
      <c r="BN480" s="51">
        <v>4.5602390489842852E-3</v>
      </c>
      <c r="BO480" s="51">
        <v>4.5890864910286726E-3</v>
      </c>
      <c r="BP480" s="51">
        <v>4.6179339330730601E-3</v>
      </c>
      <c r="BQ480" s="51">
        <v>4.6467813751174458E-3</v>
      </c>
      <c r="BR480" s="51">
        <v>4.6756288171618332E-3</v>
      </c>
      <c r="BS480" s="51">
        <v>4.7044762592062198E-3</v>
      </c>
      <c r="BT480" s="51">
        <v>4.7333237012506073E-3</v>
      </c>
      <c r="BU480" s="51">
        <v>4.762171143294993E-3</v>
      </c>
      <c r="BV480" s="51">
        <v>4.7910185853393805E-3</v>
      </c>
      <c r="BW480" s="51">
        <v>4.8198660273837679E-3</v>
      </c>
      <c r="BX480" s="51">
        <v>4.8487134694281545E-3</v>
      </c>
      <c r="BY480" s="51">
        <v>4.8775609114725419E-3</v>
      </c>
      <c r="BZ480" s="51">
        <v>4.9064083535169277E-3</v>
      </c>
      <c r="CA480" s="51">
        <v>4.9352557955613151E-3</v>
      </c>
      <c r="CB480" s="51">
        <v>4.9641032376057017E-3</v>
      </c>
      <c r="CC480" s="51">
        <v>4.9929506796500883E-3</v>
      </c>
      <c r="CD480" s="51">
        <v>5.0217981216944757E-3</v>
      </c>
      <c r="CE480" s="51">
        <v>5.0506455637388623E-3</v>
      </c>
      <c r="CF480" s="51">
        <v>5.0794930057832489E-3</v>
      </c>
      <c r="CG480" s="51">
        <v>5.1083404478276355E-3</v>
      </c>
      <c r="CH480" s="51">
        <v>5.1371878898720212E-3</v>
      </c>
      <c r="CI480" s="51">
        <v>5.1660353319164087E-3</v>
      </c>
      <c r="CJ480" s="51">
        <v>5.1948827739607961E-3</v>
      </c>
      <c r="CK480" s="51">
        <v>5.2237302160051836E-3</v>
      </c>
      <c r="CL480" s="51">
        <v>5.252577658049571E-3</v>
      </c>
      <c r="CM480" s="51">
        <v>5.2814251000939559E-3</v>
      </c>
    </row>
    <row r="481" spans="1:91" s="50" customFormat="1" x14ac:dyDescent="0.25">
      <c r="A481" s="99" t="s">
        <v>1</v>
      </c>
      <c r="B481" s="4">
        <v>0</v>
      </c>
      <c r="C481" s="4">
        <v>0</v>
      </c>
      <c r="D481" s="4">
        <v>0</v>
      </c>
      <c r="E481" s="4">
        <v>0</v>
      </c>
      <c r="F481" s="4">
        <v>0</v>
      </c>
      <c r="G481" s="4">
        <v>0</v>
      </c>
      <c r="H481" s="4">
        <v>0</v>
      </c>
      <c r="I481" s="4">
        <v>0</v>
      </c>
      <c r="J481" s="4">
        <v>0</v>
      </c>
      <c r="K481" s="4">
        <v>0</v>
      </c>
      <c r="L481" s="4">
        <v>0</v>
      </c>
      <c r="M481" s="4">
        <v>0</v>
      </c>
      <c r="N481" s="4">
        <v>0</v>
      </c>
      <c r="O481" s="4">
        <v>0</v>
      </c>
      <c r="P481" s="4">
        <v>0</v>
      </c>
      <c r="Q481" s="4">
        <v>0</v>
      </c>
      <c r="R481" s="4">
        <v>0</v>
      </c>
      <c r="S481" s="4">
        <v>0</v>
      </c>
      <c r="T481" s="4">
        <v>0</v>
      </c>
      <c r="U481" s="4">
        <v>0</v>
      </c>
      <c r="V481" s="4">
        <v>0</v>
      </c>
      <c r="W481" s="4">
        <v>0</v>
      </c>
      <c r="X481" s="4">
        <v>0</v>
      </c>
      <c r="Y481" s="4">
        <v>0</v>
      </c>
      <c r="Z481" s="4">
        <v>0</v>
      </c>
      <c r="AA481" s="4">
        <v>0</v>
      </c>
      <c r="AB481" s="4">
        <v>0</v>
      </c>
      <c r="AC481" s="4">
        <v>0</v>
      </c>
      <c r="AD481" s="4">
        <v>0</v>
      </c>
      <c r="AE481" s="4">
        <v>0</v>
      </c>
      <c r="AF481" s="51">
        <v>1.4251346260975677E-3</v>
      </c>
      <c r="AG481" s="51">
        <v>1.4394010133432365E-3</v>
      </c>
      <c r="AH481" s="51">
        <v>1.4536674005889065E-3</v>
      </c>
      <c r="AI481" s="51">
        <v>1.4679337878345756E-3</v>
      </c>
      <c r="AJ481" s="51">
        <v>1.4822001750802451E-3</v>
      </c>
      <c r="AK481" s="51">
        <v>1.4964665623259147E-3</v>
      </c>
      <c r="AL481" s="51">
        <v>1.5107329495715842E-3</v>
      </c>
      <c r="AM481" s="51">
        <v>1.5249993368172535E-3</v>
      </c>
      <c r="AN481" s="51">
        <v>1.5392657240629226E-3</v>
      </c>
      <c r="AO481" s="51">
        <v>1.5535321113085924E-3</v>
      </c>
      <c r="AP481" s="51">
        <v>1.5677984985542617E-3</v>
      </c>
      <c r="AQ481" s="51">
        <v>1.5820648857999312E-3</v>
      </c>
      <c r="AR481" s="51">
        <v>1.5963312730456008E-3</v>
      </c>
      <c r="AS481" s="51">
        <v>1.6105976602912699E-3</v>
      </c>
      <c r="AT481" s="51">
        <v>1.6248640475369394E-3</v>
      </c>
      <c r="AU481" s="51">
        <v>1.6391304347826087E-3</v>
      </c>
      <c r="AV481" s="51">
        <v>1.6512056578914661E-3</v>
      </c>
      <c r="AW481" s="51">
        <v>1.6632808810003231E-3</v>
      </c>
      <c r="AX481" s="51">
        <v>1.6753561041091803E-3</v>
      </c>
      <c r="AY481" s="51">
        <v>1.6874313272180379E-3</v>
      </c>
      <c r="AZ481" s="51">
        <v>1.6995065503268951E-3</v>
      </c>
      <c r="BA481" s="51">
        <v>1.7115817734357521E-3</v>
      </c>
      <c r="BB481" s="51">
        <v>1.7236569965446093E-3</v>
      </c>
      <c r="BC481" s="51">
        <v>1.7357322196534667E-3</v>
      </c>
      <c r="BD481" s="51">
        <v>1.7478074427623236E-3</v>
      </c>
      <c r="BE481" s="51">
        <v>1.759882665871181E-3</v>
      </c>
      <c r="BF481" s="51">
        <v>1.7719578889800382E-3</v>
      </c>
      <c r="BG481" s="51">
        <v>1.7840331120888959E-3</v>
      </c>
      <c r="BH481" s="51">
        <v>1.7961083351977531E-3</v>
      </c>
      <c r="BI481" s="51">
        <v>1.8081835583066094E-3</v>
      </c>
      <c r="BJ481" s="51">
        <v>1.8202587814154672E-3</v>
      </c>
      <c r="BK481" s="51">
        <v>1.8323340045243244E-3</v>
      </c>
      <c r="BL481" s="51">
        <v>1.844409227633182E-3</v>
      </c>
      <c r="BM481" s="51">
        <v>1.8564844507420388E-3</v>
      </c>
      <c r="BN481" s="51">
        <v>1.8685596738508962E-3</v>
      </c>
      <c r="BO481" s="51">
        <v>1.8806348969597534E-3</v>
      </c>
      <c r="BP481" s="51">
        <v>1.8927101200686108E-3</v>
      </c>
      <c r="BQ481" s="51">
        <v>1.9047853431774678E-3</v>
      </c>
      <c r="BR481" s="51">
        <v>1.9168605662863256E-3</v>
      </c>
      <c r="BS481" s="51">
        <v>1.9289357893951824E-3</v>
      </c>
      <c r="BT481" s="51">
        <v>1.9410110125040402E-3</v>
      </c>
      <c r="BU481" s="51">
        <v>1.9530862356128972E-3</v>
      </c>
      <c r="BV481" s="51">
        <v>1.9651614587217541E-3</v>
      </c>
      <c r="BW481" s="51">
        <v>1.9772366818306113E-3</v>
      </c>
      <c r="BX481" s="51">
        <v>1.989311904939469E-3</v>
      </c>
      <c r="BY481" s="51">
        <v>2.0013871280483257E-3</v>
      </c>
      <c r="BZ481" s="51">
        <v>2.0134623511571829E-3</v>
      </c>
      <c r="CA481" s="51">
        <v>2.0255375742660405E-3</v>
      </c>
      <c r="CB481" s="51">
        <v>2.0376127973748973E-3</v>
      </c>
      <c r="CC481" s="51">
        <v>2.0496880204837549E-3</v>
      </c>
      <c r="CD481" s="51">
        <v>2.0617632435926121E-3</v>
      </c>
      <c r="CE481" s="51">
        <v>2.0738384667014697E-3</v>
      </c>
      <c r="CF481" s="51">
        <v>2.0859136898103261E-3</v>
      </c>
      <c r="CG481" s="51">
        <v>2.0979889129191837E-3</v>
      </c>
      <c r="CH481" s="51">
        <v>2.1100641360280409E-3</v>
      </c>
      <c r="CI481" s="51">
        <v>2.1221393591368985E-3</v>
      </c>
      <c r="CJ481" s="51">
        <v>2.1342145822457557E-3</v>
      </c>
      <c r="CK481" s="51">
        <v>2.1462898053546129E-3</v>
      </c>
      <c r="CL481" s="51">
        <v>2.1583650284634701E-3</v>
      </c>
      <c r="CM481" s="51">
        <v>2.1704402515723277E-3</v>
      </c>
    </row>
    <row r="482" spans="1:91" s="50" customFormat="1" x14ac:dyDescent="0.25">
      <c r="A482" s="99" t="s">
        <v>1</v>
      </c>
      <c r="B482" s="4">
        <v>0</v>
      </c>
      <c r="C482" s="4">
        <v>0</v>
      </c>
      <c r="D482" s="4">
        <v>0</v>
      </c>
      <c r="E482" s="4">
        <v>0</v>
      </c>
      <c r="F482" s="4">
        <v>0</v>
      </c>
      <c r="G482" s="4">
        <v>0</v>
      </c>
      <c r="H482" s="4">
        <v>0</v>
      </c>
      <c r="I482" s="4">
        <v>0</v>
      </c>
      <c r="J482" s="4">
        <v>0</v>
      </c>
      <c r="K482" s="4">
        <v>0</v>
      </c>
      <c r="L482" s="4">
        <v>0</v>
      </c>
      <c r="M482" s="4">
        <v>0</v>
      </c>
      <c r="N482" s="4">
        <v>0</v>
      </c>
      <c r="O482" s="4">
        <v>0</v>
      </c>
      <c r="P482" s="4">
        <v>0</v>
      </c>
      <c r="Q482" s="4">
        <v>0</v>
      </c>
      <c r="R482" s="4">
        <v>0</v>
      </c>
      <c r="S482" s="4">
        <v>0</v>
      </c>
      <c r="T482" s="4">
        <v>0</v>
      </c>
      <c r="U482" s="4">
        <v>0</v>
      </c>
      <c r="V482" s="4">
        <v>0</v>
      </c>
      <c r="W482" s="4">
        <v>0</v>
      </c>
      <c r="X482" s="4">
        <v>0</v>
      </c>
      <c r="Y482" s="4">
        <v>0</v>
      </c>
      <c r="Z482" s="4">
        <v>0</v>
      </c>
      <c r="AA482" s="4">
        <v>0</v>
      </c>
      <c r="AB482" s="4">
        <v>0</v>
      </c>
      <c r="AC482" s="4">
        <v>0</v>
      </c>
      <c r="AD482" s="4">
        <v>0</v>
      </c>
      <c r="AE482" s="4">
        <v>0</v>
      </c>
      <c r="AF482" s="51">
        <v>1.6577549140049134E-3</v>
      </c>
      <c r="AG482" s="51">
        <v>1.6804361179361179E-3</v>
      </c>
      <c r="AH482" s="51">
        <v>1.7031173218673219E-3</v>
      </c>
      <c r="AI482" s="51">
        <v>1.7257985257985258E-3</v>
      </c>
      <c r="AJ482" s="51">
        <v>1.7484797297297294E-3</v>
      </c>
      <c r="AK482" s="51">
        <v>1.7711609336609332E-3</v>
      </c>
      <c r="AL482" s="51">
        <v>1.7938421375921377E-3</v>
      </c>
      <c r="AM482" s="51">
        <v>1.8165233415233415E-3</v>
      </c>
      <c r="AN482" s="51">
        <v>1.8392045454545453E-3</v>
      </c>
      <c r="AO482" s="51">
        <v>1.8618857493857496E-3</v>
      </c>
      <c r="AP482" s="51">
        <v>1.8845669533169532E-3</v>
      </c>
      <c r="AQ482" s="51">
        <v>1.9072481572481575E-3</v>
      </c>
      <c r="AR482" s="51">
        <v>1.9299293611793611E-3</v>
      </c>
      <c r="AS482" s="51">
        <v>1.9526105651105647E-3</v>
      </c>
      <c r="AT482" s="51">
        <v>1.9752917690417696E-3</v>
      </c>
      <c r="AU482" s="51">
        <v>1.9979729729729728E-3</v>
      </c>
      <c r="AV482" s="51">
        <v>2.0184735872235877E-3</v>
      </c>
      <c r="AW482" s="51">
        <v>2.0389742014742013E-3</v>
      </c>
      <c r="AX482" s="51">
        <v>2.0594748157248153E-3</v>
      </c>
      <c r="AY482" s="51">
        <v>2.0799754299754298E-3</v>
      </c>
      <c r="AZ482" s="51">
        <v>2.1004760442260443E-3</v>
      </c>
      <c r="BA482" s="51">
        <v>2.1209766584766587E-3</v>
      </c>
      <c r="BB482" s="51">
        <v>2.1414772727272723E-3</v>
      </c>
      <c r="BC482" s="51">
        <v>2.1619778869778868E-3</v>
      </c>
      <c r="BD482" s="51">
        <v>2.1824785012285013E-3</v>
      </c>
      <c r="BE482" s="51">
        <v>2.2029791154791153E-3</v>
      </c>
      <c r="BF482" s="51">
        <v>2.2234797297297293E-3</v>
      </c>
      <c r="BG482" s="51">
        <v>2.2439803439803438E-3</v>
      </c>
      <c r="BH482" s="51">
        <v>2.2644809582309583E-3</v>
      </c>
      <c r="BI482" s="51">
        <v>2.2849815724815723E-3</v>
      </c>
      <c r="BJ482" s="51">
        <v>2.3054821867321868E-3</v>
      </c>
      <c r="BK482" s="51">
        <v>2.3259828009828008E-3</v>
      </c>
      <c r="BL482" s="51">
        <v>2.3464834152334153E-3</v>
      </c>
      <c r="BM482" s="51">
        <v>2.3669840294840293E-3</v>
      </c>
      <c r="BN482" s="51">
        <v>2.3874846437346438E-3</v>
      </c>
      <c r="BO482" s="51">
        <v>2.4079852579852574E-3</v>
      </c>
      <c r="BP482" s="51">
        <v>2.4284858722358718E-3</v>
      </c>
      <c r="BQ482" s="51">
        <v>2.4489864864864859E-3</v>
      </c>
      <c r="BR482" s="51">
        <v>2.4694871007371003E-3</v>
      </c>
      <c r="BS482" s="51">
        <v>2.4899877149877148E-3</v>
      </c>
      <c r="BT482" s="51">
        <v>2.5104883292383293E-3</v>
      </c>
      <c r="BU482" s="51">
        <v>2.5309889434889433E-3</v>
      </c>
      <c r="BV482" s="51">
        <v>2.5514895577395573E-3</v>
      </c>
      <c r="BW482" s="51">
        <v>2.5719901719901722E-3</v>
      </c>
      <c r="BX482" s="51">
        <v>2.5924907862407863E-3</v>
      </c>
      <c r="BY482" s="51">
        <v>2.6129914004914007E-3</v>
      </c>
      <c r="BZ482" s="51">
        <v>2.6334920147420139E-3</v>
      </c>
      <c r="CA482" s="51">
        <v>2.6539926289926284E-3</v>
      </c>
      <c r="CB482" s="51">
        <v>2.6744932432432428E-3</v>
      </c>
      <c r="CC482" s="51">
        <v>2.6949938574938573E-3</v>
      </c>
      <c r="CD482" s="51">
        <v>2.7154944717444713E-3</v>
      </c>
      <c r="CE482" s="51">
        <v>2.7359950859950858E-3</v>
      </c>
      <c r="CF482" s="51">
        <v>2.7564957002457007E-3</v>
      </c>
      <c r="CG482" s="51">
        <v>2.7769963144963143E-3</v>
      </c>
      <c r="CH482" s="51">
        <v>2.7974969287469288E-3</v>
      </c>
      <c r="CI482" s="51">
        <v>2.8179975429975424E-3</v>
      </c>
      <c r="CJ482" s="51">
        <v>2.8384981572481573E-3</v>
      </c>
      <c r="CK482" s="51">
        <v>2.8589987714987713E-3</v>
      </c>
      <c r="CL482" s="51">
        <v>2.8794993857493853E-3</v>
      </c>
      <c r="CM482" s="51">
        <v>2.8999999999999998E-3</v>
      </c>
    </row>
    <row r="483" spans="1:91" s="50" customFormat="1" x14ac:dyDescent="0.25">
      <c r="A483" s="99" t="s">
        <v>1</v>
      </c>
      <c r="B483" s="4">
        <v>0</v>
      </c>
      <c r="C483" s="4">
        <v>0</v>
      </c>
      <c r="D483" s="4">
        <v>0</v>
      </c>
      <c r="E483" s="4">
        <v>0</v>
      </c>
      <c r="F483" s="4">
        <v>0</v>
      </c>
      <c r="G483" s="4">
        <v>0</v>
      </c>
      <c r="H483" s="4">
        <v>0</v>
      </c>
      <c r="I483" s="4">
        <v>0</v>
      </c>
      <c r="J483" s="4">
        <v>0</v>
      </c>
      <c r="K483" s="4">
        <v>0</v>
      </c>
      <c r="L483" s="4">
        <v>0</v>
      </c>
      <c r="M483" s="4">
        <v>0</v>
      </c>
      <c r="N483" s="4">
        <v>0</v>
      </c>
      <c r="O483" s="4">
        <v>0</v>
      </c>
      <c r="P483" s="4">
        <v>0</v>
      </c>
      <c r="Q483" s="4">
        <v>0</v>
      </c>
      <c r="R483" s="4">
        <v>0</v>
      </c>
      <c r="S483" s="4">
        <v>0</v>
      </c>
      <c r="T483" s="4">
        <v>0</v>
      </c>
      <c r="U483" s="4">
        <v>0</v>
      </c>
      <c r="V483" s="4">
        <v>0</v>
      </c>
      <c r="W483" s="4">
        <v>0</v>
      </c>
      <c r="X483" s="4">
        <v>0</v>
      </c>
      <c r="Y483" s="4">
        <v>0</v>
      </c>
      <c r="Z483" s="4">
        <v>0</v>
      </c>
      <c r="AA483" s="4">
        <v>0</v>
      </c>
      <c r="AB483" s="4">
        <v>0</v>
      </c>
      <c r="AC483" s="4">
        <v>0</v>
      </c>
      <c r="AD483" s="4">
        <v>0</v>
      </c>
      <c r="AE483" s="4">
        <v>0</v>
      </c>
      <c r="AF483" s="51">
        <v>6.1522727272727278E-2</v>
      </c>
      <c r="AG483" s="51">
        <v>6.1954545454545457E-2</v>
      </c>
      <c r="AH483" s="51">
        <v>6.2386363636363643E-2</v>
      </c>
      <c r="AI483" s="51">
        <v>6.2818181818181829E-2</v>
      </c>
      <c r="AJ483" s="51">
        <v>6.3250000000000001E-2</v>
      </c>
      <c r="AK483" s="51">
        <v>6.3681818181818187E-2</v>
      </c>
      <c r="AL483" s="51">
        <v>6.4113636363636373E-2</v>
      </c>
      <c r="AM483" s="51">
        <v>6.4545454545454545E-2</v>
      </c>
      <c r="AN483" s="51">
        <v>6.4977272727272731E-2</v>
      </c>
      <c r="AO483" s="51">
        <v>6.5409090909090917E-2</v>
      </c>
      <c r="AP483" s="51">
        <v>6.5840909090909089E-2</v>
      </c>
      <c r="AQ483" s="51">
        <v>6.6272727272727275E-2</v>
      </c>
      <c r="AR483" s="51">
        <v>6.6704545454545461E-2</v>
      </c>
      <c r="AS483" s="51">
        <v>6.7136363636363633E-2</v>
      </c>
      <c r="AT483" s="51">
        <v>6.7568181818181819E-2</v>
      </c>
      <c r="AU483" s="51">
        <v>6.8000000000000005E-2</v>
      </c>
      <c r="AV483" s="51">
        <v>6.881818181818182E-2</v>
      </c>
      <c r="AW483" s="51">
        <v>6.9636363636363635E-2</v>
      </c>
      <c r="AX483" s="51">
        <v>7.0454545454545464E-2</v>
      </c>
      <c r="AY483" s="51">
        <v>7.1272727272727279E-2</v>
      </c>
      <c r="AZ483" s="51">
        <v>7.2090909090909094E-2</v>
      </c>
      <c r="BA483" s="51">
        <v>7.290909090909091E-2</v>
      </c>
      <c r="BB483" s="51">
        <v>7.3727272727272725E-2</v>
      </c>
      <c r="BC483" s="51">
        <v>7.4545454545454554E-2</v>
      </c>
      <c r="BD483" s="51">
        <v>7.5363636363636369E-2</v>
      </c>
      <c r="BE483" s="51">
        <v>7.6181818181818184E-2</v>
      </c>
      <c r="BF483" s="51">
        <v>7.6999999999999999E-2</v>
      </c>
      <c r="BG483" s="51">
        <v>7.7818181818181814E-2</v>
      </c>
      <c r="BH483" s="51">
        <v>7.8636363636363643E-2</v>
      </c>
      <c r="BI483" s="51">
        <v>7.9454545454545458E-2</v>
      </c>
      <c r="BJ483" s="51">
        <v>8.0272727272727273E-2</v>
      </c>
      <c r="BK483" s="51">
        <v>8.1090909090909088E-2</v>
      </c>
      <c r="BL483" s="51">
        <v>8.1909090909090904E-2</v>
      </c>
      <c r="BM483" s="51">
        <v>8.2727272727272733E-2</v>
      </c>
      <c r="BN483" s="51">
        <v>8.3545454545454548E-2</v>
      </c>
      <c r="BO483" s="51">
        <v>8.4363636363636363E-2</v>
      </c>
      <c r="BP483" s="51">
        <v>8.5181818181818178E-2</v>
      </c>
      <c r="BQ483" s="51">
        <v>8.5999999999999993E-2</v>
      </c>
      <c r="BR483" s="51">
        <v>8.6818181818181822E-2</v>
      </c>
      <c r="BS483" s="51">
        <v>8.7636363636363637E-2</v>
      </c>
      <c r="BT483" s="51">
        <v>8.8454545454545452E-2</v>
      </c>
      <c r="BU483" s="51">
        <v>8.9272727272727267E-2</v>
      </c>
      <c r="BV483" s="51">
        <v>9.0090909090909083E-2</v>
      </c>
      <c r="BW483" s="51">
        <v>9.0909090909090912E-2</v>
      </c>
      <c r="BX483" s="51">
        <v>9.1727272727272727E-2</v>
      </c>
      <c r="BY483" s="51">
        <v>9.2545454545454542E-2</v>
      </c>
      <c r="BZ483" s="51">
        <v>9.3363636363636357E-2</v>
      </c>
      <c r="CA483" s="51">
        <v>9.4181818181818172E-2</v>
      </c>
      <c r="CB483" s="51">
        <v>9.5000000000000001E-2</v>
      </c>
      <c r="CC483" s="51">
        <v>9.5818181818181816E-2</v>
      </c>
      <c r="CD483" s="51">
        <v>9.6636363636363631E-2</v>
      </c>
      <c r="CE483" s="51">
        <v>9.7454545454545446E-2</v>
      </c>
      <c r="CF483" s="51">
        <v>9.8272727272727262E-2</v>
      </c>
      <c r="CG483" s="51">
        <v>9.9090909090909091E-2</v>
      </c>
      <c r="CH483" s="51">
        <v>9.9909090909090906E-2</v>
      </c>
      <c r="CI483" s="51">
        <v>0.10072727272727272</v>
      </c>
      <c r="CJ483" s="51">
        <v>0.10154545454545455</v>
      </c>
      <c r="CK483" s="51">
        <v>0.10236363636363635</v>
      </c>
      <c r="CL483" s="51">
        <v>0.10318181818181818</v>
      </c>
      <c r="CM483" s="51">
        <v>0.104</v>
      </c>
    </row>
    <row r="484" spans="1:91" s="50" customFormat="1" x14ac:dyDescent="0.25">
      <c r="A484" s="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91" s="50" customFormat="1" x14ac:dyDescent="0.25">
      <c r="A485" s="99" t="s">
        <v>186</v>
      </c>
      <c r="B485" s="4">
        <v>0</v>
      </c>
      <c r="C485" s="4">
        <v>0</v>
      </c>
      <c r="D485" s="4">
        <v>0</v>
      </c>
      <c r="E485" s="4">
        <v>0</v>
      </c>
      <c r="F485" s="4">
        <v>0</v>
      </c>
      <c r="G485" s="4">
        <v>0</v>
      </c>
      <c r="H485" s="4">
        <v>0</v>
      </c>
      <c r="I485" s="4">
        <v>0</v>
      </c>
      <c r="J485" s="4">
        <v>0</v>
      </c>
      <c r="K485" s="4">
        <v>0</v>
      </c>
      <c r="L485" s="4">
        <v>0</v>
      </c>
      <c r="M485" s="4">
        <v>0</v>
      </c>
      <c r="N485" s="4">
        <v>0</v>
      </c>
      <c r="O485" s="4">
        <v>0</v>
      </c>
      <c r="P485" s="4">
        <v>0</v>
      </c>
      <c r="Q485" s="4">
        <v>0</v>
      </c>
      <c r="R485" s="4">
        <v>0</v>
      </c>
      <c r="S485" s="4">
        <v>0</v>
      </c>
      <c r="T485" s="4">
        <v>0</v>
      </c>
      <c r="U485" s="4">
        <v>0</v>
      </c>
      <c r="V485" s="4">
        <v>0</v>
      </c>
      <c r="W485" s="4">
        <v>0</v>
      </c>
      <c r="X485" s="4">
        <v>0</v>
      </c>
      <c r="Y485" s="4">
        <v>0</v>
      </c>
      <c r="Z485" s="4">
        <v>0</v>
      </c>
      <c r="AA485" s="4">
        <v>0</v>
      </c>
      <c r="AB485" s="4">
        <v>0</v>
      </c>
      <c r="AC485" s="4">
        <v>0</v>
      </c>
      <c r="AD485" s="4">
        <v>0</v>
      </c>
      <c r="AE485" s="4">
        <v>0</v>
      </c>
      <c r="AF485" s="51">
        <v>9.6590909090909095E-4</v>
      </c>
      <c r="AG485" s="51">
        <v>9.6818181818181823E-4</v>
      </c>
      <c r="AH485" s="51">
        <v>9.704545454545454E-4</v>
      </c>
      <c r="AI485" s="51">
        <v>9.7272727272727268E-4</v>
      </c>
      <c r="AJ485" s="51">
        <v>9.7499999999999996E-4</v>
      </c>
      <c r="AK485" s="51">
        <v>9.7727272727272723E-4</v>
      </c>
      <c r="AL485" s="51">
        <v>9.7954545454545451E-4</v>
      </c>
      <c r="AM485" s="51">
        <v>9.8181818181818179E-4</v>
      </c>
      <c r="AN485" s="51">
        <v>9.8409090909090907E-4</v>
      </c>
      <c r="AO485" s="51">
        <v>9.8636363636363635E-4</v>
      </c>
      <c r="AP485" s="51">
        <v>9.8863636363636363E-4</v>
      </c>
      <c r="AQ485" s="51">
        <v>9.9090909090909091E-4</v>
      </c>
      <c r="AR485" s="51">
        <v>9.9318181818181818E-4</v>
      </c>
      <c r="AS485" s="51">
        <v>9.9545454545454546E-4</v>
      </c>
      <c r="AT485" s="51">
        <v>9.9772727272727274E-4</v>
      </c>
      <c r="AU485" s="51">
        <v>1E-3</v>
      </c>
      <c r="AV485" s="51">
        <v>1.0363636363636365E-3</v>
      </c>
      <c r="AW485" s="51">
        <v>1.0727272727272727E-3</v>
      </c>
      <c r="AX485" s="51">
        <v>1.1090909090909092E-3</v>
      </c>
      <c r="AY485" s="51">
        <v>1.1454545454545454E-3</v>
      </c>
      <c r="AZ485" s="51">
        <v>1.1818181818181819E-3</v>
      </c>
      <c r="BA485" s="51">
        <v>1.2181818181818181E-3</v>
      </c>
      <c r="BB485" s="51">
        <v>1.2545454545454546E-3</v>
      </c>
      <c r="BC485" s="51">
        <v>1.2909090909090908E-3</v>
      </c>
      <c r="BD485" s="51">
        <v>1.3272727272727273E-3</v>
      </c>
      <c r="BE485" s="51">
        <v>1.3636363636363635E-3</v>
      </c>
      <c r="BF485" s="51">
        <v>1.4E-3</v>
      </c>
      <c r="BG485" s="51">
        <v>1.4363636363636362E-3</v>
      </c>
      <c r="BH485" s="51">
        <v>1.4727272727272727E-3</v>
      </c>
      <c r="BI485" s="51">
        <v>1.5090909090909091E-3</v>
      </c>
      <c r="BJ485" s="51">
        <v>1.5454545454545454E-3</v>
      </c>
      <c r="BK485" s="51">
        <v>1.5818181818181816E-3</v>
      </c>
      <c r="BL485" s="51">
        <v>1.6181818181818181E-3</v>
      </c>
      <c r="BM485" s="51">
        <v>1.6545454545454545E-3</v>
      </c>
      <c r="BN485" s="51">
        <v>1.6909090909090908E-3</v>
      </c>
      <c r="BO485" s="51">
        <v>1.727272727272727E-3</v>
      </c>
      <c r="BP485" s="51">
        <v>1.7636363636363635E-3</v>
      </c>
      <c r="BQ485" s="51">
        <v>1.8E-3</v>
      </c>
      <c r="BR485" s="51">
        <v>1.8363636363636362E-3</v>
      </c>
      <c r="BS485" s="51">
        <v>1.8727272727272727E-3</v>
      </c>
      <c r="BT485" s="51">
        <v>1.9090909090909089E-3</v>
      </c>
      <c r="BU485" s="51">
        <v>1.9454545454545454E-3</v>
      </c>
      <c r="BV485" s="51">
        <v>1.9818181818181818E-3</v>
      </c>
      <c r="BW485" s="51">
        <v>2.0181818181818183E-3</v>
      </c>
      <c r="BX485" s="51">
        <v>2.0545454545454543E-3</v>
      </c>
      <c r="BY485" s="51">
        <v>2.0909090909090908E-3</v>
      </c>
      <c r="BZ485" s="51">
        <v>2.1272727272727268E-3</v>
      </c>
      <c r="CA485" s="51">
        <v>2.1636363636363632E-3</v>
      </c>
      <c r="CB485" s="51">
        <v>2.1999999999999997E-3</v>
      </c>
      <c r="CC485" s="51">
        <v>2.2363636363636362E-3</v>
      </c>
      <c r="CD485" s="51">
        <v>2.2727272727272726E-3</v>
      </c>
      <c r="CE485" s="51">
        <v>2.3090909090909091E-3</v>
      </c>
      <c r="CF485" s="51">
        <v>2.3454545454545455E-3</v>
      </c>
      <c r="CG485" s="51">
        <v>2.3818181818181816E-3</v>
      </c>
      <c r="CH485" s="51">
        <v>2.418181818181818E-3</v>
      </c>
      <c r="CI485" s="51">
        <v>2.454545454545454E-3</v>
      </c>
      <c r="CJ485" s="51">
        <v>2.4909090909090905E-3</v>
      </c>
      <c r="CK485" s="51">
        <v>2.527272727272727E-3</v>
      </c>
      <c r="CL485" s="51">
        <v>2.5636363636363634E-3</v>
      </c>
      <c r="CM485" s="51">
        <v>2.5999999999999999E-3</v>
      </c>
    </row>
    <row r="486" spans="1:91" s="50" customFormat="1" x14ac:dyDescent="0.25">
      <c r="A486" s="9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91" s="50" customFormat="1" x14ac:dyDescent="0.25">
      <c r="A487" s="99" t="s">
        <v>383</v>
      </c>
      <c r="B487" s="4">
        <v>0</v>
      </c>
      <c r="C487" s="4">
        <v>0</v>
      </c>
      <c r="D487" s="4">
        <v>0</v>
      </c>
      <c r="E487" s="4">
        <v>0</v>
      </c>
      <c r="F487" s="4">
        <v>0</v>
      </c>
      <c r="G487" s="4">
        <v>0</v>
      </c>
      <c r="H487" s="4">
        <v>0</v>
      </c>
      <c r="I487" s="4">
        <v>0</v>
      </c>
      <c r="J487" s="4">
        <v>0</v>
      </c>
      <c r="K487" s="4">
        <v>0</v>
      </c>
      <c r="L487" s="4">
        <v>0</v>
      </c>
      <c r="M487" s="4">
        <v>0</v>
      </c>
      <c r="N487" s="4">
        <v>0</v>
      </c>
      <c r="O487" s="4">
        <v>0</v>
      </c>
      <c r="P487" s="4">
        <v>0</v>
      </c>
      <c r="Q487" s="4">
        <v>0</v>
      </c>
      <c r="R487" s="4">
        <v>0</v>
      </c>
      <c r="S487" s="4">
        <v>0</v>
      </c>
      <c r="T487" s="4">
        <v>0</v>
      </c>
      <c r="U487" s="4">
        <v>0</v>
      </c>
      <c r="V487" s="4">
        <v>0</v>
      </c>
      <c r="W487" s="4">
        <v>0</v>
      </c>
      <c r="X487" s="4">
        <v>0</v>
      </c>
      <c r="Y487" s="4">
        <v>0</v>
      </c>
      <c r="Z487" s="4">
        <v>0</v>
      </c>
      <c r="AA487" s="4">
        <v>0</v>
      </c>
      <c r="AB487" s="4">
        <v>0</v>
      </c>
      <c r="AC487" s="4">
        <v>0</v>
      </c>
      <c r="AD487" s="4">
        <v>0</v>
      </c>
      <c r="AE487" s="4">
        <v>0</v>
      </c>
      <c r="AF487" s="51">
        <v>9.6590909090909095E-4</v>
      </c>
      <c r="AG487" s="51">
        <v>9.6818181818181823E-4</v>
      </c>
      <c r="AH487" s="51">
        <v>9.704545454545454E-4</v>
      </c>
      <c r="AI487" s="51">
        <v>9.7272727272727268E-4</v>
      </c>
      <c r="AJ487" s="51">
        <v>9.7499999999999996E-4</v>
      </c>
      <c r="AK487" s="51">
        <v>9.7727272727272723E-4</v>
      </c>
      <c r="AL487" s="51">
        <v>9.7954545454545451E-4</v>
      </c>
      <c r="AM487" s="51">
        <v>9.8181818181818179E-4</v>
      </c>
      <c r="AN487" s="51">
        <v>9.8409090909090907E-4</v>
      </c>
      <c r="AO487" s="51">
        <v>9.8636363636363635E-4</v>
      </c>
      <c r="AP487" s="51">
        <v>9.8863636363636363E-4</v>
      </c>
      <c r="AQ487" s="51">
        <v>9.9090909090909091E-4</v>
      </c>
      <c r="AR487" s="51">
        <v>9.9318181818181818E-4</v>
      </c>
      <c r="AS487" s="51">
        <v>9.9545454545454546E-4</v>
      </c>
      <c r="AT487" s="51">
        <v>9.9772727272727274E-4</v>
      </c>
      <c r="AU487" s="51">
        <v>1E-3</v>
      </c>
      <c r="AV487" s="51">
        <v>1.0363636363636365E-3</v>
      </c>
      <c r="AW487" s="51">
        <v>1.0727272727272727E-3</v>
      </c>
      <c r="AX487" s="51">
        <v>1.1090909090909092E-3</v>
      </c>
      <c r="AY487" s="51">
        <v>1.1454545454545454E-3</v>
      </c>
      <c r="AZ487" s="51">
        <v>1.1818181818181819E-3</v>
      </c>
      <c r="BA487" s="51">
        <v>1.2181818181818181E-3</v>
      </c>
      <c r="BB487" s="51">
        <v>1.2545454545454546E-3</v>
      </c>
      <c r="BC487" s="51">
        <v>1.2909090909090908E-3</v>
      </c>
      <c r="BD487" s="51">
        <v>1.3272727272727273E-3</v>
      </c>
      <c r="BE487" s="51">
        <v>1.3636363636363635E-3</v>
      </c>
      <c r="BF487" s="51">
        <v>1.4E-3</v>
      </c>
      <c r="BG487" s="51">
        <v>1.4363636363636362E-3</v>
      </c>
      <c r="BH487" s="51">
        <v>1.4727272727272727E-3</v>
      </c>
      <c r="BI487" s="51">
        <v>1.5090909090909091E-3</v>
      </c>
      <c r="BJ487" s="51">
        <v>1.5454545454545454E-3</v>
      </c>
      <c r="BK487" s="51">
        <v>1.5818181818181816E-3</v>
      </c>
      <c r="BL487" s="51">
        <v>1.6181818181818181E-3</v>
      </c>
      <c r="BM487" s="51">
        <v>1.6545454545454545E-3</v>
      </c>
      <c r="BN487" s="51">
        <v>1.6909090909090908E-3</v>
      </c>
      <c r="BO487" s="51">
        <v>1.727272727272727E-3</v>
      </c>
      <c r="BP487" s="51">
        <v>1.7636363636363635E-3</v>
      </c>
      <c r="BQ487" s="51">
        <v>1.8E-3</v>
      </c>
      <c r="BR487" s="51">
        <v>1.8363636363636362E-3</v>
      </c>
      <c r="BS487" s="51">
        <v>1.8727272727272727E-3</v>
      </c>
      <c r="BT487" s="51">
        <v>1.9090909090909089E-3</v>
      </c>
      <c r="BU487" s="51">
        <v>1.9454545454545454E-3</v>
      </c>
      <c r="BV487" s="51">
        <v>1.9818181818181818E-3</v>
      </c>
      <c r="BW487" s="51">
        <v>2.0181818181818183E-3</v>
      </c>
      <c r="BX487" s="51">
        <v>2.0545454545454543E-3</v>
      </c>
      <c r="BY487" s="51">
        <v>2.0909090909090908E-3</v>
      </c>
      <c r="BZ487" s="51">
        <v>2.1272727272727268E-3</v>
      </c>
      <c r="CA487" s="51">
        <v>2.1636363636363632E-3</v>
      </c>
      <c r="CB487" s="51">
        <v>2.1999999999999997E-3</v>
      </c>
      <c r="CC487" s="51">
        <v>2.2363636363636362E-3</v>
      </c>
      <c r="CD487" s="51">
        <v>2.2727272727272726E-3</v>
      </c>
      <c r="CE487" s="51">
        <v>2.3090909090909091E-3</v>
      </c>
      <c r="CF487" s="51">
        <v>2.3454545454545455E-3</v>
      </c>
      <c r="CG487" s="51">
        <v>2.3818181818181816E-3</v>
      </c>
      <c r="CH487" s="51">
        <v>2.418181818181818E-3</v>
      </c>
      <c r="CI487" s="51">
        <v>2.454545454545454E-3</v>
      </c>
      <c r="CJ487" s="51">
        <v>2.4909090909090905E-3</v>
      </c>
      <c r="CK487" s="51">
        <v>2.527272727272727E-3</v>
      </c>
      <c r="CL487" s="51">
        <v>2.5636363636363634E-3</v>
      </c>
      <c r="CM487" s="51">
        <v>2.5999999999999999E-3</v>
      </c>
    </row>
    <row r="488" spans="1:91" s="50" customFormat="1" x14ac:dyDescent="0.25">
      <c r="A488" s="9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91" s="50" customFormat="1" x14ac:dyDescent="0.25">
      <c r="A489" s="99" t="s">
        <v>355</v>
      </c>
      <c r="B489" s="4">
        <v>0</v>
      </c>
      <c r="C489" s="4">
        <v>0</v>
      </c>
      <c r="D489" s="4">
        <v>0</v>
      </c>
      <c r="E489" s="4">
        <v>0</v>
      </c>
      <c r="F489" s="4">
        <v>0</v>
      </c>
      <c r="G489" s="4">
        <v>0</v>
      </c>
      <c r="H489" s="4">
        <v>0</v>
      </c>
      <c r="I489" s="4">
        <v>0</v>
      </c>
      <c r="J489" s="4">
        <v>0</v>
      </c>
      <c r="K489" s="4">
        <v>0</v>
      </c>
      <c r="L489" s="4">
        <v>0</v>
      </c>
      <c r="M489" s="4">
        <v>0</v>
      </c>
      <c r="N489" s="4">
        <v>0</v>
      </c>
      <c r="O489" s="4">
        <v>0</v>
      </c>
      <c r="P489" s="4">
        <v>0</v>
      </c>
      <c r="Q489" s="4">
        <v>0</v>
      </c>
      <c r="R489" s="4">
        <v>0</v>
      </c>
      <c r="S489" s="4">
        <v>0</v>
      </c>
      <c r="T489" s="4">
        <v>0</v>
      </c>
      <c r="U489" s="4">
        <v>0</v>
      </c>
      <c r="V489" s="4">
        <v>0</v>
      </c>
      <c r="W489" s="4">
        <v>0</v>
      </c>
      <c r="X489" s="4">
        <v>0</v>
      </c>
      <c r="Y489" s="4">
        <v>0</v>
      </c>
      <c r="Z489" s="4">
        <v>0</v>
      </c>
      <c r="AA489" s="4">
        <v>0</v>
      </c>
      <c r="AB489" s="4">
        <v>0</v>
      </c>
      <c r="AC489" s="4">
        <v>0</v>
      </c>
      <c r="AD489" s="4">
        <v>0</v>
      </c>
      <c r="AE489" s="4">
        <v>0</v>
      </c>
      <c r="AF489" s="51">
        <v>8.6618671127481966E-4</v>
      </c>
      <c r="AG489" s="51">
        <v>8.7332065560907562E-4</v>
      </c>
      <c r="AH489" s="51">
        <v>8.8045459994333169E-4</v>
      </c>
      <c r="AI489" s="51">
        <v>8.8758854427758765E-4</v>
      </c>
      <c r="AJ489" s="51">
        <v>8.9472248861184372E-4</v>
      </c>
      <c r="AK489" s="51">
        <v>9.0185643294609969E-4</v>
      </c>
      <c r="AL489" s="51">
        <v>9.0899037728035576E-4</v>
      </c>
      <c r="AM489" s="51">
        <v>9.1612432161461172E-4</v>
      </c>
      <c r="AN489" s="51">
        <v>9.2325826594886768E-4</v>
      </c>
      <c r="AO489" s="51">
        <v>9.3039221028312375E-4</v>
      </c>
      <c r="AP489" s="51">
        <v>9.3752615461737982E-4</v>
      </c>
      <c r="AQ489" s="51">
        <v>9.4466009895163578E-4</v>
      </c>
      <c r="AR489" s="51">
        <v>9.5179404328589175E-4</v>
      </c>
      <c r="AS489" s="51">
        <v>9.5892798762014782E-4</v>
      </c>
      <c r="AT489" s="51">
        <v>9.6606193195440389E-4</v>
      </c>
      <c r="AU489" s="51">
        <v>9.7319587628865985E-4</v>
      </c>
      <c r="AV489" s="51">
        <v>9.9072164948453621E-4</v>
      </c>
      <c r="AW489" s="51">
        <v>1.0082474226804125E-3</v>
      </c>
      <c r="AX489" s="51">
        <v>1.0257731958762887E-3</v>
      </c>
      <c r="AY489" s="51">
        <v>1.043298969072165E-3</v>
      </c>
      <c r="AZ489" s="51">
        <v>1.0608247422680412E-3</v>
      </c>
      <c r="BA489" s="51">
        <v>1.0783505154639175E-3</v>
      </c>
      <c r="BB489" s="51">
        <v>1.095876288659794E-3</v>
      </c>
      <c r="BC489" s="51">
        <v>1.1134020618556702E-3</v>
      </c>
      <c r="BD489" s="51">
        <v>1.1309278350515465E-3</v>
      </c>
      <c r="BE489" s="51">
        <v>1.1484536082474227E-3</v>
      </c>
      <c r="BF489" s="51">
        <v>1.165979381443299E-3</v>
      </c>
      <c r="BG489" s="51">
        <v>1.1835051546391752E-3</v>
      </c>
      <c r="BH489" s="51">
        <v>1.2010309278350515E-3</v>
      </c>
      <c r="BI489" s="51">
        <v>1.2185567010309277E-3</v>
      </c>
      <c r="BJ489" s="51">
        <v>1.236082474226804E-3</v>
      </c>
      <c r="BK489" s="51">
        <v>1.2536082474226805E-3</v>
      </c>
      <c r="BL489" s="51">
        <v>1.2711340206185567E-3</v>
      </c>
      <c r="BM489" s="51">
        <v>1.288659793814433E-3</v>
      </c>
      <c r="BN489" s="51">
        <v>1.3061855670103092E-3</v>
      </c>
      <c r="BO489" s="51">
        <v>1.3237113402061855E-3</v>
      </c>
      <c r="BP489" s="51">
        <v>1.3412371134020619E-3</v>
      </c>
      <c r="BQ489" s="51">
        <v>1.3587628865979382E-3</v>
      </c>
      <c r="BR489" s="51">
        <v>1.3762886597938145E-3</v>
      </c>
      <c r="BS489" s="51">
        <v>1.3938144329896907E-3</v>
      </c>
      <c r="BT489" s="51">
        <v>1.411340206185567E-3</v>
      </c>
      <c r="BU489" s="51">
        <v>1.4288659793814432E-3</v>
      </c>
      <c r="BV489" s="51">
        <v>1.4463917525773195E-3</v>
      </c>
      <c r="BW489" s="51">
        <v>1.4639175257731957E-3</v>
      </c>
      <c r="BX489" s="51">
        <v>1.481443298969072E-3</v>
      </c>
      <c r="BY489" s="51">
        <v>1.4989690721649482E-3</v>
      </c>
      <c r="BZ489" s="51">
        <v>1.5164948453608247E-3</v>
      </c>
      <c r="CA489" s="51">
        <v>1.534020618556701E-3</v>
      </c>
      <c r="CB489" s="51">
        <v>1.5515463917525772E-3</v>
      </c>
      <c r="CC489" s="51">
        <v>1.5690721649484537E-3</v>
      </c>
      <c r="CD489" s="51">
        <v>1.5865979381443299E-3</v>
      </c>
      <c r="CE489" s="51">
        <v>1.6041237113402062E-3</v>
      </c>
      <c r="CF489" s="51">
        <v>1.6216494845360824E-3</v>
      </c>
      <c r="CG489" s="51">
        <v>1.6391752577319587E-3</v>
      </c>
      <c r="CH489" s="51">
        <v>1.656701030927835E-3</v>
      </c>
      <c r="CI489" s="51">
        <v>1.6742268041237112E-3</v>
      </c>
      <c r="CJ489" s="51">
        <v>1.6917525773195875E-3</v>
      </c>
      <c r="CK489" s="51">
        <v>1.7092783505154637E-3</v>
      </c>
      <c r="CL489" s="51">
        <v>1.72680412371134E-3</v>
      </c>
      <c r="CM489" s="51">
        <v>1.7443298969072164E-3</v>
      </c>
    </row>
    <row r="490" spans="1:91" s="50" customFormat="1" x14ac:dyDescent="0.25">
      <c r="A490" s="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91" s="50" customFormat="1" x14ac:dyDescent="0.25">
      <c r="A491" s="99" t="s">
        <v>374</v>
      </c>
      <c r="B491" s="4">
        <v>0</v>
      </c>
      <c r="C491" s="4">
        <v>0</v>
      </c>
      <c r="D491" s="4">
        <v>0</v>
      </c>
      <c r="E491" s="4">
        <v>0</v>
      </c>
      <c r="F491" s="4">
        <v>0</v>
      </c>
      <c r="G491" s="4">
        <v>0</v>
      </c>
      <c r="H491" s="4">
        <v>0</v>
      </c>
      <c r="I491" s="4">
        <v>0</v>
      </c>
      <c r="J491" s="4">
        <v>0</v>
      </c>
      <c r="K491" s="4">
        <v>0</v>
      </c>
      <c r="L491" s="4">
        <v>0</v>
      </c>
      <c r="M491" s="4">
        <v>0</v>
      </c>
      <c r="N491" s="4">
        <v>0</v>
      </c>
      <c r="O491" s="4">
        <v>0</v>
      </c>
      <c r="P491" s="4">
        <v>0</v>
      </c>
      <c r="Q491" s="4">
        <v>0</v>
      </c>
      <c r="R491" s="4">
        <v>0</v>
      </c>
      <c r="S491" s="4">
        <v>0</v>
      </c>
      <c r="T491" s="4">
        <v>0</v>
      </c>
      <c r="U491" s="4">
        <v>0</v>
      </c>
      <c r="V491" s="4">
        <v>0</v>
      </c>
      <c r="W491" s="4">
        <v>0</v>
      </c>
      <c r="X491" s="4">
        <v>0</v>
      </c>
      <c r="Y491" s="4">
        <v>0</v>
      </c>
      <c r="Z491" s="4">
        <v>0</v>
      </c>
      <c r="AA491" s="4">
        <v>0</v>
      </c>
      <c r="AB491" s="4">
        <v>0</v>
      </c>
      <c r="AC491" s="4">
        <v>0</v>
      </c>
      <c r="AD491" s="4">
        <v>0</v>
      </c>
      <c r="AE491" s="4">
        <v>0</v>
      </c>
      <c r="AF491" s="51">
        <v>8.6618671127481966E-4</v>
      </c>
      <c r="AG491" s="51">
        <v>8.7332065560907562E-4</v>
      </c>
      <c r="AH491" s="51">
        <v>8.8045459994333169E-4</v>
      </c>
      <c r="AI491" s="51">
        <v>8.8758854427758765E-4</v>
      </c>
      <c r="AJ491" s="51">
        <v>8.9472248861184372E-4</v>
      </c>
      <c r="AK491" s="51">
        <v>9.0185643294609969E-4</v>
      </c>
      <c r="AL491" s="51">
        <v>9.0899037728035576E-4</v>
      </c>
      <c r="AM491" s="51">
        <v>9.1612432161461172E-4</v>
      </c>
      <c r="AN491" s="51">
        <v>9.2325826594886768E-4</v>
      </c>
      <c r="AO491" s="51">
        <v>9.3039221028312375E-4</v>
      </c>
      <c r="AP491" s="51">
        <v>9.3752615461737982E-4</v>
      </c>
      <c r="AQ491" s="51">
        <v>9.4466009895163578E-4</v>
      </c>
      <c r="AR491" s="51">
        <v>9.5179404328589175E-4</v>
      </c>
      <c r="AS491" s="51">
        <v>9.5892798762014782E-4</v>
      </c>
      <c r="AT491" s="51">
        <v>9.6606193195440389E-4</v>
      </c>
      <c r="AU491" s="51">
        <v>9.7319587628865985E-4</v>
      </c>
      <c r="AV491" s="51">
        <v>9.9072164948453621E-4</v>
      </c>
      <c r="AW491" s="51">
        <v>1.0082474226804125E-3</v>
      </c>
      <c r="AX491" s="51">
        <v>1.0257731958762887E-3</v>
      </c>
      <c r="AY491" s="51">
        <v>1.043298969072165E-3</v>
      </c>
      <c r="AZ491" s="51">
        <v>1.0608247422680412E-3</v>
      </c>
      <c r="BA491" s="51">
        <v>1.0783505154639175E-3</v>
      </c>
      <c r="BB491" s="51">
        <v>1.095876288659794E-3</v>
      </c>
      <c r="BC491" s="51">
        <v>1.1134020618556702E-3</v>
      </c>
      <c r="BD491" s="51">
        <v>1.1309278350515465E-3</v>
      </c>
      <c r="BE491" s="51">
        <v>1.1484536082474227E-3</v>
      </c>
      <c r="BF491" s="51">
        <v>1.165979381443299E-3</v>
      </c>
      <c r="BG491" s="51">
        <v>1.1835051546391752E-3</v>
      </c>
      <c r="BH491" s="51">
        <v>1.2010309278350515E-3</v>
      </c>
      <c r="BI491" s="51">
        <v>1.2185567010309277E-3</v>
      </c>
      <c r="BJ491" s="51">
        <v>1.236082474226804E-3</v>
      </c>
      <c r="BK491" s="51">
        <v>1.2536082474226805E-3</v>
      </c>
      <c r="BL491" s="51">
        <v>1.2711340206185567E-3</v>
      </c>
      <c r="BM491" s="51">
        <v>1.288659793814433E-3</v>
      </c>
      <c r="BN491" s="51">
        <v>1.3061855670103092E-3</v>
      </c>
      <c r="BO491" s="51">
        <v>1.3237113402061855E-3</v>
      </c>
      <c r="BP491" s="51">
        <v>1.3412371134020619E-3</v>
      </c>
      <c r="BQ491" s="51">
        <v>1.3587628865979382E-3</v>
      </c>
      <c r="BR491" s="51">
        <v>1.3762886597938145E-3</v>
      </c>
      <c r="BS491" s="51">
        <v>1.3938144329896907E-3</v>
      </c>
      <c r="BT491" s="51">
        <v>1.411340206185567E-3</v>
      </c>
      <c r="BU491" s="51">
        <v>1.4288659793814432E-3</v>
      </c>
      <c r="BV491" s="51">
        <v>1.4463917525773195E-3</v>
      </c>
      <c r="BW491" s="51">
        <v>1.4639175257731957E-3</v>
      </c>
      <c r="BX491" s="51">
        <v>1.481443298969072E-3</v>
      </c>
      <c r="BY491" s="51">
        <v>1.4989690721649482E-3</v>
      </c>
      <c r="BZ491" s="51">
        <v>1.5164948453608247E-3</v>
      </c>
      <c r="CA491" s="51">
        <v>1.534020618556701E-3</v>
      </c>
      <c r="CB491" s="51">
        <v>1.5515463917525772E-3</v>
      </c>
      <c r="CC491" s="51">
        <v>1.5690721649484537E-3</v>
      </c>
      <c r="CD491" s="51">
        <v>1.5865979381443299E-3</v>
      </c>
      <c r="CE491" s="51">
        <v>1.6041237113402062E-3</v>
      </c>
      <c r="CF491" s="51">
        <v>1.6216494845360824E-3</v>
      </c>
      <c r="CG491" s="51">
        <v>1.6391752577319587E-3</v>
      </c>
      <c r="CH491" s="51">
        <v>1.656701030927835E-3</v>
      </c>
      <c r="CI491" s="51">
        <v>1.6742268041237112E-3</v>
      </c>
      <c r="CJ491" s="51">
        <v>1.6917525773195875E-3</v>
      </c>
      <c r="CK491" s="51">
        <v>1.7092783505154637E-3</v>
      </c>
      <c r="CL491" s="51">
        <v>1.72680412371134E-3</v>
      </c>
      <c r="CM491" s="51">
        <v>1.7443298969072164E-3</v>
      </c>
    </row>
    <row r="492" spans="1:91" s="50" customFormat="1" x14ac:dyDescent="0.25">
      <c r="A492" s="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91" s="50" customFormat="1" x14ac:dyDescent="0.25">
      <c r="A493" s="99" t="s">
        <v>187</v>
      </c>
      <c r="B493" s="4">
        <v>0</v>
      </c>
      <c r="C493" s="4">
        <v>0</v>
      </c>
      <c r="D493" s="4">
        <v>0</v>
      </c>
      <c r="E493" s="4">
        <v>0</v>
      </c>
      <c r="F493" s="4">
        <v>0</v>
      </c>
      <c r="G493" s="4">
        <v>0</v>
      </c>
      <c r="H493" s="4">
        <v>0</v>
      </c>
      <c r="I493" s="4">
        <v>0</v>
      </c>
      <c r="J493" s="4">
        <v>0</v>
      </c>
      <c r="K493" s="4">
        <v>0</v>
      </c>
      <c r="L493" s="4">
        <v>0</v>
      </c>
      <c r="M493" s="4">
        <v>0</v>
      </c>
      <c r="N493" s="4">
        <v>0</v>
      </c>
      <c r="O493" s="4">
        <v>0</v>
      </c>
      <c r="P493" s="4">
        <v>0</v>
      </c>
      <c r="Q493" s="4">
        <v>0</v>
      </c>
      <c r="R493" s="4">
        <v>0</v>
      </c>
      <c r="S493" s="4">
        <v>0</v>
      </c>
      <c r="T493" s="4">
        <v>0</v>
      </c>
      <c r="U493" s="4">
        <v>0</v>
      </c>
      <c r="V493" s="4">
        <v>0</v>
      </c>
      <c r="W493" s="4">
        <v>0</v>
      </c>
      <c r="X493" s="4">
        <v>0</v>
      </c>
      <c r="Y493" s="4">
        <v>0</v>
      </c>
      <c r="Z493" s="4">
        <v>0</v>
      </c>
      <c r="AA493" s="4">
        <v>0</v>
      </c>
      <c r="AB493" s="4">
        <v>0</v>
      </c>
      <c r="AC493" s="4">
        <v>0</v>
      </c>
      <c r="AD493" s="4">
        <v>0</v>
      </c>
      <c r="AE493" s="4">
        <v>0</v>
      </c>
      <c r="AF493" s="51">
        <v>5.0675000000000008E-3</v>
      </c>
      <c r="AG493" s="51">
        <v>5.1450000000000003E-3</v>
      </c>
      <c r="AH493" s="51">
        <v>5.2225000000000006E-3</v>
      </c>
      <c r="AI493" s="51">
        <v>5.3000000000000009E-3</v>
      </c>
      <c r="AJ493" s="51">
        <v>5.3775000000000003E-3</v>
      </c>
      <c r="AK493" s="51">
        <v>5.4550000000000006E-3</v>
      </c>
      <c r="AL493" s="51">
        <v>5.532500000000001E-3</v>
      </c>
      <c r="AM493" s="51">
        <v>5.6100000000000004E-3</v>
      </c>
      <c r="AN493" s="51">
        <v>5.6874999999999998E-3</v>
      </c>
      <c r="AO493" s="51">
        <v>5.765000000000001E-3</v>
      </c>
      <c r="AP493" s="51">
        <v>5.8425000000000005E-3</v>
      </c>
      <c r="AQ493" s="51">
        <v>5.9199999999999999E-3</v>
      </c>
      <c r="AR493" s="51">
        <v>5.9975000000000011E-3</v>
      </c>
      <c r="AS493" s="51">
        <v>6.0750000000000005E-3</v>
      </c>
      <c r="AT493" s="51">
        <v>6.1525E-3</v>
      </c>
      <c r="AU493" s="51">
        <v>6.2300000000000003E-3</v>
      </c>
      <c r="AV493" s="51">
        <v>6.2575E-3</v>
      </c>
      <c r="AW493" s="51">
        <v>6.2850000000000007E-3</v>
      </c>
      <c r="AX493" s="51">
        <v>6.3125000000000004E-3</v>
      </c>
      <c r="AY493" s="51">
        <v>6.3400000000000001E-3</v>
      </c>
      <c r="AZ493" s="51">
        <v>6.3674999999999999E-3</v>
      </c>
      <c r="BA493" s="51">
        <v>6.3950000000000005E-3</v>
      </c>
      <c r="BB493" s="51">
        <v>6.4225000000000003E-3</v>
      </c>
      <c r="BC493" s="51">
        <v>6.45E-3</v>
      </c>
      <c r="BD493" s="51">
        <v>6.4774999999999998E-3</v>
      </c>
      <c r="BE493" s="51">
        <v>6.5050000000000004E-3</v>
      </c>
      <c r="BF493" s="51">
        <v>6.5325000000000001E-3</v>
      </c>
      <c r="BG493" s="51">
        <v>6.5599999999999999E-3</v>
      </c>
      <c r="BH493" s="51">
        <v>6.5875000000000005E-3</v>
      </c>
      <c r="BI493" s="51">
        <v>6.6150000000000002E-3</v>
      </c>
      <c r="BJ493" s="51">
        <v>6.6425E-3</v>
      </c>
      <c r="BK493" s="51">
        <v>6.6699999999999997E-3</v>
      </c>
      <c r="BL493" s="51">
        <v>6.6975000000000003E-3</v>
      </c>
      <c r="BM493" s="51">
        <v>6.7250000000000001E-3</v>
      </c>
      <c r="BN493" s="51">
        <v>6.7524999999999998E-3</v>
      </c>
      <c r="BO493" s="51">
        <v>6.7799999999999996E-3</v>
      </c>
      <c r="BP493" s="51">
        <v>6.8075000000000002E-3</v>
      </c>
      <c r="BQ493" s="51">
        <v>6.8349999999999999E-3</v>
      </c>
      <c r="BR493" s="51">
        <v>6.8624999999999997E-3</v>
      </c>
      <c r="BS493" s="51">
        <v>6.8900000000000003E-3</v>
      </c>
      <c r="BT493" s="51">
        <v>6.9175E-3</v>
      </c>
      <c r="BU493" s="51">
        <v>6.9449999999999998E-3</v>
      </c>
      <c r="BV493" s="51">
        <v>6.9724999999999995E-3</v>
      </c>
      <c r="BW493" s="51">
        <v>7.0000000000000001E-3</v>
      </c>
      <c r="BX493" s="51">
        <v>7.0274999999999999E-3</v>
      </c>
      <c r="BY493" s="51">
        <v>7.0549999999999996E-3</v>
      </c>
      <c r="BZ493" s="51">
        <v>7.0825000000000003E-3</v>
      </c>
      <c r="CA493" s="51">
        <v>7.11E-3</v>
      </c>
      <c r="CB493" s="51">
        <v>7.1374999999999997E-3</v>
      </c>
      <c r="CC493" s="51">
        <v>7.1649999999999995E-3</v>
      </c>
      <c r="CD493" s="51">
        <v>7.1925000000000001E-3</v>
      </c>
      <c r="CE493" s="51">
        <v>7.2199999999999999E-3</v>
      </c>
      <c r="CF493" s="51">
        <v>7.2474999999999996E-3</v>
      </c>
      <c r="CG493" s="51">
        <v>7.2750000000000002E-3</v>
      </c>
      <c r="CH493" s="51">
        <v>7.3025E-3</v>
      </c>
      <c r="CI493" s="51">
        <v>7.3299999999999997E-3</v>
      </c>
      <c r="CJ493" s="51">
        <v>7.3574999999999995E-3</v>
      </c>
      <c r="CK493" s="51">
        <v>7.3849999999999992E-3</v>
      </c>
      <c r="CL493" s="51">
        <v>7.4124999999999998E-3</v>
      </c>
      <c r="CM493" s="51">
        <v>7.4399999999999996E-3</v>
      </c>
    </row>
    <row r="494" spans="1:91" s="50" customFormat="1" x14ac:dyDescent="0.25">
      <c r="A494" s="99" t="s">
        <v>1</v>
      </c>
      <c r="B494" s="4">
        <v>0</v>
      </c>
      <c r="C494" s="4">
        <v>0</v>
      </c>
      <c r="D494" s="4">
        <v>0</v>
      </c>
      <c r="E494" s="4">
        <v>0</v>
      </c>
      <c r="F494" s="4">
        <v>0</v>
      </c>
      <c r="G494" s="4">
        <v>0</v>
      </c>
      <c r="H494" s="4">
        <v>0</v>
      </c>
      <c r="I494" s="4">
        <v>0</v>
      </c>
      <c r="J494" s="4">
        <v>0</v>
      </c>
      <c r="K494" s="4">
        <v>0</v>
      </c>
      <c r="L494" s="4">
        <v>0</v>
      </c>
      <c r="M494" s="4">
        <v>0</v>
      </c>
      <c r="N494" s="4">
        <v>0</v>
      </c>
      <c r="O494" s="4">
        <v>0</v>
      </c>
      <c r="P494" s="4">
        <v>0</v>
      </c>
      <c r="Q494" s="4">
        <v>0</v>
      </c>
      <c r="R494" s="4">
        <v>0</v>
      </c>
      <c r="S494" s="4">
        <v>0</v>
      </c>
      <c r="T494" s="4">
        <v>0</v>
      </c>
      <c r="U494" s="4">
        <v>0</v>
      </c>
      <c r="V494" s="4">
        <v>0</v>
      </c>
      <c r="W494" s="4">
        <v>0</v>
      </c>
      <c r="X494" s="4">
        <v>0</v>
      </c>
      <c r="Y494" s="4">
        <v>0</v>
      </c>
      <c r="Z494" s="4">
        <v>0</v>
      </c>
      <c r="AA494" s="4">
        <v>0</v>
      </c>
      <c r="AB494" s="4">
        <v>0</v>
      </c>
      <c r="AC494" s="4">
        <v>0</v>
      </c>
      <c r="AD494" s="4">
        <v>0</v>
      </c>
      <c r="AE494" s="4">
        <v>0</v>
      </c>
      <c r="AF494" s="51">
        <v>2.3129545454545456E-3</v>
      </c>
      <c r="AG494" s="51">
        <v>2.3440909090909094E-3</v>
      </c>
      <c r="AH494" s="51">
        <v>2.3752272727272728E-3</v>
      </c>
      <c r="AI494" s="51">
        <v>2.4063636363636366E-3</v>
      </c>
      <c r="AJ494" s="51">
        <v>2.4375000000000004E-3</v>
      </c>
      <c r="AK494" s="51">
        <v>2.4686363636363638E-3</v>
      </c>
      <c r="AL494" s="51">
        <v>2.4997727272727276E-3</v>
      </c>
      <c r="AM494" s="51">
        <v>2.5309090909090915E-3</v>
      </c>
      <c r="AN494" s="51">
        <v>2.5620454545454549E-3</v>
      </c>
      <c r="AO494" s="51">
        <v>2.5931818181818183E-3</v>
      </c>
      <c r="AP494" s="51">
        <v>2.6243181818181821E-3</v>
      </c>
      <c r="AQ494" s="51">
        <v>2.6554545454545459E-3</v>
      </c>
      <c r="AR494" s="51">
        <v>2.6865909090909093E-3</v>
      </c>
      <c r="AS494" s="51">
        <v>2.7177272727272731E-3</v>
      </c>
      <c r="AT494" s="51">
        <v>2.748863636363637E-3</v>
      </c>
      <c r="AU494" s="51">
        <v>2.7800000000000004E-3</v>
      </c>
      <c r="AV494" s="51">
        <v>2.7993181818181823E-3</v>
      </c>
      <c r="AW494" s="51">
        <v>2.8186363636363639E-3</v>
      </c>
      <c r="AX494" s="51">
        <v>2.8379545454545459E-3</v>
      </c>
      <c r="AY494" s="51">
        <v>2.8572727272727274E-3</v>
      </c>
      <c r="AZ494" s="51">
        <v>2.8765909090909094E-3</v>
      </c>
      <c r="BA494" s="51">
        <v>2.8959090909090913E-3</v>
      </c>
      <c r="BB494" s="51">
        <v>2.9152272727272729E-3</v>
      </c>
      <c r="BC494" s="51">
        <v>2.9345454545454549E-3</v>
      </c>
      <c r="BD494" s="51">
        <v>2.9538636363636368E-3</v>
      </c>
      <c r="BE494" s="51">
        <v>2.9731818181818184E-3</v>
      </c>
      <c r="BF494" s="51">
        <v>2.9925000000000004E-3</v>
      </c>
      <c r="BG494" s="51">
        <v>3.0118181818181819E-3</v>
      </c>
      <c r="BH494" s="51">
        <v>3.0311363636363639E-3</v>
      </c>
      <c r="BI494" s="51">
        <v>3.0504545454545459E-3</v>
      </c>
      <c r="BJ494" s="51">
        <v>3.0697727272727274E-3</v>
      </c>
      <c r="BK494" s="51">
        <v>3.0890909090909094E-3</v>
      </c>
      <c r="BL494" s="51">
        <v>3.1084090909090914E-3</v>
      </c>
      <c r="BM494" s="51">
        <v>3.1277272727272729E-3</v>
      </c>
      <c r="BN494" s="51">
        <v>3.1470454545454549E-3</v>
      </c>
      <c r="BO494" s="51">
        <v>3.1663636363636364E-3</v>
      </c>
      <c r="BP494" s="51">
        <v>3.1856818181818184E-3</v>
      </c>
      <c r="BQ494" s="51">
        <v>3.2050000000000004E-3</v>
      </c>
      <c r="BR494" s="51">
        <v>3.2243181818181819E-3</v>
      </c>
      <c r="BS494" s="51">
        <v>3.2436363636363639E-3</v>
      </c>
      <c r="BT494" s="51">
        <v>3.2629545454545454E-3</v>
      </c>
      <c r="BU494" s="51">
        <v>3.2822727272727274E-3</v>
      </c>
      <c r="BV494" s="51">
        <v>3.3015909090909094E-3</v>
      </c>
      <c r="BW494" s="51">
        <v>3.3209090909090909E-3</v>
      </c>
      <c r="BX494" s="51">
        <v>3.3402272727272729E-3</v>
      </c>
      <c r="BY494" s="51">
        <v>3.3595454545454545E-3</v>
      </c>
      <c r="BZ494" s="51">
        <v>3.3788636363636364E-3</v>
      </c>
      <c r="CA494" s="51">
        <v>3.3981818181818184E-3</v>
      </c>
      <c r="CB494" s="51">
        <v>3.4175E-3</v>
      </c>
      <c r="CC494" s="51">
        <v>3.4368181818181819E-3</v>
      </c>
      <c r="CD494" s="51">
        <v>3.4561363636363635E-3</v>
      </c>
      <c r="CE494" s="51">
        <v>3.4754545454545455E-3</v>
      </c>
      <c r="CF494" s="51">
        <v>3.4947727272727274E-3</v>
      </c>
      <c r="CG494" s="51">
        <v>3.5140909090909094E-3</v>
      </c>
      <c r="CH494" s="51">
        <v>3.533409090909091E-3</v>
      </c>
      <c r="CI494" s="51">
        <v>3.5527272727272729E-3</v>
      </c>
      <c r="CJ494" s="51">
        <v>3.5720454545454545E-3</v>
      </c>
      <c r="CK494" s="51">
        <v>3.5913636363636365E-3</v>
      </c>
      <c r="CL494" s="51">
        <v>3.6106818181818184E-3</v>
      </c>
      <c r="CM494" s="51">
        <v>3.63E-3</v>
      </c>
    </row>
    <row r="495" spans="1:91" s="50" customFormat="1" x14ac:dyDescent="0.25">
      <c r="A495" s="99" t="s">
        <v>1</v>
      </c>
      <c r="B495" s="4">
        <v>0</v>
      </c>
      <c r="C495" s="4">
        <v>0</v>
      </c>
      <c r="D495" s="4">
        <v>0</v>
      </c>
      <c r="E495" s="4">
        <v>0</v>
      </c>
      <c r="F495" s="4">
        <v>0</v>
      </c>
      <c r="G495" s="4">
        <v>0</v>
      </c>
      <c r="H495" s="4">
        <v>0</v>
      </c>
      <c r="I495" s="4">
        <v>0</v>
      </c>
      <c r="J495" s="4">
        <v>0</v>
      </c>
      <c r="K495" s="4">
        <v>0</v>
      </c>
      <c r="L495" s="4">
        <v>0</v>
      </c>
      <c r="M495" s="4">
        <v>0</v>
      </c>
      <c r="N495" s="4">
        <v>0</v>
      </c>
      <c r="O495" s="4">
        <v>0</v>
      </c>
      <c r="P495" s="4">
        <v>0</v>
      </c>
      <c r="Q495" s="4">
        <v>0</v>
      </c>
      <c r="R495" s="4">
        <v>0</v>
      </c>
      <c r="S495" s="4">
        <v>0</v>
      </c>
      <c r="T495" s="4">
        <v>0</v>
      </c>
      <c r="U495" s="4">
        <v>0</v>
      </c>
      <c r="V495" s="4">
        <v>0</v>
      </c>
      <c r="W495" s="4">
        <v>0</v>
      </c>
      <c r="X495" s="4">
        <v>0</v>
      </c>
      <c r="Y495" s="4">
        <v>0</v>
      </c>
      <c r="Z495" s="4">
        <v>0</v>
      </c>
      <c r="AA495" s="4">
        <v>0</v>
      </c>
      <c r="AB495" s="4">
        <v>0</v>
      </c>
      <c r="AC495" s="4">
        <v>0</v>
      </c>
      <c r="AD495" s="4">
        <v>0</v>
      </c>
      <c r="AE495" s="4">
        <v>0</v>
      </c>
      <c r="AF495" s="51">
        <v>3.4209090909090912E-3</v>
      </c>
      <c r="AG495" s="51">
        <v>3.4681818181818186E-3</v>
      </c>
      <c r="AH495" s="51">
        <v>3.5154545454545456E-3</v>
      </c>
      <c r="AI495" s="51">
        <v>3.562727272727273E-3</v>
      </c>
      <c r="AJ495" s="51">
        <v>3.6100000000000004E-3</v>
      </c>
      <c r="AK495" s="51">
        <v>3.6572727272727278E-3</v>
      </c>
      <c r="AL495" s="51">
        <v>3.7045454545454552E-3</v>
      </c>
      <c r="AM495" s="51">
        <v>3.7518181818181826E-3</v>
      </c>
      <c r="AN495" s="51">
        <v>3.7990909090909099E-3</v>
      </c>
      <c r="AO495" s="51">
        <v>3.8463636363636369E-3</v>
      </c>
      <c r="AP495" s="51">
        <v>3.8936363636363643E-3</v>
      </c>
      <c r="AQ495" s="51">
        <v>3.9409090909090913E-3</v>
      </c>
      <c r="AR495" s="51">
        <v>3.9881818181818187E-3</v>
      </c>
      <c r="AS495" s="51">
        <v>4.0354545454545461E-3</v>
      </c>
      <c r="AT495" s="51">
        <v>4.0827272727272735E-3</v>
      </c>
      <c r="AU495" s="51">
        <v>4.1300000000000009E-3</v>
      </c>
      <c r="AV495" s="51">
        <v>4.1579545454545463E-3</v>
      </c>
      <c r="AW495" s="51">
        <v>4.1859090909090917E-3</v>
      </c>
      <c r="AX495" s="51">
        <v>4.2138636363636371E-3</v>
      </c>
      <c r="AY495" s="51">
        <v>4.2418181818181825E-3</v>
      </c>
      <c r="AZ495" s="51">
        <v>4.269772727272728E-3</v>
      </c>
      <c r="BA495" s="51">
        <v>4.2977272727272734E-3</v>
      </c>
      <c r="BB495" s="51">
        <v>4.3256818181818188E-3</v>
      </c>
      <c r="BC495" s="51">
        <v>4.3536363636363642E-3</v>
      </c>
      <c r="BD495" s="51">
        <v>4.3815909090909096E-3</v>
      </c>
      <c r="BE495" s="51">
        <v>4.4095454545454551E-3</v>
      </c>
      <c r="BF495" s="51">
        <v>4.4375000000000005E-3</v>
      </c>
      <c r="BG495" s="51">
        <v>4.4654545454545459E-3</v>
      </c>
      <c r="BH495" s="51">
        <v>4.4934090909090913E-3</v>
      </c>
      <c r="BI495" s="51">
        <v>4.5213636363636367E-3</v>
      </c>
      <c r="BJ495" s="51">
        <v>4.5493181818181821E-3</v>
      </c>
      <c r="BK495" s="51">
        <v>4.5772727272727276E-3</v>
      </c>
      <c r="BL495" s="51">
        <v>4.605227272727273E-3</v>
      </c>
      <c r="BM495" s="51">
        <v>4.6331818181818184E-3</v>
      </c>
      <c r="BN495" s="51">
        <v>4.6611363636363638E-3</v>
      </c>
      <c r="BO495" s="51">
        <v>4.6890909090909101E-3</v>
      </c>
      <c r="BP495" s="51">
        <v>4.7170454545454547E-3</v>
      </c>
      <c r="BQ495" s="51">
        <v>4.745000000000001E-3</v>
      </c>
      <c r="BR495" s="51">
        <v>4.7729545454545455E-3</v>
      </c>
      <c r="BS495" s="51">
        <v>4.8009090909090918E-3</v>
      </c>
      <c r="BT495" s="51">
        <v>4.8288636363636372E-3</v>
      </c>
      <c r="BU495" s="51">
        <v>4.8568181818181826E-3</v>
      </c>
      <c r="BV495" s="51">
        <v>4.8847727272727281E-3</v>
      </c>
      <c r="BW495" s="51">
        <v>4.9127272727272735E-3</v>
      </c>
      <c r="BX495" s="51">
        <v>4.9406818181818189E-3</v>
      </c>
      <c r="BY495" s="51">
        <v>4.9686363636363643E-3</v>
      </c>
      <c r="BZ495" s="51">
        <v>4.9965909090909097E-3</v>
      </c>
      <c r="CA495" s="51">
        <v>5.0245454545454551E-3</v>
      </c>
      <c r="CB495" s="51">
        <v>5.0525000000000006E-3</v>
      </c>
      <c r="CC495" s="51">
        <v>5.080454545454546E-3</v>
      </c>
      <c r="CD495" s="51">
        <v>5.1084090909090914E-3</v>
      </c>
      <c r="CE495" s="51">
        <v>5.1363636363636368E-3</v>
      </c>
      <c r="CF495" s="51">
        <v>5.1643181818181822E-3</v>
      </c>
      <c r="CG495" s="51">
        <v>5.1922727272727277E-3</v>
      </c>
      <c r="CH495" s="51">
        <v>5.2202272727272731E-3</v>
      </c>
      <c r="CI495" s="51">
        <v>5.2481818181818185E-3</v>
      </c>
      <c r="CJ495" s="51">
        <v>5.2761363636363639E-3</v>
      </c>
      <c r="CK495" s="51">
        <v>5.3040909090909093E-3</v>
      </c>
      <c r="CL495" s="51">
        <v>5.3320454545454548E-3</v>
      </c>
      <c r="CM495" s="51">
        <v>5.3600000000000002E-3</v>
      </c>
    </row>
    <row r="496" spans="1:91" s="50" customFormat="1" x14ac:dyDescent="0.25">
      <c r="A496" s="99" t="s">
        <v>1</v>
      </c>
      <c r="B496" s="4">
        <v>0</v>
      </c>
      <c r="C496" s="4">
        <v>0</v>
      </c>
      <c r="D496" s="4">
        <v>0</v>
      </c>
      <c r="E496" s="4">
        <v>0</v>
      </c>
      <c r="F496" s="4">
        <v>0</v>
      </c>
      <c r="G496" s="4">
        <v>0</v>
      </c>
      <c r="H496" s="4">
        <v>0</v>
      </c>
      <c r="I496" s="4">
        <v>0</v>
      </c>
      <c r="J496" s="4">
        <v>0</v>
      </c>
      <c r="K496" s="4">
        <v>0</v>
      </c>
      <c r="L496" s="4">
        <v>0</v>
      </c>
      <c r="M496" s="4">
        <v>0</v>
      </c>
      <c r="N496" s="4">
        <v>0</v>
      </c>
      <c r="O496" s="4">
        <v>0</v>
      </c>
      <c r="P496" s="4">
        <v>0</v>
      </c>
      <c r="Q496" s="4">
        <v>0</v>
      </c>
      <c r="R496" s="4">
        <v>0</v>
      </c>
      <c r="S496" s="4">
        <v>0</v>
      </c>
      <c r="T496" s="4">
        <v>0</v>
      </c>
      <c r="U496" s="4">
        <v>0</v>
      </c>
      <c r="V496" s="4">
        <v>0</v>
      </c>
      <c r="W496" s="4">
        <v>0</v>
      </c>
      <c r="X496" s="4">
        <v>0</v>
      </c>
      <c r="Y496" s="4">
        <v>0</v>
      </c>
      <c r="Z496" s="4">
        <v>0</v>
      </c>
      <c r="AA496" s="4">
        <v>0</v>
      </c>
      <c r="AB496" s="4">
        <v>0</v>
      </c>
      <c r="AC496" s="4">
        <v>0</v>
      </c>
      <c r="AD496" s="4">
        <v>0</v>
      </c>
      <c r="AE496" s="4">
        <v>0</v>
      </c>
      <c r="AF496" s="51">
        <v>1.4251346260975674E-3</v>
      </c>
      <c r="AG496" s="51">
        <v>1.4394010133432368E-3</v>
      </c>
      <c r="AH496" s="51">
        <v>1.4536674005889063E-3</v>
      </c>
      <c r="AI496" s="51">
        <v>1.4679337878345756E-3</v>
      </c>
      <c r="AJ496" s="51">
        <v>1.4822001750802451E-3</v>
      </c>
      <c r="AK496" s="51">
        <v>1.4964665623259145E-3</v>
      </c>
      <c r="AL496" s="51">
        <v>1.510732949571584E-3</v>
      </c>
      <c r="AM496" s="51">
        <v>1.5249993368172533E-3</v>
      </c>
      <c r="AN496" s="51">
        <v>1.5392657240629226E-3</v>
      </c>
      <c r="AO496" s="51">
        <v>1.5535321113085922E-3</v>
      </c>
      <c r="AP496" s="51">
        <v>1.5677984985542617E-3</v>
      </c>
      <c r="AQ496" s="51">
        <v>1.582064885799931E-3</v>
      </c>
      <c r="AR496" s="51">
        <v>1.5963312730456003E-3</v>
      </c>
      <c r="AS496" s="51">
        <v>1.6105976602912699E-3</v>
      </c>
      <c r="AT496" s="51">
        <v>1.6248640475369394E-3</v>
      </c>
      <c r="AU496" s="51">
        <v>1.6391304347826087E-3</v>
      </c>
      <c r="AV496" s="51">
        <v>1.6512056578914659E-3</v>
      </c>
      <c r="AW496" s="51">
        <v>1.6632808810003231E-3</v>
      </c>
      <c r="AX496" s="51">
        <v>1.6753561041091805E-3</v>
      </c>
      <c r="AY496" s="51">
        <v>1.6874313272180377E-3</v>
      </c>
      <c r="AZ496" s="51">
        <v>1.6995065503268949E-3</v>
      </c>
      <c r="BA496" s="51">
        <v>1.7115817734357521E-3</v>
      </c>
      <c r="BB496" s="51">
        <v>1.7236569965446095E-3</v>
      </c>
      <c r="BC496" s="51">
        <v>1.7357322196534667E-3</v>
      </c>
      <c r="BD496" s="51">
        <v>1.7478074427623239E-3</v>
      </c>
      <c r="BE496" s="51">
        <v>1.759882665871181E-3</v>
      </c>
      <c r="BF496" s="51">
        <v>1.7719578889800382E-3</v>
      </c>
      <c r="BG496" s="51">
        <v>1.7840331120888956E-3</v>
      </c>
      <c r="BH496" s="51">
        <v>1.7961083351977528E-3</v>
      </c>
      <c r="BI496" s="51">
        <v>1.80818355830661E-3</v>
      </c>
      <c r="BJ496" s="51">
        <v>1.8202587814154672E-3</v>
      </c>
      <c r="BK496" s="51">
        <v>1.8323340045243246E-3</v>
      </c>
      <c r="BL496" s="51">
        <v>1.8444092276331818E-3</v>
      </c>
      <c r="BM496" s="51">
        <v>1.856484450742039E-3</v>
      </c>
      <c r="BN496" s="51">
        <v>1.8685596738508962E-3</v>
      </c>
      <c r="BO496" s="51">
        <v>1.8806348969597534E-3</v>
      </c>
      <c r="BP496" s="51">
        <v>1.8927101200686108E-3</v>
      </c>
      <c r="BQ496" s="51">
        <v>1.904785343177468E-3</v>
      </c>
      <c r="BR496" s="51">
        <v>1.9168605662863252E-3</v>
      </c>
      <c r="BS496" s="51">
        <v>1.9289357893951826E-3</v>
      </c>
      <c r="BT496" s="51">
        <v>1.9410110125040398E-3</v>
      </c>
      <c r="BU496" s="51">
        <v>1.953086235612897E-3</v>
      </c>
      <c r="BV496" s="51">
        <v>1.9651614587217541E-3</v>
      </c>
      <c r="BW496" s="51">
        <v>1.9772366818306113E-3</v>
      </c>
      <c r="BX496" s="51">
        <v>1.9893119049394685E-3</v>
      </c>
      <c r="BY496" s="51">
        <v>2.0013871280483257E-3</v>
      </c>
      <c r="BZ496" s="51">
        <v>2.0134623511571829E-3</v>
      </c>
      <c r="CA496" s="51">
        <v>2.0255375742660405E-3</v>
      </c>
      <c r="CB496" s="51">
        <v>2.0376127973748977E-3</v>
      </c>
      <c r="CC496" s="51">
        <v>2.0496880204837549E-3</v>
      </c>
      <c r="CD496" s="51">
        <v>2.0617632435926121E-3</v>
      </c>
      <c r="CE496" s="51">
        <v>2.0738384667014693E-3</v>
      </c>
      <c r="CF496" s="51">
        <v>2.0859136898103265E-3</v>
      </c>
      <c r="CG496" s="51">
        <v>2.0979889129191837E-3</v>
      </c>
      <c r="CH496" s="51">
        <v>2.1100641360280409E-3</v>
      </c>
      <c r="CI496" s="51">
        <v>2.1221393591368985E-3</v>
      </c>
      <c r="CJ496" s="51">
        <v>2.1342145822457557E-3</v>
      </c>
      <c r="CK496" s="51">
        <v>2.1462898053546129E-3</v>
      </c>
      <c r="CL496" s="51">
        <v>2.1583650284634701E-3</v>
      </c>
      <c r="CM496" s="51">
        <v>2.1704402515723272E-3</v>
      </c>
    </row>
    <row r="497" spans="1:91" s="50" customFormat="1" x14ac:dyDescent="0.25">
      <c r="A497" s="99" t="s">
        <v>1</v>
      </c>
      <c r="B497" s="4">
        <v>0</v>
      </c>
      <c r="C497" s="4">
        <v>0</v>
      </c>
      <c r="D497" s="4">
        <v>0</v>
      </c>
      <c r="E497" s="4">
        <v>0</v>
      </c>
      <c r="F497" s="4">
        <v>0</v>
      </c>
      <c r="G497" s="4">
        <v>0</v>
      </c>
      <c r="H497" s="4">
        <v>0</v>
      </c>
      <c r="I497" s="4">
        <v>0</v>
      </c>
      <c r="J497" s="4">
        <v>0</v>
      </c>
      <c r="K497" s="4">
        <v>0</v>
      </c>
      <c r="L497" s="4">
        <v>0</v>
      </c>
      <c r="M497" s="4">
        <v>0</v>
      </c>
      <c r="N497" s="4">
        <v>0</v>
      </c>
      <c r="O497" s="4">
        <v>0</v>
      </c>
      <c r="P497" s="4">
        <v>0</v>
      </c>
      <c r="Q497" s="4">
        <v>0</v>
      </c>
      <c r="R497" s="4">
        <v>0</v>
      </c>
      <c r="S497" s="4">
        <v>0</v>
      </c>
      <c r="T497" s="4">
        <v>0</v>
      </c>
      <c r="U497" s="4">
        <v>0</v>
      </c>
      <c r="V497" s="4">
        <v>0</v>
      </c>
      <c r="W497" s="4">
        <v>0</v>
      </c>
      <c r="X497" s="4">
        <v>0</v>
      </c>
      <c r="Y497" s="4">
        <v>0</v>
      </c>
      <c r="Z497" s="4">
        <v>0</v>
      </c>
      <c r="AA497" s="4">
        <v>0</v>
      </c>
      <c r="AB497" s="4">
        <v>0</v>
      </c>
      <c r="AC497" s="4">
        <v>0</v>
      </c>
      <c r="AD497" s="4">
        <v>0</v>
      </c>
      <c r="AE497" s="4">
        <v>0</v>
      </c>
      <c r="AF497" s="51">
        <v>1.6577549140049139E-3</v>
      </c>
      <c r="AG497" s="51">
        <v>1.6804361179361179E-3</v>
      </c>
      <c r="AH497" s="51">
        <v>1.7031173218673219E-3</v>
      </c>
      <c r="AI497" s="51">
        <v>1.7257985257985258E-3</v>
      </c>
      <c r="AJ497" s="51">
        <v>1.7484797297297296E-3</v>
      </c>
      <c r="AK497" s="51">
        <v>1.7711609336609336E-3</v>
      </c>
      <c r="AL497" s="51">
        <v>1.7938421375921377E-3</v>
      </c>
      <c r="AM497" s="51">
        <v>1.8165233415233415E-3</v>
      </c>
      <c r="AN497" s="51">
        <v>1.8392045454545453E-3</v>
      </c>
      <c r="AO497" s="51">
        <v>1.8618857493857494E-3</v>
      </c>
      <c r="AP497" s="51">
        <v>1.8845669533169532E-3</v>
      </c>
      <c r="AQ497" s="51">
        <v>1.907248157248157E-3</v>
      </c>
      <c r="AR497" s="51">
        <v>1.9299293611793611E-3</v>
      </c>
      <c r="AS497" s="51">
        <v>1.9526105651105651E-3</v>
      </c>
      <c r="AT497" s="51">
        <v>1.9752917690417692E-3</v>
      </c>
      <c r="AU497" s="51">
        <v>1.9979729729729728E-3</v>
      </c>
      <c r="AV497" s="51">
        <v>2.0184735872235873E-3</v>
      </c>
      <c r="AW497" s="51">
        <v>2.0389742014742013E-3</v>
      </c>
      <c r="AX497" s="51">
        <v>2.0594748157248153E-3</v>
      </c>
      <c r="AY497" s="51">
        <v>2.0799754299754298E-3</v>
      </c>
      <c r="AZ497" s="51">
        <v>2.1004760442260443E-3</v>
      </c>
      <c r="BA497" s="51">
        <v>2.1209766584766583E-3</v>
      </c>
      <c r="BB497" s="51">
        <v>2.1414772727272723E-3</v>
      </c>
      <c r="BC497" s="51">
        <v>2.1619778869778868E-3</v>
      </c>
      <c r="BD497" s="51">
        <v>2.1824785012285013E-3</v>
      </c>
      <c r="BE497" s="51">
        <v>2.2029791154791153E-3</v>
      </c>
      <c r="BF497" s="51">
        <v>2.2234797297297293E-3</v>
      </c>
      <c r="BG497" s="51">
        <v>2.2439803439803438E-3</v>
      </c>
      <c r="BH497" s="51">
        <v>2.2644809582309583E-3</v>
      </c>
      <c r="BI497" s="51">
        <v>2.2849815724815723E-3</v>
      </c>
      <c r="BJ497" s="51">
        <v>2.3054821867321863E-3</v>
      </c>
      <c r="BK497" s="51">
        <v>2.3259828009828008E-3</v>
      </c>
      <c r="BL497" s="51">
        <v>2.3464834152334153E-3</v>
      </c>
      <c r="BM497" s="51">
        <v>2.3669840294840293E-3</v>
      </c>
      <c r="BN497" s="51">
        <v>2.3874846437346433E-3</v>
      </c>
      <c r="BO497" s="51">
        <v>2.4079852579852578E-3</v>
      </c>
      <c r="BP497" s="51">
        <v>2.4284858722358723E-3</v>
      </c>
      <c r="BQ497" s="51">
        <v>2.4489864864864863E-3</v>
      </c>
      <c r="BR497" s="51">
        <v>2.4694871007371003E-3</v>
      </c>
      <c r="BS497" s="51">
        <v>2.4899877149877148E-3</v>
      </c>
      <c r="BT497" s="51">
        <v>2.5104883292383293E-3</v>
      </c>
      <c r="BU497" s="51">
        <v>2.5309889434889433E-3</v>
      </c>
      <c r="BV497" s="51">
        <v>2.5514895577395573E-3</v>
      </c>
      <c r="BW497" s="51">
        <v>2.5719901719901718E-3</v>
      </c>
      <c r="BX497" s="51">
        <v>2.5924907862407863E-3</v>
      </c>
      <c r="BY497" s="51">
        <v>2.6129914004914003E-3</v>
      </c>
      <c r="BZ497" s="51">
        <v>2.6334920147420143E-3</v>
      </c>
      <c r="CA497" s="51">
        <v>2.6539926289926288E-3</v>
      </c>
      <c r="CB497" s="51">
        <v>2.6744932432432433E-3</v>
      </c>
      <c r="CC497" s="51">
        <v>2.6949938574938573E-3</v>
      </c>
      <c r="CD497" s="51">
        <v>2.7154944717444713E-3</v>
      </c>
      <c r="CE497" s="51">
        <v>2.7359950859950858E-3</v>
      </c>
      <c r="CF497" s="51">
        <v>2.7564957002457003E-3</v>
      </c>
      <c r="CG497" s="51">
        <v>2.7769963144963143E-3</v>
      </c>
      <c r="CH497" s="51">
        <v>2.7974969287469283E-3</v>
      </c>
      <c r="CI497" s="51">
        <v>2.8179975429975428E-3</v>
      </c>
      <c r="CJ497" s="51">
        <v>2.8384981572481573E-3</v>
      </c>
      <c r="CK497" s="51">
        <v>2.8589987714987713E-3</v>
      </c>
      <c r="CL497" s="51">
        <v>2.8794993857493853E-3</v>
      </c>
      <c r="CM497" s="51">
        <v>2.8999999999999998E-3</v>
      </c>
    </row>
    <row r="498" spans="1:91" s="50" customFormat="1" x14ac:dyDescent="0.25">
      <c r="A498" s="99" t="s">
        <v>1</v>
      </c>
      <c r="B498" s="4">
        <v>0</v>
      </c>
      <c r="C498" s="4">
        <v>0</v>
      </c>
      <c r="D498" s="4">
        <v>0</v>
      </c>
      <c r="E498" s="4">
        <v>0</v>
      </c>
      <c r="F498" s="4">
        <v>0</v>
      </c>
      <c r="G498" s="4">
        <v>0</v>
      </c>
      <c r="H498" s="4">
        <v>0</v>
      </c>
      <c r="I498" s="4">
        <v>0</v>
      </c>
      <c r="J498" s="4">
        <v>0</v>
      </c>
      <c r="K498" s="4">
        <v>0</v>
      </c>
      <c r="L498" s="4">
        <v>0</v>
      </c>
      <c r="M498" s="4">
        <v>0</v>
      </c>
      <c r="N498" s="4">
        <v>0</v>
      </c>
      <c r="O498" s="4">
        <v>0</v>
      </c>
      <c r="P498" s="4">
        <v>0</v>
      </c>
      <c r="Q498" s="4">
        <v>0</v>
      </c>
      <c r="R498" s="4">
        <v>0</v>
      </c>
      <c r="S498" s="4">
        <v>0</v>
      </c>
      <c r="T498" s="4">
        <v>0</v>
      </c>
      <c r="U498" s="4">
        <v>0</v>
      </c>
      <c r="V498" s="4">
        <v>0</v>
      </c>
      <c r="W498" s="4">
        <v>0</v>
      </c>
      <c r="X498" s="4">
        <v>0</v>
      </c>
      <c r="Y498" s="4">
        <v>0</v>
      </c>
      <c r="Z498" s="4">
        <v>0</v>
      </c>
      <c r="AA498" s="4">
        <v>0</v>
      </c>
      <c r="AB498" s="4">
        <v>0</v>
      </c>
      <c r="AC498" s="4">
        <v>0</v>
      </c>
      <c r="AD498" s="4">
        <v>0</v>
      </c>
      <c r="AE498" s="4">
        <v>0</v>
      </c>
      <c r="AF498" s="51">
        <v>6.1522727272727278E-2</v>
      </c>
      <c r="AG498" s="51">
        <v>6.1954545454545457E-2</v>
      </c>
      <c r="AH498" s="51">
        <v>6.2386363636363643E-2</v>
      </c>
      <c r="AI498" s="51">
        <v>6.2818181818181829E-2</v>
      </c>
      <c r="AJ498" s="51">
        <v>6.3250000000000001E-2</v>
      </c>
      <c r="AK498" s="51">
        <v>6.3681818181818187E-2</v>
      </c>
      <c r="AL498" s="51">
        <v>6.4113636363636373E-2</v>
      </c>
      <c r="AM498" s="51">
        <v>6.4545454545454545E-2</v>
      </c>
      <c r="AN498" s="51">
        <v>6.4977272727272731E-2</v>
      </c>
      <c r="AO498" s="51">
        <v>6.5409090909090917E-2</v>
      </c>
      <c r="AP498" s="51">
        <v>6.5840909090909089E-2</v>
      </c>
      <c r="AQ498" s="51">
        <v>6.6272727272727275E-2</v>
      </c>
      <c r="AR498" s="51">
        <v>6.6704545454545461E-2</v>
      </c>
      <c r="AS498" s="51">
        <v>6.7136363636363633E-2</v>
      </c>
      <c r="AT498" s="51">
        <v>6.7568181818181819E-2</v>
      </c>
      <c r="AU498" s="51">
        <v>6.8000000000000005E-2</v>
      </c>
      <c r="AV498" s="51">
        <v>6.881818181818182E-2</v>
      </c>
      <c r="AW498" s="51">
        <v>6.9636363636363635E-2</v>
      </c>
      <c r="AX498" s="51">
        <v>7.0454545454545464E-2</v>
      </c>
      <c r="AY498" s="51">
        <v>7.1272727272727279E-2</v>
      </c>
      <c r="AZ498" s="51">
        <v>7.2090909090909094E-2</v>
      </c>
      <c r="BA498" s="51">
        <v>7.290909090909091E-2</v>
      </c>
      <c r="BB498" s="51">
        <v>7.3727272727272725E-2</v>
      </c>
      <c r="BC498" s="51">
        <v>7.4545454545454554E-2</v>
      </c>
      <c r="BD498" s="51">
        <v>7.5363636363636369E-2</v>
      </c>
      <c r="BE498" s="51">
        <v>7.6181818181818184E-2</v>
      </c>
      <c r="BF498" s="51">
        <v>7.6999999999999999E-2</v>
      </c>
      <c r="BG498" s="51">
        <v>7.7818181818181814E-2</v>
      </c>
      <c r="BH498" s="51">
        <v>7.8636363636363643E-2</v>
      </c>
      <c r="BI498" s="51">
        <v>7.9454545454545458E-2</v>
      </c>
      <c r="BJ498" s="51">
        <v>8.0272727272727273E-2</v>
      </c>
      <c r="BK498" s="51">
        <v>8.1090909090909088E-2</v>
      </c>
      <c r="BL498" s="51">
        <v>8.1909090909090904E-2</v>
      </c>
      <c r="BM498" s="51">
        <v>8.2727272727272733E-2</v>
      </c>
      <c r="BN498" s="51">
        <v>8.3545454545454548E-2</v>
      </c>
      <c r="BO498" s="51">
        <v>8.4363636363636363E-2</v>
      </c>
      <c r="BP498" s="51">
        <v>8.5181818181818178E-2</v>
      </c>
      <c r="BQ498" s="51">
        <v>8.5999999999999993E-2</v>
      </c>
      <c r="BR498" s="51">
        <v>8.6818181818181822E-2</v>
      </c>
      <c r="BS498" s="51">
        <v>8.7636363636363637E-2</v>
      </c>
      <c r="BT498" s="51">
        <v>8.8454545454545452E-2</v>
      </c>
      <c r="BU498" s="51">
        <v>8.9272727272727267E-2</v>
      </c>
      <c r="BV498" s="51">
        <v>9.0090909090909083E-2</v>
      </c>
      <c r="BW498" s="51">
        <v>9.0909090909090912E-2</v>
      </c>
      <c r="BX498" s="51">
        <v>9.1727272727272727E-2</v>
      </c>
      <c r="BY498" s="51">
        <v>9.2545454545454542E-2</v>
      </c>
      <c r="BZ498" s="51">
        <v>9.3363636363636357E-2</v>
      </c>
      <c r="CA498" s="51">
        <v>9.4181818181818172E-2</v>
      </c>
      <c r="CB498" s="51">
        <v>9.5000000000000001E-2</v>
      </c>
      <c r="CC498" s="51">
        <v>9.5818181818181816E-2</v>
      </c>
      <c r="CD498" s="51">
        <v>9.6636363636363631E-2</v>
      </c>
      <c r="CE498" s="51">
        <v>9.7454545454545446E-2</v>
      </c>
      <c r="CF498" s="51">
        <v>9.8272727272727262E-2</v>
      </c>
      <c r="CG498" s="51">
        <v>9.9090909090909091E-2</v>
      </c>
      <c r="CH498" s="51">
        <v>9.9909090909090906E-2</v>
      </c>
      <c r="CI498" s="51">
        <v>0.10072727272727272</v>
      </c>
      <c r="CJ498" s="51">
        <v>0.10154545454545455</v>
      </c>
      <c r="CK498" s="51">
        <v>0.10236363636363635</v>
      </c>
      <c r="CL498" s="51">
        <v>0.10318181818181818</v>
      </c>
      <c r="CM498" s="51">
        <v>0.104</v>
      </c>
    </row>
    <row r="499" spans="1:91" s="50" customFormat="1" x14ac:dyDescent="0.25">
      <c r="A499" s="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c r="BK499" s="51"/>
      <c r="BL499" s="51"/>
      <c r="BM499" s="51"/>
      <c r="BN499" s="51"/>
      <c r="BO499" s="51"/>
      <c r="BP499" s="51"/>
      <c r="BQ499" s="51"/>
      <c r="BR499" s="51"/>
      <c r="BS499" s="51"/>
      <c r="BT499" s="51"/>
      <c r="BU499" s="51"/>
      <c r="BV499" s="51"/>
      <c r="BW499" s="51"/>
      <c r="BX499" s="51"/>
      <c r="BY499" s="51"/>
      <c r="BZ499" s="51"/>
      <c r="CA499" s="51"/>
      <c r="CB499" s="51"/>
      <c r="CC499" s="51"/>
      <c r="CD499" s="51"/>
      <c r="CE499" s="51"/>
      <c r="CF499" s="51"/>
      <c r="CG499" s="51"/>
      <c r="CH499" s="51"/>
      <c r="CI499" s="51"/>
      <c r="CJ499" s="51"/>
      <c r="CK499" s="51"/>
      <c r="CL499" s="51"/>
      <c r="CM499" s="51"/>
    </row>
    <row r="500" spans="1:91" s="50" customFormat="1" x14ac:dyDescent="0.25">
      <c r="A500" s="99" t="s">
        <v>188</v>
      </c>
      <c r="B500" s="4">
        <v>0</v>
      </c>
      <c r="C500" s="4">
        <v>0</v>
      </c>
      <c r="D500" s="4">
        <v>0</v>
      </c>
      <c r="E500" s="4">
        <v>0</v>
      </c>
      <c r="F500" s="4">
        <v>0</v>
      </c>
      <c r="G500" s="4">
        <v>0</v>
      </c>
      <c r="H500" s="4">
        <v>0</v>
      </c>
      <c r="I500" s="4">
        <v>0</v>
      </c>
      <c r="J500" s="4">
        <v>0</v>
      </c>
      <c r="K500" s="4">
        <v>0</v>
      </c>
      <c r="L500" s="4">
        <v>0</v>
      </c>
      <c r="M500" s="4">
        <v>0</v>
      </c>
      <c r="N500" s="4">
        <v>0</v>
      </c>
      <c r="O500" s="4">
        <v>0</v>
      </c>
      <c r="P500" s="4">
        <v>0</v>
      </c>
      <c r="Q500" s="4">
        <v>0</v>
      </c>
      <c r="R500" s="4">
        <v>0</v>
      </c>
      <c r="S500" s="4">
        <v>0</v>
      </c>
      <c r="T500" s="4">
        <v>0</v>
      </c>
      <c r="U500" s="4">
        <v>0</v>
      </c>
      <c r="V500" s="4">
        <v>0</v>
      </c>
      <c r="W500" s="4">
        <v>0</v>
      </c>
      <c r="X500" s="4">
        <v>0</v>
      </c>
      <c r="Y500" s="4">
        <v>0</v>
      </c>
      <c r="Z500" s="4">
        <v>0</v>
      </c>
      <c r="AA500" s="4">
        <v>0</v>
      </c>
      <c r="AB500" s="4">
        <v>0</v>
      </c>
      <c r="AC500" s="4">
        <v>0</v>
      </c>
      <c r="AD500" s="4">
        <v>0</v>
      </c>
      <c r="AE500" s="4">
        <v>0</v>
      </c>
      <c r="AF500" s="51">
        <v>3.0288636363636368E-3</v>
      </c>
      <c r="AG500" s="51">
        <v>3.1022727272727278E-3</v>
      </c>
      <c r="AH500" s="51">
        <v>3.1756818181818188E-3</v>
      </c>
      <c r="AI500" s="51">
        <v>3.2490909090909098E-3</v>
      </c>
      <c r="AJ500" s="51">
        <v>3.3225000000000008E-3</v>
      </c>
      <c r="AK500" s="51">
        <v>3.3959090909090918E-3</v>
      </c>
      <c r="AL500" s="51">
        <v>3.4693181818181828E-3</v>
      </c>
      <c r="AM500" s="51">
        <v>3.5427272727272738E-3</v>
      </c>
      <c r="AN500" s="51">
        <v>3.6161363636363648E-3</v>
      </c>
      <c r="AO500" s="51">
        <v>3.6895454545454558E-3</v>
      </c>
      <c r="AP500" s="51">
        <v>3.7629545454545468E-3</v>
      </c>
      <c r="AQ500" s="51">
        <v>3.8363636363636378E-3</v>
      </c>
      <c r="AR500" s="51">
        <v>3.9097727272727287E-3</v>
      </c>
      <c r="AS500" s="51">
        <v>3.9831818181818197E-3</v>
      </c>
      <c r="AT500" s="51">
        <v>4.0565909090909107E-3</v>
      </c>
      <c r="AU500" s="51">
        <v>4.1300000000000009E-3</v>
      </c>
      <c r="AV500" s="51">
        <v>4.1579545454545463E-3</v>
      </c>
      <c r="AW500" s="51">
        <v>4.1859090909090917E-3</v>
      </c>
      <c r="AX500" s="51">
        <v>4.2138636363636371E-3</v>
      </c>
      <c r="AY500" s="51">
        <v>4.2418181818181825E-3</v>
      </c>
      <c r="AZ500" s="51">
        <v>4.269772727272728E-3</v>
      </c>
      <c r="BA500" s="51">
        <v>4.2977272727272734E-3</v>
      </c>
      <c r="BB500" s="51">
        <v>4.3256818181818188E-3</v>
      </c>
      <c r="BC500" s="51">
        <v>4.3536363636363642E-3</v>
      </c>
      <c r="BD500" s="51">
        <v>4.3815909090909096E-3</v>
      </c>
      <c r="BE500" s="51">
        <v>4.4095454545454551E-3</v>
      </c>
      <c r="BF500" s="51">
        <v>4.4375000000000005E-3</v>
      </c>
      <c r="BG500" s="51">
        <v>4.4654545454545459E-3</v>
      </c>
      <c r="BH500" s="51">
        <v>4.4934090909090913E-3</v>
      </c>
      <c r="BI500" s="51">
        <v>4.5213636363636367E-3</v>
      </c>
      <c r="BJ500" s="51">
        <v>4.5493181818181821E-3</v>
      </c>
      <c r="BK500" s="51">
        <v>4.5772727272727276E-3</v>
      </c>
      <c r="BL500" s="51">
        <v>4.605227272727273E-3</v>
      </c>
      <c r="BM500" s="51">
        <v>4.6331818181818184E-3</v>
      </c>
      <c r="BN500" s="51">
        <v>4.6611363636363638E-3</v>
      </c>
      <c r="BO500" s="51">
        <v>4.6890909090909101E-3</v>
      </c>
      <c r="BP500" s="51">
        <v>4.7170454545454547E-3</v>
      </c>
      <c r="BQ500" s="51">
        <v>4.745000000000001E-3</v>
      </c>
      <c r="BR500" s="51">
        <v>4.7729545454545455E-3</v>
      </c>
      <c r="BS500" s="51">
        <v>4.8009090909090918E-3</v>
      </c>
      <c r="BT500" s="51">
        <v>4.8288636363636372E-3</v>
      </c>
      <c r="BU500" s="51">
        <v>4.8568181818181826E-3</v>
      </c>
      <c r="BV500" s="51">
        <v>4.8847727272727281E-3</v>
      </c>
      <c r="BW500" s="51">
        <v>4.9127272727272735E-3</v>
      </c>
      <c r="BX500" s="51">
        <v>4.9406818181818189E-3</v>
      </c>
      <c r="BY500" s="51">
        <v>4.9686363636363643E-3</v>
      </c>
      <c r="BZ500" s="51">
        <v>4.9965909090909097E-3</v>
      </c>
      <c r="CA500" s="51">
        <v>5.0245454545454551E-3</v>
      </c>
      <c r="CB500" s="51">
        <v>5.0525000000000006E-3</v>
      </c>
      <c r="CC500" s="51">
        <v>5.080454545454546E-3</v>
      </c>
      <c r="CD500" s="51">
        <v>5.1084090909090914E-3</v>
      </c>
      <c r="CE500" s="51">
        <v>5.1363636363636368E-3</v>
      </c>
      <c r="CF500" s="51">
        <v>5.1643181818181822E-3</v>
      </c>
      <c r="CG500" s="51">
        <v>5.1922727272727277E-3</v>
      </c>
      <c r="CH500" s="51">
        <v>5.2202272727272731E-3</v>
      </c>
      <c r="CI500" s="51">
        <v>5.2481818181818185E-3</v>
      </c>
      <c r="CJ500" s="51">
        <v>5.2761363636363639E-3</v>
      </c>
      <c r="CK500" s="51">
        <v>5.3040909090909093E-3</v>
      </c>
      <c r="CL500" s="51">
        <v>5.3320454545454548E-3</v>
      </c>
      <c r="CM500" s="51">
        <v>5.3600000000000002E-3</v>
      </c>
    </row>
    <row r="501" spans="1:91" s="50" customFormat="1" x14ac:dyDescent="0.25">
      <c r="A501" s="9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c r="BK501" s="51"/>
      <c r="BL501" s="51"/>
      <c r="BM501" s="51"/>
      <c r="BN501" s="51"/>
      <c r="BO501" s="51"/>
      <c r="BP501" s="51"/>
      <c r="BQ501" s="51"/>
      <c r="BR501" s="51"/>
      <c r="BS501" s="51"/>
      <c r="BT501" s="51"/>
      <c r="BU501" s="51"/>
      <c r="BV501" s="51"/>
      <c r="BW501" s="51"/>
      <c r="BX501" s="51"/>
      <c r="BY501" s="51"/>
      <c r="BZ501" s="51"/>
      <c r="CA501" s="51"/>
      <c r="CB501" s="51"/>
      <c r="CC501" s="51"/>
      <c r="CD501" s="51"/>
      <c r="CE501" s="51"/>
      <c r="CF501" s="51"/>
      <c r="CG501" s="51"/>
      <c r="CH501" s="51"/>
      <c r="CI501" s="51"/>
      <c r="CJ501" s="51"/>
      <c r="CK501" s="51"/>
      <c r="CL501" s="51"/>
      <c r="CM501" s="51"/>
    </row>
    <row r="502" spans="1:91" s="50" customFormat="1" x14ac:dyDescent="0.25">
      <c r="A502" s="99" t="s">
        <v>382</v>
      </c>
      <c r="B502" s="4">
        <v>0</v>
      </c>
      <c r="C502" s="4">
        <v>0</v>
      </c>
      <c r="D502" s="4">
        <v>0</v>
      </c>
      <c r="E502" s="4">
        <v>0</v>
      </c>
      <c r="F502" s="4">
        <v>0</v>
      </c>
      <c r="G502" s="4">
        <v>0</v>
      </c>
      <c r="H502" s="4">
        <v>0</v>
      </c>
      <c r="I502" s="4">
        <v>0</v>
      </c>
      <c r="J502" s="4">
        <v>0</v>
      </c>
      <c r="K502" s="4">
        <v>0</v>
      </c>
      <c r="L502" s="4">
        <v>0</v>
      </c>
      <c r="M502" s="4">
        <v>0</v>
      </c>
      <c r="N502" s="4">
        <v>0</v>
      </c>
      <c r="O502" s="4">
        <v>0</v>
      </c>
      <c r="P502" s="4">
        <v>0</v>
      </c>
      <c r="Q502" s="4">
        <v>0</v>
      </c>
      <c r="R502" s="4">
        <v>0</v>
      </c>
      <c r="S502" s="4">
        <v>0</v>
      </c>
      <c r="T502" s="4">
        <v>0</v>
      </c>
      <c r="U502" s="4">
        <v>0</v>
      </c>
      <c r="V502" s="4">
        <v>0</v>
      </c>
      <c r="W502" s="4">
        <v>0</v>
      </c>
      <c r="X502" s="4">
        <v>0</v>
      </c>
      <c r="Y502" s="4">
        <v>0</v>
      </c>
      <c r="Z502" s="4">
        <v>0</v>
      </c>
      <c r="AA502" s="4">
        <v>0</v>
      </c>
      <c r="AB502" s="4">
        <v>0</v>
      </c>
      <c r="AC502" s="4">
        <v>0</v>
      </c>
      <c r="AD502" s="4">
        <v>0</v>
      </c>
      <c r="AE502" s="4">
        <v>0</v>
      </c>
      <c r="AF502" s="51">
        <v>3.0288636363636368E-3</v>
      </c>
      <c r="AG502" s="51">
        <v>3.1022727272727278E-3</v>
      </c>
      <c r="AH502" s="51">
        <v>3.1756818181818188E-3</v>
      </c>
      <c r="AI502" s="51">
        <v>3.2490909090909098E-3</v>
      </c>
      <c r="AJ502" s="51">
        <v>3.3225000000000008E-3</v>
      </c>
      <c r="AK502" s="51">
        <v>3.3959090909090918E-3</v>
      </c>
      <c r="AL502" s="51">
        <v>3.4693181818181828E-3</v>
      </c>
      <c r="AM502" s="51">
        <v>3.5427272727272738E-3</v>
      </c>
      <c r="AN502" s="51">
        <v>3.6161363636363648E-3</v>
      </c>
      <c r="AO502" s="51">
        <v>3.6895454545454558E-3</v>
      </c>
      <c r="AP502" s="51">
        <v>3.7629545454545468E-3</v>
      </c>
      <c r="AQ502" s="51">
        <v>3.8363636363636378E-3</v>
      </c>
      <c r="AR502" s="51">
        <v>3.9097727272727287E-3</v>
      </c>
      <c r="AS502" s="51">
        <v>3.9831818181818197E-3</v>
      </c>
      <c r="AT502" s="51">
        <v>4.0565909090909107E-3</v>
      </c>
      <c r="AU502" s="51">
        <v>4.1300000000000009E-3</v>
      </c>
      <c r="AV502" s="51">
        <v>4.1579545454545463E-3</v>
      </c>
      <c r="AW502" s="51">
        <v>4.1859090909090917E-3</v>
      </c>
      <c r="AX502" s="51">
        <v>4.2138636363636371E-3</v>
      </c>
      <c r="AY502" s="51">
        <v>4.2418181818181825E-3</v>
      </c>
      <c r="AZ502" s="51">
        <v>4.269772727272728E-3</v>
      </c>
      <c r="BA502" s="51">
        <v>4.2977272727272734E-3</v>
      </c>
      <c r="BB502" s="51">
        <v>4.3256818181818188E-3</v>
      </c>
      <c r="BC502" s="51">
        <v>4.3536363636363642E-3</v>
      </c>
      <c r="BD502" s="51">
        <v>4.3815909090909096E-3</v>
      </c>
      <c r="BE502" s="51">
        <v>4.4095454545454551E-3</v>
      </c>
      <c r="BF502" s="51">
        <v>4.4375000000000005E-3</v>
      </c>
      <c r="BG502" s="51">
        <v>4.4654545454545459E-3</v>
      </c>
      <c r="BH502" s="51">
        <v>4.4934090909090913E-3</v>
      </c>
      <c r="BI502" s="51">
        <v>4.5213636363636367E-3</v>
      </c>
      <c r="BJ502" s="51">
        <v>4.5493181818181821E-3</v>
      </c>
      <c r="BK502" s="51">
        <v>4.5772727272727276E-3</v>
      </c>
      <c r="BL502" s="51">
        <v>4.605227272727273E-3</v>
      </c>
      <c r="BM502" s="51">
        <v>4.6331818181818184E-3</v>
      </c>
      <c r="BN502" s="51">
        <v>4.6611363636363638E-3</v>
      </c>
      <c r="BO502" s="51">
        <v>4.6890909090909101E-3</v>
      </c>
      <c r="BP502" s="51">
        <v>4.7170454545454547E-3</v>
      </c>
      <c r="BQ502" s="51">
        <v>4.745000000000001E-3</v>
      </c>
      <c r="BR502" s="51">
        <v>4.7729545454545455E-3</v>
      </c>
      <c r="BS502" s="51">
        <v>4.8009090909090918E-3</v>
      </c>
      <c r="BT502" s="51">
        <v>4.8288636363636372E-3</v>
      </c>
      <c r="BU502" s="51">
        <v>4.8568181818181826E-3</v>
      </c>
      <c r="BV502" s="51">
        <v>4.8847727272727281E-3</v>
      </c>
      <c r="BW502" s="51">
        <v>4.9127272727272735E-3</v>
      </c>
      <c r="BX502" s="51">
        <v>4.9406818181818189E-3</v>
      </c>
      <c r="BY502" s="51">
        <v>4.9686363636363643E-3</v>
      </c>
      <c r="BZ502" s="51">
        <v>4.9965909090909097E-3</v>
      </c>
      <c r="CA502" s="51">
        <v>5.0245454545454551E-3</v>
      </c>
      <c r="CB502" s="51">
        <v>5.0525000000000006E-3</v>
      </c>
      <c r="CC502" s="51">
        <v>5.080454545454546E-3</v>
      </c>
      <c r="CD502" s="51">
        <v>5.1084090909090914E-3</v>
      </c>
      <c r="CE502" s="51">
        <v>5.1363636363636368E-3</v>
      </c>
      <c r="CF502" s="51">
        <v>5.1643181818181822E-3</v>
      </c>
      <c r="CG502" s="51">
        <v>5.1922727272727277E-3</v>
      </c>
      <c r="CH502" s="51">
        <v>5.2202272727272731E-3</v>
      </c>
      <c r="CI502" s="51">
        <v>5.2481818181818185E-3</v>
      </c>
      <c r="CJ502" s="51">
        <v>5.2761363636363639E-3</v>
      </c>
      <c r="CK502" s="51">
        <v>5.3040909090909093E-3</v>
      </c>
      <c r="CL502" s="51">
        <v>5.3320454545454548E-3</v>
      </c>
      <c r="CM502" s="51">
        <v>5.3600000000000002E-3</v>
      </c>
    </row>
    <row r="503" spans="1:91" s="50" customFormat="1" x14ac:dyDescent="0.25">
      <c r="A503" s="9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c r="BI503" s="51"/>
      <c r="BJ503" s="51"/>
      <c r="BK503" s="51"/>
      <c r="BL503" s="51"/>
      <c r="BM503" s="51"/>
      <c r="BN503" s="51"/>
      <c r="BO503" s="51"/>
      <c r="BP503" s="51"/>
      <c r="BQ503" s="51"/>
      <c r="BR503" s="51"/>
      <c r="BS503" s="51"/>
      <c r="BT503" s="51"/>
      <c r="BU503" s="51"/>
      <c r="BV503" s="51"/>
      <c r="BW503" s="51"/>
      <c r="BX503" s="51"/>
      <c r="BY503" s="51"/>
      <c r="BZ503" s="51"/>
      <c r="CA503" s="51"/>
      <c r="CB503" s="51"/>
      <c r="CC503" s="51"/>
      <c r="CD503" s="51"/>
      <c r="CE503" s="51"/>
      <c r="CF503" s="51"/>
      <c r="CG503" s="51"/>
      <c r="CH503" s="51"/>
      <c r="CI503" s="51"/>
      <c r="CJ503" s="51"/>
      <c r="CK503" s="51"/>
      <c r="CL503" s="51"/>
      <c r="CM503" s="51"/>
    </row>
    <row r="504" spans="1:91" s="50" customFormat="1" x14ac:dyDescent="0.25">
      <c r="A504" s="99" t="s">
        <v>356</v>
      </c>
      <c r="B504" s="4">
        <v>0</v>
      </c>
      <c r="C504" s="4">
        <v>0</v>
      </c>
      <c r="D504" s="4">
        <v>0</v>
      </c>
      <c r="E504" s="4">
        <v>0</v>
      </c>
      <c r="F504" s="4">
        <v>0</v>
      </c>
      <c r="G504" s="4">
        <v>0</v>
      </c>
      <c r="H504" s="4">
        <v>0</v>
      </c>
      <c r="I504" s="4">
        <v>0</v>
      </c>
      <c r="J504" s="4">
        <v>0</v>
      </c>
      <c r="K504" s="4">
        <v>0</v>
      </c>
      <c r="L504" s="4">
        <v>0</v>
      </c>
      <c r="M504" s="4">
        <v>0</v>
      </c>
      <c r="N504" s="4">
        <v>0</v>
      </c>
      <c r="O504" s="4">
        <v>0</v>
      </c>
      <c r="P504" s="4">
        <v>0</v>
      </c>
      <c r="Q504" s="4">
        <v>0</v>
      </c>
      <c r="R504" s="4">
        <v>0</v>
      </c>
      <c r="S504" s="4">
        <v>0</v>
      </c>
      <c r="T504" s="4">
        <v>0</v>
      </c>
      <c r="U504" s="4">
        <v>0</v>
      </c>
      <c r="V504" s="4">
        <v>0</v>
      </c>
      <c r="W504" s="4">
        <v>0</v>
      </c>
      <c r="X504" s="4">
        <v>0</v>
      </c>
      <c r="Y504" s="4">
        <v>0</v>
      </c>
      <c r="Z504" s="4">
        <v>0</v>
      </c>
      <c r="AA504" s="4">
        <v>0</v>
      </c>
      <c r="AB504" s="4">
        <v>0</v>
      </c>
      <c r="AC504" s="4">
        <v>0</v>
      </c>
      <c r="AD504" s="4">
        <v>0</v>
      </c>
      <c r="AE504" s="4">
        <v>0</v>
      </c>
      <c r="AF504" s="51">
        <v>8.6618671127481966E-4</v>
      </c>
      <c r="AG504" s="51">
        <v>8.7332065560907562E-4</v>
      </c>
      <c r="AH504" s="51">
        <v>8.8045459994333169E-4</v>
      </c>
      <c r="AI504" s="51">
        <v>8.8758854427758765E-4</v>
      </c>
      <c r="AJ504" s="51">
        <v>8.9472248861184372E-4</v>
      </c>
      <c r="AK504" s="51">
        <v>9.0185643294609969E-4</v>
      </c>
      <c r="AL504" s="51">
        <v>9.0899037728035576E-4</v>
      </c>
      <c r="AM504" s="51">
        <v>9.1612432161461172E-4</v>
      </c>
      <c r="AN504" s="51">
        <v>9.2325826594886768E-4</v>
      </c>
      <c r="AO504" s="51">
        <v>9.3039221028312375E-4</v>
      </c>
      <c r="AP504" s="51">
        <v>9.3752615461737982E-4</v>
      </c>
      <c r="AQ504" s="51">
        <v>9.4466009895163578E-4</v>
      </c>
      <c r="AR504" s="51">
        <v>9.5179404328589175E-4</v>
      </c>
      <c r="AS504" s="51">
        <v>9.5892798762014782E-4</v>
      </c>
      <c r="AT504" s="51">
        <v>9.6606193195440389E-4</v>
      </c>
      <c r="AU504" s="51">
        <v>9.7319587628865985E-4</v>
      </c>
      <c r="AV504" s="51">
        <v>9.9072164948453621E-4</v>
      </c>
      <c r="AW504" s="51">
        <v>1.0082474226804125E-3</v>
      </c>
      <c r="AX504" s="51">
        <v>1.0257731958762887E-3</v>
      </c>
      <c r="AY504" s="51">
        <v>1.043298969072165E-3</v>
      </c>
      <c r="AZ504" s="51">
        <v>1.0608247422680412E-3</v>
      </c>
      <c r="BA504" s="51">
        <v>1.0783505154639175E-3</v>
      </c>
      <c r="BB504" s="51">
        <v>1.095876288659794E-3</v>
      </c>
      <c r="BC504" s="51">
        <v>1.1134020618556702E-3</v>
      </c>
      <c r="BD504" s="51">
        <v>1.1309278350515465E-3</v>
      </c>
      <c r="BE504" s="51">
        <v>1.1484536082474227E-3</v>
      </c>
      <c r="BF504" s="51">
        <v>1.165979381443299E-3</v>
      </c>
      <c r="BG504" s="51">
        <v>1.1835051546391752E-3</v>
      </c>
      <c r="BH504" s="51">
        <v>1.2010309278350515E-3</v>
      </c>
      <c r="BI504" s="51">
        <v>1.2185567010309277E-3</v>
      </c>
      <c r="BJ504" s="51">
        <v>1.236082474226804E-3</v>
      </c>
      <c r="BK504" s="51">
        <v>1.2536082474226805E-3</v>
      </c>
      <c r="BL504" s="51">
        <v>1.2711340206185567E-3</v>
      </c>
      <c r="BM504" s="51">
        <v>1.288659793814433E-3</v>
      </c>
      <c r="BN504" s="51">
        <v>1.3061855670103092E-3</v>
      </c>
      <c r="BO504" s="51">
        <v>1.3237113402061855E-3</v>
      </c>
      <c r="BP504" s="51">
        <v>1.3412371134020619E-3</v>
      </c>
      <c r="BQ504" s="51">
        <v>1.3587628865979382E-3</v>
      </c>
      <c r="BR504" s="51">
        <v>1.3762886597938145E-3</v>
      </c>
      <c r="BS504" s="51">
        <v>1.3938144329896907E-3</v>
      </c>
      <c r="BT504" s="51">
        <v>1.411340206185567E-3</v>
      </c>
      <c r="BU504" s="51">
        <v>1.4288659793814432E-3</v>
      </c>
      <c r="BV504" s="51">
        <v>1.4463917525773195E-3</v>
      </c>
      <c r="BW504" s="51">
        <v>1.4639175257731957E-3</v>
      </c>
      <c r="BX504" s="51">
        <v>1.481443298969072E-3</v>
      </c>
      <c r="BY504" s="51">
        <v>1.4989690721649482E-3</v>
      </c>
      <c r="BZ504" s="51">
        <v>1.5164948453608247E-3</v>
      </c>
      <c r="CA504" s="51">
        <v>1.534020618556701E-3</v>
      </c>
      <c r="CB504" s="51">
        <v>1.5515463917525772E-3</v>
      </c>
      <c r="CC504" s="51">
        <v>1.5690721649484537E-3</v>
      </c>
      <c r="CD504" s="51">
        <v>1.5865979381443299E-3</v>
      </c>
      <c r="CE504" s="51">
        <v>1.6041237113402062E-3</v>
      </c>
      <c r="CF504" s="51">
        <v>1.6216494845360824E-3</v>
      </c>
      <c r="CG504" s="51">
        <v>1.6391752577319587E-3</v>
      </c>
      <c r="CH504" s="51">
        <v>1.656701030927835E-3</v>
      </c>
      <c r="CI504" s="51">
        <v>1.6742268041237112E-3</v>
      </c>
      <c r="CJ504" s="51">
        <v>1.6917525773195875E-3</v>
      </c>
      <c r="CK504" s="51">
        <v>1.7092783505154637E-3</v>
      </c>
      <c r="CL504" s="51">
        <v>1.72680412371134E-3</v>
      </c>
      <c r="CM504" s="51">
        <v>1.7443298969072164E-3</v>
      </c>
    </row>
    <row r="505" spans="1:91" s="50" customFormat="1" x14ac:dyDescent="0.25">
      <c r="A505" s="9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c r="BI505" s="51"/>
      <c r="BJ505" s="51"/>
      <c r="BK505" s="51"/>
      <c r="BL505" s="51"/>
      <c r="BM505" s="51"/>
      <c r="BN505" s="51"/>
      <c r="BO505" s="51"/>
      <c r="BP505" s="51"/>
      <c r="BQ505" s="51"/>
      <c r="BR505" s="51"/>
      <c r="BS505" s="51"/>
      <c r="BT505" s="51"/>
      <c r="BU505" s="51"/>
      <c r="BV505" s="51"/>
      <c r="BW505" s="51"/>
      <c r="BX505" s="51"/>
      <c r="BY505" s="51"/>
      <c r="BZ505" s="51"/>
      <c r="CA505" s="51"/>
      <c r="CB505" s="51"/>
      <c r="CC505" s="51"/>
      <c r="CD505" s="51"/>
      <c r="CE505" s="51"/>
      <c r="CF505" s="51"/>
      <c r="CG505" s="51"/>
      <c r="CH505" s="51"/>
      <c r="CI505" s="51"/>
      <c r="CJ505" s="51"/>
      <c r="CK505" s="51"/>
      <c r="CL505" s="51"/>
      <c r="CM505" s="51"/>
    </row>
    <row r="506" spans="1:91" s="50" customFormat="1" x14ac:dyDescent="0.25">
      <c r="A506" s="99" t="s">
        <v>375</v>
      </c>
      <c r="B506" s="4">
        <v>0</v>
      </c>
      <c r="C506" s="4">
        <v>0</v>
      </c>
      <c r="D506" s="4">
        <v>0</v>
      </c>
      <c r="E506" s="4">
        <v>0</v>
      </c>
      <c r="F506" s="4">
        <v>0</v>
      </c>
      <c r="G506" s="4">
        <v>0</v>
      </c>
      <c r="H506" s="4">
        <v>0</v>
      </c>
      <c r="I506" s="4">
        <v>0</v>
      </c>
      <c r="J506" s="4">
        <v>0</v>
      </c>
      <c r="K506" s="4">
        <v>0</v>
      </c>
      <c r="L506" s="4">
        <v>0</v>
      </c>
      <c r="M506" s="4">
        <v>0</v>
      </c>
      <c r="N506" s="4">
        <v>0</v>
      </c>
      <c r="O506" s="4">
        <v>0</v>
      </c>
      <c r="P506" s="4">
        <v>0</v>
      </c>
      <c r="Q506" s="4">
        <v>0</v>
      </c>
      <c r="R506" s="4">
        <v>0</v>
      </c>
      <c r="S506" s="4">
        <v>0</v>
      </c>
      <c r="T506" s="4">
        <v>0</v>
      </c>
      <c r="U506" s="4">
        <v>0</v>
      </c>
      <c r="V506" s="4">
        <v>0</v>
      </c>
      <c r="W506" s="4">
        <v>0</v>
      </c>
      <c r="X506" s="4">
        <v>0</v>
      </c>
      <c r="Y506" s="4">
        <v>0</v>
      </c>
      <c r="Z506" s="4">
        <v>0</v>
      </c>
      <c r="AA506" s="4">
        <v>0</v>
      </c>
      <c r="AB506" s="4">
        <v>0</v>
      </c>
      <c r="AC506" s="4">
        <v>0</v>
      </c>
      <c r="AD506" s="4">
        <v>0</v>
      </c>
      <c r="AE506" s="4">
        <v>0</v>
      </c>
      <c r="AF506" s="51">
        <v>8.6618671127481966E-4</v>
      </c>
      <c r="AG506" s="51">
        <v>8.7332065560907562E-4</v>
      </c>
      <c r="AH506" s="51">
        <v>8.8045459994333169E-4</v>
      </c>
      <c r="AI506" s="51">
        <v>8.8758854427758765E-4</v>
      </c>
      <c r="AJ506" s="51">
        <v>8.9472248861184372E-4</v>
      </c>
      <c r="AK506" s="51">
        <v>9.0185643294609969E-4</v>
      </c>
      <c r="AL506" s="51">
        <v>9.0899037728035576E-4</v>
      </c>
      <c r="AM506" s="51">
        <v>9.1612432161461172E-4</v>
      </c>
      <c r="AN506" s="51">
        <v>9.2325826594886768E-4</v>
      </c>
      <c r="AO506" s="51">
        <v>9.3039221028312375E-4</v>
      </c>
      <c r="AP506" s="51">
        <v>9.3752615461737982E-4</v>
      </c>
      <c r="AQ506" s="51">
        <v>9.4466009895163578E-4</v>
      </c>
      <c r="AR506" s="51">
        <v>9.5179404328589175E-4</v>
      </c>
      <c r="AS506" s="51">
        <v>9.5892798762014782E-4</v>
      </c>
      <c r="AT506" s="51">
        <v>9.6606193195440389E-4</v>
      </c>
      <c r="AU506" s="51">
        <v>9.7319587628865985E-4</v>
      </c>
      <c r="AV506" s="51">
        <v>9.9072164948453621E-4</v>
      </c>
      <c r="AW506" s="51">
        <v>1.0082474226804125E-3</v>
      </c>
      <c r="AX506" s="51">
        <v>1.0257731958762887E-3</v>
      </c>
      <c r="AY506" s="51">
        <v>1.043298969072165E-3</v>
      </c>
      <c r="AZ506" s="51">
        <v>1.0608247422680412E-3</v>
      </c>
      <c r="BA506" s="51">
        <v>1.0783505154639175E-3</v>
      </c>
      <c r="BB506" s="51">
        <v>1.095876288659794E-3</v>
      </c>
      <c r="BC506" s="51">
        <v>1.1134020618556702E-3</v>
      </c>
      <c r="BD506" s="51">
        <v>1.1309278350515465E-3</v>
      </c>
      <c r="BE506" s="51">
        <v>1.1484536082474227E-3</v>
      </c>
      <c r="BF506" s="51">
        <v>1.165979381443299E-3</v>
      </c>
      <c r="BG506" s="51">
        <v>1.1835051546391752E-3</v>
      </c>
      <c r="BH506" s="51">
        <v>1.2010309278350515E-3</v>
      </c>
      <c r="BI506" s="51">
        <v>1.2185567010309277E-3</v>
      </c>
      <c r="BJ506" s="51">
        <v>1.236082474226804E-3</v>
      </c>
      <c r="BK506" s="51">
        <v>1.2536082474226805E-3</v>
      </c>
      <c r="BL506" s="51">
        <v>1.2711340206185567E-3</v>
      </c>
      <c r="BM506" s="51">
        <v>1.288659793814433E-3</v>
      </c>
      <c r="BN506" s="51">
        <v>1.3061855670103092E-3</v>
      </c>
      <c r="BO506" s="51">
        <v>1.3237113402061855E-3</v>
      </c>
      <c r="BP506" s="51">
        <v>1.3412371134020619E-3</v>
      </c>
      <c r="BQ506" s="51">
        <v>1.3587628865979382E-3</v>
      </c>
      <c r="BR506" s="51">
        <v>1.3762886597938145E-3</v>
      </c>
      <c r="BS506" s="51">
        <v>1.3938144329896907E-3</v>
      </c>
      <c r="BT506" s="51">
        <v>1.411340206185567E-3</v>
      </c>
      <c r="BU506" s="51">
        <v>1.4288659793814432E-3</v>
      </c>
      <c r="BV506" s="51">
        <v>1.4463917525773195E-3</v>
      </c>
      <c r="BW506" s="51">
        <v>1.4639175257731957E-3</v>
      </c>
      <c r="BX506" s="51">
        <v>1.481443298969072E-3</v>
      </c>
      <c r="BY506" s="51">
        <v>1.4989690721649482E-3</v>
      </c>
      <c r="BZ506" s="51">
        <v>1.5164948453608247E-3</v>
      </c>
      <c r="CA506" s="51">
        <v>1.534020618556701E-3</v>
      </c>
      <c r="CB506" s="51">
        <v>1.5515463917525772E-3</v>
      </c>
      <c r="CC506" s="51">
        <v>1.5690721649484537E-3</v>
      </c>
      <c r="CD506" s="51">
        <v>1.5865979381443299E-3</v>
      </c>
      <c r="CE506" s="51">
        <v>1.6041237113402062E-3</v>
      </c>
      <c r="CF506" s="51">
        <v>1.6216494845360824E-3</v>
      </c>
      <c r="CG506" s="51">
        <v>1.6391752577319587E-3</v>
      </c>
      <c r="CH506" s="51">
        <v>1.656701030927835E-3</v>
      </c>
      <c r="CI506" s="51">
        <v>1.6742268041237112E-3</v>
      </c>
      <c r="CJ506" s="51">
        <v>1.6917525773195875E-3</v>
      </c>
      <c r="CK506" s="51">
        <v>1.7092783505154637E-3</v>
      </c>
      <c r="CL506" s="51">
        <v>1.72680412371134E-3</v>
      </c>
      <c r="CM506" s="51">
        <v>1.7443298969072164E-3</v>
      </c>
    </row>
    <row r="507" spans="1:91" s="50" customFormat="1" x14ac:dyDescent="0.25">
      <c r="A507" s="9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c r="BI507" s="51"/>
      <c r="BJ507" s="51"/>
      <c r="BK507" s="51"/>
      <c r="BL507" s="51"/>
      <c r="BM507" s="51"/>
      <c r="BN507" s="51"/>
      <c r="BO507" s="51"/>
      <c r="BP507" s="51"/>
      <c r="BQ507" s="51"/>
      <c r="BR507" s="51"/>
      <c r="BS507" s="51"/>
      <c r="BT507" s="51"/>
      <c r="BU507" s="51"/>
      <c r="BV507" s="51"/>
      <c r="BW507" s="51"/>
      <c r="BX507" s="51"/>
      <c r="BY507" s="51"/>
      <c r="BZ507" s="51"/>
      <c r="CA507" s="51"/>
      <c r="CB507" s="51"/>
      <c r="CC507" s="51"/>
      <c r="CD507" s="51"/>
      <c r="CE507" s="51"/>
      <c r="CF507" s="51"/>
      <c r="CG507" s="51"/>
      <c r="CH507" s="51"/>
      <c r="CI507" s="51"/>
      <c r="CJ507" s="51"/>
      <c r="CK507" s="51"/>
      <c r="CL507" s="51"/>
      <c r="CM507" s="51"/>
    </row>
    <row r="508" spans="1:91" s="50" customFormat="1" x14ac:dyDescent="0.25">
      <c r="A508" s="99" t="s">
        <v>189</v>
      </c>
      <c r="B508" s="4">
        <v>0</v>
      </c>
      <c r="C508" s="4">
        <v>0</v>
      </c>
      <c r="D508" s="4">
        <v>0</v>
      </c>
      <c r="E508" s="4">
        <v>0</v>
      </c>
      <c r="F508" s="4">
        <v>0</v>
      </c>
      <c r="G508" s="4">
        <v>0</v>
      </c>
      <c r="H508" s="4">
        <v>0</v>
      </c>
      <c r="I508" s="4">
        <v>0</v>
      </c>
      <c r="J508" s="4">
        <v>0</v>
      </c>
      <c r="K508" s="4">
        <v>0</v>
      </c>
      <c r="L508" s="4">
        <v>0</v>
      </c>
      <c r="M508" s="4">
        <v>0</v>
      </c>
      <c r="N508" s="4">
        <v>0</v>
      </c>
      <c r="O508" s="4">
        <v>0</v>
      </c>
      <c r="P508" s="4">
        <v>0</v>
      </c>
      <c r="Q508" s="4">
        <v>0</v>
      </c>
      <c r="R508" s="4">
        <v>0</v>
      </c>
      <c r="S508" s="4">
        <v>0</v>
      </c>
      <c r="T508" s="4">
        <v>0</v>
      </c>
      <c r="U508" s="4">
        <v>0</v>
      </c>
      <c r="V508" s="4">
        <v>0</v>
      </c>
      <c r="W508" s="4">
        <v>0</v>
      </c>
      <c r="X508" s="4">
        <v>0</v>
      </c>
      <c r="Y508" s="4">
        <v>0</v>
      </c>
      <c r="Z508" s="4">
        <v>0</v>
      </c>
      <c r="AA508" s="4">
        <v>0</v>
      </c>
      <c r="AB508" s="4">
        <v>0</v>
      </c>
      <c r="AC508" s="4">
        <v>0</v>
      </c>
      <c r="AD508" s="4">
        <v>0</v>
      </c>
      <c r="AE508" s="4">
        <v>0</v>
      </c>
      <c r="AF508" s="51">
        <v>2.8586557155908612E-3</v>
      </c>
      <c r="AG508" s="51">
        <v>2.909963886131464E-3</v>
      </c>
      <c r="AH508" s="51">
        <v>2.9612720566720677E-3</v>
      </c>
      <c r="AI508" s="51">
        <v>3.0125802272126705E-3</v>
      </c>
      <c r="AJ508" s="51">
        <v>3.0638883977532742E-3</v>
      </c>
      <c r="AK508" s="51">
        <v>3.1151965682938766E-3</v>
      </c>
      <c r="AL508" s="51">
        <v>3.1665047388344802E-3</v>
      </c>
      <c r="AM508" s="51">
        <v>3.2178129093750835E-3</v>
      </c>
      <c r="AN508" s="51">
        <v>3.2691210799156863E-3</v>
      </c>
      <c r="AO508" s="51">
        <v>3.3204292504562887E-3</v>
      </c>
      <c r="AP508" s="51">
        <v>3.3717374209968911E-3</v>
      </c>
      <c r="AQ508" s="51">
        <v>3.4230455915374956E-3</v>
      </c>
      <c r="AR508" s="51">
        <v>3.474353762078098E-3</v>
      </c>
      <c r="AS508" s="51">
        <v>3.5256619326187004E-3</v>
      </c>
      <c r="AT508" s="51">
        <v>3.5769701031593041E-3</v>
      </c>
      <c r="AU508" s="51">
        <v>3.6282782736999073E-3</v>
      </c>
      <c r="AV508" s="51">
        <v>3.6601435786098075E-3</v>
      </c>
      <c r="AW508" s="51">
        <v>3.6920088835197063E-3</v>
      </c>
      <c r="AX508" s="51">
        <v>3.7238741884296055E-3</v>
      </c>
      <c r="AY508" s="51">
        <v>3.7557394933395052E-3</v>
      </c>
      <c r="AZ508" s="51">
        <v>3.7876047982494045E-3</v>
      </c>
      <c r="BA508" s="51">
        <v>3.8194701031593042E-3</v>
      </c>
      <c r="BB508" s="51">
        <v>3.8513354080692043E-3</v>
      </c>
      <c r="BC508" s="51">
        <v>3.8832007129791031E-3</v>
      </c>
      <c r="BD508" s="51">
        <v>3.9150660178890037E-3</v>
      </c>
      <c r="BE508" s="51">
        <v>3.9469313227989029E-3</v>
      </c>
      <c r="BF508" s="51">
        <v>3.9787966277088022E-3</v>
      </c>
      <c r="BG508" s="51">
        <v>4.0106619326187015E-3</v>
      </c>
      <c r="BH508" s="51">
        <v>4.0425272375286016E-3</v>
      </c>
      <c r="BI508" s="51">
        <v>4.0743925424385008E-3</v>
      </c>
      <c r="BJ508" s="51">
        <v>4.1062578473483992E-3</v>
      </c>
      <c r="BK508" s="51">
        <v>4.1381231522582993E-3</v>
      </c>
      <c r="BL508" s="51">
        <v>4.1699884571681986E-3</v>
      </c>
      <c r="BM508" s="51">
        <v>4.2018537620780979E-3</v>
      </c>
      <c r="BN508" s="51">
        <v>4.233719066987998E-3</v>
      </c>
      <c r="BO508" s="51">
        <v>4.2655843718978972E-3</v>
      </c>
      <c r="BP508" s="51">
        <v>4.2974496768077956E-3</v>
      </c>
      <c r="BQ508" s="51">
        <v>4.3293149817176958E-3</v>
      </c>
      <c r="BR508" s="51">
        <v>4.3611802866275959E-3</v>
      </c>
      <c r="BS508" s="51">
        <v>4.3930455915374969E-3</v>
      </c>
      <c r="BT508" s="51">
        <v>4.4249108964473944E-3</v>
      </c>
      <c r="BU508" s="51">
        <v>4.4567762013572945E-3</v>
      </c>
      <c r="BV508" s="51">
        <v>4.4886415062671938E-3</v>
      </c>
      <c r="BW508" s="51">
        <v>4.520506811177093E-3</v>
      </c>
      <c r="BX508" s="51">
        <v>4.5523721160869923E-3</v>
      </c>
      <c r="BY508" s="51">
        <v>4.5842374209968924E-3</v>
      </c>
      <c r="BZ508" s="51">
        <v>4.6161027259067908E-3</v>
      </c>
      <c r="CA508" s="51">
        <v>4.6479680308166918E-3</v>
      </c>
      <c r="CB508" s="51">
        <v>4.6798333357265902E-3</v>
      </c>
      <c r="CC508" s="51">
        <v>4.7116986406364903E-3</v>
      </c>
      <c r="CD508" s="51">
        <v>4.7435639455463896E-3</v>
      </c>
      <c r="CE508" s="51">
        <v>4.7754292504562897E-3</v>
      </c>
      <c r="CF508" s="51">
        <v>4.8072945553661881E-3</v>
      </c>
      <c r="CG508" s="51">
        <v>4.8391598602760891E-3</v>
      </c>
      <c r="CH508" s="51">
        <v>4.8710251651859866E-3</v>
      </c>
      <c r="CI508" s="51">
        <v>4.9028904700958876E-3</v>
      </c>
      <c r="CJ508" s="51">
        <v>4.9347557750057851E-3</v>
      </c>
      <c r="CK508" s="51">
        <v>4.9666210799156861E-3</v>
      </c>
      <c r="CL508" s="51">
        <v>4.9984863848255862E-3</v>
      </c>
      <c r="CM508" s="51">
        <v>5.0303516897354846E-3</v>
      </c>
    </row>
    <row r="509" spans="1:91" s="50" customFormat="1" x14ac:dyDescent="0.25">
      <c r="A509" s="99" t="s">
        <v>1</v>
      </c>
      <c r="B509" s="4">
        <v>0</v>
      </c>
      <c r="C509" s="4">
        <v>0</v>
      </c>
      <c r="D509" s="4">
        <v>0</v>
      </c>
      <c r="E509" s="4">
        <v>0</v>
      </c>
      <c r="F509" s="4">
        <v>0</v>
      </c>
      <c r="G509" s="4">
        <v>0</v>
      </c>
      <c r="H509" s="4">
        <v>0</v>
      </c>
      <c r="I509" s="4">
        <v>0</v>
      </c>
      <c r="J509" s="4">
        <v>0</v>
      </c>
      <c r="K509" s="4">
        <v>0</v>
      </c>
      <c r="L509" s="4">
        <v>0</v>
      </c>
      <c r="M509" s="4">
        <v>0</v>
      </c>
      <c r="N509" s="4">
        <v>0</v>
      </c>
      <c r="O509" s="4">
        <v>0</v>
      </c>
      <c r="P509" s="4">
        <v>0</v>
      </c>
      <c r="Q509" s="4">
        <v>0</v>
      </c>
      <c r="R509" s="4">
        <v>0</v>
      </c>
      <c r="S509" s="4">
        <v>0</v>
      </c>
      <c r="T509" s="4">
        <v>0</v>
      </c>
      <c r="U509" s="4">
        <v>0</v>
      </c>
      <c r="V509" s="4">
        <v>0</v>
      </c>
      <c r="W509" s="4">
        <v>0</v>
      </c>
      <c r="X509" s="4">
        <v>0</v>
      </c>
      <c r="Y509" s="4">
        <v>0</v>
      </c>
      <c r="Z509" s="4">
        <v>0</v>
      </c>
      <c r="AA509" s="4">
        <v>0</v>
      </c>
      <c r="AB509" s="4">
        <v>0</v>
      </c>
      <c r="AC509" s="4">
        <v>0</v>
      </c>
      <c r="AD509" s="4">
        <v>0</v>
      </c>
      <c r="AE509" s="4">
        <v>0</v>
      </c>
      <c r="AF509" s="51">
        <v>2.21991625074704E-3</v>
      </c>
      <c r="AG509" s="51">
        <v>2.2566263371078163E-3</v>
      </c>
      <c r="AH509" s="51">
        <v>2.2933364234685931E-3</v>
      </c>
      <c r="AI509" s="51">
        <v>2.3300465098293689E-3</v>
      </c>
      <c r="AJ509" s="51">
        <v>2.3667565961901457E-3</v>
      </c>
      <c r="AK509" s="51">
        <v>2.403466682550922E-3</v>
      </c>
      <c r="AL509" s="51">
        <v>2.4401767689116983E-3</v>
      </c>
      <c r="AM509" s="51">
        <v>2.4768868552724754E-3</v>
      </c>
      <c r="AN509" s="51">
        <v>2.5135969416332517E-3</v>
      </c>
      <c r="AO509" s="51">
        <v>2.5503070279940276E-3</v>
      </c>
      <c r="AP509" s="51">
        <v>2.5870171143548043E-3</v>
      </c>
      <c r="AQ509" s="51">
        <v>2.6237272007155811E-3</v>
      </c>
      <c r="AR509" s="51">
        <v>2.6604372870763569E-3</v>
      </c>
      <c r="AS509" s="51">
        <v>2.6971473734371336E-3</v>
      </c>
      <c r="AT509" s="51">
        <v>2.7338574597979095E-3</v>
      </c>
      <c r="AU509" s="51">
        <v>2.7705675461586858E-3</v>
      </c>
      <c r="AV509" s="51">
        <v>2.7941732069956472E-3</v>
      </c>
      <c r="AW509" s="51">
        <v>2.8177788678326082E-3</v>
      </c>
      <c r="AX509" s="51">
        <v>2.8413845286695688E-3</v>
      </c>
      <c r="AY509" s="51">
        <v>2.8649901895065294E-3</v>
      </c>
      <c r="AZ509" s="51">
        <v>2.8885958503434904E-3</v>
      </c>
      <c r="BA509" s="51">
        <v>2.9122015111804514E-3</v>
      </c>
      <c r="BB509" s="51">
        <v>2.9358071720174115E-3</v>
      </c>
      <c r="BC509" s="51">
        <v>2.9594128328543738E-3</v>
      </c>
      <c r="BD509" s="51">
        <v>2.9830184936913344E-3</v>
      </c>
      <c r="BE509" s="51">
        <v>3.0066241545282949E-3</v>
      </c>
      <c r="BF509" s="51">
        <v>3.030229815365256E-3</v>
      </c>
      <c r="BG509" s="51">
        <v>3.0538354762022174E-3</v>
      </c>
      <c r="BH509" s="51">
        <v>3.0774411370391771E-3</v>
      </c>
      <c r="BI509" s="51">
        <v>3.1010467978761381E-3</v>
      </c>
      <c r="BJ509" s="51">
        <v>3.1246524587130987E-3</v>
      </c>
      <c r="BK509" s="51">
        <v>3.1482581195500597E-3</v>
      </c>
      <c r="BL509" s="51">
        <v>3.1718637803870211E-3</v>
      </c>
      <c r="BM509" s="51">
        <v>3.1954694412239821E-3</v>
      </c>
      <c r="BN509" s="51">
        <v>3.2190751020609435E-3</v>
      </c>
      <c r="BO509" s="51">
        <v>3.2426807628979037E-3</v>
      </c>
      <c r="BP509" s="51">
        <v>3.2662864237348651E-3</v>
      </c>
      <c r="BQ509" s="51">
        <v>3.2898920845718252E-3</v>
      </c>
      <c r="BR509" s="51">
        <v>3.3134977454087858E-3</v>
      </c>
      <c r="BS509" s="51">
        <v>3.3371034062457468E-3</v>
      </c>
      <c r="BT509" s="51">
        <v>3.3607090670827078E-3</v>
      </c>
      <c r="BU509" s="51">
        <v>3.3843147279196684E-3</v>
      </c>
      <c r="BV509" s="51">
        <v>3.4079203887566302E-3</v>
      </c>
      <c r="BW509" s="51">
        <v>3.4315260495935899E-3</v>
      </c>
      <c r="BX509" s="51">
        <v>3.4551317104305514E-3</v>
      </c>
      <c r="BY509" s="51">
        <v>3.4787373712675128E-3</v>
      </c>
      <c r="BZ509" s="51">
        <v>3.5023430321044729E-3</v>
      </c>
      <c r="CA509" s="51">
        <v>3.5259486929414339E-3</v>
      </c>
      <c r="CB509" s="51">
        <v>3.5495543537783945E-3</v>
      </c>
      <c r="CC509" s="51">
        <v>3.5731600146153551E-3</v>
      </c>
      <c r="CD509" s="51">
        <v>3.5967656754523165E-3</v>
      </c>
      <c r="CE509" s="51">
        <v>3.6203713362892771E-3</v>
      </c>
      <c r="CF509" s="51">
        <v>3.6439769971262381E-3</v>
      </c>
      <c r="CG509" s="51">
        <v>3.6675826579631995E-3</v>
      </c>
      <c r="CH509" s="51">
        <v>3.6911883188001609E-3</v>
      </c>
      <c r="CI509" s="51">
        <v>3.7147939796371206E-3</v>
      </c>
      <c r="CJ509" s="51">
        <v>3.7383996404740821E-3</v>
      </c>
      <c r="CK509" s="51">
        <v>3.7620053013110422E-3</v>
      </c>
      <c r="CL509" s="51">
        <v>3.7856109621480032E-3</v>
      </c>
      <c r="CM509" s="51">
        <v>3.8092166229849646E-3</v>
      </c>
    </row>
    <row r="510" spans="1:91" s="50" customFormat="1" x14ac:dyDescent="0.25">
      <c r="A510" s="99" t="s">
        <v>1</v>
      </c>
      <c r="B510" s="4">
        <v>0</v>
      </c>
      <c r="C510" s="4">
        <v>0</v>
      </c>
      <c r="D510" s="4">
        <v>0</v>
      </c>
      <c r="E510" s="4">
        <v>0</v>
      </c>
      <c r="F510" s="4">
        <v>0</v>
      </c>
      <c r="G510" s="4">
        <v>0</v>
      </c>
      <c r="H510" s="4">
        <v>0</v>
      </c>
      <c r="I510" s="4">
        <v>0</v>
      </c>
      <c r="J510" s="4">
        <v>0</v>
      </c>
      <c r="K510" s="4">
        <v>0</v>
      </c>
      <c r="L510" s="4">
        <v>0</v>
      </c>
      <c r="M510" s="4">
        <v>0</v>
      </c>
      <c r="N510" s="4">
        <v>0</v>
      </c>
      <c r="O510" s="4">
        <v>0</v>
      </c>
      <c r="P510" s="4">
        <v>0</v>
      </c>
      <c r="Q510" s="4">
        <v>0</v>
      </c>
      <c r="R510" s="4">
        <v>0</v>
      </c>
      <c r="S510" s="4">
        <v>0</v>
      </c>
      <c r="T510" s="4">
        <v>0</v>
      </c>
      <c r="U510" s="4">
        <v>0</v>
      </c>
      <c r="V510" s="4">
        <v>0</v>
      </c>
      <c r="W510" s="4">
        <v>0</v>
      </c>
      <c r="X510" s="4">
        <v>0</v>
      </c>
      <c r="Y510" s="4">
        <v>0</v>
      </c>
      <c r="Z510" s="4">
        <v>0</v>
      </c>
      <c r="AA510" s="4">
        <v>0</v>
      </c>
      <c r="AB510" s="4">
        <v>0</v>
      </c>
      <c r="AC510" s="4">
        <v>0</v>
      </c>
      <c r="AD510" s="4">
        <v>0</v>
      </c>
      <c r="AE510" s="4">
        <v>0</v>
      </c>
      <c r="AF510" s="51">
        <v>3.2695631189309741E-3</v>
      </c>
      <c r="AG510" s="51">
        <v>3.3190680876783053E-3</v>
      </c>
      <c r="AH510" s="51">
        <v>3.3685730564256351E-3</v>
      </c>
      <c r="AI510" s="51">
        <v>3.4180780251729654E-3</v>
      </c>
      <c r="AJ510" s="51">
        <v>3.4675829939202975E-3</v>
      </c>
      <c r="AK510" s="51">
        <v>3.5170879626676278E-3</v>
      </c>
      <c r="AL510" s="51">
        <v>3.566592931414959E-3</v>
      </c>
      <c r="AM510" s="51">
        <v>3.6160979001622893E-3</v>
      </c>
      <c r="AN510" s="51">
        <v>3.66560286890962E-3</v>
      </c>
      <c r="AO510" s="51">
        <v>3.7151078376569512E-3</v>
      </c>
      <c r="AP510" s="51">
        <v>3.764612806404282E-3</v>
      </c>
      <c r="AQ510" s="51">
        <v>3.8141177751516123E-3</v>
      </c>
      <c r="AR510" s="51">
        <v>3.8636227438989435E-3</v>
      </c>
      <c r="AS510" s="51">
        <v>3.9131277126462733E-3</v>
      </c>
      <c r="AT510" s="51">
        <v>3.9626326813936045E-3</v>
      </c>
      <c r="AU510" s="51">
        <v>4.0121376501409357E-3</v>
      </c>
      <c r="AV510" s="51">
        <v>4.0409850921853223E-3</v>
      </c>
      <c r="AW510" s="51">
        <v>4.0698325342297097E-3</v>
      </c>
      <c r="AX510" s="51">
        <v>4.0986799762740963E-3</v>
      </c>
      <c r="AY510" s="51">
        <v>4.127527418318482E-3</v>
      </c>
      <c r="AZ510" s="51">
        <v>4.1563748603628704E-3</v>
      </c>
      <c r="BA510" s="51">
        <v>4.1852223024072561E-3</v>
      </c>
      <c r="BB510" s="51">
        <v>4.2140697444516435E-3</v>
      </c>
      <c r="BC510" s="51">
        <v>4.2429171864960301E-3</v>
      </c>
      <c r="BD510" s="51">
        <v>4.2717646285404158E-3</v>
      </c>
      <c r="BE510" s="51">
        <v>4.3006120705848042E-3</v>
      </c>
      <c r="BF510" s="51">
        <v>4.3294595126291899E-3</v>
      </c>
      <c r="BG510" s="51">
        <v>4.3583069546735782E-3</v>
      </c>
      <c r="BH510" s="51">
        <v>4.3871543967179639E-3</v>
      </c>
      <c r="BI510" s="51">
        <v>4.4160018387623514E-3</v>
      </c>
      <c r="BJ510" s="51">
        <v>4.444849280806738E-3</v>
      </c>
      <c r="BK510" s="51">
        <v>4.4736967228511245E-3</v>
      </c>
      <c r="BL510" s="51">
        <v>4.5025441648955111E-3</v>
      </c>
      <c r="BM510" s="51">
        <v>4.5313916069398994E-3</v>
      </c>
      <c r="BN510" s="51">
        <v>4.5602390489842852E-3</v>
      </c>
      <c r="BO510" s="51">
        <v>4.5890864910286726E-3</v>
      </c>
      <c r="BP510" s="51">
        <v>4.6179339330730601E-3</v>
      </c>
      <c r="BQ510" s="51">
        <v>4.6467813751174458E-3</v>
      </c>
      <c r="BR510" s="51">
        <v>4.6756288171618332E-3</v>
      </c>
      <c r="BS510" s="51">
        <v>4.7044762592062198E-3</v>
      </c>
      <c r="BT510" s="51">
        <v>4.7333237012506073E-3</v>
      </c>
      <c r="BU510" s="51">
        <v>4.762171143294993E-3</v>
      </c>
      <c r="BV510" s="51">
        <v>4.7910185853393805E-3</v>
      </c>
      <c r="BW510" s="51">
        <v>4.8198660273837679E-3</v>
      </c>
      <c r="BX510" s="51">
        <v>4.8487134694281545E-3</v>
      </c>
      <c r="BY510" s="51">
        <v>4.8775609114725419E-3</v>
      </c>
      <c r="BZ510" s="51">
        <v>4.9064083535169277E-3</v>
      </c>
      <c r="CA510" s="51">
        <v>4.9352557955613151E-3</v>
      </c>
      <c r="CB510" s="51">
        <v>4.9641032376057017E-3</v>
      </c>
      <c r="CC510" s="51">
        <v>4.9929506796500883E-3</v>
      </c>
      <c r="CD510" s="51">
        <v>5.0217981216944757E-3</v>
      </c>
      <c r="CE510" s="51">
        <v>5.0506455637388623E-3</v>
      </c>
      <c r="CF510" s="51">
        <v>5.0794930057832489E-3</v>
      </c>
      <c r="CG510" s="51">
        <v>5.1083404478276355E-3</v>
      </c>
      <c r="CH510" s="51">
        <v>5.1371878898720212E-3</v>
      </c>
      <c r="CI510" s="51">
        <v>5.1660353319164087E-3</v>
      </c>
      <c r="CJ510" s="51">
        <v>5.1948827739607961E-3</v>
      </c>
      <c r="CK510" s="51">
        <v>5.2237302160051836E-3</v>
      </c>
      <c r="CL510" s="51">
        <v>5.252577658049571E-3</v>
      </c>
      <c r="CM510" s="51">
        <v>5.2814251000939559E-3</v>
      </c>
    </row>
    <row r="511" spans="1:91" s="50" customFormat="1" x14ac:dyDescent="0.25">
      <c r="A511" s="99" t="s">
        <v>1</v>
      </c>
      <c r="B511" s="4">
        <v>0</v>
      </c>
      <c r="C511" s="4">
        <v>0</v>
      </c>
      <c r="D511" s="4">
        <v>0</v>
      </c>
      <c r="E511" s="4">
        <v>0</v>
      </c>
      <c r="F511" s="4">
        <v>0</v>
      </c>
      <c r="G511" s="4">
        <v>0</v>
      </c>
      <c r="H511" s="4">
        <v>0</v>
      </c>
      <c r="I511" s="4">
        <v>0</v>
      </c>
      <c r="J511" s="4">
        <v>0</v>
      </c>
      <c r="K511" s="4">
        <v>0</v>
      </c>
      <c r="L511" s="4">
        <v>0</v>
      </c>
      <c r="M511" s="4">
        <v>0</v>
      </c>
      <c r="N511" s="4">
        <v>0</v>
      </c>
      <c r="O511" s="4">
        <v>0</v>
      </c>
      <c r="P511" s="4">
        <v>0</v>
      </c>
      <c r="Q511" s="4">
        <v>0</v>
      </c>
      <c r="R511" s="4">
        <v>0</v>
      </c>
      <c r="S511" s="4">
        <v>0</v>
      </c>
      <c r="T511" s="4">
        <v>0</v>
      </c>
      <c r="U511" s="4">
        <v>0</v>
      </c>
      <c r="V511" s="4">
        <v>0</v>
      </c>
      <c r="W511" s="4">
        <v>0</v>
      </c>
      <c r="X511" s="4">
        <v>0</v>
      </c>
      <c r="Y511" s="4">
        <v>0</v>
      </c>
      <c r="Z511" s="4">
        <v>0</v>
      </c>
      <c r="AA511" s="4">
        <v>0</v>
      </c>
      <c r="AB511" s="4">
        <v>0</v>
      </c>
      <c r="AC511" s="4">
        <v>0</v>
      </c>
      <c r="AD511" s="4">
        <v>0</v>
      </c>
      <c r="AE511" s="4">
        <v>0</v>
      </c>
      <c r="AF511" s="51">
        <v>1.4251346260975677E-3</v>
      </c>
      <c r="AG511" s="51">
        <v>1.4394010133432365E-3</v>
      </c>
      <c r="AH511" s="51">
        <v>1.4536674005889065E-3</v>
      </c>
      <c r="AI511" s="51">
        <v>1.4679337878345756E-3</v>
      </c>
      <c r="AJ511" s="51">
        <v>1.4822001750802451E-3</v>
      </c>
      <c r="AK511" s="51">
        <v>1.4964665623259147E-3</v>
      </c>
      <c r="AL511" s="51">
        <v>1.5107329495715842E-3</v>
      </c>
      <c r="AM511" s="51">
        <v>1.5249993368172535E-3</v>
      </c>
      <c r="AN511" s="51">
        <v>1.5392657240629226E-3</v>
      </c>
      <c r="AO511" s="51">
        <v>1.5535321113085924E-3</v>
      </c>
      <c r="AP511" s="51">
        <v>1.5677984985542617E-3</v>
      </c>
      <c r="AQ511" s="51">
        <v>1.5820648857999312E-3</v>
      </c>
      <c r="AR511" s="51">
        <v>1.5963312730456008E-3</v>
      </c>
      <c r="AS511" s="51">
        <v>1.6105976602912699E-3</v>
      </c>
      <c r="AT511" s="51">
        <v>1.6248640475369394E-3</v>
      </c>
      <c r="AU511" s="51">
        <v>1.6391304347826087E-3</v>
      </c>
      <c r="AV511" s="51">
        <v>1.6512056578914661E-3</v>
      </c>
      <c r="AW511" s="51">
        <v>1.6632808810003231E-3</v>
      </c>
      <c r="AX511" s="51">
        <v>1.6753561041091803E-3</v>
      </c>
      <c r="AY511" s="51">
        <v>1.6874313272180379E-3</v>
      </c>
      <c r="AZ511" s="51">
        <v>1.6995065503268951E-3</v>
      </c>
      <c r="BA511" s="51">
        <v>1.7115817734357521E-3</v>
      </c>
      <c r="BB511" s="51">
        <v>1.7236569965446093E-3</v>
      </c>
      <c r="BC511" s="51">
        <v>1.7357322196534667E-3</v>
      </c>
      <c r="BD511" s="51">
        <v>1.7478074427623236E-3</v>
      </c>
      <c r="BE511" s="51">
        <v>1.759882665871181E-3</v>
      </c>
      <c r="BF511" s="51">
        <v>1.7719578889800382E-3</v>
      </c>
      <c r="BG511" s="51">
        <v>1.7840331120888959E-3</v>
      </c>
      <c r="BH511" s="51">
        <v>1.7961083351977531E-3</v>
      </c>
      <c r="BI511" s="51">
        <v>1.8081835583066094E-3</v>
      </c>
      <c r="BJ511" s="51">
        <v>1.8202587814154672E-3</v>
      </c>
      <c r="BK511" s="51">
        <v>1.8323340045243244E-3</v>
      </c>
      <c r="BL511" s="51">
        <v>1.844409227633182E-3</v>
      </c>
      <c r="BM511" s="51">
        <v>1.8564844507420388E-3</v>
      </c>
      <c r="BN511" s="51">
        <v>1.8685596738508962E-3</v>
      </c>
      <c r="BO511" s="51">
        <v>1.8806348969597534E-3</v>
      </c>
      <c r="BP511" s="51">
        <v>1.8927101200686108E-3</v>
      </c>
      <c r="BQ511" s="51">
        <v>1.9047853431774678E-3</v>
      </c>
      <c r="BR511" s="51">
        <v>1.9168605662863256E-3</v>
      </c>
      <c r="BS511" s="51">
        <v>1.9289357893951824E-3</v>
      </c>
      <c r="BT511" s="51">
        <v>1.9410110125040402E-3</v>
      </c>
      <c r="BU511" s="51">
        <v>1.9530862356128972E-3</v>
      </c>
      <c r="BV511" s="51">
        <v>1.9651614587217541E-3</v>
      </c>
      <c r="BW511" s="51">
        <v>1.9772366818306113E-3</v>
      </c>
      <c r="BX511" s="51">
        <v>1.989311904939469E-3</v>
      </c>
      <c r="BY511" s="51">
        <v>2.0013871280483257E-3</v>
      </c>
      <c r="BZ511" s="51">
        <v>2.0134623511571829E-3</v>
      </c>
      <c r="CA511" s="51">
        <v>2.0255375742660405E-3</v>
      </c>
      <c r="CB511" s="51">
        <v>2.0376127973748973E-3</v>
      </c>
      <c r="CC511" s="51">
        <v>2.0496880204837549E-3</v>
      </c>
      <c r="CD511" s="51">
        <v>2.0617632435926121E-3</v>
      </c>
      <c r="CE511" s="51">
        <v>2.0738384667014697E-3</v>
      </c>
      <c r="CF511" s="51">
        <v>2.0859136898103261E-3</v>
      </c>
      <c r="CG511" s="51">
        <v>2.0979889129191837E-3</v>
      </c>
      <c r="CH511" s="51">
        <v>2.1100641360280409E-3</v>
      </c>
      <c r="CI511" s="51">
        <v>2.1221393591368985E-3</v>
      </c>
      <c r="CJ511" s="51">
        <v>2.1342145822457557E-3</v>
      </c>
      <c r="CK511" s="51">
        <v>2.1462898053546129E-3</v>
      </c>
      <c r="CL511" s="51">
        <v>2.1583650284634701E-3</v>
      </c>
      <c r="CM511" s="51">
        <v>2.1704402515723277E-3</v>
      </c>
    </row>
    <row r="512" spans="1:91" s="50" customFormat="1" x14ac:dyDescent="0.25">
      <c r="A512" s="99" t="s">
        <v>1</v>
      </c>
      <c r="B512" s="4">
        <v>0</v>
      </c>
      <c r="C512" s="4">
        <v>0</v>
      </c>
      <c r="D512" s="4">
        <v>0</v>
      </c>
      <c r="E512" s="4">
        <v>0</v>
      </c>
      <c r="F512" s="4">
        <v>0</v>
      </c>
      <c r="G512" s="4">
        <v>0</v>
      </c>
      <c r="H512" s="4">
        <v>0</v>
      </c>
      <c r="I512" s="4">
        <v>0</v>
      </c>
      <c r="J512" s="4">
        <v>0</v>
      </c>
      <c r="K512" s="4">
        <v>0</v>
      </c>
      <c r="L512" s="4">
        <v>0</v>
      </c>
      <c r="M512" s="4">
        <v>0</v>
      </c>
      <c r="N512" s="4">
        <v>0</v>
      </c>
      <c r="O512" s="4">
        <v>0</v>
      </c>
      <c r="P512" s="4">
        <v>0</v>
      </c>
      <c r="Q512" s="4">
        <v>0</v>
      </c>
      <c r="R512" s="4">
        <v>0</v>
      </c>
      <c r="S512" s="4">
        <v>0</v>
      </c>
      <c r="T512" s="4">
        <v>0</v>
      </c>
      <c r="U512" s="4">
        <v>0</v>
      </c>
      <c r="V512" s="4">
        <v>0</v>
      </c>
      <c r="W512" s="4">
        <v>0</v>
      </c>
      <c r="X512" s="4">
        <v>0</v>
      </c>
      <c r="Y512" s="4">
        <v>0</v>
      </c>
      <c r="Z512" s="4">
        <v>0</v>
      </c>
      <c r="AA512" s="4">
        <v>0</v>
      </c>
      <c r="AB512" s="4">
        <v>0</v>
      </c>
      <c r="AC512" s="4">
        <v>0</v>
      </c>
      <c r="AD512" s="4">
        <v>0</v>
      </c>
      <c r="AE512" s="4">
        <v>0</v>
      </c>
      <c r="AF512" s="51">
        <v>1.6577549140049134E-3</v>
      </c>
      <c r="AG512" s="51">
        <v>1.6804361179361179E-3</v>
      </c>
      <c r="AH512" s="51">
        <v>1.7031173218673219E-3</v>
      </c>
      <c r="AI512" s="51">
        <v>1.7257985257985258E-3</v>
      </c>
      <c r="AJ512" s="51">
        <v>1.7484797297297294E-3</v>
      </c>
      <c r="AK512" s="51">
        <v>1.7711609336609332E-3</v>
      </c>
      <c r="AL512" s="51">
        <v>1.7938421375921377E-3</v>
      </c>
      <c r="AM512" s="51">
        <v>1.8165233415233415E-3</v>
      </c>
      <c r="AN512" s="51">
        <v>1.8392045454545453E-3</v>
      </c>
      <c r="AO512" s="51">
        <v>1.8618857493857496E-3</v>
      </c>
      <c r="AP512" s="51">
        <v>1.8845669533169532E-3</v>
      </c>
      <c r="AQ512" s="51">
        <v>1.9072481572481575E-3</v>
      </c>
      <c r="AR512" s="51">
        <v>1.9299293611793611E-3</v>
      </c>
      <c r="AS512" s="51">
        <v>1.9526105651105647E-3</v>
      </c>
      <c r="AT512" s="51">
        <v>1.9752917690417696E-3</v>
      </c>
      <c r="AU512" s="51">
        <v>1.9979729729729728E-3</v>
      </c>
      <c r="AV512" s="51">
        <v>2.0184735872235877E-3</v>
      </c>
      <c r="AW512" s="51">
        <v>2.0389742014742013E-3</v>
      </c>
      <c r="AX512" s="51">
        <v>2.0594748157248153E-3</v>
      </c>
      <c r="AY512" s="51">
        <v>2.0799754299754298E-3</v>
      </c>
      <c r="AZ512" s="51">
        <v>2.1004760442260443E-3</v>
      </c>
      <c r="BA512" s="51">
        <v>2.1209766584766587E-3</v>
      </c>
      <c r="BB512" s="51">
        <v>2.1414772727272723E-3</v>
      </c>
      <c r="BC512" s="51">
        <v>2.1619778869778868E-3</v>
      </c>
      <c r="BD512" s="51">
        <v>2.1824785012285013E-3</v>
      </c>
      <c r="BE512" s="51">
        <v>2.2029791154791153E-3</v>
      </c>
      <c r="BF512" s="51">
        <v>2.2234797297297293E-3</v>
      </c>
      <c r="BG512" s="51">
        <v>2.2439803439803438E-3</v>
      </c>
      <c r="BH512" s="51">
        <v>2.2644809582309583E-3</v>
      </c>
      <c r="BI512" s="51">
        <v>2.2849815724815723E-3</v>
      </c>
      <c r="BJ512" s="51">
        <v>2.3054821867321868E-3</v>
      </c>
      <c r="BK512" s="51">
        <v>2.3259828009828008E-3</v>
      </c>
      <c r="BL512" s="51">
        <v>2.3464834152334153E-3</v>
      </c>
      <c r="BM512" s="51">
        <v>2.3669840294840293E-3</v>
      </c>
      <c r="BN512" s="51">
        <v>2.3874846437346438E-3</v>
      </c>
      <c r="BO512" s="51">
        <v>2.4079852579852574E-3</v>
      </c>
      <c r="BP512" s="51">
        <v>2.4284858722358718E-3</v>
      </c>
      <c r="BQ512" s="51">
        <v>2.4489864864864859E-3</v>
      </c>
      <c r="BR512" s="51">
        <v>2.4694871007371003E-3</v>
      </c>
      <c r="BS512" s="51">
        <v>2.4899877149877148E-3</v>
      </c>
      <c r="BT512" s="51">
        <v>2.5104883292383293E-3</v>
      </c>
      <c r="BU512" s="51">
        <v>2.5309889434889433E-3</v>
      </c>
      <c r="BV512" s="51">
        <v>2.5514895577395573E-3</v>
      </c>
      <c r="BW512" s="51">
        <v>2.5719901719901722E-3</v>
      </c>
      <c r="BX512" s="51">
        <v>2.5924907862407863E-3</v>
      </c>
      <c r="BY512" s="51">
        <v>2.6129914004914007E-3</v>
      </c>
      <c r="BZ512" s="51">
        <v>2.6334920147420139E-3</v>
      </c>
      <c r="CA512" s="51">
        <v>2.6539926289926284E-3</v>
      </c>
      <c r="CB512" s="51">
        <v>2.6744932432432428E-3</v>
      </c>
      <c r="CC512" s="51">
        <v>2.6949938574938573E-3</v>
      </c>
      <c r="CD512" s="51">
        <v>2.7154944717444713E-3</v>
      </c>
      <c r="CE512" s="51">
        <v>2.7359950859950858E-3</v>
      </c>
      <c r="CF512" s="51">
        <v>2.7564957002457007E-3</v>
      </c>
      <c r="CG512" s="51">
        <v>2.7769963144963143E-3</v>
      </c>
      <c r="CH512" s="51">
        <v>2.7974969287469288E-3</v>
      </c>
      <c r="CI512" s="51">
        <v>2.8179975429975424E-3</v>
      </c>
      <c r="CJ512" s="51">
        <v>2.8384981572481573E-3</v>
      </c>
      <c r="CK512" s="51">
        <v>2.8589987714987713E-3</v>
      </c>
      <c r="CL512" s="51">
        <v>2.8794993857493853E-3</v>
      </c>
      <c r="CM512" s="51">
        <v>2.8999999999999998E-3</v>
      </c>
    </row>
    <row r="513" spans="1:91" s="50" customFormat="1" x14ac:dyDescent="0.25">
      <c r="A513" s="99" t="s">
        <v>1</v>
      </c>
      <c r="B513" s="4">
        <v>0</v>
      </c>
      <c r="C513" s="4">
        <v>0</v>
      </c>
      <c r="D513" s="4">
        <v>0</v>
      </c>
      <c r="E513" s="4">
        <v>0</v>
      </c>
      <c r="F513" s="4">
        <v>0</v>
      </c>
      <c r="G513" s="4">
        <v>0</v>
      </c>
      <c r="H513" s="4">
        <v>0</v>
      </c>
      <c r="I513" s="4">
        <v>0</v>
      </c>
      <c r="J513" s="4">
        <v>0</v>
      </c>
      <c r="K513" s="4">
        <v>0</v>
      </c>
      <c r="L513" s="4">
        <v>0</v>
      </c>
      <c r="M513" s="4">
        <v>0</v>
      </c>
      <c r="N513" s="4">
        <v>0</v>
      </c>
      <c r="O513" s="4">
        <v>0</v>
      </c>
      <c r="P513" s="4">
        <v>0</v>
      </c>
      <c r="Q513" s="4">
        <v>0</v>
      </c>
      <c r="R513" s="4">
        <v>0</v>
      </c>
      <c r="S513" s="4">
        <v>0</v>
      </c>
      <c r="T513" s="4">
        <v>0</v>
      </c>
      <c r="U513" s="4">
        <v>0</v>
      </c>
      <c r="V513" s="4">
        <v>0</v>
      </c>
      <c r="W513" s="4">
        <v>0</v>
      </c>
      <c r="X513" s="4">
        <v>0</v>
      </c>
      <c r="Y513" s="4">
        <v>0</v>
      </c>
      <c r="Z513" s="4">
        <v>0</v>
      </c>
      <c r="AA513" s="4">
        <v>0</v>
      </c>
      <c r="AB513" s="4">
        <v>0</v>
      </c>
      <c r="AC513" s="4">
        <v>0</v>
      </c>
      <c r="AD513" s="4">
        <v>0</v>
      </c>
      <c r="AE513" s="4">
        <v>0</v>
      </c>
      <c r="AF513" s="51">
        <v>6.1522727272727278E-2</v>
      </c>
      <c r="AG513" s="51">
        <v>6.1954545454545457E-2</v>
      </c>
      <c r="AH513" s="51">
        <v>6.2386363636363643E-2</v>
      </c>
      <c r="AI513" s="51">
        <v>6.2818181818181829E-2</v>
      </c>
      <c r="AJ513" s="51">
        <v>6.3250000000000001E-2</v>
      </c>
      <c r="AK513" s="51">
        <v>6.3681818181818187E-2</v>
      </c>
      <c r="AL513" s="51">
        <v>6.4113636363636373E-2</v>
      </c>
      <c r="AM513" s="51">
        <v>6.4545454545454545E-2</v>
      </c>
      <c r="AN513" s="51">
        <v>6.4977272727272731E-2</v>
      </c>
      <c r="AO513" s="51">
        <v>6.5409090909090917E-2</v>
      </c>
      <c r="AP513" s="51">
        <v>6.5840909090909089E-2</v>
      </c>
      <c r="AQ513" s="51">
        <v>6.6272727272727275E-2</v>
      </c>
      <c r="AR513" s="51">
        <v>6.6704545454545461E-2</v>
      </c>
      <c r="AS513" s="51">
        <v>6.7136363636363633E-2</v>
      </c>
      <c r="AT513" s="51">
        <v>6.7568181818181819E-2</v>
      </c>
      <c r="AU513" s="51">
        <v>6.8000000000000005E-2</v>
      </c>
      <c r="AV513" s="51">
        <v>6.881818181818182E-2</v>
      </c>
      <c r="AW513" s="51">
        <v>6.9636363636363635E-2</v>
      </c>
      <c r="AX513" s="51">
        <v>7.0454545454545464E-2</v>
      </c>
      <c r="AY513" s="51">
        <v>7.1272727272727279E-2</v>
      </c>
      <c r="AZ513" s="51">
        <v>7.2090909090909094E-2</v>
      </c>
      <c r="BA513" s="51">
        <v>7.290909090909091E-2</v>
      </c>
      <c r="BB513" s="51">
        <v>7.3727272727272725E-2</v>
      </c>
      <c r="BC513" s="51">
        <v>7.4545454545454554E-2</v>
      </c>
      <c r="BD513" s="51">
        <v>7.5363636363636369E-2</v>
      </c>
      <c r="BE513" s="51">
        <v>7.6181818181818184E-2</v>
      </c>
      <c r="BF513" s="51">
        <v>7.6999999999999999E-2</v>
      </c>
      <c r="BG513" s="51">
        <v>7.7818181818181814E-2</v>
      </c>
      <c r="BH513" s="51">
        <v>7.8636363636363643E-2</v>
      </c>
      <c r="BI513" s="51">
        <v>7.9454545454545458E-2</v>
      </c>
      <c r="BJ513" s="51">
        <v>8.0272727272727273E-2</v>
      </c>
      <c r="BK513" s="51">
        <v>8.1090909090909088E-2</v>
      </c>
      <c r="BL513" s="51">
        <v>8.1909090909090904E-2</v>
      </c>
      <c r="BM513" s="51">
        <v>8.2727272727272733E-2</v>
      </c>
      <c r="BN513" s="51">
        <v>8.3545454545454548E-2</v>
      </c>
      <c r="BO513" s="51">
        <v>8.4363636363636363E-2</v>
      </c>
      <c r="BP513" s="51">
        <v>8.5181818181818178E-2</v>
      </c>
      <c r="BQ513" s="51">
        <v>8.5999999999999993E-2</v>
      </c>
      <c r="BR513" s="51">
        <v>8.6818181818181822E-2</v>
      </c>
      <c r="BS513" s="51">
        <v>8.7636363636363637E-2</v>
      </c>
      <c r="BT513" s="51">
        <v>8.8454545454545452E-2</v>
      </c>
      <c r="BU513" s="51">
        <v>8.9272727272727267E-2</v>
      </c>
      <c r="BV513" s="51">
        <v>9.0090909090909083E-2</v>
      </c>
      <c r="BW513" s="51">
        <v>9.0909090909090912E-2</v>
      </c>
      <c r="BX513" s="51">
        <v>9.1727272727272727E-2</v>
      </c>
      <c r="BY513" s="51">
        <v>9.2545454545454542E-2</v>
      </c>
      <c r="BZ513" s="51">
        <v>9.3363636363636357E-2</v>
      </c>
      <c r="CA513" s="51">
        <v>9.4181818181818172E-2</v>
      </c>
      <c r="CB513" s="51">
        <v>9.5000000000000001E-2</v>
      </c>
      <c r="CC513" s="51">
        <v>9.5818181818181816E-2</v>
      </c>
      <c r="CD513" s="51">
        <v>9.6636363636363631E-2</v>
      </c>
      <c r="CE513" s="51">
        <v>9.7454545454545446E-2</v>
      </c>
      <c r="CF513" s="51">
        <v>9.8272727272727262E-2</v>
      </c>
      <c r="CG513" s="51">
        <v>9.9090909090909091E-2</v>
      </c>
      <c r="CH513" s="51">
        <v>9.9909090909090906E-2</v>
      </c>
      <c r="CI513" s="51">
        <v>0.10072727272727272</v>
      </c>
      <c r="CJ513" s="51">
        <v>0.10154545454545455</v>
      </c>
      <c r="CK513" s="51">
        <v>0.10236363636363635</v>
      </c>
      <c r="CL513" s="51">
        <v>0.10318181818181818</v>
      </c>
      <c r="CM513" s="51">
        <v>0.104</v>
      </c>
    </row>
    <row r="514" spans="1:91" s="50" customFormat="1" x14ac:dyDescent="0.25">
      <c r="A514" s="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91" s="50" customFormat="1" x14ac:dyDescent="0.25">
      <c r="A515" s="99" t="s">
        <v>190</v>
      </c>
      <c r="B515" s="4">
        <v>0</v>
      </c>
      <c r="C515" s="4">
        <v>0</v>
      </c>
      <c r="D515" s="4">
        <v>0</v>
      </c>
      <c r="E515" s="4">
        <v>0</v>
      </c>
      <c r="F515" s="4">
        <v>0</v>
      </c>
      <c r="G515" s="4">
        <v>0</v>
      </c>
      <c r="H515" s="4">
        <v>0</v>
      </c>
      <c r="I515" s="4">
        <v>0</v>
      </c>
      <c r="J515" s="4">
        <v>0</v>
      </c>
      <c r="K515" s="4">
        <v>0</v>
      </c>
      <c r="L515" s="4">
        <v>0</v>
      </c>
      <c r="M515" s="4">
        <v>0</v>
      </c>
      <c r="N515" s="4">
        <v>0</v>
      </c>
      <c r="O515" s="4">
        <v>0</v>
      </c>
      <c r="P515" s="4">
        <v>0</v>
      </c>
      <c r="Q515" s="4">
        <v>0</v>
      </c>
      <c r="R515" s="4">
        <v>0</v>
      </c>
      <c r="S515" s="4">
        <v>0</v>
      </c>
      <c r="T515" s="4">
        <v>0</v>
      </c>
      <c r="U515" s="4">
        <v>0</v>
      </c>
      <c r="V515" s="4">
        <v>0</v>
      </c>
      <c r="W515" s="4">
        <v>0</v>
      </c>
      <c r="X515" s="4">
        <v>0</v>
      </c>
      <c r="Y515" s="4">
        <v>0</v>
      </c>
      <c r="Z515" s="4">
        <v>0</v>
      </c>
      <c r="AA515" s="4">
        <v>0</v>
      </c>
      <c r="AB515" s="4">
        <v>0</v>
      </c>
      <c r="AC515" s="4">
        <v>0</v>
      </c>
      <c r="AD515" s="4">
        <v>0</v>
      </c>
      <c r="AE515" s="4">
        <v>0</v>
      </c>
      <c r="AF515" s="51">
        <v>9.6590909090909095E-4</v>
      </c>
      <c r="AG515" s="51">
        <v>9.6818181818181823E-4</v>
      </c>
      <c r="AH515" s="51">
        <v>9.704545454545454E-4</v>
      </c>
      <c r="AI515" s="51">
        <v>9.7272727272727268E-4</v>
      </c>
      <c r="AJ515" s="51">
        <v>9.7499999999999996E-4</v>
      </c>
      <c r="AK515" s="51">
        <v>9.7727272727272723E-4</v>
      </c>
      <c r="AL515" s="51">
        <v>9.7954545454545451E-4</v>
      </c>
      <c r="AM515" s="51">
        <v>9.8181818181818179E-4</v>
      </c>
      <c r="AN515" s="51">
        <v>9.8409090909090907E-4</v>
      </c>
      <c r="AO515" s="51">
        <v>9.8636363636363635E-4</v>
      </c>
      <c r="AP515" s="51">
        <v>9.8863636363636363E-4</v>
      </c>
      <c r="AQ515" s="51">
        <v>9.9090909090909091E-4</v>
      </c>
      <c r="AR515" s="51">
        <v>9.9318181818181818E-4</v>
      </c>
      <c r="AS515" s="51">
        <v>9.9545454545454546E-4</v>
      </c>
      <c r="AT515" s="51">
        <v>9.9772727272727274E-4</v>
      </c>
      <c r="AU515" s="51">
        <v>1E-3</v>
      </c>
      <c r="AV515" s="51">
        <v>1.0363636363636365E-3</v>
      </c>
      <c r="AW515" s="51">
        <v>1.0727272727272727E-3</v>
      </c>
      <c r="AX515" s="51">
        <v>1.1090909090909092E-3</v>
      </c>
      <c r="AY515" s="51">
        <v>1.1454545454545454E-3</v>
      </c>
      <c r="AZ515" s="51">
        <v>1.1818181818181819E-3</v>
      </c>
      <c r="BA515" s="51">
        <v>1.2181818181818181E-3</v>
      </c>
      <c r="BB515" s="51">
        <v>1.2545454545454546E-3</v>
      </c>
      <c r="BC515" s="51">
        <v>1.2909090909090908E-3</v>
      </c>
      <c r="BD515" s="51">
        <v>1.3272727272727273E-3</v>
      </c>
      <c r="BE515" s="51">
        <v>1.3636363636363635E-3</v>
      </c>
      <c r="BF515" s="51">
        <v>1.4E-3</v>
      </c>
      <c r="BG515" s="51">
        <v>1.4363636363636362E-3</v>
      </c>
      <c r="BH515" s="51">
        <v>1.4727272727272727E-3</v>
      </c>
      <c r="BI515" s="51">
        <v>1.5090909090909091E-3</v>
      </c>
      <c r="BJ515" s="51">
        <v>1.5454545454545454E-3</v>
      </c>
      <c r="BK515" s="51">
        <v>1.5818181818181816E-3</v>
      </c>
      <c r="BL515" s="51">
        <v>1.6181818181818181E-3</v>
      </c>
      <c r="BM515" s="51">
        <v>1.6545454545454545E-3</v>
      </c>
      <c r="BN515" s="51">
        <v>1.6909090909090908E-3</v>
      </c>
      <c r="BO515" s="51">
        <v>1.727272727272727E-3</v>
      </c>
      <c r="BP515" s="51">
        <v>1.7636363636363635E-3</v>
      </c>
      <c r="BQ515" s="51">
        <v>1.8E-3</v>
      </c>
      <c r="BR515" s="51">
        <v>1.8363636363636362E-3</v>
      </c>
      <c r="BS515" s="51">
        <v>1.8727272727272727E-3</v>
      </c>
      <c r="BT515" s="51">
        <v>1.9090909090909089E-3</v>
      </c>
      <c r="BU515" s="51">
        <v>1.9454545454545454E-3</v>
      </c>
      <c r="BV515" s="51">
        <v>1.9818181818181818E-3</v>
      </c>
      <c r="BW515" s="51">
        <v>2.0181818181818183E-3</v>
      </c>
      <c r="BX515" s="51">
        <v>2.0545454545454543E-3</v>
      </c>
      <c r="BY515" s="51">
        <v>2.0909090909090908E-3</v>
      </c>
      <c r="BZ515" s="51">
        <v>2.1272727272727268E-3</v>
      </c>
      <c r="CA515" s="51">
        <v>2.1636363636363632E-3</v>
      </c>
      <c r="CB515" s="51">
        <v>2.1999999999999997E-3</v>
      </c>
      <c r="CC515" s="51">
        <v>2.2363636363636362E-3</v>
      </c>
      <c r="CD515" s="51">
        <v>2.2727272727272726E-3</v>
      </c>
      <c r="CE515" s="51">
        <v>2.3090909090909091E-3</v>
      </c>
      <c r="CF515" s="51">
        <v>2.3454545454545455E-3</v>
      </c>
      <c r="CG515" s="51">
        <v>2.3818181818181816E-3</v>
      </c>
      <c r="CH515" s="51">
        <v>2.418181818181818E-3</v>
      </c>
      <c r="CI515" s="51">
        <v>2.454545454545454E-3</v>
      </c>
      <c r="CJ515" s="51">
        <v>2.4909090909090905E-3</v>
      </c>
      <c r="CK515" s="51">
        <v>2.527272727272727E-3</v>
      </c>
      <c r="CL515" s="51">
        <v>2.5636363636363634E-3</v>
      </c>
      <c r="CM515" s="51">
        <v>2.5999999999999999E-3</v>
      </c>
    </row>
    <row r="516" spans="1:91" s="50" customFormat="1" x14ac:dyDescent="0.25">
      <c r="A516" s="9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91" s="50" customFormat="1" x14ac:dyDescent="0.25">
      <c r="A517" s="99" t="s">
        <v>381</v>
      </c>
      <c r="B517" s="4">
        <v>0</v>
      </c>
      <c r="C517" s="4">
        <v>0</v>
      </c>
      <c r="D517" s="4">
        <v>0</v>
      </c>
      <c r="E517" s="4">
        <v>0</v>
      </c>
      <c r="F517" s="4">
        <v>0</v>
      </c>
      <c r="G517" s="4">
        <v>0</v>
      </c>
      <c r="H517" s="4">
        <v>0</v>
      </c>
      <c r="I517" s="4">
        <v>0</v>
      </c>
      <c r="J517" s="4">
        <v>0</v>
      </c>
      <c r="K517" s="4">
        <v>0</v>
      </c>
      <c r="L517" s="4">
        <v>0</v>
      </c>
      <c r="M517" s="4">
        <v>0</v>
      </c>
      <c r="N517" s="4">
        <v>0</v>
      </c>
      <c r="O517" s="4">
        <v>0</v>
      </c>
      <c r="P517" s="4">
        <v>0</v>
      </c>
      <c r="Q517" s="4">
        <v>0</v>
      </c>
      <c r="R517" s="4">
        <v>0</v>
      </c>
      <c r="S517" s="4">
        <v>0</v>
      </c>
      <c r="T517" s="4">
        <v>0</v>
      </c>
      <c r="U517" s="4">
        <v>0</v>
      </c>
      <c r="V517" s="4">
        <v>0</v>
      </c>
      <c r="W517" s="4">
        <v>0</v>
      </c>
      <c r="X517" s="4">
        <v>0</v>
      </c>
      <c r="Y517" s="4">
        <v>0</v>
      </c>
      <c r="Z517" s="4">
        <v>0</v>
      </c>
      <c r="AA517" s="4">
        <v>0</v>
      </c>
      <c r="AB517" s="4">
        <v>0</v>
      </c>
      <c r="AC517" s="4">
        <v>0</v>
      </c>
      <c r="AD517" s="4">
        <v>0</v>
      </c>
      <c r="AE517" s="4">
        <v>0</v>
      </c>
      <c r="AF517" s="51">
        <v>9.6590909090909095E-4</v>
      </c>
      <c r="AG517" s="51">
        <v>9.6818181818181823E-4</v>
      </c>
      <c r="AH517" s="51">
        <v>9.704545454545454E-4</v>
      </c>
      <c r="AI517" s="51">
        <v>9.7272727272727268E-4</v>
      </c>
      <c r="AJ517" s="51">
        <v>9.7499999999999996E-4</v>
      </c>
      <c r="AK517" s="51">
        <v>9.7727272727272723E-4</v>
      </c>
      <c r="AL517" s="51">
        <v>9.7954545454545451E-4</v>
      </c>
      <c r="AM517" s="51">
        <v>9.8181818181818179E-4</v>
      </c>
      <c r="AN517" s="51">
        <v>9.8409090909090907E-4</v>
      </c>
      <c r="AO517" s="51">
        <v>9.8636363636363635E-4</v>
      </c>
      <c r="AP517" s="51">
        <v>9.8863636363636363E-4</v>
      </c>
      <c r="AQ517" s="51">
        <v>9.9090909090909091E-4</v>
      </c>
      <c r="AR517" s="51">
        <v>9.9318181818181818E-4</v>
      </c>
      <c r="AS517" s="51">
        <v>9.9545454545454546E-4</v>
      </c>
      <c r="AT517" s="51">
        <v>9.9772727272727274E-4</v>
      </c>
      <c r="AU517" s="51">
        <v>1E-3</v>
      </c>
      <c r="AV517" s="51">
        <v>1.0363636363636365E-3</v>
      </c>
      <c r="AW517" s="51">
        <v>1.0727272727272727E-3</v>
      </c>
      <c r="AX517" s="51">
        <v>1.1090909090909092E-3</v>
      </c>
      <c r="AY517" s="51">
        <v>1.1454545454545454E-3</v>
      </c>
      <c r="AZ517" s="51">
        <v>1.1818181818181819E-3</v>
      </c>
      <c r="BA517" s="51">
        <v>1.2181818181818181E-3</v>
      </c>
      <c r="BB517" s="51">
        <v>1.2545454545454546E-3</v>
      </c>
      <c r="BC517" s="51">
        <v>1.2909090909090908E-3</v>
      </c>
      <c r="BD517" s="51">
        <v>1.3272727272727273E-3</v>
      </c>
      <c r="BE517" s="51">
        <v>1.3636363636363635E-3</v>
      </c>
      <c r="BF517" s="51">
        <v>1.4E-3</v>
      </c>
      <c r="BG517" s="51">
        <v>1.4363636363636362E-3</v>
      </c>
      <c r="BH517" s="51">
        <v>1.4727272727272727E-3</v>
      </c>
      <c r="BI517" s="51">
        <v>1.5090909090909091E-3</v>
      </c>
      <c r="BJ517" s="51">
        <v>1.5454545454545454E-3</v>
      </c>
      <c r="BK517" s="51">
        <v>1.5818181818181816E-3</v>
      </c>
      <c r="BL517" s="51">
        <v>1.6181818181818181E-3</v>
      </c>
      <c r="BM517" s="51">
        <v>1.6545454545454545E-3</v>
      </c>
      <c r="BN517" s="51">
        <v>1.6909090909090908E-3</v>
      </c>
      <c r="BO517" s="51">
        <v>1.727272727272727E-3</v>
      </c>
      <c r="BP517" s="51">
        <v>1.7636363636363635E-3</v>
      </c>
      <c r="BQ517" s="51">
        <v>1.8E-3</v>
      </c>
      <c r="BR517" s="51">
        <v>1.8363636363636362E-3</v>
      </c>
      <c r="BS517" s="51">
        <v>1.8727272727272727E-3</v>
      </c>
      <c r="BT517" s="51">
        <v>1.9090909090909089E-3</v>
      </c>
      <c r="BU517" s="51">
        <v>1.9454545454545454E-3</v>
      </c>
      <c r="BV517" s="51">
        <v>1.9818181818181818E-3</v>
      </c>
      <c r="BW517" s="51">
        <v>2.0181818181818183E-3</v>
      </c>
      <c r="BX517" s="51">
        <v>2.0545454545454543E-3</v>
      </c>
      <c r="BY517" s="51">
        <v>2.0909090909090908E-3</v>
      </c>
      <c r="BZ517" s="51">
        <v>2.1272727272727268E-3</v>
      </c>
      <c r="CA517" s="51">
        <v>2.1636363636363632E-3</v>
      </c>
      <c r="CB517" s="51">
        <v>2.1999999999999997E-3</v>
      </c>
      <c r="CC517" s="51">
        <v>2.2363636363636362E-3</v>
      </c>
      <c r="CD517" s="51">
        <v>2.2727272727272726E-3</v>
      </c>
      <c r="CE517" s="51">
        <v>2.3090909090909091E-3</v>
      </c>
      <c r="CF517" s="51">
        <v>2.3454545454545455E-3</v>
      </c>
      <c r="CG517" s="51">
        <v>2.3818181818181816E-3</v>
      </c>
      <c r="CH517" s="51">
        <v>2.418181818181818E-3</v>
      </c>
      <c r="CI517" s="51">
        <v>2.454545454545454E-3</v>
      </c>
      <c r="CJ517" s="51">
        <v>2.4909090909090905E-3</v>
      </c>
      <c r="CK517" s="51">
        <v>2.527272727272727E-3</v>
      </c>
      <c r="CL517" s="51">
        <v>2.5636363636363634E-3</v>
      </c>
      <c r="CM517" s="51">
        <v>2.5999999999999999E-3</v>
      </c>
    </row>
    <row r="518" spans="1:91" s="50" customFormat="1" x14ac:dyDescent="0.25">
      <c r="A518" s="9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91" s="50" customFormat="1" x14ac:dyDescent="0.25">
      <c r="A519" s="99" t="s">
        <v>357</v>
      </c>
      <c r="B519" s="4">
        <v>0</v>
      </c>
      <c r="C519" s="4">
        <v>0</v>
      </c>
      <c r="D519" s="4">
        <v>0</v>
      </c>
      <c r="E519" s="4">
        <v>0</v>
      </c>
      <c r="F519" s="4">
        <v>0</v>
      </c>
      <c r="G519" s="4">
        <v>0</v>
      </c>
      <c r="H519" s="4">
        <v>0</v>
      </c>
      <c r="I519" s="4">
        <v>0</v>
      </c>
      <c r="J519" s="4">
        <v>0</v>
      </c>
      <c r="K519" s="4">
        <v>0</v>
      </c>
      <c r="L519" s="4">
        <v>0</v>
      </c>
      <c r="M519" s="4">
        <v>0</v>
      </c>
      <c r="N519" s="4">
        <v>0</v>
      </c>
      <c r="O519" s="4">
        <v>0</v>
      </c>
      <c r="P519" s="4">
        <v>0</v>
      </c>
      <c r="Q519" s="4">
        <v>0</v>
      </c>
      <c r="R519" s="4">
        <v>0</v>
      </c>
      <c r="S519" s="4">
        <v>0</v>
      </c>
      <c r="T519" s="4">
        <v>0</v>
      </c>
      <c r="U519" s="4">
        <v>0</v>
      </c>
      <c r="V519" s="4">
        <v>0</v>
      </c>
      <c r="W519" s="4">
        <v>0</v>
      </c>
      <c r="X519" s="4">
        <v>0</v>
      </c>
      <c r="Y519" s="4">
        <v>0</v>
      </c>
      <c r="Z519" s="4">
        <v>0</v>
      </c>
      <c r="AA519" s="4">
        <v>0</v>
      </c>
      <c r="AB519" s="4">
        <v>0</v>
      </c>
      <c r="AC519" s="4">
        <v>0</v>
      </c>
      <c r="AD519" s="4">
        <v>0</v>
      </c>
      <c r="AE519" s="4">
        <v>0</v>
      </c>
      <c r="AF519" s="51">
        <v>8.6618671127481966E-4</v>
      </c>
      <c r="AG519" s="51">
        <v>8.7332065560907562E-4</v>
      </c>
      <c r="AH519" s="51">
        <v>8.8045459994333169E-4</v>
      </c>
      <c r="AI519" s="51">
        <v>8.8758854427758765E-4</v>
      </c>
      <c r="AJ519" s="51">
        <v>8.9472248861184372E-4</v>
      </c>
      <c r="AK519" s="51">
        <v>9.0185643294609969E-4</v>
      </c>
      <c r="AL519" s="51">
        <v>9.0899037728035576E-4</v>
      </c>
      <c r="AM519" s="51">
        <v>9.1612432161461172E-4</v>
      </c>
      <c r="AN519" s="51">
        <v>9.2325826594886768E-4</v>
      </c>
      <c r="AO519" s="51">
        <v>9.3039221028312375E-4</v>
      </c>
      <c r="AP519" s="51">
        <v>9.3752615461737982E-4</v>
      </c>
      <c r="AQ519" s="51">
        <v>9.4466009895163578E-4</v>
      </c>
      <c r="AR519" s="51">
        <v>9.5179404328589175E-4</v>
      </c>
      <c r="AS519" s="51">
        <v>9.5892798762014782E-4</v>
      </c>
      <c r="AT519" s="51">
        <v>9.6606193195440389E-4</v>
      </c>
      <c r="AU519" s="51">
        <v>9.7319587628865985E-4</v>
      </c>
      <c r="AV519" s="51">
        <v>9.9072164948453621E-4</v>
      </c>
      <c r="AW519" s="51">
        <v>1.0082474226804125E-3</v>
      </c>
      <c r="AX519" s="51">
        <v>1.0257731958762887E-3</v>
      </c>
      <c r="AY519" s="51">
        <v>1.043298969072165E-3</v>
      </c>
      <c r="AZ519" s="51">
        <v>1.0608247422680412E-3</v>
      </c>
      <c r="BA519" s="51">
        <v>1.0783505154639175E-3</v>
      </c>
      <c r="BB519" s="51">
        <v>1.095876288659794E-3</v>
      </c>
      <c r="BC519" s="51">
        <v>1.1134020618556702E-3</v>
      </c>
      <c r="BD519" s="51">
        <v>1.1309278350515465E-3</v>
      </c>
      <c r="BE519" s="51">
        <v>1.1484536082474227E-3</v>
      </c>
      <c r="BF519" s="51">
        <v>1.165979381443299E-3</v>
      </c>
      <c r="BG519" s="51">
        <v>1.1835051546391752E-3</v>
      </c>
      <c r="BH519" s="51">
        <v>1.2010309278350515E-3</v>
      </c>
      <c r="BI519" s="51">
        <v>1.2185567010309277E-3</v>
      </c>
      <c r="BJ519" s="51">
        <v>1.236082474226804E-3</v>
      </c>
      <c r="BK519" s="51">
        <v>1.2536082474226805E-3</v>
      </c>
      <c r="BL519" s="51">
        <v>1.2711340206185567E-3</v>
      </c>
      <c r="BM519" s="51">
        <v>1.288659793814433E-3</v>
      </c>
      <c r="BN519" s="51">
        <v>1.3061855670103092E-3</v>
      </c>
      <c r="BO519" s="51">
        <v>1.3237113402061855E-3</v>
      </c>
      <c r="BP519" s="51">
        <v>1.3412371134020619E-3</v>
      </c>
      <c r="BQ519" s="51">
        <v>1.3587628865979382E-3</v>
      </c>
      <c r="BR519" s="51">
        <v>1.3762886597938145E-3</v>
      </c>
      <c r="BS519" s="51">
        <v>1.3938144329896907E-3</v>
      </c>
      <c r="BT519" s="51">
        <v>1.411340206185567E-3</v>
      </c>
      <c r="BU519" s="51">
        <v>1.4288659793814432E-3</v>
      </c>
      <c r="BV519" s="51">
        <v>1.4463917525773195E-3</v>
      </c>
      <c r="BW519" s="51">
        <v>1.4639175257731957E-3</v>
      </c>
      <c r="BX519" s="51">
        <v>1.481443298969072E-3</v>
      </c>
      <c r="BY519" s="51">
        <v>1.4989690721649482E-3</v>
      </c>
      <c r="BZ519" s="51">
        <v>1.5164948453608247E-3</v>
      </c>
      <c r="CA519" s="51">
        <v>1.534020618556701E-3</v>
      </c>
      <c r="CB519" s="51">
        <v>1.5515463917525772E-3</v>
      </c>
      <c r="CC519" s="51">
        <v>1.5690721649484537E-3</v>
      </c>
      <c r="CD519" s="51">
        <v>1.5865979381443299E-3</v>
      </c>
      <c r="CE519" s="51">
        <v>1.6041237113402062E-3</v>
      </c>
      <c r="CF519" s="51">
        <v>1.6216494845360824E-3</v>
      </c>
      <c r="CG519" s="51">
        <v>1.6391752577319587E-3</v>
      </c>
      <c r="CH519" s="51">
        <v>1.656701030927835E-3</v>
      </c>
      <c r="CI519" s="51">
        <v>1.6742268041237112E-3</v>
      </c>
      <c r="CJ519" s="51">
        <v>1.6917525773195875E-3</v>
      </c>
      <c r="CK519" s="51">
        <v>1.7092783505154637E-3</v>
      </c>
      <c r="CL519" s="51">
        <v>1.72680412371134E-3</v>
      </c>
      <c r="CM519" s="51">
        <v>1.7443298969072164E-3</v>
      </c>
    </row>
    <row r="520" spans="1:91" s="50" customFormat="1" x14ac:dyDescent="0.25">
      <c r="A520" s="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91" s="50" customFormat="1" x14ac:dyDescent="0.25">
      <c r="A521" s="99" t="s">
        <v>376</v>
      </c>
      <c r="B521" s="4">
        <v>0</v>
      </c>
      <c r="C521" s="4">
        <v>0</v>
      </c>
      <c r="D521" s="4">
        <v>0</v>
      </c>
      <c r="E521" s="4">
        <v>0</v>
      </c>
      <c r="F521" s="4">
        <v>0</v>
      </c>
      <c r="G521" s="4">
        <v>0</v>
      </c>
      <c r="H521" s="4">
        <v>0</v>
      </c>
      <c r="I521" s="4">
        <v>0</v>
      </c>
      <c r="J521" s="4">
        <v>0</v>
      </c>
      <c r="K521" s="4">
        <v>0</v>
      </c>
      <c r="L521" s="4">
        <v>0</v>
      </c>
      <c r="M521" s="4">
        <v>0</v>
      </c>
      <c r="N521" s="4">
        <v>0</v>
      </c>
      <c r="O521" s="4">
        <v>0</v>
      </c>
      <c r="P521" s="4">
        <v>0</v>
      </c>
      <c r="Q521" s="4">
        <v>0</v>
      </c>
      <c r="R521" s="4">
        <v>0</v>
      </c>
      <c r="S521" s="4">
        <v>0</v>
      </c>
      <c r="T521" s="4">
        <v>0</v>
      </c>
      <c r="U521" s="4">
        <v>0</v>
      </c>
      <c r="V521" s="4">
        <v>0</v>
      </c>
      <c r="W521" s="4">
        <v>0</v>
      </c>
      <c r="X521" s="4">
        <v>0</v>
      </c>
      <c r="Y521" s="4">
        <v>0</v>
      </c>
      <c r="Z521" s="4">
        <v>0</v>
      </c>
      <c r="AA521" s="4">
        <v>0</v>
      </c>
      <c r="AB521" s="4">
        <v>0</v>
      </c>
      <c r="AC521" s="4">
        <v>0</v>
      </c>
      <c r="AD521" s="4">
        <v>0</v>
      </c>
      <c r="AE521" s="4">
        <v>0</v>
      </c>
      <c r="AF521" s="51">
        <v>8.6618671127481966E-4</v>
      </c>
      <c r="AG521" s="51">
        <v>8.7332065560907562E-4</v>
      </c>
      <c r="AH521" s="51">
        <v>8.8045459994333169E-4</v>
      </c>
      <c r="AI521" s="51">
        <v>8.8758854427758765E-4</v>
      </c>
      <c r="AJ521" s="51">
        <v>8.9472248861184372E-4</v>
      </c>
      <c r="AK521" s="51">
        <v>9.0185643294609969E-4</v>
      </c>
      <c r="AL521" s="51">
        <v>9.0899037728035576E-4</v>
      </c>
      <c r="AM521" s="51">
        <v>9.1612432161461172E-4</v>
      </c>
      <c r="AN521" s="51">
        <v>9.2325826594886768E-4</v>
      </c>
      <c r="AO521" s="51">
        <v>9.3039221028312375E-4</v>
      </c>
      <c r="AP521" s="51">
        <v>9.3752615461737982E-4</v>
      </c>
      <c r="AQ521" s="51">
        <v>9.4466009895163578E-4</v>
      </c>
      <c r="AR521" s="51">
        <v>9.5179404328589175E-4</v>
      </c>
      <c r="AS521" s="51">
        <v>9.5892798762014782E-4</v>
      </c>
      <c r="AT521" s="51">
        <v>9.6606193195440389E-4</v>
      </c>
      <c r="AU521" s="51">
        <v>9.7319587628865985E-4</v>
      </c>
      <c r="AV521" s="51">
        <v>9.9072164948453621E-4</v>
      </c>
      <c r="AW521" s="51">
        <v>1.0082474226804125E-3</v>
      </c>
      <c r="AX521" s="51">
        <v>1.0257731958762887E-3</v>
      </c>
      <c r="AY521" s="51">
        <v>1.043298969072165E-3</v>
      </c>
      <c r="AZ521" s="51">
        <v>1.0608247422680412E-3</v>
      </c>
      <c r="BA521" s="51">
        <v>1.0783505154639175E-3</v>
      </c>
      <c r="BB521" s="51">
        <v>1.095876288659794E-3</v>
      </c>
      <c r="BC521" s="51">
        <v>1.1134020618556702E-3</v>
      </c>
      <c r="BD521" s="51">
        <v>1.1309278350515465E-3</v>
      </c>
      <c r="BE521" s="51">
        <v>1.1484536082474227E-3</v>
      </c>
      <c r="BF521" s="51">
        <v>1.165979381443299E-3</v>
      </c>
      <c r="BG521" s="51">
        <v>1.1835051546391752E-3</v>
      </c>
      <c r="BH521" s="51">
        <v>1.2010309278350515E-3</v>
      </c>
      <c r="BI521" s="51">
        <v>1.2185567010309277E-3</v>
      </c>
      <c r="BJ521" s="51">
        <v>1.236082474226804E-3</v>
      </c>
      <c r="BK521" s="51">
        <v>1.2536082474226805E-3</v>
      </c>
      <c r="BL521" s="51">
        <v>1.2711340206185567E-3</v>
      </c>
      <c r="BM521" s="51">
        <v>1.288659793814433E-3</v>
      </c>
      <c r="BN521" s="51">
        <v>1.3061855670103092E-3</v>
      </c>
      <c r="BO521" s="51">
        <v>1.3237113402061855E-3</v>
      </c>
      <c r="BP521" s="51">
        <v>1.3412371134020619E-3</v>
      </c>
      <c r="BQ521" s="51">
        <v>1.3587628865979382E-3</v>
      </c>
      <c r="BR521" s="51">
        <v>1.3762886597938145E-3</v>
      </c>
      <c r="BS521" s="51">
        <v>1.3938144329896907E-3</v>
      </c>
      <c r="BT521" s="51">
        <v>1.411340206185567E-3</v>
      </c>
      <c r="BU521" s="51">
        <v>1.4288659793814432E-3</v>
      </c>
      <c r="BV521" s="51">
        <v>1.4463917525773195E-3</v>
      </c>
      <c r="BW521" s="51">
        <v>1.4639175257731957E-3</v>
      </c>
      <c r="BX521" s="51">
        <v>1.481443298969072E-3</v>
      </c>
      <c r="BY521" s="51">
        <v>1.4989690721649482E-3</v>
      </c>
      <c r="BZ521" s="51">
        <v>1.5164948453608247E-3</v>
      </c>
      <c r="CA521" s="51">
        <v>1.534020618556701E-3</v>
      </c>
      <c r="CB521" s="51">
        <v>1.5515463917525772E-3</v>
      </c>
      <c r="CC521" s="51">
        <v>1.5690721649484537E-3</v>
      </c>
      <c r="CD521" s="51">
        <v>1.5865979381443299E-3</v>
      </c>
      <c r="CE521" s="51">
        <v>1.6041237113402062E-3</v>
      </c>
      <c r="CF521" s="51">
        <v>1.6216494845360824E-3</v>
      </c>
      <c r="CG521" s="51">
        <v>1.6391752577319587E-3</v>
      </c>
      <c r="CH521" s="51">
        <v>1.656701030927835E-3</v>
      </c>
      <c r="CI521" s="51">
        <v>1.6742268041237112E-3</v>
      </c>
      <c r="CJ521" s="51">
        <v>1.6917525773195875E-3</v>
      </c>
      <c r="CK521" s="51">
        <v>1.7092783505154637E-3</v>
      </c>
      <c r="CL521" s="51">
        <v>1.72680412371134E-3</v>
      </c>
      <c r="CM521" s="51">
        <v>1.7443298969072164E-3</v>
      </c>
    </row>
    <row r="522" spans="1:91" s="50" customFormat="1" x14ac:dyDescent="0.25">
      <c r="A522" s="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91" s="50" customFormat="1" x14ac:dyDescent="0.25">
      <c r="A523" s="99" t="s">
        <v>191</v>
      </c>
      <c r="B523" s="4">
        <v>0</v>
      </c>
      <c r="C523" s="4">
        <v>0</v>
      </c>
      <c r="D523" s="4">
        <v>0</v>
      </c>
      <c r="E523" s="4">
        <v>0</v>
      </c>
      <c r="F523" s="4">
        <v>0</v>
      </c>
      <c r="G523" s="4">
        <v>0</v>
      </c>
      <c r="H523" s="4">
        <v>0</v>
      </c>
      <c r="I523" s="4">
        <v>0</v>
      </c>
      <c r="J523" s="4">
        <v>0</v>
      </c>
      <c r="K523" s="4">
        <v>0</v>
      </c>
      <c r="L523" s="4">
        <v>0</v>
      </c>
      <c r="M523" s="4">
        <v>0</v>
      </c>
      <c r="N523" s="4">
        <v>0</v>
      </c>
      <c r="O523" s="4">
        <v>0</v>
      </c>
      <c r="P523" s="4">
        <v>0</v>
      </c>
      <c r="Q523" s="4">
        <v>0</v>
      </c>
      <c r="R523" s="4">
        <v>0</v>
      </c>
      <c r="S523" s="4">
        <v>0</v>
      </c>
      <c r="T523" s="4">
        <v>0</v>
      </c>
      <c r="U523" s="4">
        <v>0</v>
      </c>
      <c r="V523" s="4">
        <v>0</v>
      </c>
      <c r="W523" s="4">
        <v>0</v>
      </c>
      <c r="X523" s="4">
        <v>0</v>
      </c>
      <c r="Y523" s="4">
        <v>0</v>
      </c>
      <c r="Z523" s="4">
        <v>0</v>
      </c>
      <c r="AA523" s="4">
        <v>0</v>
      </c>
      <c r="AB523" s="4">
        <v>0</v>
      </c>
      <c r="AC523" s="4">
        <v>0</v>
      </c>
      <c r="AD523" s="4">
        <v>0</v>
      </c>
      <c r="AE523" s="4">
        <v>0</v>
      </c>
      <c r="AF523" s="51">
        <v>5.0675000000000008E-3</v>
      </c>
      <c r="AG523" s="51">
        <v>5.1450000000000003E-3</v>
      </c>
      <c r="AH523" s="51">
        <v>5.2225000000000006E-3</v>
      </c>
      <c r="AI523" s="51">
        <v>5.3000000000000009E-3</v>
      </c>
      <c r="AJ523" s="51">
        <v>5.3775000000000003E-3</v>
      </c>
      <c r="AK523" s="51">
        <v>5.4550000000000006E-3</v>
      </c>
      <c r="AL523" s="51">
        <v>5.532500000000001E-3</v>
      </c>
      <c r="AM523" s="51">
        <v>5.6100000000000004E-3</v>
      </c>
      <c r="AN523" s="51">
        <v>5.6874999999999998E-3</v>
      </c>
      <c r="AO523" s="51">
        <v>5.765000000000001E-3</v>
      </c>
      <c r="AP523" s="51">
        <v>5.8425000000000005E-3</v>
      </c>
      <c r="AQ523" s="51">
        <v>5.9199999999999999E-3</v>
      </c>
      <c r="AR523" s="51">
        <v>5.9975000000000011E-3</v>
      </c>
      <c r="AS523" s="51">
        <v>6.0750000000000005E-3</v>
      </c>
      <c r="AT523" s="51">
        <v>6.1525E-3</v>
      </c>
      <c r="AU523" s="51">
        <v>6.2300000000000003E-3</v>
      </c>
      <c r="AV523" s="51">
        <v>6.2575E-3</v>
      </c>
      <c r="AW523" s="51">
        <v>6.2850000000000007E-3</v>
      </c>
      <c r="AX523" s="51">
        <v>6.3125000000000004E-3</v>
      </c>
      <c r="AY523" s="51">
        <v>6.3400000000000001E-3</v>
      </c>
      <c r="AZ523" s="51">
        <v>6.3674999999999999E-3</v>
      </c>
      <c r="BA523" s="51">
        <v>6.3950000000000005E-3</v>
      </c>
      <c r="BB523" s="51">
        <v>6.4225000000000003E-3</v>
      </c>
      <c r="BC523" s="51">
        <v>6.45E-3</v>
      </c>
      <c r="BD523" s="51">
        <v>6.4774999999999998E-3</v>
      </c>
      <c r="BE523" s="51">
        <v>6.5050000000000004E-3</v>
      </c>
      <c r="BF523" s="51">
        <v>6.5325000000000001E-3</v>
      </c>
      <c r="BG523" s="51">
        <v>6.5599999999999999E-3</v>
      </c>
      <c r="BH523" s="51">
        <v>6.5875000000000005E-3</v>
      </c>
      <c r="BI523" s="51">
        <v>6.6150000000000002E-3</v>
      </c>
      <c r="BJ523" s="51">
        <v>6.6425E-3</v>
      </c>
      <c r="BK523" s="51">
        <v>6.6699999999999997E-3</v>
      </c>
      <c r="BL523" s="51">
        <v>6.6975000000000003E-3</v>
      </c>
      <c r="BM523" s="51">
        <v>6.7250000000000001E-3</v>
      </c>
      <c r="BN523" s="51">
        <v>6.7524999999999998E-3</v>
      </c>
      <c r="BO523" s="51">
        <v>6.7799999999999996E-3</v>
      </c>
      <c r="BP523" s="51">
        <v>6.8075000000000002E-3</v>
      </c>
      <c r="BQ523" s="51">
        <v>6.8349999999999999E-3</v>
      </c>
      <c r="BR523" s="51">
        <v>6.8624999999999997E-3</v>
      </c>
      <c r="BS523" s="51">
        <v>6.8900000000000003E-3</v>
      </c>
      <c r="BT523" s="51">
        <v>6.9175E-3</v>
      </c>
      <c r="BU523" s="51">
        <v>6.9449999999999998E-3</v>
      </c>
      <c r="BV523" s="51">
        <v>6.9724999999999995E-3</v>
      </c>
      <c r="BW523" s="51">
        <v>7.0000000000000001E-3</v>
      </c>
      <c r="BX523" s="51">
        <v>7.0274999999999999E-3</v>
      </c>
      <c r="BY523" s="51">
        <v>7.0549999999999996E-3</v>
      </c>
      <c r="BZ523" s="51">
        <v>7.0825000000000003E-3</v>
      </c>
      <c r="CA523" s="51">
        <v>7.11E-3</v>
      </c>
      <c r="CB523" s="51">
        <v>7.1374999999999997E-3</v>
      </c>
      <c r="CC523" s="51">
        <v>7.1649999999999995E-3</v>
      </c>
      <c r="CD523" s="51">
        <v>7.1925000000000001E-3</v>
      </c>
      <c r="CE523" s="51">
        <v>7.2199999999999999E-3</v>
      </c>
      <c r="CF523" s="51">
        <v>7.2474999999999996E-3</v>
      </c>
      <c r="CG523" s="51">
        <v>7.2750000000000002E-3</v>
      </c>
      <c r="CH523" s="51">
        <v>7.3025E-3</v>
      </c>
      <c r="CI523" s="51">
        <v>7.3299999999999997E-3</v>
      </c>
      <c r="CJ523" s="51">
        <v>7.3574999999999995E-3</v>
      </c>
      <c r="CK523" s="51">
        <v>7.3849999999999992E-3</v>
      </c>
      <c r="CL523" s="51">
        <v>7.4124999999999998E-3</v>
      </c>
      <c r="CM523" s="51">
        <v>7.4399999999999996E-3</v>
      </c>
    </row>
    <row r="524" spans="1:91" s="50" customFormat="1" x14ac:dyDescent="0.25">
      <c r="A524" s="99" t="s">
        <v>1</v>
      </c>
      <c r="B524" s="4">
        <v>0</v>
      </c>
      <c r="C524" s="4">
        <v>0</v>
      </c>
      <c r="D524" s="4">
        <v>0</v>
      </c>
      <c r="E524" s="4">
        <v>0</v>
      </c>
      <c r="F524" s="4">
        <v>0</v>
      </c>
      <c r="G524" s="4">
        <v>0</v>
      </c>
      <c r="H524" s="4">
        <v>0</v>
      </c>
      <c r="I524" s="4">
        <v>0</v>
      </c>
      <c r="J524" s="4">
        <v>0</v>
      </c>
      <c r="K524" s="4">
        <v>0</v>
      </c>
      <c r="L524" s="4">
        <v>0</v>
      </c>
      <c r="M524" s="4">
        <v>0</v>
      </c>
      <c r="N524" s="4">
        <v>0</v>
      </c>
      <c r="O524" s="4">
        <v>0</v>
      </c>
      <c r="P524" s="4">
        <v>0</v>
      </c>
      <c r="Q524" s="4">
        <v>0</v>
      </c>
      <c r="R524" s="4">
        <v>0</v>
      </c>
      <c r="S524" s="4">
        <v>0</v>
      </c>
      <c r="T524" s="4">
        <v>0</v>
      </c>
      <c r="U524" s="4">
        <v>0</v>
      </c>
      <c r="V524" s="4">
        <v>0</v>
      </c>
      <c r="W524" s="4">
        <v>0</v>
      </c>
      <c r="X524" s="4">
        <v>0</v>
      </c>
      <c r="Y524" s="4">
        <v>0</v>
      </c>
      <c r="Z524" s="4">
        <v>0</v>
      </c>
      <c r="AA524" s="4">
        <v>0</v>
      </c>
      <c r="AB524" s="4">
        <v>0</v>
      </c>
      <c r="AC524" s="4">
        <v>0</v>
      </c>
      <c r="AD524" s="4">
        <v>0</v>
      </c>
      <c r="AE524" s="4">
        <v>0</v>
      </c>
      <c r="AF524" s="51">
        <v>2.3129545454545456E-3</v>
      </c>
      <c r="AG524" s="51">
        <v>2.3440909090909094E-3</v>
      </c>
      <c r="AH524" s="51">
        <v>2.3752272727272728E-3</v>
      </c>
      <c r="AI524" s="51">
        <v>2.4063636363636366E-3</v>
      </c>
      <c r="AJ524" s="51">
        <v>2.4375000000000004E-3</v>
      </c>
      <c r="AK524" s="51">
        <v>2.4686363636363638E-3</v>
      </c>
      <c r="AL524" s="51">
        <v>2.4997727272727276E-3</v>
      </c>
      <c r="AM524" s="51">
        <v>2.5309090909090915E-3</v>
      </c>
      <c r="AN524" s="51">
        <v>2.5620454545454549E-3</v>
      </c>
      <c r="AO524" s="51">
        <v>2.5931818181818183E-3</v>
      </c>
      <c r="AP524" s="51">
        <v>2.6243181818181821E-3</v>
      </c>
      <c r="AQ524" s="51">
        <v>2.6554545454545459E-3</v>
      </c>
      <c r="AR524" s="51">
        <v>2.6865909090909093E-3</v>
      </c>
      <c r="AS524" s="51">
        <v>2.7177272727272731E-3</v>
      </c>
      <c r="AT524" s="51">
        <v>2.748863636363637E-3</v>
      </c>
      <c r="AU524" s="51">
        <v>2.7800000000000004E-3</v>
      </c>
      <c r="AV524" s="51">
        <v>2.7993181818181823E-3</v>
      </c>
      <c r="AW524" s="51">
        <v>2.8186363636363639E-3</v>
      </c>
      <c r="AX524" s="51">
        <v>2.8379545454545459E-3</v>
      </c>
      <c r="AY524" s="51">
        <v>2.8572727272727274E-3</v>
      </c>
      <c r="AZ524" s="51">
        <v>2.8765909090909094E-3</v>
      </c>
      <c r="BA524" s="51">
        <v>2.8959090909090913E-3</v>
      </c>
      <c r="BB524" s="51">
        <v>2.9152272727272729E-3</v>
      </c>
      <c r="BC524" s="51">
        <v>2.9345454545454549E-3</v>
      </c>
      <c r="BD524" s="51">
        <v>2.9538636363636368E-3</v>
      </c>
      <c r="BE524" s="51">
        <v>2.9731818181818184E-3</v>
      </c>
      <c r="BF524" s="51">
        <v>2.9925000000000004E-3</v>
      </c>
      <c r="BG524" s="51">
        <v>3.0118181818181819E-3</v>
      </c>
      <c r="BH524" s="51">
        <v>3.0311363636363639E-3</v>
      </c>
      <c r="BI524" s="51">
        <v>3.0504545454545459E-3</v>
      </c>
      <c r="BJ524" s="51">
        <v>3.0697727272727274E-3</v>
      </c>
      <c r="BK524" s="51">
        <v>3.0890909090909094E-3</v>
      </c>
      <c r="BL524" s="51">
        <v>3.1084090909090914E-3</v>
      </c>
      <c r="BM524" s="51">
        <v>3.1277272727272729E-3</v>
      </c>
      <c r="BN524" s="51">
        <v>3.1470454545454549E-3</v>
      </c>
      <c r="BO524" s="51">
        <v>3.1663636363636364E-3</v>
      </c>
      <c r="BP524" s="51">
        <v>3.1856818181818184E-3</v>
      </c>
      <c r="BQ524" s="51">
        <v>3.2050000000000004E-3</v>
      </c>
      <c r="BR524" s="51">
        <v>3.2243181818181819E-3</v>
      </c>
      <c r="BS524" s="51">
        <v>3.2436363636363639E-3</v>
      </c>
      <c r="BT524" s="51">
        <v>3.2629545454545454E-3</v>
      </c>
      <c r="BU524" s="51">
        <v>3.2822727272727274E-3</v>
      </c>
      <c r="BV524" s="51">
        <v>3.3015909090909094E-3</v>
      </c>
      <c r="BW524" s="51">
        <v>3.3209090909090909E-3</v>
      </c>
      <c r="BX524" s="51">
        <v>3.3402272727272729E-3</v>
      </c>
      <c r="BY524" s="51">
        <v>3.3595454545454545E-3</v>
      </c>
      <c r="BZ524" s="51">
        <v>3.3788636363636364E-3</v>
      </c>
      <c r="CA524" s="51">
        <v>3.3981818181818184E-3</v>
      </c>
      <c r="CB524" s="51">
        <v>3.4175E-3</v>
      </c>
      <c r="CC524" s="51">
        <v>3.4368181818181819E-3</v>
      </c>
      <c r="CD524" s="51">
        <v>3.4561363636363635E-3</v>
      </c>
      <c r="CE524" s="51">
        <v>3.4754545454545455E-3</v>
      </c>
      <c r="CF524" s="51">
        <v>3.4947727272727274E-3</v>
      </c>
      <c r="CG524" s="51">
        <v>3.5140909090909094E-3</v>
      </c>
      <c r="CH524" s="51">
        <v>3.533409090909091E-3</v>
      </c>
      <c r="CI524" s="51">
        <v>3.5527272727272729E-3</v>
      </c>
      <c r="CJ524" s="51">
        <v>3.5720454545454545E-3</v>
      </c>
      <c r="CK524" s="51">
        <v>3.5913636363636365E-3</v>
      </c>
      <c r="CL524" s="51">
        <v>3.6106818181818184E-3</v>
      </c>
      <c r="CM524" s="51">
        <v>3.63E-3</v>
      </c>
    </row>
    <row r="525" spans="1:91" s="50" customFormat="1" x14ac:dyDescent="0.25">
      <c r="A525" s="99" t="s">
        <v>1</v>
      </c>
      <c r="B525" s="4">
        <v>0</v>
      </c>
      <c r="C525" s="4">
        <v>0</v>
      </c>
      <c r="D525" s="4">
        <v>0</v>
      </c>
      <c r="E525" s="4">
        <v>0</v>
      </c>
      <c r="F525" s="4">
        <v>0</v>
      </c>
      <c r="G525" s="4">
        <v>0</v>
      </c>
      <c r="H525" s="4">
        <v>0</v>
      </c>
      <c r="I525" s="4">
        <v>0</v>
      </c>
      <c r="J525" s="4">
        <v>0</v>
      </c>
      <c r="K525" s="4">
        <v>0</v>
      </c>
      <c r="L525" s="4">
        <v>0</v>
      </c>
      <c r="M525" s="4">
        <v>0</v>
      </c>
      <c r="N525" s="4">
        <v>0</v>
      </c>
      <c r="O525" s="4">
        <v>0</v>
      </c>
      <c r="P525" s="4">
        <v>0</v>
      </c>
      <c r="Q525" s="4">
        <v>0</v>
      </c>
      <c r="R525" s="4">
        <v>0</v>
      </c>
      <c r="S525" s="4">
        <v>0</v>
      </c>
      <c r="T525" s="4">
        <v>0</v>
      </c>
      <c r="U525" s="4">
        <v>0</v>
      </c>
      <c r="V525" s="4">
        <v>0</v>
      </c>
      <c r="W525" s="4">
        <v>0</v>
      </c>
      <c r="X525" s="4">
        <v>0</v>
      </c>
      <c r="Y525" s="4">
        <v>0</v>
      </c>
      <c r="Z525" s="4">
        <v>0</v>
      </c>
      <c r="AA525" s="4">
        <v>0</v>
      </c>
      <c r="AB525" s="4">
        <v>0</v>
      </c>
      <c r="AC525" s="4">
        <v>0</v>
      </c>
      <c r="AD525" s="4">
        <v>0</v>
      </c>
      <c r="AE525" s="4">
        <v>0</v>
      </c>
      <c r="AF525" s="51">
        <v>3.4209090909090912E-3</v>
      </c>
      <c r="AG525" s="51">
        <v>3.4681818181818186E-3</v>
      </c>
      <c r="AH525" s="51">
        <v>3.5154545454545456E-3</v>
      </c>
      <c r="AI525" s="51">
        <v>3.562727272727273E-3</v>
      </c>
      <c r="AJ525" s="51">
        <v>3.6100000000000004E-3</v>
      </c>
      <c r="AK525" s="51">
        <v>3.6572727272727278E-3</v>
      </c>
      <c r="AL525" s="51">
        <v>3.7045454545454552E-3</v>
      </c>
      <c r="AM525" s="51">
        <v>3.7518181818181826E-3</v>
      </c>
      <c r="AN525" s="51">
        <v>3.7990909090909099E-3</v>
      </c>
      <c r="AO525" s="51">
        <v>3.8463636363636369E-3</v>
      </c>
      <c r="AP525" s="51">
        <v>3.8936363636363643E-3</v>
      </c>
      <c r="AQ525" s="51">
        <v>3.9409090909090913E-3</v>
      </c>
      <c r="AR525" s="51">
        <v>3.9881818181818187E-3</v>
      </c>
      <c r="AS525" s="51">
        <v>4.0354545454545461E-3</v>
      </c>
      <c r="AT525" s="51">
        <v>4.0827272727272735E-3</v>
      </c>
      <c r="AU525" s="51">
        <v>4.1300000000000009E-3</v>
      </c>
      <c r="AV525" s="51">
        <v>4.1579545454545463E-3</v>
      </c>
      <c r="AW525" s="51">
        <v>4.1859090909090917E-3</v>
      </c>
      <c r="AX525" s="51">
        <v>4.2138636363636371E-3</v>
      </c>
      <c r="AY525" s="51">
        <v>4.2418181818181825E-3</v>
      </c>
      <c r="AZ525" s="51">
        <v>4.269772727272728E-3</v>
      </c>
      <c r="BA525" s="51">
        <v>4.2977272727272734E-3</v>
      </c>
      <c r="BB525" s="51">
        <v>4.3256818181818188E-3</v>
      </c>
      <c r="BC525" s="51">
        <v>4.3536363636363642E-3</v>
      </c>
      <c r="BD525" s="51">
        <v>4.3815909090909096E-3</v>
      </c>
      <c r="BE525" s="51">
        <v>4.4095454545454551E-3</v>
      </c>
      <c r="BF525" s="51">
        <v>4.4375000000000005E-3</v>
      </c>
      <c r="BG525" s="51">
        <v>4.4654545454545459E-3</v>
      </c>
      <c r="BH525" s="51">
        <v>4.4934090909090913E-3</v>
      </c>
      <c r="BI525" s="51">
        <v>4.5213636363636367E-3</v>
      </c>
      <c r="BJ525" s="51">
        <v>4.5493181818181821E-3</v>
      </c>
      <c r="BK525" s="51">
        <v>4.5772727272727276E-3</v>
      </c>
      <c r="BL525" s="51">
        <v>4.605227272727273E-3</v>
      </c>
      <c r="BM525" s="51">
        <v>4.6331818181818184E-3</v>
      </c>
      <c r="BN525" s="51">
        <v>4.6611363636363638E-3</v>
      </c>
      <c r="BO525" s="51">
        <v>4.6890909090909101E-3</v>
      </c>
      <c r="BP525" s="51">
        <v>4.7170454545454547E-3</v>
      </c>
      <c r="BQ525" s="51">
        <v>4.745000000000001E-3</v>
      </c>
      <c r="BR525" s="51">
        <v>4.7729545454545455E-3</v>
      </c>
      <c r="BS525" s="51">
        <v>4.8009090909090918E-3</v>
      </c>
      <c r="BT525" s="51">
        <v>4.8288636363636372E-3</v>
      </c>
      <c r="BU525" s="51">
        <v>4.8568181818181826E-3</v>
      </c>
      <c r="BV525" s="51">
        <v>4.8847727272727281E-3</v>
      </c>
      <c r="BW525" s="51">
        <v>4.9127272727272735E-3</v>
      </c>
      <c r="BX525" s="51">
        <v>4.9406818181818189E-3</v>
      </c>
      <c r="BY525" s="51">
        <v>4.9686363636363643E-3</v>
      </c>
      <c r="BZ525" s="51">
        <v>4.9965909090909097E-3</v>
      </c>
      <c r="CA525" s="51">
        <v>5.0245454545454551E-3</v>
      </c>
      <c r="CB525" s="51">
        <v>5.0525000000000006E-3</v>
      </c>
      <c r="CC525" s="51">
        <v>5.080454545454546E-3</v>
      </c>
      <c r="CD525" s="51">
        <v>5.1084090909090914E-3</v>
      </c>
      <c r="CE525" s="51">
        <v>5.1363636363636368E-3</v>
      </c>
      <c r="CF525" s="51">
        <v>5.1643181818181822E-3</v>
      </c>
      <c r="CG525" s="51">
        <v>5.1922727272727277E-3</v>
      </c>
      <c r="CH525" s="51">
        <v>5.2202272727272731E-3</v>
      </c>
      <c r="CI525" s="51">
        <v>5.2481818181818185E-3</v>
      </c>
      <c r="CJ525" s="51">
        <v>5.2761363636363639E-3</v>
      </c>
      <c r="CK525" s="51">
        <v>5.3040909090909093E-3</v>
      </c>
      <c r="CL525" s="51">
        <v>5.3320454545454548E-3</v>
      </c>
      <c r="CM525" s="51">
        <v>5.3600000000000002E-3</v>
      </c>
    </row>
    <row r="526" spans="1:91" s="50" customFormat="1" x14ac:dyDescent="0.25">
      <c r="A526" s="99" t="s">
        <v>1</v>
      </c>
      <c r="B526" s="4">
        <v>0</v>
      </c>
      <c r="C526" s="4">
        <v>0</v>
      </c>
      <c r="D526" s="4">
        <v>0</v>
      </c>
      <c r="E526" s="4">
        <v>0</v>
      </c>
      <c r="F526" s="4">
        <v>0</v>
      </c>
      <c r="G526" s="4">
        <v>0</v>
      </c>
      <c r="H526" s="4">
        <v>0</v>
      </c>
      <c r="I526" s="4">
        <v>0</v>
      </c>
      <c r="J526" s="4">
        <v>0</v>
      </c>
      <c r="K526" s="4">
        <v>0</v>
      </c>
      <c r="L526" s="4">
        <v>0</v>
      </c>
      <c r="M526" s="4">
        <v>0</v>
      </c>
      <c r="N526" s="4">
        <v>0</v>
      </c>
      <c r="O526" s="4">
        <v>0</v>
      </c>
      <c r="P526" s="4">
        <v>0</v>
      </c>
      <c r="Q526" s="4">
        <v>0</v>
      </c>
      <c r="R526" s="4">
        <v>0</v>
      </c>
      <c r="S526" s="4">
        <v>0</v>
      </c>
      <c r="T526" s="4">
        <v>0</v>
      </c>
      <c r="U526" s="4">
        <v>0</v>
      </c>
      <c r="V526" s="4">
        <v>0</v>
      </c>
      <c r="W526" s="4">
        <v>0</v>
      </c>
      <c r="X526" s="4">
        <v>0</v>
      </c>
      <c r="Y526" s="4">
        <v>0</v>
      </c>
      <c r="Z526" s="4">
        <v>0</v>
      </c>
      <c r="AA526" s="4">
        <v>0</v>
      </c>
      <c r="AB526" s="4">
        <v>0</v>
      </c>
      <c r="AC526" s="4">
        <v>0</v>
      </c>
      <c r="AD526" s="4">
        <v>0</v>
      </c>
      <c r="AE526" s="4">
        <v>0</v>
      </c>
      <c r="AF526" s="51">
        <v>1.4251346260975674E-3</v>
      </c>
      <c r="AG526" s="51">
        <v>1.4394010133432368E-3</v>
      </c>
      <c r="AH526" s="51">
        <v>1.4536674005889063E-3</v>
      </c>
      <c r="AI526" s="51">
        <v>1.4679337878345756E-3</v>
      </c>
      <c r="AJ526" s="51">
        <v>1.4822001750802451E-3</v>
      </c>
      <c r="AK526" s="51">
        <v>1.4964665623259145E-3</v>
      </c>
      <c r="AL526" s="51">
        <v>1.510732949571584E-3</v>
      </c>
      <c r="AM526" s="51">
        <v>1.5249993368172533E-3</v>
      </c>
      <c r="AN526" s="51">
        <v>1.5392657240629226E-3</v>
      </c>
      <c r="AO526" s="51">
        <v>1.5535321113085922E-3</v>
      </c>
      <c r="AP526" s="51">
        <v>1.5677984985542617E-3</v>
      </c>
      <c r="AQ526" s="51">
        <v>1.582064885799931E-3</v>
      </c>
      <c r="AR526" s="51">
        <v>1.5963312730456003E-3</v>
      </c>
      <c r="AS526" s="51">
        <v>1.6105976602912699E-3</v>
      </c>
      <c r="AT526" s="51">
        <v>1.6248640475369394E-3</v>
      </c>
      <c r="AU526" s="51">
        <v>1.6391304347826087E-3</v>
      </c>
      <c r="AV526" s="51">
        <v>1.6512056578914659E-3</v>
      </c>
      <c r="AW526" s="51">
        <v>1.6632808810003231E-3</v>
      </c>
      <c r="AX526" s="51">
        <v>1.6753561041091805E-3</v>
      </c>
      <c r="AY526" s="51">
        <v>1.6874313272180377E-3</v>
      </c>
      <c r="AZ526" s="51">
        <v>1.6995065503268949E-3</v>
      </c>
      <c r="BA526" s="51">
        <v>1.7115817734357521E-3</v>
      </c>
      <c r="BB526" s="51">
        <v>1.7236569965446095E-3</v>
      </c>
      <c r="BC526" s="51">
        <v>1.7357322196534667E-3</v>
      </c>
      <c r="BD526" s="51">
        <v>1.7478074427623239E-3</v>
      </c>
      <c r="BE526" s="51">
        <v>1.759882665871181E-3</v>
      </c>
      <c r="BF526" s="51">
        <v>1.7719578889800382E-3</v>
      </c>
      <c r="BG526" s="51">
        <v>1.7840331120888956E-3</v>
      </c>
      <c r="BH526" s="51">
        <v>1.7961083351977528E-3</v>
      </c>
      <c r="BI526" s="51">
        <v>1.80818355830661E-3</v>
      </c>
      <c r="BJ526" s="51">
        <v>1.8202587814154672E-3</v>
      </c>
      <c r="BK526" s="51">
        <v>1.8323340045243246E-3</v>
      </c>
      <c r="BL526" s="51">
        <v>1.8444092276331818E-3</v>
      </c>
      <c r="BM526" s="51">
        <v>1.856484450742039E-3</v>
      </c>
      <c r="BN526" s="51">
        <v>1.8685596738508962E-3</v>
      </c>
      <c r="BO526" s="51">
        <v>1.8806348969597534E-3</v>
      </c>
      <c r="BP526" s="51">
        <v>1.8927101200686108E-3</v>
      </c>
      <c r="BQ526" s="51">
        <v>1.904785343177468E-3</v>
      </c>
      <c r="BR526" s="51">
        <v>1.9168605662863252E-3</v>
      </c>
      <c r="BS526" s="51">
        <v>1.9289357893951826E-3</v>
      </c>
      <c r="BT526" s="51">
        <v>1.9410110125040398E-3</v>
      </c>
      <c r="BU526" s="51">
        <v>1.953086235612897E-3</v>
      </c>
      <c r="BV526" s="51">
        <v>1.9651614587217541E-3</v>
      </c>
      <c r="BW526" s="51">
        <v>1.9772366818306113E-3</v>
      </c>
      <c r="BX526" s="51">
        <v>1.9893119049394685E-3</v>
      </c>
      <c r="BY526" s="51">
        <v>2.0013871280483257E-3</v>
      </c>
      <c r="BZ526" s="51">
        <v>2.0134623511571829E-3</v>
      </c>
      <c r="CA526" s="51">
        <v>2.0255375742660405E-3</v>
      </c>
      <c r="CB526" s="51">
        <v>2.0376127973748977E-3</v>
      </c>
      <c r="CC526" s="51">
        <v>2.0496880204837549E-3</v>
      </c>
      <c r="CD526" s="51">
        <v>2.0617632435926121E-3</v>
      </c>
      <c r="CE526" s="51">
        <v>2.0738384667014693E-3</v>
      </c>
      <c r="CF526" s="51">
        <v>2.0859136898103265E-3</v>
      </c>
      <c r="CG526" s="51">
        <v>2.0979889129191837E-3</v>
      </c>
      <c r="CH526" s="51">
        <v>2.1100641360280409E-3</v>
      </c>
      <c r="CI526" s="51">
        <v>2.1221393591368985E-3</v>
      </c>
      <c r="CJ526" s="51">
        <v>2.1342145822457557E-3</v>
      </c>
      <c r="CK526" s="51">
        <v>2.1462898053546129E-3</v>
      </c>
      <c r="CL526" s="51">
        <v>2.1583650284634701E-3</v>
      </c>
      <c r="CM526" s="51">
        <v>2.1704402515723272E-3</v>
      </c>
    </row>
    <row r="527" spans="1:91" s="50" customFormat="1" x14ac:dyDescent="0.25">
      <c r="A527" s="99" t="s">
        <v>1</v>
      </c>
      <c r="B527" s="4">
        <v>0</v>
      </c>
      <c r="C527" s="4">
        <v>0</v>
      </c>
      <c r="D527" s="4">
        <v>0</v>
      </c>
      <c r="E527" s="4">
        <v>0</v>
      </c>
      <c r="F527" s="4">
        <v>0</v>
      </c>
      <c r="G527" s="4">
        <v>0</v>
      </c>
      <c r="H527" s="4">
        <v>0</v>
      </c>
      <c r="I527" s="4">
        <v>0</v>
      </c>
      <c r="J527" s="4">
        <v>0</v>
      </c>
      <c r="K527" s="4">
        <v>0</v>
      </c>
      <c r="L527" s="4">
        <v>0</v>
      </c>
      <c r="M527" s="4">
        <v>0</v>
      </c>
      <c r="N527" s="4">
        <v>0</v>
      </c>
      <c r="O527" s="4">
        <v>0</v>
      </c>
      <c r="P527" s="4">
        <v>0</v>
      </c>
      <c r="Q527" s="4">
        <v>0</v>
      </c>
      <c r="R527" s="4">
        <v>0</v>
      </c>
      <c r="S527" s="4">
        <v>0</v>
      </c>
      <c r="T527" s="4">
        <v>0</v>
      </c>
      <c r="U527" s="4">
        <v>0</v>
      </c>
      <c r="V527" s="4">
        <v>0</v>
      </c>
      <c r="W527" s="4">
        <v>0</v>
      </c>
      <c r="X527" s="4">
        <v>0</v>
      </c>
      <c r="Y527" s="4">
        <v>0</v>
      </c>
      <c r="Z527" s="4">
        <v>0</v>
      </c>
      <c r="AA527" s="4">
        <v>0</v>
      </c>
      <c r="AB527" s="4">
        <v>0</v>
      </c>
      <c r="AC527" s="4">
        <v>0</v>
      </c>
      <c r="AD527" s="4">
        <v>0</v>
      </c>
      <c r="AE527" s="4">
        <v>0</v>
      </c>
      <c r="AF527" s="51">
        <v>1.6577549140049139E-3</v>
      </c>
      <c r="AG527" s="51">
        <v>1.6804361179361179E-3</v>
      </c>
      <c r="AH527" s="51">
        <v>1.7031173218673219E-3</v>
      </c>
      <c r="AI527" s="51">
        <v>1.7257985257985258E-3</v>
      </c>
      <c r="AJ527" s="51">
        <v>1.7484797297297296E-3</v>
      </c>
      <c r="AK527" s="51">
        <v>1.7711609336609336E-3</v>
      </c>
      <c r="AL527" s="51">
        <v>1.7938421375921377E-3</v>
      </c>
      <c r="AM527" s="51">
        <v>1.8165233415233415E-3</v>
      </c>
      <c r="AN527" s="51">
        <v>1.8392045454545453E-3</v>
      </c>
      <c r="AO527" s="51">
        <v>1.8618857493857494E-3</v>
      </c>
      <c r="AP527" s="51">
        <v>1.8845669533169532E-3</v>
      </c>
      <c r="AQ527" s="51">
        <v>1.907248157248157E-3</v>
      </c>
      <c r="AR527" s="51">
        <v>1.9299293611793611E-3</v>
      </c>
      <c r="AS527" s="51">
        <v>1.9526105651105651E-3</v>
      </c>
      <c r="AT527" s="51">
        <v>1.9752917690417692E-3</v>
      </c>
      <c r="AU527" s="51">
        <v>1.9979729729729728E-3</v>
      </c>
      <c r="AV527" s="51">
        <v>2.0184735872235873E-3</v>
      </c>
      <c r="AW527" s="51">
        <v>2.0389742014742013E-3</v>
      </c>
      <c r="AX527" s="51">
        <v>2.0594748157248153E-3</v>
      </c>
      <c r="AY527" s="51">
        <v>2.0799754299754298E-3</v>
      </c>
      <c r="AZ527" s="51">
        <v>2.1004760442260443E-3</v>
      </c>
      <c r="BA527" s="51">
        <v>2.1209766584766583E-3</v>
      </c>
      <c r="BB527" s="51">
        <v>2.1414772727272723E-3</v>
      </c>
      <c r="BC527" s="51">
        <v>2.1619778869778868E-3</v>
      </c>
      <c r="BD527" s="51">
        <v>2.1824785012285013E-3</v>
      </c>
      <c r="BE527" s="51">
        <v>2.2029791154791153E-3</v>
      </c>
      <c r="BF527" s="51">
        <v>2.2234797297297293E-3</v>
      </c>
      <c r="BG527" s="51">
        <v>2.2439803439803438E-3</v>
      </c>
      <c r="BH527" s="51">
        <v>2.2644809582309583E-3</v>
      </c>
      <c r="BI527" s="51">
        <v>2.2849815724815723E-3</v>
      </c>
      <c r="BJ527" s="51">
        <v>2.3054821867321863E-3</v>
      </c>
      <c r="BK527" s="51">
        <v>2.3259828009828008E-3</v>
      </c>
      <c r="BL527" s="51">
        <v>2.3464834152334153E-3</v>
      </c>
      <c r="BM527" s="51">
        <v>2.3669840294840293E-3</v>
      </c>
      <c r="BN527" s="51">
        <v>2.3874846437346433E-3</v>
      </c>
      <c r="BO527" s="51">
        <v>2.4079852579852578E-3</v>
      </c>
      <c r="BP527" s="51">
        <v>2.4284858722358723E-3</v>
      </c>
      <c r="BQ527" s="51">
        <v>2.4489864864864863E-3</v>
      </c>
      <c r="BR527" s="51">
        <v>2.4694871007371003E-3</v>
      </c>
      <c r="BS527" s="51">
        <v>2.4899877149877148E-3</v>
      </c>
      <c r="BT527" s="51">
        <v>2.5104883292383293E-3</v>
      </c>
      <c r="BU527" s="51">
        <v>2.5309889434889433E-3</v>
      </c>
      <c r="BV527" s="51">
        <v>2.5514895577395573E-3</v>
      </c>
      <c r="BW527" s="51">
        <v>2.5719901719901718E-3</v>
      </c>
      <c r="BX527" s="51">
        <v>2.5924907862407863E-3</v>
      </c>
      <c r="BY527" s="51">
        <v>2.6129914004914003E-3</v>
      </c>
      <c r="BZ527" s="51">
        <v>2.6334920147420143E-3</v>
      </c>
      <c r="CA527" s="51">
        <v>2.6539926289926288E-3</v>
      </c>
      <c r="CB527" s="51">
        <v>2.6744932432432433E-3</v>
      </c>
      <c r="CC527" s="51">
        <v>2.6949938574938573E-3</v>
      </c>
      <c r="CD527" s="51">
        <v>2.7154944717444713E-3</v>
      </c>
      <c r="CE527" s="51">
        <v>2.7359950859950858E-3</v>
      </c>
      <c r="CF527" s="51">
        <v>2.7564957002457003E-3</v>
      </c>
      <c r="CG527" s="51">
        <v>2.7769963144963143E-3</v>
      </c>
      <c r="CH527" s="51">
        <v>2.7974969287469283E-3</v>
      </c>
      <c r="CI527" s="51">
        <v>2.8179975429975428E-3</v>
      </c>
      <c r="CJ527" s="51">
        <v>2.8384981572481573E-3</v>
      </c>
      <c r="CK527" s="51">
        <v>2.8589987714987713E-3</v>
      </c>
      <c r="CL527" s="51">
        <v>2.8794993857493853E-3</v>
      </c>
      <c r="CM527" s="51">
        <v>2.8999999999999998E-3</v>
      </c>
    </row>
    <row r="528" spans="1:91" s="50" customFormat="1" x14ac:dyDescent="0.25">
      <c r="A528" s="99" t="s">
        <v>1</v>
      </c>
      <c r="B528" s="4">
        <v>0</v>
      </c>
      <c r="C528" s="4">
        <v>0</v>
      </c>
      <c r="D528" s="4">
        <v>0</v>
      </c>
      <c r="E528" s="4">
        <v>0</v>
      </c>
      <c r="F528" s="4">
        <v>0</v>
      </c>
      <c r="G528" s="4">
        <v>0</v>
      </c>
      <c r="H528" s="4">
        <v>0</v>
      </c>
      <c r="I528" s="4">
        <v>0</v>
      </c>
      <c r="J528" s="4">
        <v>0</v>
      </c>
      <c r="K528" s="4">
        <v>0</v>
      </c>
      <c r="L528" s="4">
        <v>0</v>
      </c>
      <c r="M528" s="4">
        <v>0</v>
      </c>
      <c r="N528" s="4">
        <v>0</v>
      </c>
      <c r="O528" s="4">
        <v>0</v>
      </c>
      <c r="P528" s="4">
        <v>0</v>
      </c>
      <c r="Q528" s="4">
        <v>0</v>
      </c>
      <c r="R528" s="4">
        <v>0</v>
      </c>
      <c r="S528" s="4">
        <v>0</v>
      </c>
      <c r="T528" s="4">
        <v>0</v>
      </c>
      <c r="U528" s="4">
        <v>0</v>
      </c>
      <c r="V528" s="4">
        <v>0</v>
      </c>
      <c r="W528" s="4">
        <v>0</v>
      </c>
      <c r="X528" s="4">
        <v>0</v>
      </c>
      <c r="Y528" s="4">
        <v>0</v>
      </c>
      <c r="Z528" s="4">
        <v>0</v>
      </c>
      <c r="AA528" s="4">
        <v>0</v>
      </c>
      <c r="AB528" s="4">
        <v>0</v>
      </c>
      <c r="AC528" s="4">
        <v>0</v>
      </c>
      <c r="AD528" s="4">
        <v>0</v>
      </c>
      <c r="AE528" s="4">
        <v>0</v>
      </c>
      <c r="AF528" s="51">
        <v>6.1522727272727278E-2</v>
      </c>
      <c r="AG528" s="51">
        <v>6.1954545454545457E-2</v>
      </c>
      <c r="AH528" s="51">
        <v>6.2386363636363643E-2</v>
      </c>
      <c r="AI528" s="51">
        <v>6.2818181818181829E-2</v>
      </c>
      <c r="AJ528" s="51">
        <v>6.3250000000000001E-2</v>
      </c>
      <c r="AK528" s="51">
        <v>6.3681818181818187E-2</v>
      </c>
      <c r="AL528" s="51">
        <v>6.4113636363636373E-2</v>
      </c>
      <c r="AM528" s="51">
        <v>6.4545454545454545E-2</v>
      </c>
      <c r="AN528" s="51">
        <v>6.4977272727272731E-2</v>
      </c>
      <c r="AO528" s="51">
        <v>6.5409090909090917E-2</v>
      </c>
      <c r="AP528" s="51">
        <v>6.5840909090909089E-2</v>
      </c>
      <c r="AQ528" s="51">
        <v>6.6272727272727275E-2</v>
      </c>
      <c r="AR528" s="51">
        <v>6.6704545454545461E-2</v>
      </c>
      <c r="AS528" s="51">
        <v>6.7136363636363633E-2</v>
      </c>
      <c r="AT528" s="51">
        <v>6.7568181818181819E-2</v>
      </c>
      <c r="AU528" s="51">
        <v>6.8000000000000005E-2</v>
      </c>
      <c r="AV528" s="51">
        <v>6.881818181818182E-2</v>
      </c>
      <c r="AW528" s="51">
        <v>6.9636363636363635E-2</v>
      </c>
      <c r="AX528" s="51">
        <v>7.0454545454545464E-2</v>
      </c>
      <c r="AY528" s="51">
        <v>7.1272727272727279E-2</v>
      </c>
      <c r="AZ528" s="51">
        <v>7.2090909090909094E-2</v>
      </c>
      <c r="BA528" s="51">
        <v>7.290909090909091E-2</v>
      </c>
      <c r="BB528" s="51">
        <v>7.3727272727272725E-2</v>
      </c>
      <c r="BC528" s="51">
        <v>7.4545454545454554E-2</v>
      </c>
      <c r="BD528" s="51">
        <v>7.5363636363636369E-2</v>
      </c>
      <c r="BE528" s="51">
        <v>7.6181818181818184E-2</v>
      </c>
      <c r="BF528" s="51">
        <v>7.6999999999999999E-2</v>
      </c>
      <c r="BG528" s="51">
        <v>7.7818181818181814E-2</v>
      </c>
      <c r="BH528" s="51">
        <v>7.8636363636363643E-2</v>
      </c>
      <c r="BI528" s="51">
        <v>7.9454545454545458E-2</v>
      </c>
      <c r="BJ528" s="51">
        <v>8.0272727272727273E-2</v>
      </c>
      <c r="BK528" s="51">
        <v>8.1090909090909088E-2</v>
      </c>
      <c r="BL528" s="51">
        <v>8.1909090909090904E-2</v>
      </c>
      <c r="BM528" s="51">
        <v>8.2727272727272733E-2</v>
      </c>
      <c r="BN528" s="51">
        <v>8.3545454545454548E-2</v>
      </c>
      <c r="BO528" s="51">
        <v>8.4363636363636363E-2</v>
      </c>
      <c r="BP528" s="51">
        <v>8.5181818181818178E-2</v>
      </c>
      <c r="BQ528" s="51">
        <v>8.5999999999999993E-2</v>
      </c>
      <c r="BR528" s="51">
        <v>8.6818181818181822E-2</v>
      </c>
      <c r="BS528" s="51">
        <v>8.7636363636363637E-2</v>
      </c>
      <c r="BT528" s="51">
        <v>8.8454545454545452E-2</v>
      </c>
      <c r="BU528" s="51">
        <v>8.9272727272727267E-2</v>
      </c>
      <c r="BV528" s="51">
        <v>9.0090909090909083E-2</v>
      </c>
      <c r="BW528" s="51">
        <v>9.0909090909090912E-2</v>
      </c>
      <c r="BX528" s="51">
        <v>9.1727272727272727E-2</v>
      </c>
      <c r="BY528" s="51">
        <v>9.2545454545454542E-2</v>
      </c>
      <c r="BZ528" s="51">
        <v>9.3363636363636357E-2</v>
      </c>
      <c r="CA528" s="51">
        <v>9.4181818181818172E-2</v>
      </c>
      <c r="CB528" s="51">
        <v>9.5000000000000001E-2</v>
      </c>
      <c r="CC528" s="51">
        <v>9.5818181818181816E-2</v>
      </c>
      <c r="CD528" s="51">
        <v>9.6636363636363631E-2</v>
      </c>
      <c r="CE528" s="51">
        <v>9.7454545454545446E-2</v>
      </c>
      <c r="CF528" s="51">
        <v>9.8272727272727262E-2</v>
      </c>
      <c r="CG528" s="51">
        <v>9.9090909090909091E-2</v>
      </c>
      <c r="CH528" s="51">
        <v>9.9909090909090906E-2</v>
      </c>
      <c r="CI528" s="51">
        <v>0.10072727272727272</v>
      </c>
      <c r="CJ528" s="51">
        <v>0.10154545454545455</v>
      </c>
      <c r="CK528" s="51">
        <v>0.10236363636363635</v>
      </c>
      <c r="CL528" s="51">
        <v>0.10318181818181818</v>
      </c>
      <c r="CM528" s="51">
        <v>0.104</v>
      </c>
    </row>
    <row r="529" spans="1:91" s="50" customFormat="1" x14ac:dyDescent="0.25">
      <c r="A529" s="9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c r="BS529" s="51"/>
      <c r="BT529" s="51"/>
      <c r="BU529" s="51"/>
      <c r="BV529" s="51"/>
      <c r="BW529" s="51"/>
      <c r="BX529" s="51"/>
      <c r="BY529" s="51"/>
      <c r="BZ529" s="51"/>
      <c r="CA529" s="51"/>
      <c r="CB529" s="51"/>
      <c r="CC529" s="51"/>
      <c r="CD529" s="51"/>
      <c r="CE529" s="51"/>
      <c r="CF529" s="51"/>
      <c r="CG529" s="51"/>
      <c r="CH529" s="51"/>
      <c r="CI529" s="51"/>
      <c r="CJ529" s="51"/>
      <c r="CK529" s="51"/>
      <c r="CL529" s="51"/>
      <c r="CM529" s="51"/>
    </row>
    <row r="530" spans="1:91" s="50" customFormat="1" x14ac:dyDescent="0.25">
      <c r="A530" s="99" t="s">
        <v>192</v>
      </c>
      <c r="B530" s="4">
        <v>0</v>
      </c>
      <c r="C530" s="4">
        <v>0</v>
      </c>
      <c r="D530" s="4">
        <v>0</v>
      </c>
      <c r="E530" s="4">
        <v>0</v>
      </c>
      <c r="F530" s="4">
        <v>0</v>
      </c>
      <c r="G530" s="4">
        <v>0</v>
      </c>
      <c r="H530" s="4">
        <v>0</v>
      </c>
      <c r="I530" s="4">
        <v>0</v>
      </c>
      <c r="J530" s="4">
        <v>0</v>
      </c>
      <c r="K530" s="4">
        <v>0</v>
      </c>
      <c r="L530" s="4">
        <v>0</v>
      </c>
      <c r="M530" s="4">
        <v>0</v>
      </c>
      <c r="N530" s="4">
        <v>0</v>
      </c>
      <c r="O530" s="4">
        <v>0</v>
      </c>
      <c r="P530" s="4">
        <v>0</v>
      </c>
      <c r="Q530" s="4">
        <v>0</v>
      </c>
      <c r="R530" s="4">
        <v>0</v>
      </c>
      <c r="S530" s="4">
        <v>0</v>
      </c>
      <c r="T530" s="4">
        <v>0</v>
      </c>
      <c r="U530" s="4">
        <v>0</v>
      </c>
      <c r="V530" s="4">
        <v>0</v>
      </c>
      <c r="W530" s="4">
        <v>0</v>
      </c>
      <c r="X530" s="4">
        <v>0</v>
      </c>
      <c r="Y530" s="4">
        <v>0</v>
      </c>
      <c r="Z530" s="4">
        <v>0</v>
      </c>
      <c r="AA530" s="4">
        <v>0</v>
      </c>
      <c r="AB530" s="4">
        <v>0</v>
      </c>
      <c r="AC530" s="4">
        <v>0</v>
      </c>
      <c r="AD530" s="4">
        <v>0</v>
      </c>
      <c r="AE530" s="4">
        <v>0</v>
      </c>
      <c r="AF530" s="51">
        <v>3.0288636363636368E-3</v>
      </c>
      <c r="AG530" s="51">
        <v>3.1022727272727278E-3</v>
      </c>
      <c r="AH530" s="51">
        <v>3.1756818181818188E-3</v>
      </c>
      <c r="AI530" s="51">
        <v>3.2490909090909098E-3</v>
      </c>
      <c r="AJ530" s="51">
        <v>3.3225000000000008E-3</v>
      </c>
      <c r="AK530" s="51">
        <v>3.3959090909090918E-3</v>
      </c>
      <c r="AL530" s="51">
        <v>3.4693181818181828E-3</v>
      </c>
      <c r="AM530" s="51">
        <v>3.5427272727272738E-3</v>
      </c>
      <c r="AN530" s="51">
        <v>3.6161363636363648E-3</v>
      </c>
      <c r="AO530" s="51">
        <v>3.6895454545454558E-3</v>
      </c>
      <c r="AP530" s="51">
        <v>3.7629545454545468E-3</v>
      </c>
      <c r="AQ530" s="51">
        <v>3.8363636363636378E-3</v>
      </c>
      <c r="AR530" s="51">
        <v>3.9097727272727287E-3</v>
      </c>
      <c r="AS530" s="51">
        <v>3.9831818181818197E-3</v>
      </c>
      <c r="AT530" s="51">
        <v>4.0565909090909107E-3</v>
      </c>
      <c r="AU530" s="51">
        <v>4.1300000000000009E-3</v>
      </c>
      <c r="AV530" s="51">
        <v>4.1579545454545463E-3</v>
      </c>
      <c r="AW530" s="51">
        <v>4.1859090909090917E-3</v>
      </c>
      <c r="AX530" s="51">
        <v>4.2138636363636371E-3</v>
      </c>
      <c r="AY530" s="51">
        <v>4.2418181818181825E-3</v>
      </c>
      <c r="AZ530" s="51">
        <v>4.269772727272728E-3</v>
      </c>
      <c r="BA530" s="51">
        <v>4.2977272727272734E-3</v>
      </c>
      <c r="BB530" s="51">
        <v>4.3256818181818188E-3</v>
      </c>
      <c r="BC530" s="51">
        <v>4.3536363636363642E-3</v>
      </c>
      <c r="BD530" s="51">
        <v>4.3815909090909096E-3</v>
      </c>
      <c r="BE530" s="51">
        <v>4.4095454545454551E-3</v>
      </c>
      <c r="BF530" s="51">
        <v>4.4375000000000005E-3</v>
      </c>
      <c r="BG530" s="51">
        <v>4.4654545454545459E-3</v>
      </c>
      <c r="BH530" s="51">
        <v>4.4934090909090913E-3</v>
      </c>
      <c r="BI530" s="51">
        <v>4.5213636363636367E-3</v>
      </c>
      <c r="BJ530" s="51">
        <v>4.5493181818181821E-3</v>
      </c>
      <c r="BK530" s="51">
        <v>4.5772727272727276E-3</v>
      </c>
      <c r="BL530" s="51">
        <v>4.605227272727273E-3</v>
      </c>
      <c r="BM530" s="51">
        <v>4.6331818181818184E-3</v>
      </c>
      <c r="BN530" s="51">
        <v>4.6611363636363638E-3</v>
      </c>
      <c r="BO530" s="51">
        <v>4.6890909090909101E-3</v>
      </c>
      <c r="BP530" s="51">
        <v>4.7170454545454547E-3</v>
      </c>
      <c r="BQ530" s="51">
        <v>4.745000000000001E-3</v>
      </c>
      <c r="BR530" s="51">
        <v>4.7729545454545455E-3</v>
      </c>
      <c r="BS530" s="51">
        <v>4.8009090909090918E-3</v>
      </c>
      <c r="BT530" s="51">
        <v>4.8288636363636372E-3</v>
      </c>
      <c r="BU530" s="51">
        <v>4.8568181818181826E-3</v>
      </c>
      <c r="BV530" s="51">
        <v>4.8847727272727281E-3</v>
      </c>
      <c r="BW530" s="51">
        <v>4.9127272727272735E-3</v>
      </c>
      <c r="BX530" s="51">
        <v>4.9406818181818189E-3</v>
      </c>
      <c r="BY530" s="51">
        <v>4.9686363636363643E-3</v>
      </c>
      <c r="BZ530" s="51">
        <v>4.9965909090909097E-3</v>
      </c>
      <c r="CA530" s="51">
        <v>5.0245454545454551E-3</v>
      </c>
      <c r="CB530" s="51">
        <v>5.0525000000000006E-3</v>
      </c>
      <c r="CC530" s="51">
        <v>5.080454545454546E-3</v>
      </c>
      <c r="CD530" s="51">
        <v>5.1084090909090914E-3</v>
      </c>
      <c r="CE530" s="51">
        <v>5.1363636363636368E-3</v>
      </c>
      <c r="CF530" s="51">
        <v>5.1643181818181822E-3</v>
      </c>
      <c r="CG530" s="51">
        <v>5.1922727272727277E-3</v>
      </c>
      <c r="CH530" s="51">
        <v>5.2202272727272731E-3</v>
      </c>
      <c r="CI530" s="51">
        <v>5.2481818181818185E-3</v>
      </c>
      <c r="CJ530" s="51">
        <v>5.2761363636363639E-3</v>
      </c>
      <c r="CK530" s="51">
        <v>5.3040909090909093E-3</v>
      </c>
      <c r="CL530" s="51">
        <v>5.3320454545454548E-3</v>
      </c>
      <c r="CM530" s="51">
        <v>5.3600000000000002E-3</v>
      </c>
    </row>
    <row r="531" spans="1:91" s="50" customFormat="1" x14ac:dyDescent="0.25">
      <c r="A531" s="9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c r="BS531" s="51"/>
      <c r="BT531" s="51"/>
      <c r="BU531" s="51"/>
      <c r="BV531" s="51"/>
      <c r="BW531" s="51"/>
      <c r="BX531" s="51"/>
      <c r="BY531" s="51"/>
      <c r="BZ531" s="51"/>
      <c r="CA531" s="51"/>
      <c r="CB531" s="51"/>
      <c r="CC531" s="51"/>
      <c r="CD531" s="51"/>
      <c r="CE531" s="51"/>
      <c r="CF531" s="51"/>
      <c r="CG531" s="51"/>
      <c r="CH531" s="51"/>
      <c r="CI531" s="51"/>
      <c r="CJ531" s="51"/>
      <c r="CK531" s="51"/>
      <c r="CL531" s="51"/>
      <c r="CM531" s="51"/>
    </row>
    <row r="532" spans="1:91" s="50" customFormat="1" x14ac:dyDescent="0.25">
      <c r="A532" s="99" t="s">
        <v>380</v>
      </c>
      <c r="B532" s="4">
        <v>0</v>
      </c>
      <c r="C532" s="4">
        <v>0</v>
      </c>
      <c r="D532" s="4">
        <v>0</v>
      </c>
      <c r="E532" s="4">
        <v>0</v>
      </c>
      <c r="F532" s="4">
        <v>0</v>
      </c>
      <c r="G532" s="4">
        <v>0</v>
      </c>
      <c r="H532" s="4">
        <v>0</v>
      </c>
      <c r="I532" s="4">
        <v>0</v>
      </c>
      <c r="J532" s="4">
        <v>0</v>
      </c>
      <c r="K532" s="4">
        <v>0</v>
      </c>
      <c r="L532" s="4">
        <v>0</v>
      </c>
      <c r="M532" s="4">
        <v>0</v>
      </c>
      <c r="N532" s="4">
        <v>0</v>
      </c>
      <c r="O532" s="4">
        <v>0</v>
      </c>
      <c r="P532" s="4">
        <v>0</v>
      </c>
      <c r="Q532" s="4">
        <v>0</v>
      </c>
      <c r="R532" s="4">
        <v>0</v>
      </c>
      <c r="S532" s="4">
        <v>0</v>
      </c>
      <c r="T532" s="4">
        <v>0</v>
      </c>
      <c r="U532" s="4">
        <v>0</v>
      </c>
      <c r="V532" s="4">
        <v>0</v>
      </c>
      <c r="W532" s="4">
        <v>0</v>
      </c>
      <c r="X532" s="4">
        <v>0</v>
      </c>
      <c r="Y532" s="4">
        <v>0</v>
      </c>
      <c r="Z532" s="4">
        <v>0</v>
      </c>
      <c r="AA532" s="4">
        <v>0</v>
      </c>
      <c r="AB532" s="4">
        <v>0</v>
      </c>
      <c r="AC532" s="4">
        <v>0</v>
      </c>
      <c r="AD532" s="4">
        <v>0</v>
      </c>
      <c r="AE532" s="4">
        <v>0</v>
      </c>
      <c r="AF532" s="51">
        <v>3.0288636363636368E-3</v>
      </c>
      <c r="AG532" s="51">
        <v>3.1022727272727278E-3</v>
      </c>
      <c r="AH532" s="51">
        <v>3.1756818181818188E-3</v>
      </c>
      <c r="AI532" s="51">
        <v>3.2490909090909098E-3</v>
      </c>
      <c r="AJ532" s="51">
        <v>3.3225000000000008E-3</v>
      </c>
      <c r="AK532" s="51">
        <v>3.3959090909090918E-3</v>
      </c>
      <c r="AL532" s="51">
        <v>3.4693181818181828E-3</v>
      </c>
      <c r="AM532" s="51">
        <v>3.5427272727272738E-3</v>
      </c>
      <c r="AN532" s="51">
        <v>3.6161363636363648E-3</v>
      </c>
      <c r="AO532" s="51">
        <v>3.6895454545454558E-3</v>
      </c>
      <c r="AP532" s="51">
        <v>3.7629545454545468E-3</v>
      </c>
      <c r="AQ532" s="51">
        <v>3.8363636363636378E-3</v>
      </c>
      <c r="AR532" s="51">
        <v>3.9097727272727287E-3</v>
      </c>
      <c r="AS532" s="51">
        <v>3.9831818181818197E-3</v>
      </c>
      <c r="AT532" s="51">
        <v>4.0565909090909107E-3</v>
      </c>
      <c r="AU532" s="51">
        <v>4.1300000000000009E-3</v>
      </c>
      <c r="AV532" s="51">
        <v>4.1579545454545463E-3</v>
      </c>
      <c r="AW532" s="51">
        <v>4.1859090909090917E-3</v>
      </c>
      <c r="AX532" s="51">
        <v>4.2138636363636371E-3</v>
      </c>
      <c r="AY532" s="51">
        <v>4.2418181818181825E-3</v>
      </c>
      <c r="AZ532" s="51">
        <v>4.269772727272728E-3</v>
      </c>
      <c r="BA532" s="51">
        <v>4.2977272727272734E-3</v>
      </c>
      <c r="BB532" s="51">
        <v>4.3256818181818188E-3</v>
      </c>
      <c r="BC532" s="51">
        <v>4.3536363636363642E-3</v>
      </c>
      <c r="BD532" s="51">
        <v>4.3815909090909096E-3</v>
      </c>
      <c r="BE532" s="51">
        <v>4.4095454545454551E-3</v>
      </c>
      <c r="BF532" s="51">
        <v>4.4375000000000005E-3</v>
      </c>
      <c r="BG532" s="51">
        <v>4.4654545454545459E-3</v>
      </c>
      <c r="BH532" s="51">
        <v>4.4934090909090913E-3</v>
      </c>
      <c r="BI532" s="51">
        <v>4.5213636363636367E-3</v>
      </c>
      <c r="BJ532" s="51">
        <v>4.5493181818181821E-3</v>
      </c>
      <c r="BK532" s="51">
        <v>4.5772727272727276E-3</v>
      </c>
      <c r="BL532" s="51">
        <v>4.605227272727273E-3</v>
      </c>
      <c r="BM532" s="51">
        <v>4.6331818181818184E-3</v>
      </c>
      <c r="BN532" s="51">
        <v>4.6611363636363638E-3</v>
      </c>
      <c r="BO532" s="51">
        <v>4.6890909090909101E-3</v>
      </c>
      <c r="BP532" s="51">
        <v>4.7170454545454547E-3</v>
      </c>
      <c r="BQ532" s="51">
        <v>4.745000000000001E-3</v>
      </c>
      <c r="BR532" s="51">
        <v>4.7729545454545455E-3</v>
      </c>
      <c r="BS532" s="51">
        <v>4.8009090909090918E-3</v>
      </c>
      <c r="BT532" s="51">
        <v>4.8288636363636372E-3</v>
      </c>
      <c r="BU532" s="51">
        <v>4.8568181818181826E-3</v>
      </c>
      <c r="BV532" s="51">
        <v>4.8847727272727281E-3</v>
      </c>
      <c r="BW532" s="51">
        <v>4.9127272727272735E-3</v>
      </c>
      <c r="BX532" s="51">
        <v>4.9406818181818189E-3</v>
      </c>
      <c r="BY532" s="51">
        <v>4.9686363636363643E-3</v>
      </c>
      <c r="BZ532" s="51">
        <v>4.9965909090909097E-3</v>
      </c>
      <c r="CA532" s="51">
        <v>5.0245454545454551E-3</v>
      </c>
      <c r="CB532" s="51">
        <v>5.0525000000000006E-3</v>
      </c>
      <c r="CC532" s="51">
        <v>5.080454545454546E-3</v>
      </c>
      <c r="CD532" s="51">
        <v>5.1084090909090914E-3</v>
      </c>
      <c r="CE532" s="51">
        <v>5.1363636363636368E-3</v>
      </c>
      <c r="CF532" s="51">
        <v>5.1643181818181822E-3</v>
      </c>
      <c r="CG532" s="51">
        <v>5.1922727272727277E-3</v>
      </c>
      <c r="CH532" s="51">
        <v>5.2202272727272731E-3</v>
      </c>
      <c r="CI532" s="51">
        <v>5.2481818181818185E-3</v>
      </c>
      <c r="CJ532" s="51">
        <v>5.2761363636363639E-3</v>
      </c>
      <c r="CK532" s="51">
        <v>5.3040909090909093E-3</v>
      </c>
      <c r="CL532" s="51">
        <v>5.3320454545454548E-3</v>
      </c>
      <c r="CM532" s="51">
        <v>5.3600000000000002E-3</v>
      </c>
    </row>
    <row r="533" spans="1:91" s="50" customFormat="1" x14ac:dyDescent="0.25">
      <c r="A533" s="9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c r="BS533" s="51"/>
      <c r="BT533" s="51"/>
      <c r="BU533" s="51"/>
      <c r="BV533" s="51"/>
      <c r="BW533" s="51"/>
      <c r="BX533" s="51"/>
      <c r="BY533" s="51"/>
      <c r="BZ533" s="51"/>
      <c r="CA533" s="51"/>
      <c r="CB533" s="51"/>
      <c r="CC533" s="51"/>
      <c r="CD533" s="51"/>
      <c r="CE533" s="51"/>
      <c r="CF533" s="51"/>
      <c r="CG533" s="51"/>
      <c r="CH533" s="51"/>
      <c r="CI533" s="51"/>
      <c r="CJ533" s="51"/>
      <c r="CK533" s="51"/>
      <c r="CL533" s="51"/>
      <c r="CM533" s="51"/>
    </row>
    <row r="534" spans="1:91" s="50" customFormat="1" x14ac:dyDescent="0.25">
      <c r="A534" s="99" t="s">
        <v>358</v>
      </c>
      <c r="B534" s="4">
        <v>0</v>
      </c>
      <c r="C534" s="4">
        <v>0</v>
      </c>
      <c r="D534" s="4">
        <v>0</v>
      </c>
      <c r="E534" s="4">
        <v>0</v>
      </c>
      <c r="F534" s="4">
        <v>0</v>
      </c>
      <c r="G534" s="4">
        <v>0</v>
      </c>
      <c r="H534" s="4">
        <v>0</v>
      </c>
      <c r="I534" s="4">
        <v>0</v>
      </c>
      <c r="J534" s="4">
        <v>0</v>
      </c>
      <c r="K534" s="4">
        <v>0</v>
      </c>
      <c r="L534" s="4">
        <v>0</v>
      </c>
      <c r="M534" s="4">
        <v>0</v>
      </c>
      <c r="N534" s="4">
        <v>0</v>
      </c>
      <c r="O534" s="4">
        <v>0</v>
      </c>
      <c r="P534" s="4">
        <v>0</v>
      </c>
      <c r="Q534" s="4">
        <v>0</v>
      </c>
      <c r="R534" s="4">
        <v>0</v>
      </c>
      <c r="S534" s="4">
        <v>0</v>
      </c>
      <c r="T534" s="4">
        <v>0</v>
      </c>
      <c r="U534" s="4">
        <v>0</v>
      </c>
      <c r="V534" s="4">
        <v>0</v>
      </c>
      <c r="W534" s="4">
        <v>0</v>
      </c>
      <c r="X534" s="4">
        <v>0</v>
      </c>
      <c r="Y534" s="4">
        <v>0</v>
      </c>
      <c r="Z534" s="4">
        <v>0</v>
      </c>
      <c r="AA534" s="4">
        <v>0</v>
      </c>
      <c r="AB534" s="4">
        <v>0</v>
      </c>
      <c r="AC534" s="4">
        <v>0</v>
      </c>
      <c r="AD534" s="4">
        <v>0</v>
      </c>
      <c r="AE534" s="4">
        <v>0</v>
      </c>
      <c r="AF534" s="51">
        <v>8.6618671127481966E-4</v>
      </c>
      <c r="AG534" s="51">
        <v>8.7332065560907562E-4</v>
      </c>
      <c r="AH534" s="51">
        <v>8.8045459994333169E-4</v>
      </c>
      <c r="AI534" s="51">
        <v>8.8758854427758765E-4</v>
      </c>
      <c r="AJ534" s="51">
        <v>8.9472248861184372E-4</v>
      </c>
      <c r="AK534" s="51">
        <v>9.0185643294609969E-4</v>
      </c>
      <c r="AL534" s="51">
        <v>9.0899037728035576E-4</v>
      </c>
      <c r="AM534" s="51">
        <v>9.1612432161461172E-4</v>
      </c>
      <c r="AN534" s="51">
        <v>9.2325826594886768E-4</v>
      </c>
      <c r="AO534" s="51">
        <v>9.3039221028312375E-4</v>
      </c>
      <c r="AP534" s="51">
        <v>9.3752615461737982E-4</v>
      </c>
      <c r="AQ534" s="51">
        <v>9.4466009895163578E-4</v>
      </c>
      <c r="AR534" s="51">
        <v>9.5179404328589175E-4</v>
      </c>
      <c r="AS534" s="51">
        <v>9.5892798762014782E-4</v>
      </c>
      <c r="AT534" s="51">
        <v>9.6606193195440389E-4</v>
      </c>
      <c r="AU534" s="51">
        <v>9.7319587628865985E-4</v>
      </c>
      <c r="AV534" s="51">
        <v>9.9072164948453621E-4</v>
      </c>
      <c r="AW534" s="51">
        <v>1.0082474226804125E-3</v>
      </c>
      <c r="AX534" s="51">
        <v>1.0257731958762887E-3</v>
      </c>
      <c r="AY534" s="51">
        <v>1.043298969072165E-3</v>
      </c>
      <c r="AZ534" s="51">
        <v>1.0608247422680412E-3</v>
      </c>
      <c r="BA534" s="51">
        <v>1.0783505154639175E-3</v>
      </c>
      <c r="BB534" s="51">
        <v>1.095876288659794E-3</v>
      </c>
      <c r="BC534" s="51">
        <v>1.1134020618556702E-3</v>
      </c>
      <c r="BD534" s="51">
        <v>1.1309278350515465E-3</v>
      </c>
      <c r="BE534" s="51">
        <v>1.1484536082474227E-3</v>
      </c>
      <c r="BF534" s="51">
        <v>1.165979381443299E-3</v>
      </c>
      <c r="BG534" s="51">
        <v>1.1835051546391752E-3</v>
      </c>
      <c r="BH534" s="51">
        <v>1.2010309278350515E-3</v>
      </c>
      <c r="BI534" s="51">
        <v>1.2185567010309277E-3</v>
      </c>
      <c r="BJ534" s="51">
        <v>1.236082474226804E-3</v>
      </c>
      <c r="BK534" s="51">
        <v>1.2536082474226805E-3</v>
      </c>
      <c r="BL534" s="51">
        <v>1.2711340206185567E-3</v>
      </c>
      <c r="BM534" s="51">
        <v>1.288659793814433E-3</v>
      </c>
      <c r="BN534" s="51">
        <v>1.3061855670103092E-3</v>
      </c>
      <c r="BO534" s="51">
        <v>1.3237113402061855E-3</v>
      </c>
      <c r="BP534" s="51">
        <v>1.3412371134020619E-3</v>
      </c>
      <c r="BQ534" s="51">
        <v>1.3587628865979382E-3</v>
      </c>
      <c r="BR534" s="51">
        <v>1.3762886597938145E-3</v>
      </c>
      <c r="BS534" s="51">
        <v>1.3938144329896907E-3</v>
      </c>
      <c r="BT534" s="51">
        <v>1.411340206185567E-3</v>
      </c>
      <c r="BU534" s="51">
        <v>1.4288659793814432E-3</v>
      </c>
      <c r="BV534" s="51">
        <v>1.4463917525773195E-3</v>
      </c>
      <c r="BW534" s="51">
        <v>1.4639175257731957E-3</v>
      </c>
      <c r="BX534" s="51">
        <v>1.481443298969072E-3</v>
      </c>
      <c r="BY534" s="51">
        <v>1.4989690721649482E-3</v>
      </c>
      <c r="BZ534" s="51">
        <v>1.5164948453608247E-3</v>
      </c>
      <c r="CA534" s="51">
        <v>1.534020618556701E-3</v>
      </c>
      <c r="CB534" s="51">
        <v>1.5515463917525772E-3</v>
      </c>
      <c r="CC534" s="51">
        <v>1.5690721649484537E-3</v>
      </c>
      <c r="CD534" s="51">
        <v>1.5865979381443299E-3</v>
      </c>
      <c r="CE534" s="51">
        <v>1.6041237113402062E-3</v>
      </c>
      <c r="CF534" s="51">
        <v>1.6216494845360824E-3</v>
      </c>
      <c r="CG534" s="51">
        <v>1.6391752577319587E-3</v>
      </c>
      <c r="CH534" s="51">
        <v>1.656701030927835E-3</v>
      </c>
      <c r="CI534" s="51">
        <v>1.6742268041237112E-3</v>
      </c>
      <c r="CJ534" s="51">
        <v>1.6917525773195875E-3</v>
      </c>
      <c r="CK534" s="51">
        <v>1.7092783505154637E-3</v>
      </c>
      <c r="CL534" s="51">
        <v>1.72680412371134E-3</v>
      </c>
      <c r="CM534" s="51">
        <v>1.7443298969072164E-3</v>
      </c>
    </row>
    <row r="535" spans="1:91" s="50" customFormat="1" x14ac:dyDescent="0.25">
      <c r="A535" s="9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c r="BS535" s="51"/>
      <c r="BT535" s="51"/>
      <c r="BU535" s="51"/>
      <c r="BV535" s="51"/>
      <c r="BW535" s="51"/>
      <c r="BX535" s="51"/>
      <c r="BY535" s="51"/>
      <c r="BZ535" s="51"/>
      <c r="CA535" s="51"/>
      <c r="CB535" s="51"/>
      <c r="CC535" s="51"/>
      <c r="CD535" s="51"/>
      <c r="CE535" s="51"/>
      <c r="CF535" s="51"/>
      <c r="CG535" s="51"/>
      <c r="CH535" s="51"/>
      <c r="CI535" s="51"/>
      <c r="CJ535" s="51"/>
      <c r="CK535" s="51"/>
      <c r="CL535" s="51"/>
      <c r="CM535" s="51"/>
    </row>
    <row r="536" spans="1:91" s="50" customFormat="1" x14ac:dyDescent="0.25">
      <c r="A536" s="99" t="s">
        <v>377</v>
      </c>
      <c r="B536" s="4">
        <v>0</v>
      </c>
      <c r="C536" s="4">
        <v>0</v>
      </c>
      <c r="D536" s="4">
        <v>0</v>
      </c>
      <c r="E536" s="4">
        <v>0</v>
      </c>
      <c r="F536" s="4">
        <v>0</v>
      </c>
      <c r="G536" s="4">
        <v>0</v>
      </c>
      <c r="H536" s="4">
        <v>0</v>
      </c>
      <c r="I536" s="4">
        <v>0</v>
      </c>
      <c r="J536" s="4">
        <v>0</v>
      </c>
      <c r="K536" s="4">
        <v>0</v>
      </c>
      <c r="L536" s="4">
        <v>0</v>
      </c>
      <c r="M536" s="4">
        <v>0</v>
      </c>
      <c r="N536" s="4">
        <v>0</v>
      </c>
      <c r="O536" s="4">
        <v>0</v>
      </c>
      <c r="P536" s="4">
        <v>0</v>
      </c>
      <c r="Q536" s="4">
        <v>0</v>
      </c>
      <c r="R536" s="4">
        <v>0</v>
      </c>
      <c r="S536" s="4">
        <v>0</v>
      </c>
      <c r="T536" s="4">
        <v>0</v>
      </c>
      <c r="U536" s="4">
        <v>0</v>
      </c>
      <c r="V536" s="4">
        <v>0</v>
      </c>
      <c r="W536" s="4">
        <v>0</v>
      </c>
      <c r="X536" s="4">
        <v>0</v>
      </c>
      <c r="Y536" s="4">
        <v>0</v>
      </c>
      <c r="Z536" s="4">
        <v>0</v>
      </c>
      <c r="AA536" s="4">
        <v>0</v>
      </c>
      <c r="AB536" s="4">
        <v>0</v>
      </c>
      <c r="AC536" s="4">
        <v>0</v>
      </c>
      <c r="AD536" s="4">
        <v>0</v>
      </c>
      <c r="AE536" s="4">
        <v>0</v>
      </c>
      <c r="AF536" s="51">
        <v>8.6618671127481966E-4</v>
      </c>
      <c r="AG536" s="51">
        <v>8.7332065560907562E-4</v>
      </c>
      <c r="AH536" s="51">
        <v>8.8045459994333169E-4</v>
      </c>
      <c r="AI536" s="51">
        <v>8.8758854427758765E-4</v>
      </c>
      <c r="AJ536" s="51">
        <v>8.9472248861184372E-4</v>
      </c>
      <c r="AK536" s="51">
        <v>9.0185643294609969E-4</v>
      </c>
      <c r="AL536" s="51">
        <v>9.0899037728035576E-4</v>
      </c>
      <c r="AM536" s="51">
        <v>9.1612432161461172E-4</v>
      </c>
      <c r="AN536" s="51">
        <v>9.2325826594886768E-4</v>
      </c>
      <c r="AO536" s="51">
        <v>9.3039221028312375E-4</v>
      </c>
      <c r="AP536" s="51">
        <v>9.3752615461737982E-4</v>
      </c>
      <c r="AQ536" s="51">
        <v>9.4466009895163578E-4</v>
      </c>
      <c r="AR536" s="51">
        <v>9.5179404328589175E-4</v>
      </c>
      <c r="AS536" s="51">
        <v>9.5892798762014782E-4</v>
      </c>
      <c r="AT536" s="51">
        <v>9.6606193195440389E-4</v>
      </c>
      <c r="AU536" s="51">
        <v>9.7319587628865985E-4</v>
      </c>
      <c r="AV536" s="51">
        <v>9.9072164948453621E-4</v>
      </c>
      <c r="AW536" s="51">
        <v>1.0082474226804125E-3</v>
      </c>
      <c r="AX536" s="51">
        <v>1.0257731958762887E-3</v>
      </c>
      <c r="AY536" s="51">
        <v>1.043298969072165E-3</v>
      </c>
      <c r="AZ536" s="51">
        <v>1.0608247422680412E-3</v>
      </c>
      <c r="BA536" s="51">
        <v>1.0783505154639175E-3</v>
      </c>
      <c r="BB536" s="51">
        <v>1.095876288659794E-3</v>
      </c>
      <c r="BC536" s="51">
        <v>1.1134020618556702E-3</v>
      </c>
      <c r="BD536" s="51">
        <v>1.1309278350515465E-3</v>
      </c>
      <c r="BE536" s="51">
        <v>1.1484536082474227E-3</v>
      </c>
      <c r="BF536" s="51">
        <v>1.165979381443299E-3</v>
      </c>
      <c r="BG536" s="51">
        <v>1.1835051546391752E-3</v>
      </c>
      <c r="BH536" s="51">
        <v>1.2010309278350515E-3</v>
      </c>
      <c r="BI536" s="51">
        <v>1.2185567010309277E-3</v>
      </c>
      <c r="BJ536" s="51">
        <v>1.236082474226804E-3</v>
      </c>
      <c r="BK536" s="51">
        <v>1.2536082474226805E-3</v>
      </c>
      <c r="BL536" s="51">
        <v>1.2711340206185567E-3</v>
      </c>
      <c r="BM536" s="51">
        <v>1.288659793814433E-3</v>
      </c>
      <c r="BN536" s="51">
        <v>1.3061855670103092E-3</v>
      </c>
      <c r="BO536" s="51">
        <v>1.3237113402061855E-3</v>
      </c>
      <c r="BP536" s="51">
        <v>1.3412371134020619E-3</v>
      </c>
      <c r="BQ536" s="51">
        <v>1.3587628865979382E-3</v>
      </c>
      <c r="BR536" s="51">
        <v>1.3762886597938145E-3</v>
      </c>
      <c r="BS536" s="51">
        <v>1.3938144329896907E-3</v>
      </c>
      <c r="BT536" s="51">
        <v>1.411340206185567E-3</v>
      </c>
      <c r="BU536" s="51">
        <v>1.4288659793814432E-3</v>
      </c>
      <c r="BV536" s="51">
        <v>1.4463917525773195E-3</v>
      </c>
      <c r="BW536" s="51">
        <v>1.4639175257731957E-3</v>
      </c>
      <c r="BX536" s="51">
        <v>1.481443298969072E-3</v>
      </c>
      <c r="BY536" s="51">
        <v>1.4989690721649482E-3</v>
      </c>
      <c r="BZ536" s="51">
        <v>1.5164948453608247E-3</v>
      </c>
      <c r="CA536" s="51">
        <v>1.534020618556701E-3</v>
      </c>
      <c r="CB536" s="51">
        <v>1.5515463917525772E-3</v>
      </c>
      <c r="CC536" s="51">
        <v>1.5690721649484537E-3</v>
      </c>
      <c r="CD536" s="51">
        <v>1.5865979381443299E-3</v>
      </c>
      <c r="CE536" s="51">
        <v>1.6041237113402062E-3</v>
      </c>
      <c r="CF536" s="51">
        <v>1.6216494845360824E-3</v>
      </c>
      <c r="CG536" s="51">
        <v>1.6391752577319587E-3</v>
      </c>
      <c r="CH536" s="51">
        <v>1.656701030927835E-3</v>
      </c>
      <c r="CI536" s="51">
        <v>1.6742268041237112E-3</v>
      </c>
      <c r="CJ536" s="51">
        <v>1.6917525773195875E-3</v>
      </c>
      <c r="CK536" s="51">
        <v>1.7092783505154637E-3</v>
      </c>
      <c r="CL536" s="51">
        <v>1.72680412371134E-3</v>
      </c>
      <c r="CM536" s="51">
        <v>1.7443298969072164E-3</v>
      </c>
    </row>
    <row r="537" spans="1:91" s="50" customFormat="1" x14ac:dyDescent="0.25">
      <c r="A537" s="9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c r="BS537" s="51"/>
      <c r="BT537" s="51"/>
      <c r="BU537" s="51"/>
      <c r="BV537" s="51"/>
      <c r="BW537" s="51"/>
      <c r="BX537" s="51"/>
      <c r="BY537" s="51"/>
      <c r="BZ537" s="51"/>
      <c r="CA537" s="51"/>
      <c r="CB537" s="51"/>
      <c r="CC537" s="51"/>
      <c r="CD537" s="51"/>
      <c r="CE537" s="51"/>
      <c r="CF537" s="51"/>
      <c r="CG537" s="51"/>
      <c r="CH537" s="51"/>
      <c r="CI537" s="51"/>
      <c r="CJ537" s="51"/>
      <c r="CK537" s="51"/>
      <c r="CL537" s="51"/>
      <c r="CM537" s="51"/>
    </row>
    <row r="538" spans="1:91" s="50" customFormat="1" x14ac:dyDescent="0.25">
      <c r="A538" s="99" t="s">
        <v>193</v>
      </c>
      <c r="B538" s="4">
        <v>0</v>
      </c>
      <c r="C538" s="4">
        <v>0</v>
      </c>
      <c r="D538" s="4">
        <v>0</v>
      </c>
      <c r="E538" s="4">
        <v>0</v>
      </c>
      <c r="F538" s="4">
        <v>0</v>
      </c>
      <c r="G538" s="4">
        <v>0</v>
      </c>
      <c r="H538" s="4">
        <v>0</v>
      </c>
      <c r="I538" s="4">
        <v>0</v>
      </c>
      <c r="J538" s="4">
        <v>0</v>
      </c>
      <c r="K538" s="4">
        <v>0</v>
      </c>
      <c r="L538" s="4">
        <v>0</v>
      </c>
      <c r="M538" s="4">
        <v>0</v>
      </c>
      <c r="N538" s="4">
        <v>0</v>
      </c>
      <c r="O538" s="4">
        <v>0</v>
      </c>
      <c r="P538" s="4">
        <v>0</v>
      </c>
      <c r="Q538" s="4">
        <v>0</v>
      </c>
      <c r="R538" s="4">
        <v>0</v>
      </c>
      <c r="S538" s="4">
        <v>0</v>
      </c>
      <c r="T538" s="4">
        <v>0</v>
      </c>
      <c r="U538" s="4">
        <v>0</v>
      </c>
      <c r="V538" s="4">
        <v>0</v>
      </c>
      <c r="W538" s="4">
        <v>0</v>
      </c>
      <c r="X538" s="4">
        <v>0</v>
      </c>
      <c r="Y538" s="4">
        <v>0</v>
      </c>
      <c r="Z538" s="4">
        <v>0</v>
      </c>
      <c r="AA538" s="4">
        <v>0</v>
      </c>
      <c r="AB538" s="4">
        <v>0</v>
      </c>
      <c r="AC538" s="4">
        <v>0</v>
      </c>
      <c r="AD538" s="4">
        <v>0</v>
      </c>
      <c r="AE538" s="4">
        <v>0</v>
      </c>
      <c r="AF538" s="51">
        <v>2.8586557155908612E-3</v>
      </c>
      <c r="AG538" s="51">
        <v>2.909963886131464E-3</v>
      </c>
      <c r="AH538" s="51">
        <v>2.9612720566720677E-3</v>
      </c>
      <c r="AI538" s="51">
        <v>3.0125802272126705E-3</v>
      </c>
      <c r="AJ538" s="51">
        <v>3.0638883977532742E-3</v>
      </c>
      <c r="AK538" s="51">
        <v>3.1151965682938766E-3</v>
      </c>
      <c r="AL538" s="51">
        <v>3.1665047388344802E-3</v>
      </c>
      <c r="AM538" s="51">
        <v>3.2178129093750835E-3</v>
      </c>
      <c r="AN538" s="51">
        <v>3.2691210799156863E-3</v>
      </c>
      <c r="AO538" s="51">
        <v>3.3204292504562887E-3</v>
      </c>
      <c r="AP538" s="51">
        <v>3.3717374209968911E-3</v>
      </c>
      <c r="AQ538" s="51">
        <v>3.4230455915374956E-3</v>
      </c>
      <c r="AR538" s="51">
        <v>3.474353762078098E-3</v>
      </c>
      <c r="AS538" s="51">
        <v>3.5256619326187004E-3</v>
      </c>
      <c r="AT538" s="51">
        <v>3.5769701031593041E-3</v>
      </c>
      <c r="AU538" s="51">
        <v>3.6282782736999073E-3</v>
      </c>
      <c r="AV538" s="51">
        <v>3.6601435786098075E-3</v>
      </c>
      <c r="AW538" s="51">
        <v>3.6920088835197063E-3</v>
      </c>
      <c r="AX538" s="51">
        <v>3.7238741884296055E-3</v>
      </c>
      <c r="AY538" s="51">
        <v>3.7557394933395052E-3</v>
      </c>
      <c r="AZ538" s="51">
        <v>3.7876047982494045E-3</v>
      </c>
      <c r="BA538" s="51">
        <v>3.8194701031593042E-3</v>
      </c>
      <c r="BB538" s="51">
        <v>3.8513354080692043E-3</v>
      </c>
      <c r="BC538" s="51">
        <v>3.8832007129791031E-3</v>
      </c>
      <c r="BD538" s="51">
        <v>3.9150660178890037E-3</v>
      </c>
      <c r="BE538" s="51">
        <v>3.9469313227989029E-3</v>
      </c>
      <c r="BF538" s="51">
        <v>3.9787966277088022E-3</v>
      </c>
      <c r="BG538" s="51">
        <v>4.0106619326187015E-3</v>
      </c>
      <c r="BH538" s="51">
        <v>4.0425272375286016E-3</v>
      </c>
      <c r="BI538" s="51">
        <v>4.0743925424385008E-3</v>
      </c>
      <c r="BJ538" s="51">
        <v>4.1062578473483992E-3</v>
      </c>
      <c r="BK538" s="51">
        <v>4.1381231522582993E-3</v>
      </c>
      <c r="BL538" s="51">
        <v>4.1699884571681986E-3</v>
      </c>
      <c r="BM538" s="51">
        <v>4.2018537620780979E-3</v>
      </c>
      <c r="BN538" s="51">
        <v>4.233719066987998E-3</v>
      </c>
      <c r="BO538" s="51">
        <v>4.2655843718978972E-3</v>
      </c>
      <c r="BP538" s="51">
        <v>4.2974496768077956E-3</v>
      </c>
      <c r="BQ538" s="51">
        <v>4.3293149817176958E-3</v>
      </c>
      <c r="BR538" s="51">
        <v>4.3611802866275959E-3</v>
      </c>
      <c r="BS538" s="51">
        <v>4.3930455915374969E-3</v>
      </c>
      <c r="BT538" s="51">
        <v>4.4249108964473944E-3</v>
      </c>
      <c r="BU538" s="51">
        <v>4.4567762013572945E-3</v>
      </c>
      <c r="BV538" s="51">
        <v>4.4886415062671938E-3</v>
      </c>
      <c r="BW538" s="51">
        <v>4.520506811177093E-3</v>
      </c>
      <c r="BX538" s="51">
        <v>4.5523721160869923E-3</v>
      </c>
      <c r="BY538" s="51">
        <v>4.5842374209968924E-3</v>
      </c>
      <c r="BZ538" s="51">
        <v>4.6161027259067908E-3</v>
      </c>
      <c r="CA538" s="51">
        <v>4.6479680308166918E-3</v>
      </c>
      <c r="CB538" s="51">
        <v>4.6798333357265902E-3</v>
      </c>
      <c r="CC538" s="51">
        <v>4.7116986406364903E-3</v>
      </c>
      <c r="CD538" s="51">
        <v>4.7435639455463896E-3</v>
      </c>
      <c r="CE538" s="51">
        <v>4.7754292504562897E-3</v>
      </c>
      <c r="CF538" s="51">
        <v>4.8072945553661881E-3</v>
      </c>
      <c r="CG538" s="51">
        <v>4.8391598602760891E-3</v>
      </c>
      <c r="CH538" s="51">
        <v>4.8710251651859866E-3</v>
      </c>
      <c r="CI538" s="51">
        <v>4.9028904700958876E-3</v>
      </c>
      <c r="CJ538" s="51">
        <v>4.9347557750057851E-3</v>
      </c>
      <c r="CK538" s="51">
        <v>4.9666210799156861E-3</v>
      </c>
      <c r="CL538" s="51">
        <v>4.9984863848255862E-3</v>
      </c>
      <c r="CM538" s="51">
        <v>5.0303516897354846E-3</v>
      </c>
    </row>
    <row r="539" spans="1:91" s="50" customFormat="1" x14ac:dyDescent="0.25">
      <c r="A539" s="99" t="s">
        <v>1</v>
      </c>
      <c r="B539" s="4">
        <v>0</v>
      </c>
      <c r="C539" s="4">
        <v>0</v>
      </c>
      <c r="D539" s="4">
        <v>0</v>
      </c>
      <c r="E539" s="4">
        <v>0</v>
      </c>
      <c r="F539" s="4">
        <v>0</v>
      </c>
      <c r="G539" s="4">
        <v>0</v>
      </c>
      <c r="H539" s="4">
        <v>0</v>
      </c>
      <c r="I539" s="4">
        <v>0</v>
      </c>
      <c r="J539" s="4">
        <v>0</v>
      </c>
      <c r="K539" s="4">
        <v>0</v>
      </c>
      <c r="L539" s="4">
        <v>0</v>
      </c>
      <c r="M539" s="4">
        <v>0</v>
      </c>
      <c r="N539" s="4">
        <v>0</v>
      </c>
      <c r="O539" s="4">
        <v>0</v>
      </c>
      <c r="P539" s="4">
        <v>0</v>
      </c>
      <c r="Q539" s="4">
        <v>0</v>
      </c>
      <c r="R539" s="4">
        <v>0</v>
      </c>
      <c r="S539" s="4">
        <v>0</v>
      </c>
      <c r="T539" s="4">
        <v>0</v>
      </c>
      <c r="U539" s="4">
        <v>0</v>
      </c>
      <c r="V539" s="4">
        <v>0</v>
      </c>
      <c r="W539" s="4">
        <v>0</v>
      </c>
      <c r="X539" s="4">
        <v>0</v>
      </c>
      <c r="Y539" s="4">
        <v>0</v>
      </c>
      <c r="Z539" s="4">
        <v>0</v>
      </c>
      <c r="AA539" s="4">
        <v>0</v>
      </c>
      <c r="AB539" s="4">
        <v>0</v>
      </c>
      <c r="AC539" s="4">
        <v>0</v>
      </c>
      <c r="AD539" s="4">
        <v>0</v>
      </c>
      <c r="AE539" s="4">
        <v>0</v>
      </c>
      <c r="AF539" s="51">
        <v>2.21991625074704E-3</v>
      </c>
      <c r="AG539" s="51">
        <v>2.2566263371078163E-3</v>
      </c>
      <c r="AH539" s="51">
        <v>2.2933364234685931E-3</v>
      </c>
      <c r="AI539" s="51">
        <v>2.3300465098293689E-3</v>
      </c>
      <c r="AJ539" s="51">
        <v>2.3667565961901457E-3</v>
      </c>
      <c r="AK539" s="51">
        <v>2.403466682550922E-3</v>
      </c>
      <c r="AL539" s="51">
        <v>2.4401767689116983E-3</v>
      </c>
      <c r="AM539" s="51">
        <v>2.4768868552724754E-3</v>
      </c>
      <c r="AN539" s="51">
        <v>2.5135969416332517E-3</v>
      </c>
      <c r="AO539" s="51">
        <v>2.5503070279940276E-3</v>
      </c>
      <c r="AP539" s="51">
        <v>2.5870171143548043E-3</v>
      </c>
      <c r="AQ539" s="51">
        <v>2.6237272007155811E-3</v>
      </c>
      <c r="AR539" s="51">
        <v>2.6604372870763569E-3</v>
      </c>
      <c r="AS539" s="51">
        <v>2.6971473734371336E-3</v>
      </c>
      <c r="AT539" s="51">
        <v>2.7338574597979095E-3</v>
      </c>
      <c r="AU539" s="51">
        <v>2.7705675461586858E-3</v>
      </c>
      <c r="AV539" s="51">
        <v>2.7941732069956472E-3</v>
      </c>
      <c r="AW539" s="51">
        <v>2.8177788678326082E-3</v>
      </c>
      <c r="AX539" s="51">
        <v>2.8413845286695688E-3</v>
      </c>
      <c r="AY539" s="51">
        <v>2.8649901895065294E-3</v>
      </c>
      <c r="AZ539" s="51">
        <v>2.8885958503434904E-3</v>
      </c>
      <c r="BA539" s="51">
        <v>2.9122015111804514E-3</v>
      </c>
      <c r="BB539" s="51">
        <v>2.9358071720174115E-3</v>
      </c>
      <c r="BC539" s="51">
        <v>2.9594128328543738E-3</v>
      </c>
      <c r="BD539" s="51">
        <v>2.9830184936913344E-3</v>
      </c>
      <c r="BE539" s="51">
        <v>3.0066241545282949E-3</v>
      </c>
      <c r="BF539" s="51">
        <v>3.030229815365256E-3</v>
      </c>
      <c r="BG539" s="51">
        <v>3.0538354762022174E-3</v>
      </c>
      <c r="BH539" s="51">
        <v>3.0774411370391771E-3</v>
      </c>
      <c r="BI539" s="51">
        <v>3.1010467978761381E-3</v>
      </c>
      <c r="BJ539" s="51">
        <v>3.1246524587130987E-3</v>
      </c>
      <c r="BK539" s="51">
        <v>3.1482581195500597E-3</v>
      </c>
      <c r="BL539" s="51">
        <v>3.1718637803870211E-3</v>
      </c>
      <c r="BM539" s="51">
        <v>3.1954694412239821E-3</v>
      </c>
      <c r="BN539" s="51">
        <v>3.2190751020609435E-3</v>
      </c>
      <c r="BO539" s="51">
        <v>3.2426807628979037E-3</v>
      </c>
      <c r="BP539" s="51">
        <v>3.2662864237348651E-3</v>
      </c>
      <c r="BQ539" s="51">
        <v>3.2898920845718252E-3</v>
      </c>
      <c r="BR539" s="51">
        <v>3.3134977454087858E-3</v>
      </c>
      <c r="BS539" s="51">
        <v>3.3371034062457468E-3</v>
      </c>
      <c r="BT539" s="51">
        <v>3.3607090670827078E-3</v>
      </c>
      <c r="BU539" s="51">
        <v>3.3843147279196684E-3</v>
      </c>
      <c r="BV539" s="51">
        <v>3.4079203887566302E-3</v>
      </c>
      <c r="BW539" s="51">
        <v>3.4315260495935899E-3</v>
      </c>
      <c r="BX539" s="51">
        <v>3.4551317104305514E-3</v>
      </c>
      <c r="BY539" s="51">
        <v>3.4787373712675128E-3</v>
      </c>
      <c r="BZ539" s="51">
        <v>3.5023430321044729E-3</v>
      </c>
      <c r="CA539" s="51">
        <v>3.5259486929414339E-3</v>
      </c>
      <c r="CB539" s="51">
        <v>3.5495543537783945E-3</v>
      </c>
      <c r="CC539" s="51">
        <v>3.5731600146153551E-3</v>
      </c>
      <c r="CD539" s="51">
        <v>3.5967656754523165E-3</v>
      </c>
      <c r="CE539" s="51">
        <v>3.6203713362892771E-3</v>
      </c>
      <c r="CF539" s="51">
        <v>3.6439769971262381E-3</v>
      </c>
      <c r="CG539" s="51">
        <v>3.6675826579631995E-3</v>
      </c>
      <c r="CH539" s="51">
        <v>3.6911883188001609E-3</v>
      </c>
      <c r="CI539" s="51">
        <v>3.7147939796371206E-3</v>
      </c>
      <c r="CJ539" s="51">
        <v>3.7383996404740821E-3</v>
      </c>
      <c r="CK539" s="51">
        <v>3.7620053013110422E-3</v>
      </c>
      <c r="CL539" s="51">
        <v>3.7856109621480032E-3</v>
      </c>
      <c r="CM539" s="51">
        <v>3.8092166229849646E-3</v>
      </c>
    </row>
    <row r="540" spans="1:91" s="50" customFormat="1" x14ac:dyDescent="0.25">
      <c r="A540" s="99" t="s">
        <v>1</v>
      </c>
      <c r="B540" s="4">
        <v>0</v>
      </c>
      <c r="C540" s="4">
        <v>0</v>
      </c>
      <c r="D540" s="4">
        <v>0</v>
      </c>
      <c r="E540" s="4">
        <v>0</v>
      </c>
      <c r="F540" s="4">
        <v>0</v>
      </c>
      <c r="G540" s="4">
        <v>0</v>
      </c>
      <c r="H540" s="4">
        <v>0</v>
      </c>
      <c r="I540" s="4">
        <v>0</v>
      </c>
      <c r="J540" s="4">
        <v>0</v>
      </c>
      <c r="K540" s="4">
        <v>0</v>
      </c>
      <c r="L540" s="4">
        <v>0</v>
      </c>
      <c r="M540" s="4">
        <v>0</v>
      </c>
      <c r="N540" s="4">
        <v>0</v>
      </c>
      <c r="O540" s="4">
        <v>0</v>
      </c>
      <c r="P540" s="4">
        <v>0</v>
      </c>
      <c r="Q540" s="4">
        <v>0</v>
      </c>
      <c r="R540" s="4">
        <v>0</v>
      </c>
      <c r="S540" s="4">
        <v>0</v>
      </c>
      <c r="T540" s="4">
        <v>0</v>
      </c>
      <c r="U540" s="4">
        <v>0</v>
      </c>
      <c r="V540" s="4">
        <v>0</v>
      </c>
      <c r="W540" s="4">
        <v>0</v>
      </c>
      <c r="X540" s="4">
        <v>0</v>
      </c>
      <c r="Y540" s="4">
        <v>0</v>
      </c>
      <c r="Z540" s="4">
        <v>0</v>
      </c>
      <c r="AA540" s="4">
        <v>0</v>
      </c>
      <c r="AB540" s="4">
        <v>0</v>
      </c>
      <c r="AC540" s="4">
        <v>0</v>
      </c>
      <c r="AD540" s="4">
        <v>0</v>
      </c>
      <c r="AE540" s="4">
        <v>0</v>
      </c>
      <c r="AF540" s="51">
        <v>3.2695631189309741E-3</v>
      </c>
      <c r="AG540" s="51">
        <v>3.3190680876783053E-3</v>
      </c>
      <c r="AH540" s="51">
        <v>3.3685730564256351E-3</v>
      </c>
      <c r="AI540" s="51">
        <v>3.4180780251729654E-3</v>
      </c>
      <c r="AJ540" s="51">
        <v>3.4675829939202975E-3</v>
      </c>
      <c r="AK540" s="51">
        <v>3.5170879626676278E-3</v>
      </c>
      <c r="AL540" s="51">
        <v>3.566592931414959E-3</v>
      </c>
      <c r="AM540" s="51">
        <v>3.6160979001622893E-3</v>
      </c>
      <c r="AN540" s="51">
        <v>3.66560286890962E-3</v>
      </c>
      <c r="AO540" s="51">
        <v>3.7151078376569512E-3</v>
      </c>
      <c r="AP540" s="51">
        <v>3.764612806404282E-3</v>
      </c>
      <c r="AQ540" s="51">
        <v>3.8141177751516123E-3</v>
      </c>
      <c r="AR540" s="51">
        <v>3.8636227438989435E-3</v>
      </c>
      <c r="AS540" s="51">
        <v>3.9131277126462733E-3</v>
      </c>
      <c r="AT540" s="51">
        <v>3.9626326813936045E-3</v>
      </c>
      <c r="AU540" s="51">
        <v>4.0121376501409357E-3</v>
      </c>
      <c r="AV540" s="51">
        <v>4.0409850921853223E-3</v>
      </c>
      <c r="AW540" s="51">
        <v>4.0698325342297097E-3</v>
      </c>
      <c r="AX540" s="51">
        <v>4.0986799762740963E-3</v>
      </c>
      <c r="AY540" s="51">
        <v>4.127527418318482E-3</v>
      </c>
      <c r="AZ540" s="51">
        <v>4.1563748603628704E-3</v>
      </c>
      <c r="BA540" s="51">
        <v>4.1852223024072561E-3</v>
      </c>
      <c r="BB540" s="51">
        <v>4.2140697444516435E-3</v>
      </c>
      <c r="BC540" s="51">
        <v>4.2429171864960301E-3</v>
      </c>
      <c r="BD540" s="51">
        <v>4.2717646285404158E-3</v>
      </c>
      <c r="BE540" s="51">
        <v>4.3006120705848042E-3</v>
      </c>
      <c r="BF540" s="51">
        <v>4.3294595126291899E-3</v>
      </c>
      <c r="BG540" s="51">
        <v>4.3583069546735782E-3</v>
      </c>
      <c r="BH540" s="51">
        <v>4.3871543967179639E-3</v>
      </c>
      <c r="BI540" s="51">
        <v>4.4160018387623514E-3</v>
      </c>
      <c r="BJ540" s="51">
        <v>4.444849280806738E-3</v>
      </c>
      <c r="BK540" s="51">
        <v>4.4736967228511245E-3</v>
      </c>
      <c r="BL540" s="51">
        <v>4.5025441648955111E-3</v>
      </c>
      <c r="BM540" s="51">
        <v>4.5313916069398994E-3</v>
      </c>
      <c r="BN540" s="51">
        <v>4.5602390489842852E-3</v>
      </c>
      <c r="BO540" s="51">
        <v>4.5890864910286726E-3</v>
      </c>
      <c r="BP540" s="51">
        <v>4.6179339330730601E-3</v>
      </c>
      <c r="BQ540" s="51">
        <v>4.6467813751174458E-3</v>
      </c>
      <c r="BR540" s="51">
        <v>4.6756288171618332E-3</v>
      </c>
      <c r="BS540" s="51">
        <v>4.7044762592062198E-3</v>
      </c>
      <c r="BT540" s="51">
        <v>4.7333237012506073E-3</v>
      </c>
      <c r="BU540" s="51">
        <v>4.762171143294993E-3</v>
      </c>
      <c r="BV540" s="51">
        <v>4.7910185853393805E-3</v>
      </c>
      <c r="BW540" s="51">
        <v>4.8198660273837679E-3</v>
      </c>
      <c r="BX540" s="51">
        <v>4.8487134694281545E-3</v>
      </c>
      <c r="BY540" s="51">
        <v>4.8775609114725419E-3</v>
      </c>
      <c r="BZ540" s="51">
        <v>4.9064083535169277E-3</v>
      </c>
      <c r="CA540" s="51">
        <v>4.9352557955613151E-3</v>
      </c>
      <c r="CB540" s="51">
        <v>4.9641032376057017E-3</v>
      </c>
      <c r="CC540" s="51">
        <v>4.9929506796500883E-3</v>
      </c>
      <c r="CD540" s="51">
        <v>5.0217981216944757E-3</v>
      </c>
      <c r="CE540" s="51">
        <v>5.0506455637388623E-3</v>
      </c>
      <c r="CF540" s="51">
        <v>5.0794930057832489E-3</v>
      </c>
      <c r="CG540" s="51">
        <v>5.1083404478276355E-3</v>
      </c>
      <c r="CH540" s="51">
        <v>5.1371878898720212E-3</v>
      </c>
      <c r="CI540" s="51">
        <v>5.1660353319164087E-3</v>
      </c>
      <c r="CJ540" s="51">
        <v>5.1948827739607961E-3</v>
      </c>
      <c r="CK540" s="51">
        <v>5.2237302160051836E-3</v>
      </c>
      <c r="CL540" s="51">
        <v>5.252577658049571E-3</v>
      </c>
      <c r="CM540" s="51">
        <v>5.2814251000939559E-3</v>
      </c>
    </row>
    <row r="541" spans="1:91" s="50" customFormat="1" x14ac:dyDescent="0.25">
      <c r="A541" s="99" t="s">
        <v>1</v>
      </c>
      <c r="B541" s="4">
        <v>0</v>
      </c>
      <c r="C541" s="4">
        <v>0</v>
      </c>
      <c r="D541" s="4">
        <v>0</v>
      </c>
      <c r="E541" s="4">
        <v>0</v>
      </c>
      <c r="F541" s="4">
        <v>0</v>
      </c>
      <c r="G541" s="4">
        <v>0</v>
      </c>
      <c r="H541" s="4">
        <v>0</v>
      </c>
      <c r="I541" s="4">
        <v>0</v>
      </c>
      <c r="J541" s="4">
        <v>0</v>
      </c>
      <c r="K541" s="4">
        <v>0</v>
      </c>
      <c r="L541" s="4">
        <v>0</v>
      </c>
      <c r="M541" s="4">
        <v>0</v>
      </c>
      <c r="N541" s="4">
        <v>0</v>
      </c>
      <c r="O541" s="4">
        <v>0</v>
      </c>
      <c r="P541" s="4">
        <v>0</v>
      </c>
      <c r="Q541" s="4">
        <v>0</v>
      </c>
      <c r="R541" s="4">
        <v>0</v>
      </c>
      <c r="S541" s="4">
        <v>0</v>
      </c>
      <c r="T541" s="4">
        <v>0</v>
      </c>
      <c r="U541" s="4">
        <v>0</v>
      </c>
      <c r="V541" s="4">
        <v>0</v>
      </c>
      <c r="W541" s="4">
        <v>0</v>
      </c>
      <c r="X541" s="4">
        <v>0</v>
      </c>
      <c r="Y541" s="4">
        <v>0</v>
      </c>
      <c r="Z541" s="4">
        <v>0</v>
      </c>
      <c r="AA541" s="4">
        <v>0</v>
      </c>
      <c r="AB541" s="4">
        <v>0</v>
      </c>
      <c r="AC541" s="4">
        <v>0</v>
      </c>
      <c r="AD541" s="4">
        <v>0</v>
      </c>
      <c r="AE541" s="4">
        <v>0</v>
      </c>
      <c r="AF541" s="51">
        <v>1.4251346260975677E-3</v>
      </c>
      <c r="AG541" s="51">
        <v>1.4394010133432365E-3</v>
      </c>
      <c r="AH541" s="51">
        <v>1.4536674005889065E-3</v>
      </c>
      <c r="AI541" s="51">
        <v>1.4679337878345756E-3</v>
      </c>
      <c r="AJ541" s="51">
        <v>1.4822001750802451E-3</v>
      </c>
      <c r="AK541" s="51">
        <v>1.4964665623259147E-3</v>
      </c>
      <c r="AL541" s="51">
        <v>1.5107329495715842E-3</v>
      </c>
      <c r="AM541" s="51">
        <v>1.5249993368172535E-3</v>
      </c>
      <c r="AN541" s="51">
        <v>1.5392657240629226E-3</v>
      </c>
      <c r="AO541" s="51">
        <v>1.5535321113085924E-3</v>
      </c>
      <c r="AP541" s="51">
        <v>1.5677984985542617E-3</v>
      </c>
      <c r="AQ541" s="51">
        <v>1.5820648857999312E-3</v>
      </c>
      <c r="AR541" s="51">
        <v>1.5963312730456008E-3</v>
      </c>
      <c r="AS541" s="51">
        <v>1.6105976602912699E-3</v>
      </c>
      <c r="AT541" s="51">
        <v>1.6248640475369394E-3</v>
      </c>
      <c r="AU541" s="51">
        <v>1.6391304347826087E-3</v>
      </c>
      <c r="AV541" s="51">
        <v>1.6512056578914661E-3</v>
      </c>
      <c r="AW541" s="51">
        <v>1.6632808810003231E-3</v>
      </c>
      <c r="AX541" s="51">
        <v>1.6753561041091803E-3</v>
      </c>
      <c r="AY541" s="51">
        <v>1.6874313272180379E-3</v>
      </c>
      <c r="AZ541" s="51">
        <v>1.6995065503268951E-3</v>
      </c>
      <c r="BA541" s="51">
        <v>1.7115817734357521E-3</v>
      </c>
      <c r="BB541" s="51">
        <v>1.7236569965446093E-3</v>
      </c>
      <c r="BC541" s="51">
        <v>1.7357322196534667E-3</v>
      </c>
      <c r="BD541" s="51">
        <v>1.7478074427623236E-3</v>
      </c>
      <c r="BE541" s="51">
        <v>1.759882665871181E-3</v>
      </c>
      <c r="BF541" s="51">
        <v>1.7719578889800382E-3</v>
      </c>
      <c r="BG541" s="51">
        <v>1.7840331120888959E-3</v>
      </c>
      <c r="BH541" s="51">
        <v>1.7961083351977531E-3</v>
      </c>
      <c r="BI541" s="51">
        <v>1.8081835583066094E-3</v>
      </c>
      <c r="BJ541" s="51">
        <v>1.8202587814154672E-3</v>
      </c>
      <c r="BK541" s="51">
        <v>1.8323340045243244E-3</v>
      </c>
      <c r="BL541" s="51">
        <v>1.844409227633182E-3</v>
      </c>
      <c r="BM541" s="51">
        <v>1.8564844507420388E-3</v>
      </c>
      <c r="BN541" s="51">
        <v>1.8685596738508962E-3</v>
      </c>
      <c r="BO541" s="51">
        <v>1.8806348969597534E-3</v>
      </c>
      <c r="BP541" s="51">
        <v>1.8927101200686108E-3</v>
      </c>
      <c r="BQ541" s="51">
        <v>1.9047853431774678E-3</v>
      </c>
      <c r="BR541" s="51">
        <v>1.9168605662863256E-3</v>
      </c>
      <c r="BS541" s="51">
        <v>1.9289357893951824E-3</v>
      </c>
      <c r="BT541" s="51">
        <v>1.9410110125040402E-3</v>
      </c>
      <c r="BU541" s="51">
        <v>1.9530862356128972E-3</v>
      </c>
      <c r="BV541" s="51">
        <v>1.9651614587217541E-3</v>
      </c>
      <c r="BW541" s="51">
        <v>1.9772366818306113E-3</v>
      </c>
      <c r="BX541" s="51">
        <v>1.989311904939469E-3</v>
      </c>
      <c r="BY541" s="51">
        <v>2.0013871280483257E-3</v>
      </c>
      <c r="BZ541" s="51">
        <v>2.0134623511571829E-3</v>
      </c>
      <c r="CA541" s="51">
        <v>2.0255375742660405E-3</v>
      </c>
      <c r="CB541" s="51">
        <v>2.0376127973748973E-3</v>
      </c>
      <c r="CC541" s="51">
        <v>2.0496880204837549E-3</v>
      </c>
      <c r="CD541" s="51">
        <v>2.0617632435926121E-3</v>
      </c>
      <c r="CE541" s="51">
        <v>2.0738384667014697E-3</v>
      </c>
      <c r="CF541" s="51">
        <v>2.0859136898103261E-3</v>
      </c>
      <c r="CG541" s="51">
        <v>2.0979889129191837E-3</v>
      </c>
      <c r="CH541" s="51">
        <v>2.1100641360280409E-3</v>
      </c>
      <c r="CI541" s="51">
        <v>2.1221393591368985E-3</v>
      </c>
      <c r="CJ541" s="51">
        <v>2.1342145822457557E-3</v>
      </c>
      <c r="CK541" s="51">
        <v>2.1462898053546129E-3</v>
      </c>
      <c r="CL541" s="51">
        <v>2.1583650284634701E-3</v>
      </c>
      <c r="CM541" s="51">
        <v>2.1704402515723277E-3</v>
      </c>
    </row>
    <row r="542" spans="1:91" s="50" customFormat="1" x14ac:dyDescent="0.25">
      <c r="A542" s="99" t="s">
        <v>1</v>
      </c>
      <c r="B542" s="4">
        <v>0</v>
      </c>
      <c r="C542" s="4">
        <v>0</v>
      </c>
      <c r="D542" s="4">
        <v>0</v>
      </c>
      <c r="E542" s="4">
        <v>0</v>
      </c>
      <c r="F542" s="4">
        <v>0</v>
      </c>
      <c r="G542" s="4">
        <v>0</v>
      </c>
      <c r="H542" s="4">
        <v>0</v>
      </c>
      <c r="I542" s="4">
        <v>0</v>
      </c>
      <c r="J542" s="4">
        <v>0</v>
      </c>
      <c r="K542" s="4">
        <v>0</v>
      </c>
      <c r="L542" s="4">
        <v>0</v>
      </c>
      <c r="M542" s="4">
        <v>0</v>
      </c>
      <c r="N542" s="4">
        <v>0</v>
      </c>
      <c r="O542" s="4">
        <v>0</v>
      </c>
      <c r="P542" s="4">
        <v>0</v>
      </c>
      <c r="Q542" s="4">
        <v>0</v>
      </c>
      <c r="R542" s="4">
        <v>0</v>
      </c>
      <c r="S542" s="4">
        <v>0</v>
      </c>
      <c r="T542" s="4">
        <v>0</v>
      </c>
      <c r="U542" s="4">
        <v>0</v>
      </c>
      <c r="V542" s="4">
        <v>0</v>
      </c>
      <c r="W542" s="4">
        <v>0</v>
      </c>
      <c r="X542" s="4">
        <v>0</v>
      </c>
      <c r="Y542" s="4">
        <v>0</v>
      </c>
      <c r="Z542" s="4">
        <v>0</v>
      </c>
      <c r="AA542" s="4">
        <v>0</v>
      </c>
      <c r="AB542" s="4">
        <v>0</v>
      </c>
      <c r="AC542" s="4">
        <v>0</v>
      </c>
      <c r="AD542" s="4">
        <v>0</v>
      </c>
      <c r="AE542" s="4">
        <v>0</v>
      </c>
      <c r="AF542" s="51">
        <v>1.6577549140049134E-3</v>
      </c>
      <c r="AG542" s="51">
        <v>1.6804361179361179E-3</v>
      </c>
      <c r="AH542" s="51">
        <v>1.7031173218673219E-3</v>
      </c>
      <c r="AI542" s="51">
        <v>1.7257985257985258E-3</v>
      </c>
      <c r="AJ542" s="51">
        <v>1.7484797297297294E-3</v>
      </c>
      <c r="AK542" s="51">
        <v>1.7711609336609332E-3</v>
      </c>
      <c r="AL542" s="51">
        <v>1.7938421375921377E-3</v>
      </c>
      <c r="AM542" s="51">
        <v>1.8165233415233415E-3</v>
      </c>
      <c r="AN542" s="51">
        <v>1.8392045454545453E-3</v>
      </c>
      <c r="AO542" s="51">
        <v>1.8618857493857496E-3</v>
      </c>
      <c r="AP542" s="51">
        <v>1.8845669533169532E-3</v>
      </c>
      <c r="AQ542" s="51">
        <v>1.9072481572481575E-3</v>
      </c>
      <c r="AR542" s="51">
        <v>1.9299293611793611E-3</v>
      </c>
      <c r="AS542" s="51">
        <v>1.9526105651105647E-3</v>
      </c>
      <c r="AT542" s="51">
        <v>1.9752917690417696E-3</v>
      </c>
      <c r="AU542" s="51">
        <v>1.9979729729729728E-3</v>
      </c>
      <c r="AV542" s="51">
        <v>2.0184735872235877E-3</v>
      </c>
      <c r="AW542" s="51">
        <v>2.0389742014742013E-3</v>
      </c>
      <c r="AX542" s="51">
        <v>2.0594748157248153E-3</v>
      </c>
      <c r="AY542" s="51">
        <v>2.0799754299754298E-3</v>
      </c>
      <c r="AZ542" s="51">
        <v>2.1004760442260443E-3</v>
      </c>
      <c r="BA542" s="51">
        <v>2.1209766584766587E-3</v>
      </c>
      <c r="BB542" s="51">
        <v>2.1414772727272723E-3</v>
      </c>
      <c r="BC542" s="51">
        <v>2.1619778869778868E-3</v>
      </c>
      <c r="BD542" s="51">
        <v>2.1824785012285013E-3</v>
      </c>
      <c r="BE542" s="51">
        <v>2.2029791154791153E-3</v>
      </c>
      <c r="BF542" s="51">
        <v>2.2234797297297293E-3</v>
      </c>
      <c r="BG542" s="51">
        <v>2.2439803439803438E-3</v>
      </c>
      <c r="BH542" s="51">
        <v>2.2644809582309583E-3</v>
      </c>
      <c r="BI542" s="51">
        <v>2.2849815724815723E-3</v>
      </c>
      <c r="BJ542" s="51">
        <v>2.3054821867321868E-3</v>
      </c>
      <c r="BK542" s="51">
        <v>2.3259828009828008E-3</v>
      </c>
      <c r="BL542" s="51">
        <v>2.3464834152334153E-3</v>
      </c>
      <c r="BM542" s="51">
        <v>2.3669840294840293E-3</v>
      </c>
      <c r="BN542" s="51">
        <v>2.3874846437346438E-3</v>
      </c>
      <c r="BO542" s="51">
        <v>2.4079852579852574E-3</v>
      </c>
      <c r="BP542" s="51">
        <v>2.4284858722358718E-3</v>
      </c>
      <c r="BQ542" s="51">
        <v>2.4489864864864859E-3</v>
      </c>
      <c r="BR542" s="51">
        <v>2.4694871007371003E-3</v>
      </c>
      <c r="BS542" s="51">
        <v>2.4899877149877148E-3</v>
      </c>
      <c r="BT542" s="51">
        <v>2.5104883292383293E-3</v>
      </c>
      <c r="BU542" s="51">
        <v>2.5309889434889433E-3</v>
      </c>
      <c r="BV542" s="51">
        <v>2.5514895577395573E-3</v>
      </c>
      <c r="BW542" s="51">
        <v>2.5719901719901722E-3</v>
      </c>
      <c r="BX542" s="51">
        <v>2.5924907862407863E-3</v>
      </c>
      <c r="BY542" s="51">
        <v>2.6129914004914007E-3</v>
      </c>
      <c r="BZ542" s="51">
        <v>2.6334920147420139E-3</v>
      </c>
      <c r="CA542" s="51">
        <v>2.6539926289926284E-3</v>
      </c>
      <c r="CB542" s="51">
        <v>2.6744932432432428E-3</v>
      </c>
      <c r="CC542" s="51">
        <v>2.6949938574938573E-3</v>
      </c>
      <c r="CD542" s="51">
        <v>2.7154944717444713E-3</v>
      </c>
      <c r="CE542" s="51">
        <v>2.7359950859950858E-3</v>
      </c>
      <c r="CF542" s="51">
        <v>2.7564957002457007E-3</v>
      </c>
      <c r="CG542" s="51">
        <v>2.7769963144963143E-3</v>
      </c>
      <c r="CH542" s="51">
        <v>2.7974969287469288E-3</v>
      </c>
      <c r="CI542" s="51">
        <v>2.8179975429975424E-3</v>
      </c>
      <c r="CJ542" s="51">
        <v>2.8384981572481573E-3</v>
      </c>
      <c r="CK542" s="51">
        <v>2.8589987714987713E-3</v>
      </c>
      <c r="CL542" s="51">
        <v>2.8794993857493853E-3</v>
      </c>
      <c r="CM542" s="51">
        <v>2.8999999999999998E-3</v>
      </c>
    </row>
    <row r="543" spans="1:91" s="50" customFormat="1" x14ac:dyDescent="0.25">
      <c r="A543" s="99" t="s">
        <v>1</v>
      </c>
      <c r="B543" s="4">
        <v>0</v>
      </c>
      <c r="C543" s="4">
        <v>0</v>
      </c>
      <c r="D543" s="4">
        <v>0</v>
      </c>
      <c r="E543" s="4">
        <v>0</v>
      </c>
      <c r="F543" s="4">
        <v>0</v>
      </c>
      <c r="G543" s="4">
        <v>0</v>
      </c>
      <c r="H543" s="4">
        <v>0</v>
      </c>
      <c r="I543" s="4">
        <v>0</v>
      </c>
      <c r="J543" s="4">
        <v>0</v>
      </c>
      <c r="K543" s="4">
        <v>0</v>
      </c>
      <c r="L543" s="4">
        <v>0</v>
      </c>
      <c r="M543" s="4">
        <v>0</v>
      </c>
      <c r="N543" s="4">
        <v>0</v>
      </c>
      <c r="O543" s="4">
        <v>0</v>
      </c>
      <c r="P543" s="4">
        <v>0</v>
      </c>
      <c r="Q543" s="4">
        <v>0</v>
      </c>
      <c r="R543" s="4">
        <v>0</v>
      </c>
      <c r="S543" s="4">
        <v>0</v>
      </c>
      <c r="T543" s="4">
        <v>0</v>
      </c>
      <c r="U543" s="4">
        <v>0</v>
      </c>
      <c r="V543" s="4">
        <v>0</v>
      </c>
      <c r="W543" s="4">
        <v>0</v>
      </c>
      <c r="X543" s="4">
        <v>0</v>
      </c>
      <c r="Y543" s="4">
        <v>0</v>
      </c>
      <c r="Z543" s="4">
        <v>0</v>
      </c>
      <c r="AA543" s="4">
        <v>0</v>
      </c>
      <c r="AB543" s="4">
        <v>0</v>
      </c>
      <c r="AC543" s="4">
        <v>0</v>
      </c>
      <c r="AD543" s="4">
        <v>0</v>
      </c>
      <c r="AE543" s="4">
        <v>0</v>
      </c>
      <c r="AF543" s="51">
        <v>6.1522727272727278E-2</v>
      </c>
      <c r="AG543" s="51">
        <v>6.1954545454545457E-2</v>
      </c>
      <c r="AH543" s="51">
        <v>6.2386363636363643E-2</v>
      </c>
      <c r="AI543" s="51">
        <v>6.2818181818181829E-2</v>
      </c>
      <c r="AJ543" s="51">
        <v>6.3250000000000001E-2</v>
      </c>
      <c r="AK543" s="51">
        <v>6.3681818181818187E-2</v>
      </c>
      <c r="AL543" s="51">
        <v>6.4113636363636373E-2</v>
      </c>
      <c r="AM543" s="51">
        <v>6.4545454545454545E-2</v>
      </c>
      <c r="AN543" s="51">
        <v>6.4977272727272731E-2</v>
      </c>
      <c r="AO543" s="51">
        <v>6.5409090909090917E-2</v>
      </c>
      <c r="AP543" s="51">
        <v>6.5840909090909089E-2</v>
      </c>
      <c r="AQ543" s="51">
        <v>6.6272727272727275E-2</v>
      </c>
      <c r="AR543" s="51">
        <v>6.6704545454545461E-2</v>
      </c>
      <c r="AS543" s="51">
        <v>6.7136363636363633E-2</v>
      </c>
      <c r="AT543" s="51">
        <v>6.7568181818181819E-2</v>
      </c>
      <c r="AU543" s="51">
        <v>6.8000000000000005E-2</v>
      </c>
      <c r="AV543" s="51">
        <v>6.881818181818182E-2</v>
      </c>
      <c r="AW543" s="51">
        <v>6.9636363636363635E-2</v>
      </c>
      <c r="AX543" s="51">
        <v>7.0454545454545464E-2</v>
      </c>
      <c r="AY543" s="51">
        <v>7.1272727272727279E-2</v>
      </c>
      <c r="AZ543" s="51">
        <v>7.2090909090909094E-2</v>
      </c>
      <c r="BA543" s="51">
        <v>7.290909090909091E-2</v>
      </c>
      <c r="BB543" s="51">
        <v>7.3727272727272725E-2</v>
      </c>
      <c r="BC543" s="51">
        <v>7.4545454545454554E-2</v>
      </c>
      <c r="BD543" s="51">
        <v>7.5363636363636369E-2</v>
      </c>
      <c r="BE543" s="51">
        <v>7.6181818181818184E-2</v>
      </c>
      <c r="BF543" s="51">
        <v>7.6999999999999999E-2</v>
      </c>
      <c r="BG543" s="51">
        <v>7.7818181818181814E-2</v>
      </c>
      <c r="BH543" s="51">
        <v>7.8636363636363643E-2</v>
      </c>
      <c r="BI543" s="51">
        <v>7.9454545454545458E-2</v>
      </c>
      <c r="BJ543" s="51">
        <v>8.0272727272727273E-2</v>
      </c>
      <c r="BK543" s="51">
        <v>8.1090909090909088E-2</v>
      </c>
      <c r="BL543" s="51">
        <v>8.1909090909090904E-2</v>
      </c>
      <c r="BM543" s="51">
        <v>8.2727272727272733E-2</v>
      </c>
      <c r="BN543" s="51">
        <v>8.3545454545454548E-2</v>
      </c>
      <c r="BO543" s="51">
        <v>8.4363636363636363E-2</v>
      </c>
      <c r="BP543" s="51">
        <v>8.5181818181818178E-2</v>
      </c>
      <c r="BQ543" s="51">
        <v>8.5999999999999993E-2</v>
      </c>
      <c r="BR543" s="51">
        <v>8.6818181818181822E-2</v>
      </c>
      <c r="BS543" s="51">
        <v>8.7636363636363637E-2</v>
      </c>
      <c r="BT543" s="51">
        <v>8.8454545454545452E-2</v>
      </c>
      <c r="BU543" s="51">
        <v>8.9272727272727267E-2</v>
      </c>
      <c r="BV543" s="51">
        <v>9.0090909090909083E-2</v>
      </c>
      <c r="BW543" s="51">
        <v>9.0909090909090912E-2</v>
      </c>
      <c r="BX543" s="51">
        <v>9.1727272727272727E-2</v>
      </c>
      <c r="BY543" s="51">
        <v>9.2545454545454542E-2</v>
      </c>
      <c r="BZ543" s="51">
        <v>9.3363636363636357E-2</v>
      </c>
      <c r="CA543" s="51">
        <v>9.4181818181818172E-2</v>
      </c>
      <c r="CB543" s="51">
        <v>9.5000000000000001E-2</v>
      </c>
      <c r="CC543" s="51">
        <v>9.5818181818181816E-2</v>
      </c>
      <c r="CD543" s="51">
        <v>9.6636363636363631E-2</v>
      </c>
      <c r="CE543" s="51">
        <v>9.7454545454545446E-2</v>
      </c>
      <c r="CF543" s="51">
        <v>9.8272727272727262E-2</v>
      </c>
      <c r="CG543" s="51">
        <v>9.9090909090909091E-2</v>
      </c>
      <c r="CH543" s="51">
        <v>9.9909090909090906E-2</v>
      </c>
      <c r="CI543" s="51">
        <v>0.10072727272727272</v>
      </c>
      <c r="CJ543" s="51">
        <v>0.10154545454545455</v>
      </c>
      <c r="CK543" s="51">
        <v>0.10236363636363635</v>
      </c>
      <c r="CL543" s="51">
        <v>0.10318181818181818</v>
      </c>
      <c r="CM543" s="51">
        <v>0.104</v>
      </c>
    </row>
    <row r="544" spans="1:91" s="50" customFormat="1" x14ac:dyDescent="0.25">
      <c r="A544" s="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91" s="50" customFormat="1" x14ac:dyDescent="0.25">
      <c r="A545" s="99" t="s">
        <v>194</v>
      </c>
      <c r="B545" s="4">
        <v>0</v>
      </c>
      <c r="C545" s="4">
        <v>0</v>
      </c>
      <c r="D545" s="4">
        <v>0</v>
      </c>
      <c r="E545" s="4">
        <v>0</v>
      </c>
      <c r="F545" s="4">
        <v>0</v>
      </c>
      <c r="G545" s="4">
        <v>0</v>
      </c>
      <c r="H545" s="4">
        <v>0</v>
      </c>
      <c r="I545" s="4">
        <v>0</v>
      </c>
      <c r="J545" s="4">
        <v>0</v>
      </c>
      <c r="K545" s="4">
        <v>0</v>
      </c>
      <c r="L545" s="4">
        <v>0</v>
      </c>
      <c r="M545" s="4">
        <v>0</v>
      </c>
      <c r="N545" s="4">
        <v>0</v>
      </c>
      <c r="O545" s="4">
        <v>0</v>
      </c>
      <c r="P545" s="4">
        <v>0</v>
      </c>
      <c r="Q545" s="4">
        <v>0</v>
      </c>
      <c r="R545" s="4">
        <v>0</v>
      </c>
      <c r="S545" s="4">
        <v>0</v>
      </c>
      <c r="T545" s="4">
        <v>0</v>
      </c>
      <c r="U545" s="4">
        <v>0</v>
      </c>
      <c r="V545" s="4">
        <v>0</v>
      </c>
      <c r="W545" s="4">
        <v>0</v>
      </c>
      <c r="X545" s="4">
        <v>0</v>
      </c>
      <c r="Y545" s="4">
        <v>0</v>
      </c>
      <c r="Z545" s="4">
        <v>0</v>
      </c>
      <c r="AA545" s="4">
        <v>0</v>
      </c>
      <c r="AB545" s="4">
        <v>0</v>
      </c>
      <c r="AC545" s="4">
        <v>0</v>
      </c>
      <c r="AD545" s="4">
        <v>0</v>
      </c>
      <c r="AE545" s="4">
        <v>0</v>
      </c>
      <c r="AF545" s="51">
        <v>9.6590909090909095E-4</v>
      </c>
      <c r="AG545" s="51">
        <v>9.6818181818181823E-4</v>
      </c>
      <c r="AH545" s="51">
        <v>9.704545454545454E-4</v>
      </c>
      <c r="AI545" s="51">
        <v>9.7272727272727268E-4</v>
      </c>
      <c r="AJ545" s="51">
        <v>9.7499999999999996E-4</v>
      </c>
      <c r="AK545" s="51">
        <v>9.7727272727272723E-4</v>
      </c>
      <c r="AL545" s="51">
        <v>9.7954545454545451E-4</v>
      </c>
      <c r="AM545" s="51">
        <v>9.8181818181818179E-4</v>
      </c>
      <c r="AN545" s="51">
        <v>9.8409090909090907E-4</v>
      </c>
      <c r="AO545" s="51">
        <v>9.8636363636363635E-4</v>
      </c>
      <c r="AP545" s="51">
        <v>9.8863636363636363E-4</v>
      </c>
      <c r="AQ545" s="51">
        <v>9.9090909090909091E-4</v>
      </c>
      <c r="AR545" s="51">
        <v>9.9318181818181818E-4</v>
      </c>
      <c r="AS545" s="51">
        <v>9.9545454545454546E-4</v>
      </c>
      <c r="AT545" s="51">
        <v>9.9772727272727274E-4</v>
      </c>
      <c r="AU545" s="51">
        <v>1E-3</v>
      </c>
      <c r="AV545" s="51">
        <v>1.0363636363636365E-3</v>
      </c>
      <c r="AW545" s="51">
        <v>1.0727272727272727E-3</v>
      </c>
      <c r="AX545" s="51">
        <v>1.1090909090909092E-3</v>
      </c>
      <c r="AY545" s="51">
        <v>1.1454545454545454E-3</v>
      </c>
      <c r="AZ545" s="51">
        <v>1.1818181818181819E-3</v>
      </c>
      <c r="BA545" s="51">
        <v>1.2181818181818181E-3</v>
      </c>
      <c r="BB545" s="51">
        <v>1.2545454545454546E-3</v>
      </c>
      <c r="BC545" s="51">
        <v>1.2909090909090908E-3</v>
      </c>
      <c r="BD545" s="51">
        <v>1.3272727272727273E-3</v>
      </c>
      <c r="BE545" s="51">
        <v>1.3636363636363635E-3</v>
      </c>
      <c r="BF545" s="51">
        <v>1.4E-3</v>
      </c>
      <c r="BG545" s="51">
        <v>1.4363636363636362E-3</v>
      </c>
      <c r="BH545" s="51">
        <v>1.4727272727272727E-3</v>
      </c>
      <c r="BI545" s="51">
        <v>1.5090909090909091E-3</v>
      </c>
      <c r="BJ545" s="51">
        <v>1.5454545454545454E-3</v>
      </c>
      <c r="BK545" s="51">
        <v>1.5818181818181816E-3</v>
      </c>
      <c r="BL545" s="51">
        <v>1.6181818181818181E-3</v>
      </c>
      <c r="BM545" s="51">
        <v>1.6545454545454545E-3</v>
      </c>
      <c r="BN545" s="51">
        <v>1.6909090909090908E-3</v>
      </c>
      <c r="BO545" s="51">
        <v>1.727272727272727E-3</v>
      </c>
      <c r="BP545" s="51">
        <v>1.7636363636363635E-3</v>
      </c>
      <c r="BQ545" s="51">
        <v>1.8E-3</v>
      </c>
      <c r="BR545" s="51">
        <v>1.8363636363636362E-3</v>
      </c>
      <c r="BS545" s="51">
        <v>1.8727272727272727E-3</v>
      </c>
      <c r="BT545" s="51">
        <v>1.9090909090909089E-3</v>
      </c>
      <c r="BU545" s="51">
        <v>1.9454545454545454E-3</v>
      </c>
      <c r="BV545" s="51">
        <v>1.9818181818181818E-3</v>
      </c>
      <c r="BW545" s="51">
        <v>2.0181818181818183E-3</v>
      </c>
      <c r="BX545" s="51">
        <v>2.0545454545454543E-3</v>
      </c>
      <c r="BY545" s="51">
        <v>2.0909090909090908E-3</v>
      </c>
      <c r="BZ545" s="51">
        <v>2.1272727272727268E-3</v>
      </c>
      <c r="CA545" s="51">
        <v>2.1636363636363632E-3</v>
      </c>
      <c r="CB545" s="51">
        <v>2.1999999999999997E-3</v>
      </c>
      <c r="CC545" s="51">
        <v>2.2363636363636362E-3</v>
      </c>
      <c r="CD545" s="51">
        <v>2.2727272727272726E-3</v>
      </c>
      <c r="CE545" s="51">
        <v>2.3090909090909091E-3</v>
      </c>
      <c r="CF545" s="51">
        <v>2.3454545454545455E-3</v>
      </c>
      <c r="CG545" s="51">
        <v>2.3818181818181816E-3</v>
      </c>
      <c r="CH545" s="51">
        <v>2.418181818181818E-3</v>
      </c>
      <c r="CI545" s="51">
        <v>2.454545454545454E-3</v>
      </c>
      <c r="CJ545" s="51">
        <v>2.4909090909090905E-3</v>
      </c>
      <c r="CK545" s="51">
        <v>2.527272727272727E-3</v>
      </c>
      <c r="CL545" s="51">
        <v>2.5636363636363634E-3</v>
      </c>
      <c r="CM545" s="51">
        <v>2.5999999999999999E-3</v>
      </c>
    </row>
    <row r="546" spans="1:91" s="50" customFormat="1" x14ac:dyDescent="0.25">
      <c r="A546" s="9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91" s="50" customFormat="1" x14ac:dyDescent="0.25">
      <c r="A547" s="99" t="s">
        <v>379</v>
      </c>
      <c r="B547" s="4">
        <v>0</v>
      </c>
      <c r="C547" s="4">
        <v>0</v>
      </c>
      <c r="D547" s="4">
        <v>0</v>
      </c>
      <c r="E547" s="4">
        <v>0</v>
      </c>
      <c r="F547" s="4">
        <v>0</v>
      </c>
      <c r="G547" s="4">
        <v>0</v>
      </c>
      <c r="H547" s="4">
        <v>0</v>
      </c>
      <c r="I547" s="4">
        <v>0</v>
      </c>
      <c r="J547" s="4">
        <v>0</v>
      </c>
      <c r="K547" s="4">
        <v>0</v>
      </c>
      <c r="L547" s="4">
        <v>0</v>
      </c>
      <c r="M547" s="4">
        <v>0</v>
      </c>
      <c r="N547" s="4">
        <v>0</v>
      </c>
      <c r="O547" s="4">
        <v>0</v>
      </c>
      <c r="P547" s="4">
        <v>0</v>
      </c>
      <c r="Q547" s="4">
        <v>0</v>
      </c>
      <c r="R547" s="4">
        <v>0</v>
      </c>
      <c r="S547" s="4">
        <v>0</v>
      </c>
      <c r="T547" s="4">
        <v>0</v>
      </c>
      <c r="U547" s="4">
        <v>0</v>
      </c>
      <c r="V547" s="4">
        <v>0</v>
      </c>
      <c r="W547" s="4">
        <v>0</v>
      </c>
      <c r="X547" s="4">
        <v>0</v>
      </c>
      <c r="Y547" s="4">
        <v>0</v>
      </c>
      <c r="Z547" s="4">
        <v>0</v>
      </c>
      <c r="AA547" s="4">
        <v>0</v>
      </c>
      <c r="AB547" s="4">
        <v>0</v>
      </c>
      <c r="AC547" s="4">
        <v>0</v>
      </c>
      <c r="AD547" s="4">
        <v>0</v>
      </c>
      <c r="AE547" s="4">
        <v>0</v>
      </c>
      <c r="AF547" s="51">
        <v>9.6590909090909095E-4</v>
      </c>
      <c r="AG547" s="51">
        <v>9.6818181818181823E-4</v>
      </c>
      <c r="AH547" s="51">
        <v>9.704545454545454E-4</v>
      </c>
      <c r="AI547" s="51">
        <v>9.7272727272727268E-4</v>
      </c>
      <c r="AJ547" s="51">
        <v>9.7499999999999996E-4</v>
      </c>
      <c r="AK547" s="51">
        <v>9.7727272727272723E-4</v>
      </c>
      <c r="AL547" s="51">
        <v>9.7954545454545451E-4</v>
      </c>
      <c r="AM547" s="51">
        <v>9.8181818181818179E-4</v>
      </c>
      <c r="AN547" s="51">
        <v>9.8409090909090907E-4</v>
      </c>
      <c r="AO547" s="51">
        <v>9.8636363636363635E-4</v>
      </c>
      <c r="AP547" s="51">
        <v>9.8863636363636363E-4</v>
      </c>
      <c r="AQ547" s="51">
        <v>9.9090909090909091E-4</v>
      </c>
      <c r="AR547" s="51">
        <v>9.9318181818181818E-4</v>
      </c>
      <c r="AS547" s="51">
        <v>9.9545454545454546E-4</v>
      </c>
      <c r="AT547" s="51">
        <v>9.9772727272727274E-4</v>
      </c>
      <c r="AU547" s="51">
        <v>1E-3</v>
      </c>
      <c r="AV547" s="51">
        <v>1.0363636363636365E-3</v>
      </c>
      <c r="AW547" s="51">
        <v>1.0727272727272727E-3</v>
      </c>
      <c r="AX547" s="51">
        <v>1.1090909090909092E-3</v>
      </c>
      <c r="AY547" s="51">
        <v>1.1454545454545454E-3</v>
      </c>
      <c r="AZ547" s="51">
        <v>1.1818181818181819E-3</v>
      </c>
      <c r="BA547" s="51">
        <v>1.2181818181818181E-3</v>
      </c>
      <c r="BB547" s="51">
        <v>1.2545454545454546E-3</v>
      </c>
      <c r="BC547" s="51">
        <v>1.2909090909090908E-3</v>
      </c>
      <c r="BD547" s="51">
        <v>1.3272727272727273E-3</v>
      </c>
      <c r="BE547" s="51">
        <v>1.3636363636363635E-3</v>
      </c>
      <c r="BF547" s="51">
        <v>1.4E-3</v>
      </c>
      <c r="BG547" s="51">
        <v>1.4363636363636362E-3</v>
      </c>
      <c r="BH547" s="51">
        <v>1.4727272727272727E-3</v>
      </c>
      <c r="BI547" s="51">
        <v>1.5090909090909091E-3</v>
      </c>
      <c r="BJ547" s="51">
        <v>1.5454545454545454E-3</v>
      </c>
      <c r="BK547" s="51">
        <v>1.5818181818181816E-3</v>
      </c>
      <c r="BL547" s="51">
        <v>1.6181818181818181E-3</v>
      </c>
      <c r="BM547" s="51">
        <v>1.6545454545454545E-3</v>
      </c>
      <c r="BN547" s="51">
        <v>1.6909090909090908E-3</v>
      </c>
      <c r="BO547" s="51">
        <v>1.727272727272727E-3</v>
      </c>
      <c r="BP547" s="51">
        <v>1.7636363636363635E-3</v>
      </c>
      <c r="BQ547" s="51">
        <v>1.8E-3</v>
      </c>
      <c r="BR547" s="51">
        <v>1.8363636363636362E-3</v>
      </c>
      <c r="BS547" s="51">
        <v>1.8727272727272727E-3</v>
      </c>
      <c r="BT547" s="51">
        <v>1.9090909090909089E-3</v>
      </c>
      <c r="BU547" s="51">
        <v>1.9454545454545454E-3</v>
      </c>
      <c r="BV547" s="51">
        <v>1.9818181818181818E-3</v>
      </c>
      <c r="BW547" s="51">
        <v>2.0181818181818183E-3</v>
      </c>
      <c r="BX547" s="51">
        <v>2.0545454545454543E-3</v>
      </c>
      <c r="BY547" s="51">
        <v>2.0909090909090908E-3</v>
      </c>
      <c r="BZ547" s="51">
        <v>2.1272727272727268E-3</v>
      </c>
      <c r="CA547" s="51">
        <v>2.1636363636363632E-3</v>
      </c>
      <c r="CB547" s="51">
        <v>2.1999999999999997E-3</v>
      </c>
      <c r="CC547" s="51">
        <v>2.2363636363636362E-3</v>
      </c>
      <c r="CD547" s="51">
        <v>2.2727272727272726E-3</v>
      </c>
      <c r="CE547" s="51">
        <v>2.3090909090909091E-3</v>
      </c>
      <c r="CF547" s="51">
        <v>2.3454545454545455E-3</v>
      </c>
      <c r="CG547" s="51">
        <v>2.3818181818181816E-3</v>
      </c>
      <c r="CH547" s="51">
        <v>2.418181818181818E-3</v>
      </c>
      <c r="CI547" s="51">
        <v>2.454545454545454E-3</v>
      </c>
      <c r="CJ547" s="51">
        <v>2.4909090909090905E-3</v>
      </c>
      <c r="CK547" s="51">
        <v>2.527272727272727E-3</v>
      </c>
      <c r="CL547" s="51">
        <v>2.5636363636363634E-3</v>
      </c>
      <c r="CM547" s="51">
        <v>2.5999999999999999E-3</v>
      </c>
    </row>
    <row r="548" spans="1:91" s="50" customFormat="1" x14ac:dyDescent="0.25">
      <c r="A548" s="9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91" s="50" customFormat="1" x14ac:dyDescent="0.25">
      <c r="A549" s="99" t="s">
        <v>359</v>
      </c>
      <c r="B549" s="4">
        <v>0</v>
      </c>
      <c r="C549" s="4">
        <v>0</v>
      </c>
      <c r="D549" s="4">
        <v>0</v>
      </c>
      <c r="E549" s="4">
        <v>0</v>
      </c>
      <c r="F549" s="4">
        <v>0</v>
      </c>
      <c r="G549" s="4">
        <v>0</v>
      </c>
      <c r="H549" s="4">
        <v>0</v>
      </c>
      <c r="I549" s="4">
        <v>0</v>
      </c>
      <c r="J549" s="4">
        <v>0</v>
      </c>
      <c r="K549" s="4">
        <v>0</v>
      </c>
      <c r="L549" s="4">
        <v>0</v>
      </c>
      <c r="M549" s="4">
        <v>0</v>
      </c>
      <c r="N549" s="4">
        <v>0</v>
      </c>
      <c r="O549" s="4">
        <v>0</v>
      </c>
      <c r="P549" s="4">
        <v>0</v>
      </c>
      <c r="Q549" s="4">
        <v>0</v>
      </c>
      <c r="R549" s="4">
        <v>0</v>
      </c>
      <c r="S549" s="4">
        <v>0</v>
      </c>
      <c r="T549" s="4">
        <v>0</v>
      </c>
      <c r="U549" s="4">
        <v>0</v>
      </c>
      <c r="V549" s="4">
        <v>0</v>
      </c>
      <c r="W549" s="4">
        <v>0</v>
      </c>
      <c r="X549" s="4">
        <v>0</v>
      </c>
      <c r="Y549" s="4">
        <v>0</v>
      </c>
      <c r="Z549" s="4">
        <v>0</v>
      </c>
      <c r="AA549" s="4">
        <v>0</v>
      </c>
      <c r="AB549" s="4">
        <v>0</v>
      </c>
      <c r="AC549" s="4">
        <v>0</v>
      </c>
      <c r="AD549" s="4">
        <v>0</v>
      </c>
      <c r="AE549" s="4">
        <v>0</v>
      </c>
      <c r="AF549" s="51">
        <v>8.6618671127481966E-4</v>
      </c>
      <c r="AG549" s="51">
        <v>8.7332065560907562E-4</v>
      </c>
      <c r="AH549" s="51">
        <v>8.8045459994333169E-4</v>
      </c>
      <c r="AI549" s="51">
        <v>8.8758854427758765E-4</v>
      </c>
      <c r="AJ549" s="51">
        <v>8.9472248861184372E-4</v>
      </c>
      <c r="AK549" s="51">
        <v>9.0185643294609969E-4</v>
      </c>
      <c r="AL549" s="51">
        <v>9.0899037728035576E-4</v>
      </c>
      <c r="AM549" s="51">
        <v>9.1612432161461172E-4</v>
      </c>
      <c r="AN549" s="51">
        <v>9.2325826594886768E-4</v>
      </c>
      <c r="AO549" s="51">
        <v>9.3039221028312375E-4</v>
      </c>
      <c r="AP549" s="51">
        <v>9.3752615461737982E-4</v>
      </c>
      <c r="AQ549" s="51">
        <v>9.4466009895163578E-4</v>
      </c>
      <c r="AR549" s="51">
        <v>9.5179404328589175E-4</v>
      </c>
      <c r="AS549" s="51">
        <v>9.5892798762014782E-4</v>
      </c>
      <c r="AT549" s="51">
        <v>9.6606193195440389E-4</v>
      </c>
      <c r="AU549" s="51">
        <v>9.7319587628865985E-4</v>
      </c>
      <c r="AV549" s="51">
        <v>9.9072164948453621E-4</v>
      </c>
      <c r="AW549" s="51">
        <v>1.0082474226804125E-3</v>
      </c>
      <c r="AX549" s="51">
        <v>1.0257731958762887E-3</v>
      </c>
      <c r="AY549" s="51">
        <v>1.043298969072165E-3</v>
      </c>
      <c r="AZ549" s="51">
        <v>1.0608247422680412E-3</v>
      </c>
      <c r="BA549" s="51">
        <v>1.0783505154639175E-3</v>
      </c>
      <c r="BB549" s="51">
        <v>1.095876288659794E-3</v>
      </c>
      <c r="BC549" s="51">
        <v>1.1134020618556702E-3</v>
      </c>
      <c r="BD549" s="51">
        <v>1.1309278350515465E-3</v>
      </c>
      <c r="BE549" s="51">
        <v>1.1484536082474227E-3</v>
      </c>
      <c r="BF549" s="51">
        <v>1.165979381443299E-3</v>
      </c>
      <c r="BG549" s="51">
        <v>1.1835051546391752E-3</v>
      </c>
      <c r="BH549" s="51">
        <v>1.2010309278350515E-3</v>
      </c>
      <c r="BI549" s="51">
        <v>1.2185567010309277E-3</v>
      </c>
      <c r="BJ549" s="51">
        <v>1.236082474226804E-3</v>
      </c>
      <c r="BK549" s="51">
        <v>1.2536082474226805E-3</v>
      </c>
      <c r="BL549" s="51">
        <v>1.2711340206185567E-3</v>
      </c>
      <c r="BM549" s="51">
        <v>1.288659793814433E-3</v>
      </c>
      <c r="BN549" s="51">
        <v>1.3061855670103092E-3</v>
      </c>
      <c r="BO549" s="51">
        <v>1.3237113402061855E-3</v>
      </c>
      <c r="BP549" s="51">
        <v>1.3412371134020619E-3</v>
      </c>
      <c r="BQ549" s="51">
        <v>1.3587628865979382E-3</v>
      </c>
      <c r="BR549" s="51">
        <v>1.3762886597938145E-3</v>
      </c>
      <c r="BS549" s="51">
        <v>1.3938144329896907E-3</v>
      </c>
      <c r="BT549" s="51">
        <v>1.411340206185567E-3</v>
      </c>
      <c r="BU549" s="51">
        <v>1.4288659793814432E-3</v>
      </c>
      <c r="BV549" s="51">
        <v>1.4463917525773195E-3</v>
      </c>
      <c r="BW549" s="51">
        <v>1.4639175257731957E-3</v>
      </c>
      <c r="BX549" s="51">
        <v>1.481443298969072E-3</v>
      </c>
      <c r="BY549" s="51">
        <v>1.4989690721649482E-3</v>
      </c>
      <c r="BZ549" s="51">
        <v>1.5164948453608247E-3</v>
      </c>
      <c r="CA549" s="51">
        <v>1.534020618556701E-3</v>
      </c>
      <c r="CB549" s="51">
        <v>1.5515463917525772E-3</v>
      </c>
      <c r="CC549" s="51">
        <v>1.5690721649484537E-3</v>
      </c>
      <c r="CD549" s="51">
        <v>1.5865979381443299E-3</v>
      </c>
      <c r="CE549" s="51">
        <v>1.6041237113402062E-3</v>
      </c>
      <c r="CF549" s="51">
        <v>1.6216494845360824E-3</v>
      </c>
      <c r="CG549" s="51">
        <v>1.6391752577319587E-3</v>
      </c>
      <c r="CH549" s="51">
        <v>1.656701030927835E-3</v>
      </c>
      <c r="CI549" s="51">
        <v>1.6742268041237112E-3</v>
      </c>
      <c r="CJ549" s="51">
        <v>1.6917525773195875E-3</v>
      </c>
      <c r="CK549" s="51">
        <v>1.7092783505154637E-3</v>
      </c>
      <c r="CL549" s="51">
        <v>1.72680412371134E-3</v>
      </c>
      <c r="CM549" s="51">
        <v>1.7443298969072164E-3</v>
      </c>
    </row>
    <row r="550" spans="1:91" s="50" customFormat="1" x14ac:dyDescent="0.25">
      <c r="A550" s="9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c r="BN550" s="51"/>
      <c r="BO550" s="51"/>
      <c r="BP550" s="51"/>
      <c r="BQ550" s="51"/>
      <c r="BR550" s="51"/>
      <c r="BS550" s="51"/>
      <c r="BT550" s="51"/>
      <c r="BU550" s="51"/>
      <c r="BV550" s="51"/>
      <c r="BW550" s="51"/>
      <c r="BX550" s="51"/>
      <c r="BY550" s="51"/>
      <c r="BZ550" s="51"/>
      <c r="CA550" s="51"/>
      <c r="CB550" s="51"/>
      <c r="CC550" s="51"/>
      <c r="CD550" s="51"/>
      <c r="CE550" s="51"/>
      <c r="CF550" s="51"/>
      <c r="CG550" s="51"/>
      <c r="CH550" s="51"/>
      <c r="CI550" s="51"/>
      <c r="CJ550" s="51"/>
      <c r="CK550" s="51"/>
      <c r="CL550" s="51"/>
      <c r="CM550" s="51"/>
    </row>
    <row r="551" spans="1:91" s="50" customFormat="1" x14ac:dyDescent="0.25">
      <c r="A551" s="99" t="s">
        <v>378</v>
      </c>
      <c r="B551" s="4">
        <v>0</v>
      </c>
      <c r="C551" s="4">
        <v>0</v>
      </c>
      <c r="D551" s="4">
        <v>0</v>
      </c>
      <c r="E551" s="4">
        <v>0</v>
      </c>
      <c r="F551" s="4">
        <v>0</v>
      </c>
      <c r="G551" s="4">
        <v>0</v>
      </c>
      <c r="H551" s="4">
        <v>0</v>
      </c>
      <c r="I551" s="4">
        <v>0</v>
      </c>
      <c r="J551" s="4">
        <v>0</v>
      </c>
      <c r="K551" s="4">
        <v>0</v>
      </c>
      <c r="L551" s="4">
        <v>0</v>
      </c>
      <c r="M551" s="4">
        <v>0</v>
      </c>
      <c r="N551" s="4">
        <v>0</v>
      </c>
      <c r="O551" s="4">
        <v>0</v>
      </c>
      <c r="P551" s="4">
        <v>0</v>
      </c>
      <c r="Q551" s="4">
        <v>0</v>
      </c>
      <c r="R551" s="4">
        <v>0</v>
      </c>
      <c r="S551" s="4">
        <v>0</v>
      </c>
      <c r="T551" s="4">
        <v>0</v>
      </c>
      <c r="U551" s="4">
        <v>0</v>
      </c>
      <c r="V551" s="4">
        <v>0</v>
      </c>
      <c r="W551" s="4">
        <v>0</v>
      </c>
      <c r="X551" s="4">
        <v>0</v>
      </c>
      <c r="Y551" s="4">
        <v>0</v>
      </c>
      <c r="Z551" s="4">
        <v>0</v>
      </c>
      <c r="AA551" s="4">
        <v>0</v>
      </c>
      <c r="AB551" s="4">
        <v>0</v>
      </c>
      <c r="AC551" s="4">
        <v>0</v>
      </c>
      <c r="AD551" s="4">
        <v>0</v>
      </c>
      <c r="AE551" s="4">
        <v>0</v>
      </c>
      <c r="AF551" s="51">
        <v>8.6618671127481966E-4</v>
      </c>
      <c r="AG551" s="51">
        <v>8.7332065560907562E-4</v>
      </c>
      <c r="AH551" s="51">
        <v>8.8045459994333169E-4</v>
      </c>
      <c r="AI551" s="51">
        <v>8.8758854427758765E-4</v>
      </c>
      <c r="AJ551" s="51">
        <v>8.9472248861184372E-4</v>
      </c>
      <c r="AK551" s="51">
        <v>9.0185643294609969E-4</v>
      </c>
      <c r="AL551" s="51">
        <v>9.0899037728035576E-4</v>
      </c>
      <c r="AM551" s="51">
        <v>9.1612432161461172E-4</v>
      </c>
      <c r="AN551" s="51">
        <v>9.2325826594886768E-4</v>
      </c>
      <c r="AO551" s="51">
        <v>9.3039221028312375E-4</v>
      </c>
      <c r="AP551" s="51">
        <v>9.3752615461737982E-4</v>
      </c>
      <c r="AQ551" s="51">
        <v>9.4466009895163578E-4</v>
      </c>
      <c r="AR551" s="51">
        <v>9.5179404328589175E-4</v>
      </c>
      <c r="AS551" s="51">
        <v>9.5892798762014782E-4</v>
      </c>
      <c r="AT551" s="51">
        <v>9.6606193195440389E-4</v>
      </c>
      <c r="AU551" s="51">
        <v>9.7319587628865985E-4</v>
      </c>
      <c r="AV551" s="51">
        <v>9.9072164948453621E-4</v>
      </c>
      <c r="AW551" s="51">
        <v>1.0082474226804125E-3</v>
      </c>
      <c r="AX551" s="51">
        <v>1.0257731958762887E-3</v>
      </c>
      <c r="AY551" s="51">
        <v>1.043298969072165E-3</v>
      </c>
      <c r="AZ551" s="51">
        <v>1.0608247422680412E-3</v>
      </c>
      <c r="BA551" s="51">
        <v>1.0783505154639175E-3</v>
      </c>
      <c r="BB551" s="51">
        <v>1.095876288659794E-3</v>
      </c>
      <c r="BC551" s="51">
        <v>1.1134020618556702E-3</v>
      </c>
      <c r="BD551" s="51">
        <v>1.1309278350515465E-3</v>
      </c>
      <c r="BE551" s="51">
        <v>1.1484536082474227E-3</v>
      </c>
      <c r="BF551" s="51">
        <v>1.165979381443299E-3</v>
      </c>
      <c r="BG551" s="51">
        <v>1.1835051546391752E-3</v>
      </c>
      <c r="BH551" s="51">
        <v>1.2010309278350515E-3</v>
      </c>
      <c r="BI551" s="51">
        <v>1.2185567010309277E-3</v>
      </c>
      <c r="BJ551" s="51">
        <v>1.236082474226804E-3</v>
      </c>
      <c r="BK551" s="51">
        <v>1.2536082474226805E-3</v>
      </c>
      <c r="BL551" s="51">
        <v>1.2711340206185567E-3</v>
      </c>
      <c r="BM551" s="51">
        <v>1.288659793814433E-3</v>
      </c>
      <c r="BN551" s="51">
        <v>1.3061855670103092E-3</v>
      </c>
      <c r="BO551" s="51">
        <v>1.3237113402061855E-3</v>
      </c>
      <c r="BP551" s="51">
        <v>1.3412371134020619E-3</v>
      </c>
      <c r="BQ551" s="51">
        <v>1.3587628865979382E-3</v>
      </c>
      <c r="BR551" s="51">
        <v>1.3762886597938145E-3</v>
      </c>
      <c r="BS551" s="51">
        <v>1.3938144329896907E-3</v>
      </c>
      <c r="BT551" s="51">
        <v>1.411340206185567E-3</v>
      </c>
      <c r="BU551" s="51">
        <v>1.4288659793814432E-3</v>
      </c>
      <c r="BV551" s="51">
        <v>1.4463917525773195E-3</v>
      </c>
      <c r="BW551" s="51">
        <v>1.4639175257731957E-3</v>
      </c>
      <c r="BX551" s="51">
        <v>1.481443298969072E-3</v>
      </c>
      <c r="BY551" s="51">
        <v>1.4989690721649482E-3</v>
      </c>
      <c r="BZ551" s="51">
        <v>1.5164948453608247E-3</v>
      </c>
      <c r="CA551" s="51">
        <v>1.534020618556701E-3</v>
      </c>
      <c r="CB551" s="51">
        <v>1.5515463917525772E-3</v>
      </c>
      <c r="CC551" s="51">
        <v>1.5690721649484537E-3</v>
      </c>
      <c r="CD551" s="51">
        <v>1.5865979381443299E-3</v>
      </c>
      <c r="CE551" s="51">
        <v>1.6041237113402062E-3</v>
      </c>
      <c r="CF551" s="51">
        <v>1.6216494845360824E-3</v>
      </c>
      <c r="CG551" s="51">
        <v>1.6391752577319587E-3</v>
      </c>
      <c r="CH551" s="51">
        <v>1.656701030927835E-3</v>
      </c>
      <c r="CI551" s="51">
        <v>1.6742268041237112E-3</v>
      </c>
      <c r="CJ551" s="51">
        <v>1.6917525773195875E-3</v>
      </c>
      <c r="CK551" s="51">
        <v>1.7092783505154637E-3</v>
      </c>
      <c r="CL551" s="51">
        <v>1.72680412371134E-3</v>
      </c>
      <c r="CM551" s="51">
        <v>1.7443298969072164E-3</v>
      </c>
    </row>
    <row r="552" spans="1:91" s="50" customFormat="1" x14ac:dyDescent="0.25">
      <c r="A552" s="10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c r="BN552" s="51"/>
      <c r="BO552" s="51"/>
      <c r="BP552" s="51"/>
      <c r="BQ552" s="51"/>
      <c r="BR552" s="51"/>
      <c r="BS552" s="51"/>
      <c r="BT552" s="51"/>
      <c r="BU552" s="51"/>
      <c r="BV552" s="51"/>
      <c r="BW552" s="51"/>
      <c r="BX552" s="51"/>
      <c r="BY552" s="51"/>
      <c r="BZ552" s="51"/>
      <c r="CA552" s="51"/>
      <c r="CB552" s="51"/>
      <c r="CC552" s="51"/>
      <c r="CD552" s="51"/>
      <c r="CE552" s="51"/>
      <c r="CF552" s="51"/>
      <c r="CG552" s="51"/>
      <c r="CH552" s="51"/>
      <c r="CI552" s="51"/>
      <c r="CJ552" s="51"/>
      <c r="CK552" s="51"/>
      <c r="CL552" s="51"/>
      <c r="CM552" s="51"/>
    </row>
    <row r="553" spans="1:91" x14ac:dyDescent="0.25">
      <c r="A553" s="21" t="s">
        <v>33</v>
      </c>
      <c r="B553" s="4">
        <f>'WAO Scenario Ag'!B23</f>
        <v>0</v>
      </c>
      <c r="C553" s="4">
        <f>'WAO Scenario Ag'!C23</f>
        <v>0</v>
      </c>
      <c r="D553" s="4">
        <f>'WAO Scenario Ag'!D23</f>
        <v>0</v>
      </c>
      <c r="E553" s="4">
        <f>'WAO Scenario Ag'!E23</f>
        <v>0</v>
      </c>
      <c r="F553" s="4">
        <f>'WAO Scenario Ag'!F23</f>
        <v>0</v>
      </c>
      <c r="G553" s="4">
        <f>'WAO Scenario Ag'!G23</f>
        <v>0</v>
      </c>
      <c r="H553" s="4">
        <f>'WAO Scenario Ag'!H23</f>
        <v>0</v>
      </c>
      <c r="I553" s="4">
        <f>'WAO Scenario Ag'!I23</f>
        <v>0</v>
      </c>
      <c r="J553" s="4">
        <f>'WAO Scenario Ag'!J23</f>
        <v>0</v>
      </c>
      <c r="K553" s="4">
        <f>'WAO Scenario Ag'!K23</f>
        <v>0</v>
      </c>
      <c r="L553" s="4">
        <f>'WAO Scenario Ag'!L23</f>
        <v>0</v>
      </c>
      <c r="M553" s="4">
        <f>'WAO Scenario Ag'!M23</f>
        <v>0</v>
      </c>
      <c r="N553" s="4">
        <f>'WAO Scenario Ag'!N23</f>
        <v>0</v>
      </c>
      <c r="O553" s="4">
        <f>'WAO Scenario Ag'!O23</f>
        <v>0</v>
      </c>
      <c r="P553" s="4">
        <f>'WAO Scenario Ag'!P23</f>
        <v>0</v>
      </c>
      <c r="Q553" s="4">
        <f>'WAO Scenario Ag'!Q23</f>
        <v>0</v>
      </c>
      <c r="R553" s="4">
        <f>'WAO Scenario Ag'!R23</f>
        <v>0</v>
      </c>
      <c r="S553" s="4">
        <f>'WAO Scenario Ag'!S23</f>
        <v>0</v>
      </c>
      <c r="T553" s="4">
        <f>'WAO Scenario Ag'!T23</f>
        <v>0</v>
      </c>
      <c r="U553" s="4">
        <f>'WAO Scenario Ag'!U23</f>
        <v>0</v>
      </c>
      <c r="V553" s="4">
        <f>'WAO Scenario Ag'!V23</f>
        <v>0</v>
      </c>
      <c r="W553" s="4">
        <f>'WAO Scenario Ag'!W23</f>
        <v>0</v>
      </c>
      <c r="X553" s="4">
        <f>'WAO Scenario Ag'!X23</f>
        <v>0</v>
      </c>
      <c r="Y553" s="4">
        <f>'WAO Scenario Ag'!Y23</f>
        <v>0</v>
      </c>
      <c r="Z553" s="4">
        <f>'WAO Scenario Ag'!Z23</f>
        <v>0</v>
      </c>
      <c r="AA553" s="4">
        <f>'WAO Scenario Ag'!AA23</f>
        <v>0</v>
      </c>
      <c r="AB553" s="4">
        <f>'WAO Scenario Ag'!AB23</f>
        <v>0</v>
      </c>
      <c r="AC553" s="4">
        <f>'WAO Scenario Ag'!AC23</f>
        <v>0</v>
      </c>
      <c r="AD553" s="4">
        <f>'WAO Scenario Ag'!AD23</f>
        <v>0</v>
      </c>
      <c r="AE553" s="4">
        <f>'WAO Scenario Ag'!AE23</f>
        <v>0</v>
      </c>
      <c r="AF553" s="38">
        <v>264298.13384870189</v>
      </c>
      <c r="AG553" s="38">
        <v>520633.93324715138</v>
      </c>
      <c r="AH553" s="38">
        <v>769361.87263473251</v>
      </c>
      <c r="AI553" s="38">
        <v>1010815.693040224</v>
      </c>
      <c r="AJ553" s="38">
        <v>1245309.8961211501</v>
      </c>
      <c r="AK553" s="38">
        <v>1473141.1108468894</v>
      </c>
      <c r="AL553" s="38">
        <v>1694589.3453137057</v>
      </c>
      <c r="AM553" s="38">
        <v>1909919.13479971</v>
      </c>
      <c r="AN553" s="38">
        <v>2119380.5959568662</v>
      </c>
      <c r="AO553" s="38">
        <v>2323210.3959727613</v>
      </c>
      <c r="AP553" s="38">
        <v>2528030.7295535938</v>
      </c>
      <c r="AQ553" s="38">
        <v>3025243.1509060082</v>
      </c>
      <c r="AR553" s="38">
        <v>3914439.356290834</v>
      </c>
      <c r="AS553" s="38">
        <v>4710896.3697284199</v>
      </c>
      <c r="AT553" s="38">
        <v>5525197.0183615312</v>
      </c>
      <c r="AU553" s="38">
        <v>7231647.8086248199</v>
      </c>
      <c r="AV553" s="38">
        <v>10062408.411293173</v>
      </c>
      <c r="AW553" s="38">
        <v>13916648.357646741</v>
      </c>
      <c r="AX553" s="38">
        <v>14989749.552085569</v>
      </c>
      <c r="AY553" s="38">
        <v>16052595.374386443</v>
      </c>
      <c r="AZ553" s="38">
        <v>17105346.28058739</v>
      </c>
      <c r="BA553" s="38">
        <v>18148158.904882386</v>
      </c>
      <c r="BB553" s="38">
        <v>19181186.192052074</v>
      </c>
      <c r="BC553" s="38">
        <v>20204577.523639631</v>
      </c>
      <c r="BD553" s="38">
        <v>21218478.838245515</v>
      </c>
      <c r="BE553" s="38">
        <v>22223032.746287949</v>
      </c>
      <c r="BF553" s="38">
        <v>23218378.639551979</v>
      </c>
      <c r="BG553" s="38">
        <v>24204652.795827199</v>
      </c>
      <c r="BH553" s="38">
        <v>25181987.072291125</v>
      </c>
      <c r="BI553" s="38">
        <v>25064612.762262426</v>
      </c>
      <c r="BJ553" s="38">
        <v>24948435.012843952</v>
      </c>
      <c r="BK553" s="38">
        <v>24833433.107161608</v>
      </c>
      <c r="BL553" s="38">
        <v>24719586.874522451</v>
      </c>
      <c r="BM553" s="38">
        <v>24606876.670366194</v>
      </c>
      <c r="BN553" s="38">
        <v>24495283.357162248</v>
      </c>
      <c r="BO553" s="38">
        <v>24384788.286198508</v>
      </c>
      <c r="BP553" s="38">
        <v>24275373.280211478</v>
      </c>
      <c r="BQ553" s="38">
        <v>24167020.616810769</v>
      </c>
      <c r="BR553" s="38">
        <v>24059713.012653835</v>
      </c>
      <c r="BS553" s="38">
        <v>23953433.608330019</v>
      </c>
      <c r="BT553" s="38">
        <v>23848165.953915156</v>
      </c>
      <c r="BU553" s="38">
        <v>23743893.99516074</v>
      </c>
      <c r="BV553" s="38">
        <v>23640602.060283817</v>
      </c>
      <c r="BW553" s="38">
        <v>23538274.847325832</v>
      </c>
      <c r="BX553" s="38">
        <v>23436897.412050642</v>
      </c>
      <c r="BY553" s="38">
        <v>23336455.156353746</v>
      </c>
      <c r="BZ553" s="38">
        <v>23236933.81715643</v>
      </c>
      <c r="CA553" s="38">
        <v>23138319.455760162</v>
      </c>
      <c r="CB553" s="38">
        <v>23040598.447637934</v>
      </c>
      <c r="CC553" s="38">
        <v>22943757.472640749</v>
      </c>
      <c r="CD553" s="38">
        <v>22847783.505598642</v>
      </c>
      <c r="CE553" s="38">
        <v>22752663.807296842</v>
      </c>
      <c r="CF553" s="38">
        <v>22658385.915808756</v>
      </c>
      <c r="CG553" s="38">
        <v>22564937.638168637</v>
      </c>
      <c r="CH553" s="38">
        <v>22472307.042367555</v>
      </c>
      <c r="CI553" s="38">
        <v>22380482.449657399</v>
      </c>
      <c r="CJ553" s="38">
        <v>22289452.427148387</v>
      </c>
      <c r="CK553" s="38">
        <v>22199205.780686386</v>
      </c>
      <c r="CL553" s="38">
        <v>22109731.547997098</v>
      </c>
      <c r="CM553" s="38">
        <v>22021018.992084838</v>
      </c>
    </row>
    <row r="554" spans="1:91" s="37" customFormat="1" x14ac:dyDescent="0.25">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91" x14ac:dyDescent="0.25">
      <c r="A555" s="21" t="s">
        <v>22</v>
      </c>
      <c r="B555" s="4">
        <f>'WAO Scenario Ag'!B24</f>
        <v>0</v>
      </c>
      <c r="C555" s="4">
        <f>'WAO Scenario Ag'!C24</f>
        <v>0</v>
      </c>
      <c r="D555" s="4">
        <f>'WAO Scenario Ag'!D24</f>
        <v>0</v>
      </c>
      <c r="E555" s="4">
        <f>'WAO Scenario Ag'!E24</f>
        <v>0</v>
      </c>
      <c r="F555" s="4">
        <f>'WAO Scenario Ag'!F24</f>
        <v>0</v>
      </c>
      <c r="G555" s="4">
        <f>'WAO Scenario Ag'!G24</f>
        <v>0</v>
      </c>
      <c r="H555" s="4">
        <f>'WAO Scenario Ag'!H24</f>
        <v>0</v>
      </c>
      <c r="I555" s="4">
        <f>'WAO Scenario Ag'!I24</f>
        <v>0</v>
      </c>
      <c r="J555" s="4">
        <f>'WAO Scenario Ag'!J24</f>
        <v>0</v>
      </c>
      <c r="K555" s="4">
        <f>'WAO Scenario Ag'!K24</f>
        <v>0</v>
      </c>
      <c r="L555" s="4">
        <f>'WAO Scenario Ag'!L24</f>
        <v>0</v>
      </c>
      <c r="M555" s="4">
        <f>'WAO Scenario Ag'!M24</f>
        <v>0</v>
      </c>
      <c r="N555" s="4">
        <f>'WAO Scenario Ag'!N24</f>
        <v>0</v>
      </c>
      <c r="O555" s="4">
        <f>'WAO Scenario Ag'!O24</f>
        <v>0</v>
      </c>
      <c r="P555" s="4">
        <f>'WAO Scenario Ag'!P24</f>
        <v>0</v>
      </c>
      <c r="Q555" s="4">
        <f>'WAO Scenario Ag'!Q24</f>
        <v>0</v>
      </c>
      <c r="R555" s="4">
        <f>'WAO Scenario Ag'!R24</f>
        <v>0</v>
      </c>
      <c r="S555" s="4">
        <f>'WAO Scenario Ag'!S24</f>
        <v>0</v>
      </c>
      <c r="T555" s="4">
        <f>'WAO Scenario Ag'!T24</f>
        <v>0</v>
      </c>
      <c r="U555" s="4">
        <f>'WAO Scenario Ag'!U24</f>
        <v>0</v>
      </c>
      <c r="V555" s="4">
        <f>'WAO Scenario Ag'!V24</f>
        <v>0</v>
      </c>
      <c r="W555" s="4">
        <f>'WAO Scenario Ag'!W24</f>
        <v>0</v>
      </c>
      <c r="X555" s="4">
        <f>'WAO Scenario Ag'!X24</f>
        <v>0</v>
      </c>
      <c r="Y555" s="4">
        <f>'WAO Scenario Ag'!Y24</f>
        <v>0</v>
      </c>
      <c r="Z555" s="4">
        <f>'WAO Scenario Ag'!Z24</f>
        <v>0</v>
      </c>
      <c r="AA555" s="4">
        <f>'WAO Scenario Ag'!AA24</f>
        <v>0</v>
      </c>
      <c r="AB555" s="4">
        <f>'WAO Scenario Ag'!AB24</f>
        <v>0</v>
      </c>
      <c r="AC555" s="4">
        <f>'WAO Scenario Ag'!AC24</f>
        <v>0</v>
      </c>
      <c r="AD555" s="4">
        <f>'WAO Scenario Ag'!AD24</f>
        <v>0</v>
      </c>
      <c r="AE555" s="4">
        <f>'WAO Scenario Ag'!AE24</f>
        <v>0</v>
      </c>
      <c r="AF555" s="39">
        <v>777759.74624482286</v>
      </c>
      <c r="AG555" s="39">
        <v>1533792.1904538609</v>
      </c>
      <c r="AH555" s="39">
        <v>2269044.276230094</v>
      </c>
      <c r="AI555" s="39">
        <v>2984406.6930602789</v>
      </c>
      <c r="AJ555" s="39">
        <v>3680718.1010939237</v>
      </c>
      <c r="AK555" s="39">
        <v>4358768.9738319088</v>
      </c>
      <c r="AL555" s="39">
        <v>5019305.098966619</v>
      </c>
      <c r="AM555" s="39">
        <v>5663030.772797944</v>
      </c>
      <c r="AN555" s="39">
        <v>6290611.7194757117</v>
      </c>
      <c r="AO555" s="39">
        <v>6902677.7626944361</v>
      </c>
      <c r="AP555" s="39">
        <v>7508541.5116121201</v>
      </c>
      <c r="AQ555" s="39">
        <v>8605931.4565988872</v>
      </c>
      <c r="AR555" s="39">
        <v>10082151.800710507</v>
      </c>
      <c r="AS555" s="39">
        <v>10285869.821985975</v>
      </c>
      <c r="AT555" s="39">
        <v>12902610.85683178</v>
      </c>
      <c r="AU555" s="39">
        <v>17390371.995686293</v>
      </c>
      <c r="AV555" s="39">
        <v>22066463.194527514</v>
      </c>
      <c r="AW555" s="39">
        <v>30990901.786748089</v>
      </c>
      <c r="AX555" s="39">
        <v>35552080.06755881</v>
      </c>
      <c r="AY555" s="39">
        <v>40030396.551835775</v>
      </c>
      <c r="AZ555" s="39">
        <v>44428125.276055232</v>
      </c>
      <c r="BA555" s="39">
        <v>48747456.841562301</v>
      </c>
      <c r="BB555" s="39">
        <v>52990502.245586351</v>
      </c>
      <c r="BC555" s="39">
        <v>57159296.501211599</v>
      </c>
      <c r="BD555" s="39">
        <v>61255802.059848338</v>
      </c>
      <c r="BE555" s="39">
        <v>65281912.04875882</v>
      </c>
      <c r="BF555" s="39">
        <v>69239453.335282221</v>
      </c>
      <c r="BG555" s="39">
        <v>73130189.428567305</v>
      </c>
      <c r="BH555" s="39">
        <v>76955814.75744161</v>
      </c>
      <c r="BI555" s="39">
        <v>76318164.428839087</v>
      </c>
      <c r="BJ555" s="39">
        <v>75691155.723274812</v>
      </c>
      <c r="BK555" s="39">
        <v>75074521.600511879</v>
      </c>
      <c r="BL555" s="39">
        <v>74468003.965958089</v>
      </c>
      <c r="BM555" s="39">
        <v>73871353.296032876</v>
      </c>
      <c r="BN555" s="39">
        <v>73284328.282345057</v>
      </c>
      <c r="BO555" s="39">
        <v>72706695.493581548</v>
      </c>
      <c r="BP555" s="39">
        <v>72138229.054080173</v>
      </c>
      <c r="BQ555" s="39">
        <v>71578710.338127732</v>
      </c>
      <c r="BR555" s="39">
        <v>71027927.679087177</v>
      </c>
      <c r="BS555" s="39">
        <v>70485676.092516273</v>
      </c>
      <c r="BT555" s="39">
        <v>69951757.012493655</v>
      </c>
      <c r="BU555" s="39">
        <v>69425978.04041858</v>
      </c>
      <c r="BV555" s="39">
        <v>68908152.705597222</v>
      </c>
      <c r="BW555" s="39">
        <v>68398100.236971125</v>
      </c>
      <c r="BX555" s="39">
        <v>67895645.345384061</v>
      </c>
      <c r="BY555" s="39">
        <v>67400618.015820414</v>
      </c>
      <c r="BZ555" s="39">
        <v>66912853.309083536</v>
      </c>
      <c r="CA555" s="39">
        <v>66432191.172413953</v>
      </c>
      <c r="CB555" s="39">
        <v>65958476.258578815</v>
      </c>
      <c r="CC555" s="39">
        <v>65491557.75299038</v>
      </c>
      <c r="CD555" s="39">
        <v>65031289.208439164</v>
      </c>
      <c r="CE555" s="39">
        <v>64577528.387050763</v>
      </c>
      <c r="CF555" s="39">
        <v>64130137.109098673</v>
      </c>
      <c r="CG555" s="39">
        <v>63688981.108326808</v>
      </c>
      <c r="CH555" s="39">
        <v>63253929.893454954</v>
      </c>
      <c r="CI555" s="39">
        <v>62824856.615559742</v>
      </c>
      <c r="CJ555" s="39">
        <v>62401637.941040576</v>
      </c>
      <c r="CK555" s="39">
        <v>61984153.929896623</v>
      </c>
      <c r="CL555" s="39">
        <v>61572287.919056296</v>
      </c>
      <c r="CM555" s="39">
        <v>61165926.410514846</v>
      </c>
    </row>
    <row r="557" spans="1:91" x14ac:dyDescent="0.25">
      <c r="A557" s="50" t="s">
        <v>140</v>
      </c>
      <c r="B557" s="4">
        <v>0</v>
      </c>
      <c r="C557" s="4">
        <v>0</v>
      </c>
      <c r="D557" s="4">
        <v>0</v>
      </c>
      <c r="E557" s="4">
        <v>0</v>
      </c>
      <c r="F557" s="4">
        <v>0</v>
      </c>
      <c r="G557" s="4">
        <v>0</v>
      </c>
      <c r="H557" s="4">
        <v>0</v>
      </c>
      <c r="I557" s="4">
        <v>0</v>
      </c>
      <c r="J557" s="4">
        <v>0</v>
      </c>
      <c r="K557" s="4">
        <v>0</v>
      </c>
      <c r="L557" s="4">
        <v>0</v>
      </c>
      <c r="M557" s="4">
        <v>0</v>
      </c>
      <c r="N557" s="4">
        <v>0</v>
      </c>
      <c r="O557" s="4">
        <v>0</v>
      </c>
      <c r="P557" s="4">
        <v>0</v>
      </c>
      <c r="Q557" s="4">
        <v>0</v>
      </c>
      <c r="R557" s="4">
        <v>0</v>
      </c>
      <c r="S557" s="4">
        <v>0</v>
      </c>
      <c r="T557" s="4">
        <v>0</v>
      </c>
      <c r="U557" s="4">
        <v>0</v>
      </c>
      <c r="V557" s="4">
        <v>0</v>
      </c>
      <c r="W557" s="4">
        <v>0</v>
      </c>
      <c r="X557" s="4">
        <v>0</v>
      </c>
      <c r="Y557" s="4">
        <v>0</v>
      </c>
      <c r="Z557" s="4">
        <v>0</v>
      </c>
      <c r="AA557" s="4">
        <v>0</v>
      </c>
      <c r="AB557" s="4">
        <v>0</v>
      </c>
      <c r="AC557" s="4">
        <v>0</v>
      </c>
      <c r="AD557" s="4">
        <v>0</v>
      </c>
      <c r="AE557" s="4">
        <v>0</v>
      </c>
      <c r="AF557" s="51">
        <v>228998155.04313761</v>
      </c>
      <c r="AG557" s="51">
        <v>233058634.43385839</v>
      </c>
      <c r="AH557" s="51">
        <v>237061644.70658824</v>
      </c>
      <c r="AI557" s="51">
        <v>241018083.6722872</v>
      </c>
      <c r="AJ557" s="51">
        <v>244936682.18806702</v>
      </c>
      <c r="AK557" s="51">
        <v>248816321.01254091</v>
      </c>
      <c r="AL557" s="51">
        <v>252654081.60586315</v>
      </c>
      <c r="AM557" s="51">
        <v>256461954.9229618</v>
      </c>
      <c r="AN557" s="51">
        <v>260256079.29425687</v>
      </c>
      <c r="AO557" s="51">
        <v>264048153.03416434</v>
      </c>
      <c r="AP557" s="51">
        <v>267843132.28375947</v>
      </c>
      <c r="AQ557" s="51">
        <v>271640094.23171735</v>
      </c>
      <c r="AR557" s="51">
        <v>275439021.94731218</v>
      </c>
      <c r="AS557" s="51">
        <v>279238533.40486568</v>
      </c>
      <c r="AT557" s="51">
        <v>283036329.51120669</v>
      </c>
      <c r="AU557" s="51">
        <v>286831470.9378953</v>
      </c>
      <c r="AV557" s="51">
        <v>290625299.63823068</v>
      </c>
      <c r="AW557" s="51">
        <v>294419621.89613008</v>
      </c>
      <c r="AX557" s="51">
        <v>298216252.53837276</v>
      </c>
      <c r="AY557" s="51">
        <v>302014723.37138748</v>
      </c>
      <c r="AZ557" s="51">
        <v>305815023.49532551</v>
      </c>
      <c r="BA557" s="51">
        <v>309611174.00232959</v>
      </c>
      <c r="BB557" s="51">
        <v>313394876.20856977</v>
      </c>
      <c r="BC557" s="51">
        <v>317154582.27423209</v>
      </c>
      <c r="BD557" s="51">
        <v>320880546.41676867</v>
      </c>
      <c r="BE557" s="51">
        <v>324568982.15463597</v>
      </c>
      <c r="BF557" s="51">
        <v>328215633.1104517</v>
      </c>
      <c r="BG557" s="51">
        <v>331813463.60197735</v>
      </c>
      <c r="BH557" s="51">
        <v>335354495.49574143</v>
      </c>
      <c r="BI557" s="51">
        <v>338830730.03380775</v>
      </c>
      <c r="BJ557" s="51">
        <v>342240163.97941166</v>
      </c>
      <c r="BK557" s="51">
        <v>345579868.03829932</v>
      </c>
      <c r="BL557" s="51">
        <v>348847836.98970526</v>
      </c>
      <c r="BM557" s="51">
        <v>352045312.11589605</v>
      </c>
      <c r="BN557" s="51">
        <v>355171223.84677362</v>
      </c>
      <c r="BO557" s="51">
        <v>358224505.15523028</v>
      </c>
      <c r="BP557" s="51">
        <v>361205020.97895902</v>
      </c>
      <c r="BQ557" s="51">
        <v>364114501.51726294</v>
      </c>
      <c r="BR557" s="51">
        <v>366955617.5271526</v>
      </c>
      <c r="BS557" s="51">
        <v>369730585.84244353</v>
      </c>
      <c r="BT557" s="51">
        <v>372439303.22813439</v>
      </c>
      <c r="BU557" s="51">
        <v>375083535.35892826</v>
      </c>
      <c r="BV557" s="51">
        <v>377665056.08313751</v>
      </c>
      <c r="BW557" s="51">
        <v>380189382.34662229</v>
      </c>
      <c r="BX557" s="51">
        <v>382658777.34150857</v>
      </c>
      <c r="BY557" s="51">
        <v>385075044.84745979</v>
      </c>
      <c r="BZ557" s="51">
        <v>387435317.7683419</v>
      </c>
      <c r="CA557" s="51">
        <v>389738128.58407861</v>
      </c>
      <c r="CB557" s="51">
        <v>391979667.23471695</v>
      </c>
      <c r="CC557" s="51">
        <v>394157054.45857108</v>
      </c>
      <c r="CD557" s="51">
        <v>396266469.3979665</v>
      </c>
      <c r="CE557" s="51">
        <v>398308306.88806152</v>
      </c>
      <c r="CF557" s="51">
        <v>400279210.6507653</v>
      </c>
      <c r="CG557" s="51">
        <v>402179106.67120349</v>
      </c>
      <c r="CH557" s="51">
        <v>404006044.06966352</v>
      </c>
      <c r="CI557" s="51">
        <v>405756190.25102782</v>
      </c>
      <c r="CJ557" s="51">
        <v>407425707.3581515</v>
      </c>
      <c r="CK557" s="51">
        <v>409009811.47278881</v>
      </c>
      <c r="CL557" s="51">
        <v>410502770.53611022</v>
      </c>
      <c r="CM557" s="51">
        <v>411896489.50914985</v>
      </c>
    </row>
    <row r="558" spans="1:91" s="50" customFormat="1" x14ac:dyDescent="0.25">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c r="BN558" s="51"/>
      <c r="BO558" s="51"/>
      <c r="BP558" s="51"/>
      <c r="BQ558" s="51"/>
      <c r="BR558" s="51"/>
      <c r="BS558" s="51"/>
      <c r="BT558" s="51"/>
      <c r="BU558" s="51"/>
      <c r="BV558" s="51"/>
      <c r="BW558" s="51"/>
      <c r="BX558" s="51"/>
      <c r="BY558" s="51"/>
      <c r="BZ558" s="51"/>
      <c r="CA558" s="51"/>
      <c r="CB558" s="51"/>
      <c r="CC558" s="51"/>
      <c r="CD558" s="51"/>
      <c r="CE558" s="51"/>
      <c r="CF558" s="51"/>
      <c r="CG558" s="51"/>
      <c r="CH558" s="51"/>
      <c r="CI558" s="51"/>
      <c r="CJ558" s="51"/>
      <c r="CK558" s="51"/>
      <c r="CL558" s="51"/>
      <c r="CM558" s="51"/>
    </row>
    <row r="559" spans="1:91" x14ac:dyDescent="0.25">
      <c r="A559" s="50" t="s">
        <v>141</v>
      </c>
      <c r="B559" s="4">
        <v>0</v>
      </c>
      <c r="C559" s="4">
        <v>0</v>
      </c>
      <c r="D559" s="4">
        <v>0</v>
      </c>
      <c r="E559" s="4">
        <v>0</v>
      </c>
      <c r="F559" s="4">
        <v>0</v>
      </c>
      <c r="G559" s="4">
        <v>0</v>
      </c>
      <c r="H559" s="4">
        <v>0</v>
      </c>
      <c r="I559" s="4">
        <v>0</v>
      </c>
      <c r="J559" s="4">
        <v>0</v>
      </c>
      <c r="K559" s="4">
        <v>0</v>
      </c>
      <c r="L559" s="4">
        <v>0</v>
      </c>
      <c r="M559" s="4">
        <v>0</v>
      </c>
      <c r="N559" s="4">
        <v>0</v>
      </c>
      <c r="O559" s="4">
        <v>0</v>
      </c>
      <c r="P559" s="4">
        <v>0</v>
      </c>
      <c r="Q559" s="4">
        <v>0</v>
      </c>
      <c r="R559" s="4">
        <v>0</v>
      </c>
      <c r="S559" s="4">
        <v>0</v>
      </c>
      <c r="T559" s="4">
        <v>0</v>
      </c>
      <c r="U559" s="4">
        <v>0</v>
      </c>
      <c r="V559" s="4">
        <v>0</v>
      </c>
      <c r="W559" s="4">
        <v>0</v>
      </c>
      <c r="X559" s="4">
        <v>0</v>
      </c>
      <c r="Y559" s="4">
        <v>0</v>
      </c>
      <c r="Z559" s="4">
        <v>0</v>
      </c>
      <c r="AA559" s="4">
        <v>0</v>
      </c>
      <c r="AB559" s="4">
        <v>0</v>
      </c>
      <c r="AC559" s="4">
        <v>0</v>
      </c>
      <c r="AD559" s="4">
        <v>0</v>
      </c>
      <c r="AE559" s="4">
        <v>0</v>
      </c>
      <c r="AF559" s="51">
        <v>434517207.23765045</v>
      </c>
      <c r="AG559" s="51">
        <v>437678103.72527051</v>
      </c>
      <c r="AH559" s="51">
        <v>440710661.85471332</v>
      </c>
      <c r="AI559" s="51">
        <v>443639048.36053491</v>
      </c>
      <c r="AJ559" s="51">
        <v>446482466.16974133</v>
      </c>
      <c r="AK559" s="51">
        <v>449241542.00268257</v>
      </c>
      <c r="AL559" s="51">
        <v>451913611.70838225</v>
      </c>
      <c r="AM559" s="51">
        <v>454522485.33533627</v>
      </c>
      <c r="AN559" s="51">
        <v>457098353.499551</v>
      </c>
      <c r="AO559" s="51">
        <v>459662577.122096</v>
      </c>
      <c r="AP559" s="51">
        <v>462224122.59411931</v>
      </c>
      <c r="AQ559" s="51">
        <v>464781584.14195418</v>
      </c>
      <c r="AR559" s="51">
        <v>467335136.95061332</v>
      </c>
      <c r="AS559" s="51">
        <v>469882649.68577302</v>
      </c>
      <c r="AT559" s="51">
        <v>472420525.8071245</v>
      </c>
      <c r="AU559" s="51">
        <v>474947530.44629419</v>
      </c>
      <c r="AV559" s="51">
        <v>477466209.57306647</v>
      </c>
      <c r="AW559" s="51">
        <v>479979781.77901405</v>
      </c>
      <c r="AX559" s="51">
        <v>482491377.26135021</v>
      </c>
      <c r="AY559" s="51">
        <v>485000363.36885852</v>
      </c>
      <c r="AZ559" s="51">
        <v>487506852.88404071</v>
      </c>
      <c r="BA559" s="51">
        <v>490001507.89758158</v>
      </c>
      <c r="BB559" s="51">
        <v>492471607.96811974</v>
      </c>
      <c r="BC559" s="51">
        <v>494899712.31598943</v>
      </c>
      <c r="BD559" s="51">
        <v>497271642.48691213</v>
      </c>
      <c r="BE559" s="51">
        <v>499582760.81130683</v>
      </c>
      <c r="BF559" s="51">
        <v>501827814.58196247</v>
      </c>
      <c r="BG559" s="51">
        <v>503997446.25357401</v>
      </c>
      <c r="BH559" s="51">
        <v>506081095.72446728</v>
      </c>
      <c r="BI559" s="51">
        <v>508068416.29772025</v>
      </c>
      <c r="BJ559" s="51">
        <v>509958227.28505367</v>
      </c>
      <c r="BK559" s="51">
        <v>511747975.81313396</v>
      </c>
      <c r="BL559" s="51">
        <v>513436501.72246927</v>
      </c>
      <c r="BM559" s="51">
        <v>515027392.64244318</v>
      </c>
      <c r="BN559" s="51">
        <v>516520761.33645117</v>
      </c>
      <c r="BO559" s="51">
        <v>517916694.25511312</v>
      </c>
      <c r="BP559" s="51">
        <v>519216588.91021633</v>
      </c>
      <c r="BQ559" s="51">
        <v>520424451.1532777</v>
      </c>
      <c r="BR559" s="51">
        <v>521545508.98477477</v>
      </c>
      <c r="BS559" s="51">
        <v>522584210.09603959</v>
      </c>
      <c r="BT559" s="51">
        <v>523541622.67648792</v>
      </c>
      <c r="BU559" s="51">
        <v>524421385.50791109</v>
      </c>
      <c r="BV559" s="51">
        <v>525227052.79839367</v>
      </c>
      <c r="BW559" s="51">
        <v>525967265.32695353</v>
      </c>
      <c r="BX559" s="51">
        <v>526645991.10787654</v>
      </c>
      <c r="BY559" s="51">
        <v>527266474.6446979</v>
      </c>
      <c r="BZ559" s="51">
        <v>527825519.48995107</v>
      </c>
      <c r="CA559" s="51">
        <v>528321878.93386966</v>
      </c>
      <c r="CB559" s="51">
        <v>528751159.27648157</v>
      </c>
      <c r="CC559" s="51">
        <v>529110289.94931257</v>
      </c>
      <c r="CD559" s="51">
        <v>529394988.97821045</v>
      </c>
      <c r="CE559" s="51">
        <v>529606648.06587434</v>
      </c>
      <c r="CF559" s="51">
        <v>529741655.28390342</v>
      </c>
      <c r="CG559" s="51">
        <v>529800776.47629583</v>
      </c>
      <c r="CH559" s="51">
        <v>529782289.20780897</v>
      </c>
      <c r="CI559" s="51">
        <v>529682032.95351434</v>
      </c>
      <c r="CJ559" s="51">
        <v>529495901.63556987</v>
      </c>
      <c r="CK559" s="51">
        <v>529218623.97169673</v>
      </c>
      <c r="CL559" s="51">
        <v>528843784.99196708</v>
      </c>
      <c r="CM559" s="51">
        <v>528362034.23500472</v>
      </c>
    </row>
    <row r="560" spans="1:91" s="50" customFormat="1" x14ac:dyDescent="0.25">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c r="BN560" s="51"/>
      <c r="BO560" s="51"/>
      <c r="BP560" s="51"/>
      <c r="BQ560" s="51"/>
      <c r="BR560" s="51"/>
      <c r="BS560" s="51"/>
      <c r="BT560" s="51"/>
      <c r="BU560" s="51"/>
      <c r="BV560" s="51"/>
      <c r="BW560" s="51"/>
      <c r="BX560" s="51"/>
      <c r="BY560" s="51"/>
      <c r="BZ560" s="51"/>
      <c r="CA560" s="51"/>
      <c r="CB560" s="51"/>
      <c r="CC560" s="51"/>
      <c r="CD560" s="51"/>
      <c r="CE560" s="51"/>
      <c r="CF560" s="51"/>
      <c r="CG560" s="51"/>
      <c r="CH560" s="51"/>
      <c r="CI560" s="51"/>
      <c r="CJ560" s="51"/>
      <c r="CK560" s="51"/>
      <c r="CL560" s="51"/>
      <c r="CM560" s="51"/>
    </row>
    <row r="561" spans="1:91" x14ac:dyDescent="0.25">
      <c r="A561" s="50" t="s">
        <v>142</v>
      </c>
      <c r="B561" s="4">
        <v>0</v>
      </c>
      <c r="C561" s="4">
        <v>0</v>
      </c>
      <c r="D561" s="4">
        <v>0</v>
      </c>
      <c r="E561" s="4">
        <v>0</v>
      </c>
      <c r="F561" s="4">
        <v>0</v>
      </c>
      <c r="G561" s="4">
        <v>0</v>
      </c>
      <c r="H561" s="4">
        <v>0</v>
      </c>
      <c r="I561" s="4">
        <v>0</v>
      </c>
      <c r="J561" s="4">
        <v>0</v>
      </c>
      <c r="K561" s="4">
        <v>0</v>
      </c>
      <c r="L561" s="4">
        <v>0</v>
      </c>
      <c r="M561" s="4">
        <v>0</v>
      </c>
      <c r="N561" s="4">
        <v>0</v>
      </c>
      <c r="O561" s="4">
        <v>0</v>
      </c>
      <c r="P561" s="4">
        <v>0</v>
      </c>
      <c r="Q561" s="4">
        <v>0</v>
      </c>
      <c r="R561" s="4">
        <v>0</v>
      </c>
      <c r="S561" s="4">
        <v>0</v>
      </c>
      <c r="T561" s="4">
        <v>0</v>
      </c>
      <c r="U561" s="4">
        <v>0</v>
      </c>
      <c r="V561" s="4">
        <v>0</v>
      </c>
      <c r="W561" s="4">
        <v>0</v>
      </c>
      <c r="X561" s="4">
        <v>0</v>
      </c>
      <c r="Y561" s="4">
        <v>0</v>
      </c>
      <c r="Z561" s="4">
        <v>0</v>
      </c>
      <c r="AA561" s="4">
        <v>0</v>
      </c>
      <c r="AB561" s="4">
        <v>0</v>
      </c>
      <c r="AC561" s="4">
        <v>0</v>
      </c>
      <c r="AD561" s="4">
        <v>0</v>
      </c>
      <c r="AE561" s="4">
        <v>0</v>
      </c>
      <c r="AF561" s="51">
        <v>138015662.14838493</v>
      </c>
      <c r="AG561" s="51">
        <v>140971451.63206556</v>
      </c>
      <c r="AH561" s="51">
        <v>143894764.19500524</v>
      </c>
      <c r="AI561" s="51">
        <v>146791777.42366695</v>
      </c>
      <c r="AJ561" s="51">
        <v>149667458.2659291</v>
      </c>
      <c r="AK561" s="51">
        <v>152520824.31424612</v>
      </c>
      <c r="AL561" s="51">
        <v>155349794.94158542</v>
      </c>
      <c r="AM561" s="51">
        <v>158161478.64670011</v>
      </c>
      <c r="AN561" s="51">
        <v>160965650.17750847</v>
      </c>
      <c r="AO561" s="51">
        <v>163769453.63252231</v>
      </c>
      <c r="AP561" s="51">
        <v>166575925.0396373</v>
      </c>
      <c r="AQ561" s="51">
        <v>169384469.58581468</v>
      </c>
      <c r="AR561" s="51">
        <v>172195053.86345577</v>
      </c>
      <c r="AS561" s="51">
        <v>175006789.97687939</v>
      </c>
      <c r="AT561" s="51">
        <v>177818206.55104876</v>
      </c>
      <c r="AU561" s="51">
        <v>180628676.18146622</v>
      </c>
      <c r="AV561" s="51">
        <v>183439007.6932562</v>
      </c>
      <c r="AW561" s="51">
        <v>186250313.08957738</v>
      </c>
      <c r="AX561" s="51">
        <v>189063721.23029906</v>
      </c>
      <c r="AY561" s="51">
        <v>191878921.3150422</v>
      </c>
      <c r="AZ561" s="51">
        <v>194695891.83630201</v>
      </c>
      <c r="BA561" s="51">
        <v>197510804.72168955</v>
      </c>
      <c r="BB561" s="51">
        <v>200318319.71262804</v>
      </c>
      <c r="BC561" s="51">
        <v>203110976.58999878</v>
      </c>
      <c r="BD561" s="51">
        <v>205882418.79784504</v>
      </c>
      <c r="BE561" s="51">
        <v>208630079.16447529</v>
      </c>
      <c r="BF561" s="51">
        <v>211351076.35892287</v>
      </c>
      <c r="BG561" s="51">
        <v>214040723.16074181</v>
      </c>
      <c r="BH561" s="51">
        <v>216693698.7831164</v>
      </c>
      <c r="BI561" s="51">
        <v>219304641.74316603</v>
      </c>
      <c r="BJ561" s="51">
        <v>221872051.41167974</v>
      </c>
      <c r="BK561" s="51">
        <v>224393825.94109485</v>
      </c>
      <c r="BL561" s="51">
        <v>226868460.78738198</v>
      </c>
      <c r="BM561" s="51">
        <v>229296566.13225579</v>
      </c>
      <c r="BN561" s="51">
        <v>231677257.57922837</v>
      </c>
      <c r="BO561" s="51">
        <v>234009655.74963382</v>
      </c>
      <c r="BP561" s="51">
        <v>236293494.13941416</v>
      </c>
      <c r="BQ561" s="51">
        <v>238529734.62206981</v>
      </c>
      <c r="BR561" s="51">
        <v>240719968.90117711</v>
      </c>
      <c r="BS561" s="51">
        <v>242865506.03814849</v>
      </c>
      <c r="BT561" s="51">
        <v>244966142.33036658</v>
      </c>
      <c r="BU561" s="51">
        <v>247022909.65114573</v>
      </c>
      <c r="BV561" s="51">
        <v>249036856.00192246</v>
      </c>
      <c r="BW561" s="51">
        <v>251011510.9507997</v>
      </c>
      <c r="BX561" s="51">
        <v>252948275.03310764</v>
      </c>
      <c r="BY561" s="51">
        <v>254848255.31062049</v>
      </c>
      <c r="BZ561" s="51">
        <v>256709472.66469732</v>
      </c>
      <c r="CA561" s="51">
        <v>258530870.50267002</v>
      </c>
      <c r="CB561" s="51">
        <v>260309835.12809053</v>
      </c>
      <c r="CC561" s="51">
        <v>262044363.41732565</v>
      </c>
      <c r="CD561" s="51">
        <v>263731820.36793211</v>
      </c>
      <c r="CE561" s="51">
        <v>265372372.02995175</v>
      </c>
      <c r="CF561" s="51">
        <v>266963687.07021993</v>
      </c>
      <c r="CG561" s="51">
        <v>268505619.44307661</v>
      </c>
      <c r="CH561" s="51">
        <v>269996771.82989544</v>
      </c>
      <c r="CI561" s="51">
        <v>271434486.06799191</v>
      </c>
      <c r="CJ561" s="51">
        <v>272816093.61167437</v>
      </c>
      <c r="CK561" s="51">
        <v>274138285.22591507</v>
      </c>
      <c r="CL561" s="51">
        <v>275397106.88311285</v>
      </c>
      <c r="CM561" s="51">
        <v>276587007.11929613</v>
      </c>
    </row>
    <row r="562" spans="1:91" s="50" customFormat="1" x14ac:dyDescent="0.25">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1"/>
      <c r="BN562" s="51"/>
      <c r="BO562" s="51"/>
      <c r="BP562" s="51"/>
      <c r="BQ562" s="51"/>
      <c r="BR562" s="51"/>
      <c r="BS562" s="51"/>
      <c r="BT562" s="51"/>
      <c r="BU562" s="51"/>
      <c r="BV562" s="51"/>
      <c r="BW562" s="51"/>
      <c r="BX562" s="51"/>
      <c r="BY562" s="51"/>
      <c r="BZ562" s="51"/>
      <c r="CA562" s="51"/>
      <c r="CB562" s="51"/>
      <c r="CC562" s="51"/>
      <c r="CD562" s="51"/>
      <c r="CE562" s="51"/>
      <c r="CF562" s="51"/>
      <c r="CG562" s="51"/>
      <c r="CH562" s="51"/>
      <c r="CI562" s="51"/>
      <c r="CJ562" s="51"/>
      <c r="CK562" s="51"/>
      <c r="CL562" s="51"/>
      <c r="CM562" s="51"/>
    </row>
    <row r="563" spans="1:91" x14ac:dyDescent="0.25">
      <c r="A563" s="50" t="s">
        <v>143</v>
      </c>
      <c r="B563" s="4">
        <v>0</v>
      </c>
      <c r="C563" s="4">
        <v>0</v>
      </c>
      <c r="D563" s="4">
        <v>0</v>
      </c>
      <c r="E563" s="4">
        <v>0</v>
      </c>
      <c r="F563" s="4">
        <v>0</v>
      </c>
      <c r="G563" s="4">
        <v>0</v>
      </c>
      <c r="H563" s="4">
        <v>0</v>
      </c>
      <c r="I563" s="4">
        <v>0</v>
      </c>
      <c r="J563" s="4">
        <v>0</v>
      </c>
      <c r="K563" s="4">
        <v>0</v>
      </c>
      <c r="L563" s="4">
        <v>0</v>
      </c>
      <c r="M563" s="4">
        <v>0</v>
      </c>
      <c r="N563" s="4">
        <v>0</v>
      </c>
      <c r="O563" s="4">
        <v>0</v>
      </c>
      <c r="P563" s="4">
        <v>0</v>
      </c>
      <c r="Q563" s="4">
        <v>0</v>
      </c>
      <c r="R563" s="4">
        <v>0</v>
      </c>
      <c r="S563" s="4">
        <v>0</v>
      </c>
      <c r="T563" s="4">
        <v>0</v>
      </c>
      <c r="U563" s="4">
        <v>0</v>
      </c>
      <c r="V563" s="4">
        <v>0</v>
      </c>
      <c r="W563" s="4">
        <v>0</v>
      </c>
      <c r="X563" s="4">
        <v>0</v>
      </c>
      <c r="Y563" s="4">
        <v>0</v>
      </c>
      <c r="Z563" s="4">
        <v>0</v>
      </c>
      <c r="AA563" s="4">
        <v>0</v>
      </c>
      <c r="AB563" s="4">
        <v>0</v>
      </c>
      <c r="AC563" s="4">
        <v>0</v>
      </c>
      <c r="AD563" s="4">
        <v>0</v>
      </c>
      <c r="AE563" s="4">
        <v>0</v>
      </c>
      <c r="AF563" s="51">
        <v>26993342.672769394</v>
      </c>
      <c r="AG563" s="51">
        <v>27312827.364291131</v>
      </c>
      <c r="AH563" s="51">
        <v>27624862.107576944</v>
      </c>
      <c r="AI563" s="51">
        <v>27930853.676579461</v>
      </c>
      <c r="AJ563" s="51">
        <v>28231923.569256835</v>
      </c>
      <c r="AK563" s="51">
        <v>28528036.190378264</v>
      </c>
      <c r="AL563" s="51">
        <v>28818948.167659882</v>
      </c>
      <c r="AM563" s="51">
        <v>29106109.986599173</v>
      </c>
      <c r="AN563" s="51">
        <v>29391408.856316119</v>
      </c>
      <c r="AO563" s="51">
        <v>29676194.433694493</v>
      </c>
      <c r="AP563" s="51">
        <v>29961035.595752832</v>
      </c>
      <c r="AQ563" s="51">
        <v>30245835.657390807</v>
      </c>
      <c r="AR563" s="51">
        <v>30530599.884075068</v>
      </c>
      <c r="AS563" s="51">
        <v>30815182.566656645</v>
      </c>
      <c r="AT563" s="51">
        <v>31099339.524552416</v>
      </c>
      <c r="AU563" s="51">
        <v>31382979.209494717</v>
      </c>
      <c r="AV563" s="51">
        <v>31666259.793166675</v>
      </c>
      <c r="AW563" s="51">
        <v>31949386.88013725</v>
      </c>
      <c r="AX563" s="51">
        <v>32232563.418140974</v>
      </c>
      <c r="AY563" s="51">
        <v>32515743.175671726</v>
      </c>
      <c r="AZ563" s="51">
        <v>32798929.542588685</v>
      </c>
      <c r="BA563" s="51">
        <v>33081488.042981524</v>
      </c>
      <c r="BB563" s="51">
        <v>33362546.452718519</v>
      </c>
      <c r="BC563" s="51">
        <v>33640900.157215677</v>
      </c>
      <c r="BD563" s="51">
        <v>33915551.460947938</v>
      </c>
      <c r="BE563" s="51">
        <v>34186143.242045641</v>
      </c>
      <c r="BF563" s="51">
        <v>34452272.676537551</v>
      </c>
      <c r="BG563" s="51">
        <v>34713250.266005665</v>
      </c>
      <c r="BH563" s="51">
        <v>34968295.934952945</v>
      </c>
      <c r="BI563" s="51">
        <v>35216636.022104867</v>
      </c>
      <c r="BJ563" s="51">
        <v>35458126.175346613</v>
      </c>
      <c r="BK563" s="51">
        <v>35692526.367022566</v>
      </c>
      <c r="BL563" s="51">
        <v>35919692.862043485</v>
      </c>
      <c r="BM563" s="51">
        <v>36139815.140843578</v>
      </c>
      <c r="BN563" s="51">
        <v>36352842.160390802</v>
      </c>
      <c r="BO563" s="51">
        <v>36558722.086780399</v>
      </c>
      <c r="BP563" s="51">
        <v>36757496.924472019</v>
      </c>
      <c r="BQ563" s="51">
        <v>36949395.940395631</v>
      </c>
      <c r="BR563" s="51">
        <v>37134739.567446478</v>
      </c>
      <c r="BS563" s="51">
        <v>37313797.568917789</v>
      </c>
      <c r="BT563" s="51">
        <v>37486602.050956726</v>
      </c>
      <c r="BU563" s="51">
        <v>37653371.247623548</v>
      </c>
      <c r="BV563" s="51">
        <v>37814320.85098011</v>
      </c>
      <c r="BW563" s="51">
        <v>37970037.167408369</v>
      </c>
      <c r="BX563" s="51">
        <v>38120775.542737991</v>
      </c>
      <c r="BY563" s="51">
        <v>38266742.360363558</v>
      </c>
      <c r="BZ563" s="51">
        <v>38407678.248975933</v>
      </c>
      <c r="CA563" s="51">
        <v>38543464.088236861</v>
      </c>
      <c r="CB563" s="51">
        <v>38673750.08917512</v>
      </c>
      <c r="CC563" s="51">
        <v>38798280.663976625</v>
      </c>
      <c r="CD563" s="51">
        <v>38916709.381768711</v>
      </c>
      <c r="CE563" s="51">
        <v>39029105.28856799</v>
      </c>
      <c r="CF563" s="51">
        <v>39135169.308960594</v>
      </c>
      <c r="CG563" s="51">
        <v>39234924.461617015</v>
      </c>
      <c r="CH563" s="51">
        <v>39328210.111348033</v>
      </c>
      <c r="CI563" s="51">
        <v>39414683.477632321</v>
      </c>
      <c r="CJ563" s="51">
        <v>39494003.416443065</v>
      </c>
      <c r="CK563" s="51">
        <v>39565739.329347409</v>
      </c>
      <c r="CL563" s="51">
        <v>39629371.810227692</v>
      </c>
      <c r="CM563" s="51">
        <v>39684157.141267501</v>
      </c>
    </row>
    <row r="564" spans="1:91" s="50" customFormat="1" x14ac:dyDescent="0.25">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1"/>
      <c r="BN564" s="51"/>
      <c r="BO564" s="51"/>
      <c r="BP564" s="51"/>
      <c r="BQ564" s="51"/>
      <c r="BR564" s="51"/>
      <c r="BS564" s="51"/>
      <c r="BT564" s="51"/>
      <c r="BU564" s="51"/>
      <c r="BV564" s="51"/>
      <c r="BW564" s="51"/>
      <c r="BX564" s="51"/>
      <c r="BY564" s="51"/>
      <c r="BZ564" s="51"/>
      <c r="CA564" s="51"/>
      <c r="CB564" s="51"/>
      <c r="CC564" s="51"/>
      <c r="CD564" s="51"/>
      <c r="CE564" s="51"/>
      <c r="CF564" s="51"/>
      <c r="CG564" s="51"/>
      <c r="CH564" s="51"/>
      <c r="CI564" s="51"/>
      <c r="CJ564" s="51"/>
      <c r="CK564" s="51"/>
      <c r="CL564" s="51"/>
      <c r="CM564" s="51"/>
    </row>
    <row r="565" spans="1:91" x14ac:dyDescent="0.25">
      <c r="A565" s="50" t="s">
        <v>144</v>
      </c>
      <c r="B565" s="4">
        <v>0</v>
      </c>
      <c r="C565" s="4">
        <v>0</v>
      </c>
      <c r="D565" s="4">
        <v>0</v>
      </c>
      <c r="E565" s="4">
        <v>0</v>
      </c>
      <c r="F565" s="4">
        <v>0</v>
      </c>
      <c r="G565" s="4">
        <v>0</v>
      </c>
      <c r="H565" s="4">
        <v>0</v>
      </c>
      <c r="I565" s="4">
        <v>0</v>
      </c>
      <c r="J565" s="4">
        <v>0</v>
      </c>
      <c r="K565" s="4">
        <v>0</v>
      </c>
      <c r="L565" s="4">
        <v>0</v>
      </c>
      <c r="M565" s="4">
        <v>0</v>
      </c>
      <c r="N565" s="4">
        <v>0</v>
      </c>
      <c r="O565" s="4">
        <v>0</v>
      </c>
      <c r="P565" s="4">
        <v>0</v>
      </c>
      <c r="Q565" s="4">
        <v>0</v>
      </c>
      <c r="R565" s="4">
        <v>0</v>
      </c>
      <c r="S565" s="4">
        <v>0</v>
      </c>
      <c r="T565" s="4">
        <v>0</v>
      </c>
      <c r="U565" s="4">
        <v>0</v>
      </c>
      <c r="V565" s="4">
        <v>0</v>
      </c>
      <c r="W565" s="4">
        <v>0</v>
      </c>
      <c r="X565" s="4">
        <v>0</v>
      </c>
      <c r="Y565" s="4">
        <v>0</v>
      </c>
      <c r="Z565" s="4">
        <v>0</v>
      </c>
      <c r="AA565" s="4">
        <v>0</v>
      </c>
      <c r="AB565" s="4">
        <v>0</v>
      </c>
      <c r="AC565" s="4">
        <v>0</v>
      </c>
      <c r="AD565" s="4">
        <v>0</v>
      </c>
      <c r="AE565" s="4">
        <v>0</v>
      </c>
      <c r="AF565" s="51">
        <v>118221405.83842671</v>
      </c>
      <c r="AG565" s="51">
        <v>118667976.98587957</v>
      </c>
      <c r="AH565" s="51">
        <v>119077875.0363062</v>
      </c>
      <c r="AI565" s="51">
        <v>119457992.57335109</v>
      </c>
      <c r="AJ565" s="51">
        <v>119813794.1215046</v>
      </c>
      <c r="AK565" s="51">
        <v>120145700.45648047</v>
      </c>
      <c r="AL565" s="51">
        <v>120453248.20300414</v>
      </c>
      <c r="AM565" s="51">
        <v>120743011.71452376</v>
      </c>
      <c r="AN565" s="51">
        <v>121023165.86087158</v>
      </c>
      <c r="AO565" s="51">
        <v>121299446.32873313</v>
      </c>
      <c r="AP565" s="51">
        <v>121574252.82230195</v>
      </c>
      <c r="AQ565" s="51">
        <v>121847234.27772391</v>
      </c>
      <c r="AR565" s="51">
        <v>122118457.22150429</v>
      </c>
      <c r="AS565" s="51">
        <v>122387386.4474764</v>
      </c>
      <c r="AT565" s="51">
        <v>122653113.11619803</v>
      </c>
      <c r="AU565" s="51">
        <v>122915351.06509638</v>
      </c>
      <c r="AV565" s="51">
        <v>123174792.95814632</v>
      </c>
      <c r="AW565" s="51">
        <v>123432295.49810082</v>
      </c>
      <c r="AX565" s="51">
        <v>123688681.81995569</v>
      </c>
      <c r="AY565" s="51">
        <v>123943803.06375751</v>
      </c>
      <c r="AZ565" s="51">
        <v>124197702.05865996</v>
      </c>
      <c r="BA565" s="51">
        <v>124448020.79512231</v>
      </c>
      <c r="BB565" s="51">
        <v>124691573.69379553</v>
      </c>
      <c r="BC565" s="51">
        <v>124924022.35228847</v>
      </c>
      <c r="BD565" s="51">
        <v>125141901.67887904</v>
      </c>
      <c r="BE565" s="51">
        <v>125344181.63330734</v>
      </c>
      <c r="BF565" s="51">
        <v>125529690.00411952</v>
      </c>
      <c r="BG565" s="51">
        <v>125696244.10368009</v>
      </c>
      <c r="BH565" s="51">
        <v>125841387.35226323</v>
      </c>
      <c r="BI565" s="51">
        <v>125962744.21059394</v>
      </c>
      <c r="BJ565" s="51">
        <v>126060231.86966147</v>
      </c>
      <c r="BK565" s="51">
        <v>126133429.21187375</v>
      </c>
      <c r="BL565" s="51">
        <v>126182261.22402562</v>
      </c>
      <c r="BM565" s="51">
        <v>126207816.14030811</v>
      </c>
      <c r="BN565" s="51">
        <v>126210319.56128936</v>
      </c>
      <c r="BO565" s="51">
        <v>126189987.09526144</v>
      </c>
      <c r="BP565" s="51">
        <v>126147349.44730256</v>
      </c>
      <c r="BQ565" s="51">
        <v>126083562.28211498</v>
      </c>
      <c r="BR565" s="51">
        <v>126000062.59677671</v>
      </c>
      <c r="BS565" s="51">
        <v>125898082.45531805</v>
      </c>
      <c r="BT565" s="51">
        <v>125778027.50265084</v>
      </c>
      <c r="BU565" s="51">
        <v>125640914.00875551</v>
      </c>
      <c r="BV565" s="51">
        <v>125487726.12674981</v>
      </c>
      <c r="BW565" s="51">
        <v>125320648.52029078</v>
      </c>
      <c r="BX565" s="51">
        <v>125140731.09605739</v>
      </c>
      <c r="BY565" s="51">
        <v>124948840.39687014</v>
      </c>
      <c r="BZ565" s="51">
        <v>124744310.90787128</v>
      </c>
      <c r="CA565" s="51">
        <v>124526943.35905449</v>
      </c>
      <c r="CB565" s="51">
        <v>124295800.35761602</v>
      </c>
      <c r="CC565" s="51">
        <v>124050264.19124302</v>
      </c>
      <c r="CD565" s="51">
        <v>123789439.89500871</v>
      </c>
      <c r="CE565" s="51">
        <v>123513764.57865432</v>
      </c>
      <c r="CF565" s="51">
        <v>123222506.33778013</v>
      </c>
      <c r="CG565" s="51">
        <v>122915956.00163074</v>
      </c>
      <c r="CH565" s="51">
        <v>122593825.03279531</v>
      </c>
      <c r="CI565" s="51">
        <v>122255264.58668746</v>
      </c>
      <c r="CJ565" s="51">
        <v>121899446.49500111</v>
      </c>
      <c r="CK565" s="51">
        <v>121525282.88173722</v>
      </c>
      <c r="CL565" s="51">
        <v>121131434.33420184</v>
      </c>
      <c r="CM565" s="51">
        <v>120715903.63355155</v>
      </c>
    </row>
    <row r="566" spans="1:91" s="50" customFormat="1" x14ac:dyDescent="0.25">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c r="BS566" s="51"/>
      <c r="BT566" s="51"/>
      <c r="BU566" s="51"/>
      <c r="BV566" s="51"/>
      <c r="BW566" s="51"/>
      <c r="BX566" s="51"/>
      <c r="BY566" s="51"/>
      <c r="BZ566" s="51"/>
      <c r="CA566" s="51"/>
      <c r="CB566" s="51"/>
      <c r="CC566" s="51"/>
      <c r="CD566" s="51"/>
      <c r="CE566" s="51"/>
      <c r="CF566" s="51"/>
      <c r="CG566" s="51"/>
      <c r="CH566" s="51"/>
      <c r="CI566" s="51"/>
      <c r="CJ566" s="51"/>
      <c r="CK566" s="51"/>
      <c r="CL566" s="51"/>
      <c r="CM566" s="51"/>
    </row>
    <row r="567" spans="1:91" x14ac:dyDescent="0.25">
      <c r="A567" s="50" t="s">
        <v>145</v>
      </c>
      <c r="B567" s="4">
        <v>0</v>
      </c>
      <c r="C567" s="4">
        <v>0</v>
      </c>
      <c r="D567" s="4">
        <v>0</v>
      </c>
      <c r="E567" s="4">
        <v>0</v>
      </c>
      <c r="F567" s="4">
        <v>0</v>
      </c>
      <c r="G567" s="4">
        <v>0</v>
      </c>
      <c r="H567" s="4">
        <v>0</v>
      </c>
      <c r="I567" s="4">
        <v>0</v>
      </c>
      <c r="J567" s="4">
        <v>0</v>
      </c>
      <c r="K567" s="4">
        <v>0</v>
      </c>
      <c r="L567" s="4">
        <v>0</v>
      </c>
      <c r="M567" s="4">
        <v>0</v>
      </c>
      <c r="N567" s="4">
        <v>0</v>
      </c>
      <c r="O567" s="4">
        <v>0</v>
      </c>
      <c r="P567" s="4">
        <v>0</v>
      </c>
      <c r="Q567" s="4">
        <v>0</v>
      </c>
      <c r="R567" s="4">
        <v>0</v>
      </c>
      <c r="S567" s="4">
        <v>0</v>
      </c>
      <c r="T567" s="4">
        <v>0</v>
      </c>
      <c r="U567" s="4">
        <v>0</v>
      </c>
      <c r="V567" s="4">
        <v>0</v>
      </c>
      <c r="W567" s="4">
        <v>0</v>
      </c>
      <c r="X567" s="4">
        <v>0</v>
      </c>
      <c r="Y567" s="4">
        <v>0</v>
      </c>
      <c r="Z567" s="4">
        <v>0</v>
      </c>
      <c r="AA567" s="4">
        <v>0</v>
      </c>
      <c r="AB567" s="4">
        <v>0</v>
      </c>
      <c r="AC567" s="4">
        <v>0</v>
      </c>
      <c r="AD567" s="4">
        <v>0</v>
      </c>
      <c r="AE567" s="4">
        <v>0</v>
      </c>
      <c r="AF567" s="51">
        <v>1139709075.6785917</v>
      </c>
      <c r="AG567" s="51">
        <v>1149351692.0821536</v>
      </c>
      <c r="AH567" s="51">
        <v>1158663425.3499537</v>
      </c>
      <c r="AI567" s="51">
        <v>1167706625.3374391</v>
      </c>
      <c r="AJ567" s="51">
        <v>1176530875.6702442</v>
      </c>
      <c r="AK567" s="51">
        <v>1185137001.9129467</v>
      </c>
      <c r="AL567" s="51">
        <v>1193517161.2323794</v>
      </c>
      <c r="AM567" s="51">
        <v>1201733491.1312945</v>
      </c>
      <c r="AN567" s="51">
        <v>1209865307.8828933</v>
      </c>
      <c r="AO567" s="51">
        <v>1217968888.5310962</v>
      </c>
      <c r="AP567" s="51">
        <v>1226067881.5409544</v>
      </c>
      <c r="AQ567" s="51">
        <v>1234158496.9540515</v>
      </c>
      <c r="AR567" s="51">
        <v>1242241132.5921993</v>
      </c>
      <c r="AS567" s="51">
        <v>1250310052.0285335</v>
      </c>
      <c r="AT567" s="51">
        <v>1258355593.9149036</v>
      </c>
      <c r="AU567" s="51">
        <v>1266374356.396028</v>
      </c>
      <c r="AV567" s="51">
        <v>1274373017.4806285</v>
      </c>
      <c r="AW567" s="51">
        <v>1282360081.4287605</v>
      </c>
      <c r="AX567" s="51">
        <v>1290343851.7686648</v>
      </c>
      <c r="AY567" s="51">
        <v>1298322593.0168536</v>
      </c>
      <c r="AZ567" s="51">
        <v>1306296561.2873595</v>
      </c>
      <c r="BA567" s="51">
        <v>1314240666.8130851</v>
      </c>
      <c r="BB567" s="51">
        <v>1322120644.4630191</v>
      </c>
      <c r="BC567" s="51">
        <v>1329889418.1287374</v>
      </c>
      <c r="BD567" s="51">
        <v>1337508515.2755368</v>
      </c>
      <c r="BE567" s="51">
        <v>1344965013.8387527</v>
      </c>
      <c r="BF567" s="51">
        <v>1352244296.2683418</v>
      </c>
      <c r="BG567" s="51">
        <v>1359320630.5726943</v>
      </c>
      <c r="BH567" s="51">
        <v>1366164956.2811677</v>
      </c>
      <c r="BI567" s="51">
        <v>1372748697.5368674</v>
      </c>
      <c r="BJ567" s="51">
        <v>1379067977.8864846</v>
      </c>
      <c r="BK567" s="51">
        <v>1385115207.1935475</v>
      </c>
      <c r="BL567" s="51">
        <v>1390886555.6228812</v>
      </c>
      <c r="BM567" s="51">
        <v>1396391066.6533175</v>
      </c>
      <c r="BN567" s="51">
        <v>1401628398.7216895</v>
      </c>
      <c r="BO567" s="51">
        <v>1406598150.5120261</v>
      </c>
      <c r="BP567" s="51">
        <v>1411303495.5873199</v>
      </c>
      <c r="BQ567" s="51">
        <v>1415754725.9700162</v>
      </c>
      <c r="BR567" s="51">
        <v>1419965506.6537488</v>
      </c>
      <c r="BS567" s="51">
        <v>1423947431.8371973</v>
      </c>
      <c r="BT567" s="51">
        <v>1427702927.2361391</v>
      </c>
      <c r="BU567" s="51">
        <v>1431241451.3066006</v>
      </c>
      <c r="BV567" s="51">
        <v>1434572270.4490004</v>
      </c>
      <c r="BW567" s="51">
        <v>1437718592.5235469</v>
      </c>
      <c r="BX567" s="51">
        <v>1440690922.4462793</v>
      </c>
      <c r="BY567" s="51">
        <v>1443497823.3198657</v>
      </c>
      <c r="BZ567" s="51">
        <v>1446130243.5367622</v>
      </c>
      <c r="CA567" s="51">
        <v>1448584455.5345597</v>
      </c>
      <c r="CB567" s="51">
        <v>1450848091.2710629</v>
      </c>
      <c r="CC567" s="51">
        <v>1452912384.9931397</v>
      </c>
      <c r="CD567" s="51">
        <v>1454765222.373034</v>
      </c>
      <c r="CE567" s="51">
        <v>1456410062.5989754</v>
      </c>
      <c r="CF567" s="51">
        <v>1457836611.7446971</v>
      </c>
      <c r="CG567" s="51">
        <v>1459046608.9398346</v>
      </c>
      <c r="CH567" s="51">
        <v>1460034947.4959378</v>
      </c>
      <c r="CI567" s="51">
        <v>1460789788.8802483</v>
      </c>
      <c r="CJ567" s="51">
        <v>1461299418.2020829</v>
      </c>
      <c r="CK567" s="51">
        <v>1461548876.9129996</v>
      </c>
      <c r="CL567" s="51">
        <v>1461520011.6685426</v>
      </c>
      <c r="CM567" s="51">
        <v>1461186508.9299481</v>
      </c>
    </row>
    <row r="568" spans="1:91" s="50" customFormat="1" x14ac:dyDescent="0.25">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c r="BS568" s="51"/>
      <c r="BT568" s="51"/>
      <c r="BU568" s="51"/>
      <c r="BV568" s="51"/>
      <c r="BW568" s="51"/>
      <c r="BX568" s="51"/>
      <c r="BY568" s="51"/>
      <c r="BZ568" s="51"/>
      <c r="CA568" s="51"/>
      <c r="CB568" s="51"/>
      <c r="CC568" s="51"/>
      <c r="CD568" s="51"/>
      <c r="CE568" s="51"/>
      <c r="CF568" s="51"/>
      <c r="CG568" s="51"/>
      <c r="CH568" s="51"/>
      <c r="CI568" s="51"/>
      <c r="CJ568" s="51"/>
      <c r="CK568" s="51"/>
      <c r="CL568" s="51"/>
      <c r="CM568" s="51"/>
    </row>
    <row r="569" spans="1:91" x14ac:dyDescent="0.25">
      <c r="A569" s="50" t="s">
        <v>146</v>
      </c>
      <c r="B569" s="4">
        <v>0</v>
      </c>
      <c r="C569" s="4">
        <v>0</v>
      </c>
      <c r="D569" s="4">
        <v>0</v>
      </c>
      <c r="E569" s="4">
        <v>0</v>
      </c>
      <c r="F569" s="4">
        <v>0</v>
      </c>
      <c r="G569" s="4">
        <v>0</v>
      </c>
      <c r="H569" s="4">
        <v>0</v>
      </c>
      <c r="I569" s="4">
        <v>0</v>
      </c>
      <c r="J569" s="4">
        <v>0</v>
      </c>
      <c r="K569" s="4">
        <v>0</v>
      </c>
      <c r="L569" s="4">
        <v>0</v>
      </c>
      <c r="M569" s="4">
        <v>0</v>
      </c>
      <c r="N569" s="4">
        <v>0</v>
      </c>
      <c r="O569" s="4">
        <v>0</v>
      </c>
      <c r="P569" s="4">
        <v>0</v>
      </c>
      <c r="Q569" s="4">
        <v>0</v>
      </c>
      <c r="R569" s="4">
        <v>0</v>
      </c>
      <c r="S569" s="4">
        <v>0</v>
      </c>
      <c r="T569" s="4">
        <v>0</v>
      </c>
      <c r="U569" s="4">
        <v>0</v>
      </c>
      <c r="V569" s="4">
        <v>0</v>
      </c>
      <c r="W569" s="4">
        <v>0</v>
      </c>
      <c r="X569" s="4">
        <v>0</v>
      </c>
      <c r="Y569" s="4">
        <v>0</v>
      </c>
      <c r="Z569" s="4">
        <v>0</v>
      </c>
      <c r="AA569" s="4">
        <v>0</v>
      </c>
      <c r="AB569" s="4">
        <v>0</v>
      </c>
      <c r="AC569" s="4">
        <v>0</v>
      </c>
      <c r="AD569" s="4">
        <v>0</v>
      </c>
      <c r="AE569" s="4">
        <v>0</v>
      </c>
      <c r="AF569" s="51">
        <v>847262025.00945914</v>
      </c>
      <c r="AG569" s="51">
        <v>862582120.48648071</v>
      </c>
      <c r="AH569" s="51">
        <v>877690848.55023253</v>
      </c>
      <c r="AI569" s="51">
        <v>892628301.69367433</v>
      </c>
      <c r="AJ569" s="51">
        <v>907426610.64736617</v>
      </c>
      <c r="AK569" s="51">
        <v>922081454.66468978</v>
      </c>
      <c r="AL569" s="51">
        <v>936581847.78711319</v>
      </c>
      <c r="AM569" s="51">
        <v>950972085.81867301</v>
      </c>
      <c r="AN569" s="51">
        <v>965311906.57228792</v>
      </c>
      <c r="AO569" s="51">
        <v>979644646.860237</v>
      </c>
      <c r="AP569" s="51">
        <v>993988672.33090389</v>
      </c>
      <c r="AQ569" s="51">
        <v>1008340546.1514263</v>
      </c>
      <c r="AR569" s="51">
        <v>1022700192.1353937</v>
      </c>
      <c r="AS569" s="51">
        <v>1037062464.8941625</v>
      </c>
      <c r="AT569" s="51">
        <v>1051418808.0528388</v>
      </c>
      <c r="AU569" s="51">
        <v>1065765710.4533538</v>
      </c>
      <c r="AV569" s="51">
        <v>1080108137.1630387</v>
      </c>
      <c r="AW569" s="51">
        <v>1094452784.8276396</v>
      </c>
      <c r="AX569" s="51">
        <v>1108806388.5348442</v>
      </c>
      <c r="AY569" s="51">
        <v>1123167199.3233657</v>
      </c>
      <c r="AZ569" s="51">
        <v>1137535168.1450953</v>
      </c>
      <c r="BA569" s="51">
        <v>1151888042.7301776</v>
      </c>
      <c r="BB569" s="51">
        <v>1166194921.3635573</v>
      </c>
      <c r="BC569" s="51">
        <v>1180412786.4936826</v>
      </c>
      <c r="BD569" s="51">
        <v>1194505298.1953113</v>
      </c>
      <c r="BE569" s="51">
        <v>1208458280.5843198</v>
      </c>
      <c r="BF569" s="51">
        <v>1222255801.1553237</v>
      </c>
      <c r="BG569" s="51">
        <v>1235871567.9865403</v>
      </c>
      <c r="BH569" s="51">
        <v>1249275763.945924</v>
      </c>
      <c r="BI569" s="51">
        <v>1262438479.0935724</v>
      </c>
      <c r="BJ569" s="51">
        <v>1275352130.5175295</v>
      </c>
      <c r="BK569" s="51">
        <v>1288005683.8655887</v>
      </c>
      <c r="BL569" s="51">
        <v>1300391547.2980053</v>
      </c>
      <c r="BM569" s="51">
        <v>1312514232.8735046</v>
      </c>
      <c r="BN569" s="51">
        <v>1324369643.3608372</v>
      </c>
      <c r="BO569" s="51">
        <v>1335953692.9719324</v>
      </c>
      <c r="BP569" s="51">
        <v>1347265773.9412186</v>
      </c>
      <c r="BQ569" s="51">
        <v>1358312240.5420215</v>
      </c>
      <c r="BR569" s="51">
        <v>1369102963.7373052</v>
      </c>
      <c r="BS569" s="51">
        <v>1379646129.7438722</v>
      </c>
      <c r="BT569" s="51">
        <v>1389941274.0155535</v>
      </c>
      <c r="BU569" s="51">
        <v>1399994910.4610665</v>
      </c>
      <c r="BV569" s="51">
        <v>1409813589.769505</v>
      </c>
      <c r="BW569" s="51">
        <v>1419417843.2908173</v>
      </c>
      <c r="BX569" s="51">
        <v>1428816065.8491449</v>
      </c>
      <c r="BY569" s="51">
        <v>1438014942.8213491</v>
      </c>
      <c r="BZ569" s="51">
        <v>1447003719.7399578</v>
      </c>
      <c r="CA569" s="51">
        <v>1455776866.5008953</v>
      </c>
      <c r="CB569" s="51">
        <v>1464320101.1198132</v>
      </c>
      <c r="CC569" s="51">
        <v>1472622614.3855624</v>
      </c>
      <c r="CD569" s="51">
        <v>1480670075.7252207</v>
      </c>
      <c r="CE569" s="51">
        <v>1488463903.9952512</v>
      </c>
      <c r="CF569" s="51">
        <v>1495991501.321456</v>
      </c>
      <c r="CG569" s="51">
        <v>1503252534.6450167</v>
      </c>
      <c r="CH569" s="51">
        <v>1510239656.6549664</v>
      </c>
      <c r="CI569" s="51">
        <v>1516938483.9611723</v>
      </c>
      <c r="CJ569" s="51">
        <v>1523334609.4949543</v>
      </c>
      <c r="CK569" s="51">
        <v>1529410084.7333281</v>
      </c>
      <c r="CL569" s="51">
        <v>1535143410.341557</v>
      </c>
      <c r="CM569" s="51">
        <v>1540504243.1256747</v>
      </c>
    </row>
    <row r="570" spans="1:91" s="50" customFormat="1" x14ac:dyDescent="0.25">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c r="BI570" s="51"/>
      <c r="BJ570" s="51"/>
      <c r="BK570" s="51"/>
      <c r="BL570" s="51"/>
      <c r="BM570" s="51"/>
      <c r="BN570" s="51"/>
      <c r="BO570" s="51"/>
      <c r="BP570" s="51"/>
      <c r="BQ570" s="51"/>
      <c r="BR570" s="51"/>
      <c r="BS570" s="51"/>
      <c r="BT570" s="51"/>
      <c r="BU570" s="51"/>
      <c r="BV570" s="51"/>
      <c r="BW570" s="51"/>
      <c r="BX570" s="51"/>
      <c r="BY570" s="51"/>
      <c r="BZ570" s="51"/>
      <c r="CA570" s="51"/>
      <c r="CB570" s="51"/>
      <c r="CC570" s="51"/>
      <c r="CD570" s="51"/>
      <c r="CE570" s="51"/>
      <c r="CF570" s="51"/>
      <c r="CG570" s="51"/>
      <c r="CH570" s="51"/>
      <c r="CI570" s="51"/>
      <c r="CJ570" s="51"/>
      <c r="CK570" s="51"/>
      <c r="CL570" s="51"/>
      <c r="CM570" s="51"/>
    </row>
    <row r="571" spans="1:91" x14ac:dyDescent="0.25">
      <c r="A571" s="50" t="s">
        <v>147</v>
      </c>
      <c r="B571" s="4">
        <v>0</v>
      </c>
      <c r="C571" s="4">
        <v>0</v>
      </c>
      <c r="D571" s="4">
        <v>0</v>
      </c>
      <c r="E571" s="4">
        <v>0</v>
      </c>
      <c r="F571" s="4">
        <v>0</v>
      </c>
      <c r="G571" s="4">
        <v>0</v>
      </c>
      <c r="H571" s="4">
        <v>0</v>
      </c>
      <c r="I571" s="4">
        <v>0</v>
      </c>
      <c r="J571" s="4">
        <v>0</v>
      </c>
      <c r="K571" s="4">
        <v>0</v>
      </c>
      <c r="L571" s="4">
        <v>0</v>
      </c>
      <c r="M571" s="4">
        <v>0</v>
      </c>
      <c r="N571" s="4">
        <v>0</v>
      </c>
      <c r="O571" s="4">
        <v>0</v>
      </c>
      <c r="P571" s="4">
        <v>0</v>
      </c>
      <c r="Q571" s="4">
        <v>0</v>
      </c>
      <c r="R571" s="4">
        <v>0</v>
      </c>
      <c r="S571" s="4">
        <v>0</v>
      </c>
      <c r="T571" s="4">
        <v>0</v>
      </c>
      <c r="U571" s="4">
        <v>0</v>
      </c>
      <c r="V571" s="4">
        <v>0</v>
      </c>
      <c r="W571" s="4">
        <v>0</v>
      </c>
      <c r="X571" s="4">
        <v>0</v>
      </c>
      <c r="Y571" s="4">
        <v>0</v>
      </c>
      <c r="Z571" s="4">
        <v>0</v>
      </c>
      <c r="AA571" s="4">
        <v>0</v>
      </c>
      <c r="AB571" s="4">
        <v>0</v>
      </c>
      <c r="AC571" s="4">
        <v>0</v>
      </c>
      <c r="AD571" s="4">
        <v>0</v>
      </c>
      <c r="AE571" s="4">
        <v>0</v>
      </c>
      <c r="AF571" s="51">
        <v>153122111.23429909</v>
      </c>
      <c r="AG571" s="51">
        <v>154850714.35314065</v>
      </c>
      <c r="AH571" s="51">
        <v>156536701.59277558</v>
      </c>
      <c r="AI571" s="51">
        <v>158188117.26441276</v>
      </c>
      <c r="AJ571" s="51">
        <v>159811371.72966996</v>
      </c>
      <c r="AK571" s="51">
        <v>161406313.73844504</v>
      </c>
      <c r="AL571" s="51">
        <v>162971615.67734504</v>
      </c>
      <c r="AM571" s="51">
        <v>164515525.0347932</v>
      </c>
      <c r="AN571" s="51">
        <v>166048739.22382283</v>
      </c>
      <c r="AO571" s="51">
        <v>167578898.88637495</v>
      </c>
      <c r="AP571" s="51">
        <v>169109222.96363199</v>
      </c>
      <c r="AQ571" s="51">
        <v>170639169.36052427</v>
      </c>
      <c r="AR571" s="51">
        <v>172168771.76481628</v>
      </c>
      <c r="AS571" s="51">
        <v>173697212.67376566</v>
      </c>
      <c r="AT571" s="51">
        <v>175223121.06083053</v>
      </c>
      <c r="AU571" s="51">
        <v>176745987.69572324</v>
      </c>
      <c r="AV571" s="51">
        <v>178266709.81484365</v>
      </c>
      <c r="AW571" s="51">
        <v>179786449.88221389</v>
      </c>
      <c r="AX571" s="51">
        <v>181306353.36377776</v>
      </c>
      <c r="AY571" s="51">
        <v>182826162.71818405</v>
      </c>
      <c r="AZ571" s="51">
        <v>184345899.63330641</v>
      </c>
      <c r="BA571" s="51">
        <v>185862001.95837519</v>
      </c>
      <c r="BB571" s="51">
        <v>187369577.66948539</v>
      </c>
      <c r="BC571" s="51">
        <v>188861875.84453717</v>
      </c>
      <c r="BD571" s="51">
        <v>190333316.43538842</v>
      </c>
      <c r="BE571" s="51">
        <v>191781920.55723825</v>
      </c>
      <c r="BF571" s="51">
        <v>193205455.17099547</v>
      </c>
      <c r="BG571" s="51">
        <v>194600082.58261859</v>
      </c>
      <c r="BH571" s="51">
        <v>195961462.08131874</v>
      </c>
      <c r="BI571" s="51">
        <v>197285293.99365857</v>
      </c>
      <c r="BJ571" s="51">
        <v>198570807.74077877</v>
      </c>
      <c r="BK571" s="51">
        <v>199816697.10777885</v>
      </c>
      <c r="BL571" s="51">
        <v>201022195.46344891</v>
      </c>
      <c r="BM571" s="51">
        <v>202188400.35346928</v>
      </c>
      <c r="BN571" s="51">
        <v>203315061.69473279</v>
      </c>
      <c r="BO571" s="51">
        <v>204401924.34423223</v>
      </c>
      <c r="BP571" s="51">
        <v>205449257.04098856</v>
      </c>
      <c r="BQ571" s="51">
        <v>206458373.63770372</v>
      </c>
      <c r="BR571" s="51">
        <v>207431094.77144808</v>
      </c>
      <c r="BS571" s="51">
        <v>208368955.14358437</v>
      </c>
      <c r="BT571" s="51">
        <v>209272160.16502938</v>
      </c>
      <c r="BU571" s="51">
        <v>210141953.10163254</v>
      </c>
      <c r="BV571" s="51">
        <v>210979560.95587176</v>
      </c>
      <c r="BW571" s="51">
        <v>211788275.93795204</v>
      </c>
      <c r="BX571" s="51">
        <v>212569540.50819781</v>
      </c>
      <c r="BY571" s="51">
        <v>213324522.11345488</v>
      </c>
      <c r="BZ571" s="51">
        <v>214051790.78066698</v>
      </c>
      <c r="CA571" s="51">
        <v>214750699.11881319</v>
      </c>
      <c r="CB571" s="51">
        <v>215419315.15801436</v>
      </c>
      <c r="CC571" s="51">
        <v>216056233.13151908</v>
      </c>
      <c r="CD571" s="51">
        <v>216659542.55412248</v>
      </c>
      <c r="CE571" s="51">
        <v>217229646.93142012</v>
      </c>
      <c r="CF571" s="51">
        <v>217764900.51046193</v>
      </c>
      <c r="CG571" s="51">
        <v>218265450.56168002</v>
      </c>
      <c r="CH571" s="51">
        <v>218730422.32924205</v>
      </c>
      <c r="CI571" s="51">
        <v>219157928.6824114</v>
      </c>
      <c r="CJ571" s="51">
        <v>219546092.96053001</v>
      </c>
      <c r="CK571" s="51">
        <v>219892542.66890159</v>
      </c>
      <c r="CL571" s="51">
        <v>220194413.61643156</v>
      </c>
      <c r="CM571" s="51">
        <v>220447597.70399827</v>
      </c>
    </row>
    <row r="572" spans="1:91" s="50" customFormat="1" x14ac:dyDescent="0.25">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c r="BI572" s="51"/>
      <c r="BJ572" s="51"/>
      <c r="BK572" s="51"/>
      <c r="BL572" s="51"/>
      <c r="BM572" s="51"/>
      <c r="BN572" s="51"/>
      <c r="BO572" s="51"/>
      <c r="BP572" s="51"/>
      <c r="BQ572" s="51"/>
      <c r="BR572" s="51"/>
      <c r="BS572" s="51"/>
      <c r="BT572" s="51"/>
      <c r="BU572" s="51"/>
      <c r="BV572" s="51"/>
      <c r="BW572" s="51"/>
      <c r="BX572" s="51"/>
      <c r="BY572" s="51"/>
      <c r="BZ572" s="51"/>
      <c r="CA572" s="51"/>
      <c r="CB572" s="51"/>
      <c r="CC572" s="51"/>
      <c r="CD572" s="51"/>
      <c r="CE572" s="51"/>
      <c r="CF572" s="51"/>
      <c r="CG572" s="51"/>
      <c r="CH572" s="51"/>
      <c r="CI572" s="51"/>
      <c r="CJ572" s="51"/>
      <c r="CK572" s="51"/>
      <c r="CL572" s="51"/>
      <c r="CM572" s="51"/>
    </row>
    <row r="573" spans="1:91" x14ac:dyDescent="0.25">
      <c r="A573" s="50" t="s">
        <v>148</v>
      </c>
      <c r="B573" s="4">
        <v>0</v>
      </c>
      <c r="C573" s="4">
        <v>0</v>
      </c>
      <c r="D573" s="4">
        <v>0</v>
      </c>
      <c r="E573" s="4">
        <v>0</v>
      </c>
      <c r="F573" s="4">
        <v>0</v>
      </c>
      <c r="G573" s="4">
        <v>0</v>
      </c>
      <c r="H573" s="4">
        <v>0</v>
      </c>
      <c r="I573" s="4">
        <v>0</v>
      </c>
      <c r="J573" s="4">
        <v>0</v>
      </c>
      <c r="K573" s="4">
        <v>0</v>
      </c>
      <c r="L573" s="4">
        <v>0</v>
      </c>
      <c r="M573" s="4">
        <v>0</v>
      </c>
      <c r="N573" s="4">
        <v>0</v>
      </c>
      <c r="O573" s="4">
        <v>0</v>
      </c>
      <c r="P573" s="4">
        <v>0</v>
      </c>
      <c r="Q573" s="4">
        <v>0</v>
      </c>
      <c r="R573" s="4">
        <v>0</v>
      </c>
      <c r="S573" s="4">
        <v>0</v>
      </c>
      <c r="T573" s="4">
        <v>0</v>
      </c>
      <c r="U573" s="4">
        <v>0</v>
      </c>
      <c r="V573" s="4">
        <v>0</v>
      </c>
      <c r="W573" s="4">
        <v>0</v>
      </c>
      <c r="X573" s="4">
        <v>0</v>
      </c>
      <c r="Y573" s="4">
        <v>0</v>
      </c>
      <c r="Z573" s="4">
        <v>0</v>
      </c>
      <c r="AA573" s="4">
        <v>0</v>
      </c>
      <c r="AB573" s="4">
        <v>0</v>
      </c>
      <c r="AC573" s="4">
        <v>0</v>
      </c>
      <c r="AD573" s="4">
        <v>0</v>
      </c>
      <c r="AE573" s="4">
        <v>0</v>
      </c>
      <c r="AF573" s="51">
        <v>152470703.7788488</v>
      </c>
      <c r="AG573" s="51">
        <v>154482754.31211755</v>
      </c>
      <c r="AH573" s="51">
        <v>156453604.98269776</v>
      </c>
      <c r="AI573" s="51">
        <v>158391042.61713007</v>
      </c>
      <c r="AJ573" s="51">
        <v>160301281.57669431</v>
      </c>
      <c r="AK573" s="51">
        <v>162183995.22507975</v>
      </c>
      <c r="AL573" s="51">
        <v>164037677.67946723</v>
      </c>
      <c r="AM573" s="51">
        <v>165870473.65737963</v>
      </c>
      <c r="AN573" s="51">
        <v>167693062.67218414</v>
      </c>
      <c r="AO573" s="51">
        <v>169513106.38368696</v>
      </c>
      <c r="AP573" s="51">
        <v>171333838.0546383</v>
      </c>
      <c r="AQ573" s="51">
        <v>173154695.80106533</v>
      </c>
      <c r="AR573" s="51">
        <v>174975699.89946881</v>
      </c>
      <c r="AS573" s="51">
        <v>176796004.89954501</v>
      </c>
      <c r="AT573" s="51">
        <v>178614196.58812216</v>
      </c>
      <c r="AU573" s="51">
        <v>180429732.86237934</v>
      </c>
      <c r="AV573" s="51">
        <v>182243507.16391546</v>
      </c>
      <c r="AW573" s="51">
        <v>184056690.37333858</v>
      </c>
      <c r="AX573" s="51">
        <v>185870443.14019844</v>
      </c>
      <c r="AY573" s="51">
        <v>187684492.65181354</v>
      </c>
      <c r="AZ573" s="51">
        <v>189498851.96200809</v>
      </c>
      <c r="BA573" s="51">
        <v>191309845.63225323</v>
      </c>
      <c r="BB573" s="51">
        <v>193112408.78087965</v>
      </c>
      <c r="BC573" s="51">
        <v>194899533.06588307</v>
      </c>
      <c r="BD573" s="51">
        <v>196665386.08776662</v>
      </c>
      <c r="BE573" s="51">
        <v>198407834.36703756</v>
      </c>
      <c r="BF573" s="51">
        <v>200124473.65017754</v>
      </c>
      <c r="BG573" s="51">
        <v>201811227.05090085</v>
      </c>
      <c r="BH573" s="51">
        <v>203463479.31999689</v>
      </c>
      <c r="BI573" s="51">
        <v>205076639.90843609</v>
      </c>
      <c r="BJ573" s="51">
        <v>206649773.80936059</v>
      </c>
      <c r="BK573" s="51">
        <v>208181388.01959756</v>
      </c>
      <c r="BL573" s="51">
        <v>209670549.90835786</v>
      </c>
      <c r="BM573" s="51">
        <v>211118273.48241141</v>
      </c>
      <c r="BN573" s="51">
        <v>212524172.61834842</v>
      </c>
      <c r="BO573" s="51">
        <v>213887858.14723</v>
      </c>
      <c r="BP573" s="51">
        <v>215209491.82174999</v>
      </c>
      <c r="BQ573" s="51">
        <v>216490335.64261743</v>
      </c>
      <c r="BR573" s="51">
        <v>217732192.24117598</v>
      </c>
      <c r="BS573" s="51">
        <v>218936574.34566689</v>
      </c>
      <c r="BT573" s="51">
        <v>220103605.59190845</v>
      </c>
      <c r="BU573" s="51">
        <v>221234505.4947308</v>
      </c>
      <c r="BV573" s="51">
        <v>222330483.78012213</v>
      </c>
      <c r="BW573" s="51">
        <v>223394935.61090595</v>
      </c>
      <c r="BX573" s="51">
        <v>224429318.19589472</v>
      </c>
      <c r="BY573" s="51">
        <v>225434805.41483498</v>
      </c>
      <c r="BZ573" s="51">
        <v>226409829.77512872</v>
      </c>
      <c r="CA573" s="51">
        <v>227353648.21588004</v>
      </c>
      <c r="CB573" s="51">
        <v>228264155.4954569</v>
      </c>
      <c r="CC573" s="51">
        <v>229139798.69091752</v>
      </c>
      <c r="CD573" s="51">
        <v>229978485.49214876</v>
      </c>
      <c r="CE573" s="51">
        <v>230780576.56699237</v>
      </c>
      <c r="CF573" s="51">
        <v>231544256.74618462</v>
      </c>
      <c r="CG573" s="51">
        <v>232269614.67107347</v>
      </c>
      <c r="CH573" s="51">
        <v>232955652.63119406</v>
      </c>
      <c r="CI573" s="51">
        <v>233600292.37337318</v>
      </c>
      <c r="CJ573" s="51">
        <v>234201461.94632536</v>
      </c>
      <c r="CK573" s="51">
        <v>234756555.35908285</v>
      </c>
      <c r="CL573" s="51">
        <v>235262435.07141608</v>
      </c>
      <c r="CM573" s="51">
        <v>235714625.84193233</v>
      </c>
    </row>
    <row r="574" spans="1:91" s="50" customFormat="1" x14ac:dyDescent="0.25">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c r="BS574" s="51"/>
      <c r="BT574" s="51"/>
      <c r="BU574" s="51"/>
      <c r="BV574" s="51"/>
      <c r="BW574" s="51"/>
      <c r="BX574" s="51"/>
      <c r="BY574" s="51"/>
      <c r="BZ574" s="51"/>
      <c r="CA574" s="51"/>
      <c r="CB574" s="51"/>
      <c r="CC574" s="51"/>
      <c r="CD574" s="51"/>
      <c r="CE574" s="51"/>
      <c r="CF574" s="51"/>
      <c r="CG574" s="51"/>
      <c r="CH574" s="51"/>
      <c r="CI574" s="51"/>
      <c r="CJ574" s="51"/>
      <c r="CK574" s="51"/>
      <c r="CL574" s="51"/>
      <c r="CM574" s="51"/>
    </row>
    <row r="575" spans="1:91" x14ac:dyDescent="0.25">
      <c r="A575" s="50" t="s">
        <v>149</v>
      </c>
      <c r="B575" s="4">
        <v>0</v>
      </c>
      <c r="C575" s="4">
        <v>0</v>
      </c>
      <c r="D575" s="4">
        <v>0</v>
      </c>
      <c r="E575" s="4">
        <v>0</v>
      </c>
      <c r="F575" s="4">
        <v>0</v>
      </c>
      <c r="G575" s="4">
        <v>0</v>
      </c>
      <c r="H575" s="4">
        <v>0</v>
      </c>
      <c r="I575" s="4">
        <v>0</v>
      </c>
      <c r="J575" s="4">
        <v>0</v>
      </c>
      <c r="K575" s="4">
        <v>0</v>
      </c>
      <c r="L575" s="4">
        <v>0</v>
      </c>
      <c r="M575" s="4">
        <v>0</v>
      </c>
      <c r="N575" s="4">
        <v>0</v>
      </c>
      <c r="O575" s="4">
        <v>0</v>
      </c>
      <c r="P575" s="4">
        <v>0</v>
      </c>
      <c r="Q575" s="4">
        <v>0</v>
      </c>
      <c r="R575" s="4">
        <v>0</v>
      </c>
      <c r="S575" s="4">
        <v>0</v>
      </c>
      <c r="T575" s="4">
        <v>0</v>
      </c>
      <c r="U575" s="4">
        <v>0</v>
      </c>
      <c r="V575" s="4">
        <v>0</v>
      </c>
      <c r="W575" s="4">
        <v>0</v>
      </c>
      <c r="X575" s="4">
        <v>0</v>
      </c>
      <c r="Y575" s="4">
        <v>0</v>
      </c>
      <c r="Z575" s="4">
        <v>0</v>
      </c>
      <c r="AA575" s="4">
        <v>0</v>
      </c>
      <c r="AB575" s="4">
        <v>0</v>
      </c>
      <c r="AC575" s="4">
        <v>0</v>
      </c>
      <c r="AD575" s="4">
        <v>0</v>
      </c>
      <c r="AE575" s="4">
        <v>0</v>
      </c>
      <c r="AF575" s="51">
        <v>86151220.933498427</v>
      </c>
      <c r="AG575" s="51">
        <v>86772924.228097841</v>
      </c>
      <c r="AH575" s="51">
        <v>87369160.779281512</v>
      </c>
      <c r="AI575" s="51">
        <v>87944725.939185023</v>
      </c>
      <c r="AJ575" s="51">
        <v>88503429.953215525</v>
      </c>
      <c r="AK575" s="51">
        <v>89045400.10952501</v>
      </c>
      <c r="AL575" s="51">
        <v>89570111.354764834</v>
      </c>
      <c r="AM575" s="51">
        <v>90082285.644223616</v>
      </c>
      <c r="AN575" s="51">
        <v>90587908.361115754</v>
      </c>
      <c r="AO575" s="51">
        <v>91091213.789409354</v>
      </c>
      <c r="AP575" s="51">
        <v>91593979.202963367</v>
      </c>
      <c r="AQ575" s="51">
        <v>92095926.260870948</v>
      </c>
      <c r="AR575" s="51">
        <v>92597089.925169438</v>
      </c>
      <c r="AS575" s="51">
        <v>93097048.159436166</v>
      </c>
      <c r="AT575" s="51">
        <v>93595088.725310341</v>
      </c>
      <c r="AU575" s="51">
        <v>94090967.389809817</v>
      </c>
      <c r="AV575" s="51">
        <v>94585188.939018279</v>
      </c>
      <c r="AW575" s="51">
        <v>95078391.289415598</v>
      </c>
      <c r="AX575" s="51">
        <v>95571194.716434613</v>
      </c>
      <c r="AY575" s="51">
        <v>96063474.066689938</v>
      </c>
      <c r="AZ575" s="51">
        <v>96555251.848420545</v>
      </c>
      <c r="BA575" s="51">
        <v>97044678.855381235</v>
      </c>
      <c r="BB575" s="51">
        <v>97529236.353040636</v>
      </c>
      <c r="BC575" s="51">
        <v>98005471.302070364</v>
      </c>
      <c r="BD575" s="51">
        <v>98470577.307670414</v>
      </c>
      <c r="BE575" s="51">
        <v>98923637.669546649</v>
      </c>
      <c r="BF575" s="51">
        <v>99363614.049199954</v>
      </c>
      <c r="BG575" s="51">
        <v>99788655.533858538</v>
      </c>
      <c r="BH575" s="51">
        <v>100196673.42634146</v>
      </c>
      <c r="BI575" s="51">
        <v>100585621.61909847</v>
      </c>
      <c r="BJ575" s="51">
        <v>100955268.90424965</v>
      </c>
      <c r="BK575" s="51">
        <v>101305112.43635695</v>
      </c>
      <c r="BL575" s="51">
        <v>101634925.1045125</v>
      </c>
      <c r="BM575" s="51">
        <v>101945419.58097355</v>
      </c>
      <c r="BN575" s="51">
        <v>102236620.58243302</v>
      </c>
      <c r="BO575" s="51">
        <v>102508547.57428861</v>
      </c>
      <c r="BP575" s="51">
        <v>102761479.46087469</v>
      </c>
      <c r="BQ575" s="51">
        <v>102996211.27377518</v>
      </c>
      <c r="BR575" s="51">
        <v>103213779.73911636</v>
      </c>
      <c r="BS575" s="51">
        <v>103415066.96123943</v>
      </c>
      <c r="BT575" s="51">
        <v>103600286.12092787</v>
      </c>
      <c r="BU575" s="51">
        <v>103770158.99289683</v>
      </c>
      <c r="BV575" s="51">
        <v>103925390.47331153</v>
      </c>
      <c r="BW575" s="51">
        <v>104067691.74680667</v>
      </c>
      <c r="BX575" s="51">
        <v>104197849.18757735</v>
      </c>
      <c r="BY575" s="51">
        <v>104316505.88340776</v>
      </c>
      <c r="BZ575" s="51">
        <v>104423030.5494311</v>
      </c>
      <c r="CA575" s="51">
        <v>104517177.69558765</v>
      </c>
      <c r="CB575" s="51">
        <v>104598079.3111064</v>
      </c>
      <c r="CC575" s="51">
        <v>104665129.23305316</v>
      </c>
      <c r="CD575" s="51">
        <v>104717481.74801049</v>
      </c>
      <c r="CE575" s="51">
        <v>104755413.49484731</v>
      </c>
      <c r="CF575" s="51">
        <v>104778211.37643684</v>
      </c>
      <c r="CG575" s="51">
        <v>104786028.23385839</v>
      </c>
      <c r="CH575" s="51">
        <v>104778524.74166381</v>
      </c>
      <c r="CI575" s="51">
        <v>104754879.42430994</v>
      </c>
      <c r="CJ575" s="51">
        <v>104714281.67237204</v>
      </c>
      <c r="CK575" s="51">
        <v>104655690.54642019</v>
      </c>
      <c r="CL575" s="51">
        <v>104577839.07116906</v>
      </c>
      <c r="CM575" s="51">
        <v>104478879.95986837</v>
      </c>
    </row>
    <row r="576" spans="1:91" s="50" customFormat="1" x14ac:dyDescent="0.25">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c r="BS576" s="51"/>
      <c r="BT576" s="51"/>
      <c r="BU576" s="51"/>
      <c r="BV576" s="51"/>
      <c r="BW576" s="51"/>
      <c r="BX576" s="51"/>
      <c r="BY576" s="51"/>
      <c r="BZ576" s="51"/>
      <c r="CA576" s="51"/>
      <c r="CB576" s="51"/>
      <c r="CC576" s="51"/>
      <c r="CD576" s="51"/>
      <c r="CE576" s="51"/>
      <c r="CF576" s="51"/>
      <c r="CG576" s="51"/>
      <c r="CH576" s="51"/>
      <c r="CI576" s="51"/>
      <c r="CJ576" s="51"/>
      <c r="CK576" s="51"/>
      <c r="CL576" s="51"/>
      <c r="CM576" s="51"/>
    </row>
    <row r="577" spans="1:91" x14ac:dyDescent="0.25">
      <c r="A577" s="50" t="s">
        <v>150</v>
      </c>
      <c r="B577" s="4">
        <v>0</v>
      </c>
      <c r="C577" s="4">
        <v>0</v>
      </c>
      <c r="D577" s="4">
        <v>0</v>
      </c>
      <c r="E577" s="4">
        <v>0</v>
      </c>
      <c r="F577" s="4">
        <v>0</v>
      </c>
      <c r="G577" s="4">
        <v>0</v>
      </c>
      <c r="H577" s="4">
        <v>0</v>
      </c>
      <c r="I577" s="4">
        <v>0</v>
      </c>
      <c r="J577" s="4">
        <v>0</v>
      </c>
      <c r="K577" s="4">
        <v>0</v>
      </c>
      <c r="L577" s="4">
        <v>0</v>
      </c>
      <c r="M577" s="4">
        <v>0</v>
      </c>
      <c r="N577" s="4">
        <v>0</v>
      </c>
      <c r="O577" s="4">
        <v>0</v>
      </c>
      <c r="P577" s="4">
        <v>0</v>
      </c>
      <c r="Q577" s="4">
        <v>0</v>
      </c>
      <c r="R577" s="4">
        <v>0</v>
      </c>
      <c r="S577" s="4">
        <v>0</v>
      </c>
      <c r="T577" s="4">
        <v>0</v>
      </c>
      <c r="U577" s="4">
        <v>0</v>
      </c>
      <c r="V577" s="4">
        <v>0</v>
      </c>
      <c r="W577" s="4">
        <v>0</v>
      </c>
      <c r="X577" s="4">
        <v>0</v>
      </c>
      <c r="Y577" s="4">
        <v>0</v>
      </c>
      <c r="Z577" s="4">
        <v>0</v>
      </c>
      <c r="AA577" s="4">
        <v>0</v>
      </c>
      <c r="AB577" s="4">
        <v>0</v>
      </c>
      <c r="AC577" s="4">
        <v>0</v>
      </c>
      <c r="AD577" s="4">
        <v>0</v>
      </c>
      <c r="AE577" s="4">
        <v>0</v>
      </c>
      <c r="AF577" s="51">
        <v>204507044.1833671</v>
      </c>
      <c r="AG577" s="51">
        <v>206955065.42034623</v>
      </c>
      <c r="AH577" s="51">
        <v>209346761.27142668</v>
      </c>
      <c r="AI577" s="51">
        <v>211692768.59754691</v>
      </c>
      <c r="AJ577" s="51">
        <v>214001568.11537081</v>
      </c>
      <c r="AK577" s="51">
        <v>216272873.47729886</v>
      </c>
      <c r="AL577" s="51">
        <v>218504823.42759287</v>
      </c>
      <c r="AM577" s="51">
        <v>220708400.72876972</v>
      </c>
      <c r="AN577" s="51">
        <v>222897905.87496558</v>
      </c>
      <c r="AO577" s="51">
        <v>225083569.20958287</v>
      </c>
      <c r="AP577" s="51">
        <v>227269703.31361562</v>
      </c>
      <c r="AQ577" s="51">
        <v>229455573.58859873</v>
      </c>
      <c r="AR577" s="51">
        <v>231641218.67023405</v>
      </c>
      <c r="AS577" s="51">
        <v>233825531.66028705</v>
      </c>
      <c r="AT577" s="51">
        <v>236006657.95471826</v>
      </c>
      <c r="AU577" s="51">
        <v>238183900.64690506</v>
      </c>
      <c r="AV577" s="51">
        <v>240358458.07973218</v>
      </c>
      <c r="AW577" s="51">
        <v>242531889.22059581</v>
      </c>
      <c r="AX577" s="51">
        <v>244705733.54219723</v>
      </c>
      <c r="AY577" s="51">
        <v>246879639.23522738</v>
      </c>
      <c r="AZ577" s="51">
        <v>249053631.17299658</v>
      </c>
      <c r="BA577" s="51">
        <v>251222890.27311075</v>
      </c>
      <c r="BB577" s="51">
        <v>253380790.04700637</v>
      </c>
      <c r="BC577" s="51">
        <v>255518176.99117264</v>
      </c>
      <c r="BD577" s="51">
        <v>257627466.21465111</v>
      </c>
      <c r="BE577" s="51">
        <v>259705936.6514746</v>
      </c>
      <c r="BF577" s="51">
        <v>261750519.31090707</v>
      </c>
      <c r="BG577" s="51">
        <v>263755966.21405417</v>
      </c>
      <c r="BH577" s="51">
        <v>265716339.60156024</v>
      </c>
      <c r="BI577" s="51">
        <v>267625748.77884215</v>
      </c>
      <c r="BJ577" s="51">
        <v>269483084.22234315</v>
      </c>
      <c r="BK577" s="51">
        <v>271286509.21775103</v>
      </c>
      <c r="BL577" s="51">
        <v>273034918.76897436</v>
      </c>
      <c r="BM577" s="51">
        <v>274729740.94888139</v>
      </c>
      <c r="BN577" s="51">
        <v>276370576.06063378</v>
      </c>
      <c r="BO577" s="51">
        <v>277957018.60431236</v>
      </c>
      <c r="BP577" s="51">
        <v>279489376.79035354</v>
      </c>
      <c r="BQ577" s="51">
        <v>280969383.21025598</v>
      </c>
      <c r="BR577" s="51">
        <v>282399464.55697262</v>
      </c>
      <c r="BS577" s="51">
        <v>283781663.14933056</v>
      </c>
      <c r="BT577" s="51">
        <v>285116214.5682596</v>
      </c>
      <c r="BU577" s="51">
        <v>286404770.4508639</v>
      </c>
      <c r="BV577" s="51">
        <v>287648963.78217036</v>
      </c>
      <c r="BW577" s="51">
        <v>288853247.61489952</v>
      </c>
      <c r="BX577" s="51">
        <v>290019558.47880799</v>
      </c>
      <c r="BY577" s="51">
        <v>291149461.05597603</v>
      </c>
      <c r="BZ577" s="51">
        <v>292240976.69678366</v>
      </c>
      <c r="CA577" s="51">
        <v>293293193.60011286</v>
      </c>
      <c r="CB577" s="51">
        <v>294303444.50561106</v>
      </c>
      <c r="CC577" s="51">
        <v>295269778.52529901</v>
      </c>
      <c r="CD577" s="51">
        <v>296189553.03909045</v>
      </c>
      <c r="CE577" s="51">
        <v>297063287.25924116</v>
      </c>
      <c r="CF577" s="51">
        <v>297888698.6220504</v>
      </c>
      <c r="CG577" s="51">
        <v>298665956.02849996</v>
      </c>
      <c r="CH577" s="51">
        <v>299393830.47692317</v>
      </c>
      <c r="CI577" s="51">
        <v>300069706.13192266</v>
      </c>
      <c r="CJ577" s="51">
        <v>300690979.16598678</v>
      </c>
      <c r="CK577" s="51">
        <v>301254364.20882463</v>
      </c>
      <c r="CL577" s="51">
        <v>301755899.09272748</v>
      </c>
      <c r="CM577" s="51">
        <v>302189912.83516967</v>
      </c>
    </row>
    <row r="578" spans="1:91" s="50" customFormat="1" x14ac:dyDescent="0.25">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c r="BS578" s="51"/>
      <c r="BT578" s="51"/>
      <c r="BU578" s="51"/>
      <c r="BV578" s="51"/>
      <c r="BW578" s="51"/>
      <c r="BX578" s="51"/>
      <c r="BY578" s="51"/>
      <c r="BZ578" s="51"/>
      <c r="CA578" s="51"/>
      <c r="CB578" s="51"/>
      <c r="CC578" s="51"/>
      <c r="CD578" s="51"/>
      <c r="CE578" s="51"/>
      <c r="CF578" s="51"/>
      <c r="CG578" s="51"/>
      <c r="CH578" s="51"/>
      <c r="CI578" s="51"/>
      <c r="CJ578" s="51"/>
      <c r="CK578" s="51"/>
      <c r="CL578" s="51"/>
      <c r="CM578" s="51"/>
    </row>
    <row r="579" spans="1:91" x14ac:dyDescent="0.25">
      <c r="A579" s="50" t="s">
        <v>151</v>
      </c>
      <c r="B579" s="4">
        <v>0</v>
      </c>
      <c r="C579" s="4">
        <v>0</v>
      </c>
      <c r="D579" s="4">
        <v>0</v>
      </c>
      <c r="E579" s="4">
        <v>0</v>
      </c>
      <c r="F579" s="4">
        <v>0</v>
      </c>
      <c r="G579" s="4">
        <v>0</v>
      </c>
      <c r="H579" s="4">
        <v>0</v>
      </c>
      <c r="I579" s="4">
        <v>0</v>
      </c>
      <c r="J579" s="4">
        <v>0</v>
      </c>
      <c r="K579" s="4">
        <v>0</v>
      </c>
      <c r="L579" s="4">
        <v>0</v>
      </c>
      <c r="M579" s="4">
        <v>0</v>
      </c>
      <c r="N579" s="4">
        <v>0</v>
      </c>
      <c r="O579" s="4">
        <v>0</v>
      </c>
      <c r="P579" s="4">
        <v>0</v>
      </c>
      <c r="Q579" s="4">
        <v>0</v>
      </c>
      <c r="R579" s="4">
        <v>0</v>
      </c>
      <c r="S579" s="4">
        <v>0</v>
      </c>
      <c r="T579" s="4">
        <v>0</v>
      </c>
      <c r="U579" s="4">
        <v>0</v>
      </c>
      <c r="V579" s="4">
        <v>0</v>
      </c>
      <c r="W579" s="4">
        <v>0</v>
      </c>
      <c r="X579" s="4">
        <v>0</v>
      </c>
      <c r="Y579" s="4">
        <v>0</v>
      </c>
      <c r="Z579" s="4">
        <v>0</v>
      </c>
      <c r="AA579" s="4">
        <v>0</v>
      </c>
      <c r="AB579" s="4">
        <v>0</v>
      </c>
      <c r="AC579" s="4">
        <v>0</v>
      </c>
      <c r="AD579" s="4">
        <v>0</v>
      </c>
      <c r="AE579" s="4">
        <v>0</v>
      </c>
      <c r="AF579" s="51">
        <v>243422823.50851613</v>
      </c>
      <c r="AG579" s="51">
        <v>247413394.81357858</v>
      </c>
      <c r="AH579" s="51">
        <v>251341494.19206336</v>
      </c>
      <c r="AI579" s="51">
        <v>255218955.95186976</v>
      </c>
      <c r="AJ579" s="51">
        <v>259055249.87613684</v>
      </c>
      <c r="AK579" s="51">
        <v>262849383.36421466</v>
      </c>
      <c r="AL579" s="51">
        <v>266598460.01229623</v>
      </c>
      <c r="AM579" s="51">
        <v>270315301.89204782</v>
      </c>
      <c r="AN579" s="51">
        <v>274017032.97231054</v>
      </c>
      <c r="AO579" s="51">
        <v>277716028.50636405</v>
      </c>
      <c r="AP579" s="51">
        <v>281417525.44864053</v>
      </c>
      <c r="AQ579" s="51">
        <v>285120567.60471469</v>
      </c>
      <c r="AR579" s="51">
        <v>288825151.83665502</v>
      </c>
      <c r="AS579" s="51">
        <v>292529844.25895792</v>
      </c>
      <c r="AT579" s="51">
        <v>296232255.85624635</v>
      </c>
      <c r="AU579" s="51">
        <v>299931427.37282348</v>
      </c>
      <c r="AV579" s="51">
        <v>303628785.2672044</v>
      </c>
      <c r="AW579" s="51">
        <v>307326234.63722813</v>
      </c>
      <c r="AX579" s="51">
        <v>311025682.16406423</v>
      </c>
      <c r="AY579" s="51">
        <v>314726648.49243009</v>
      </c>
      <c r="AZ579" s="51">
        <v>318429131.60215718</v>
      </c>
      <c r="BA579" s="51">
        <v>322126919.81870222</v>
      </c>
      <c r="BB579" s="51">
        <v>325811408.61880976</v>
      </c>
      <c r="BC579" s="51">
        <v>329470643.21865225</v>
      </c>
      <c r="BD579" s="51">
        <v>333094573.14887285</v>
      </c>
      <c r="BE579" s="51">
        <v>336679355.98073852</v>
      </c>
      <c r="BF579" s="51">
        <v>340220669.61473584</v>
      </c>
      <c r="BG579" s="51">
        <v>343711321.35326779</v>
      </c>
      <c r="BH579" s="51">
        <v>347143158.66426337</v>
      </c>
      <c r="BI579" s="51">
        <v>350508025.1931234</v>
      </c>
      <c r="BJ579" s="51">
        <v>353803979.33889455</v>
      </c>
      <c r="BK579" s="51">
        <v>357028122.7045536</v>
      </c>
      <c r="BL579" s="51">
        <v>360178513.3214305</v>
      </c>
      <c r="BM579" s="51">
        <v>363256558.98973942</v>
      </c>
      <c r="BN579" s="51">
        <v>366261276.31487352</v>
      </c>
      <c r="BO579" s="51">
        <v>369191682.37354642</v>
      </c>
      <c r="BP579" s="51">
        <v>372047752.13339496</v>
      </c>
      <c r="BQ579" s="51">
        <v>374831376.59078431</v>
      </c>
      <c r="BR579" s="51">
        <v>377545406.22561282</v>
      </c>
      <c r="BS579" s="51">
        <v>380192214.80735683</v>
      </c>
      <c r="BT579" s="51">
        <v>382771783.20250905</v>
      </c>
      <c r="BU579" s="51">
        <v>385286008.98242199</v>
      </c>
      <c r="BV579" s="51">
        <v>387736791.23334044</v>
      </c>
      <c r="BW579" s="51">
        <v>390129863.42948359</v>
      </c>
      <c r="BX579" s="51">
        <v>392467607.93234771</v>
      </c>
      <c r="BY579" s="51">
        <v>394751929.37563699</v>
      </c>
      <c r="BZ579" s="51">
        <v>396979940.89008605</v>
      </c>
      <c r="CA579" s="51">
        <v>399150192.74471396</v>
      </c>
      <c r="CB579" s="51">
        <v>401258838.14077771</v>
      </c>
      <c r="CC579" s="51">
        <v>403302987.95425731</v>
      </c>
      <c r="CD579" s="51">
        <v>405278793.38516927</v>
      </c>
      <c r="CE579" s="51">
        <v>407186720.19259149</v>
      </c>
      <c r="CF579" s="51">
        <v>409023398.26200622</v>
      </c>
      <c r="CG579" s="51">
        <v>410788813.87554431</v>
      </c>
      <c r="CH579" s="51">
        <v>412481035.1360724</v>
      </c>
      <c r="CI579" s="51">
        <v>414096211.06819779</v>
      </c>
      <c r="CJ579" s="51">
        <v>415630489.72126234</v>
      </c>
      <c r="CK579" s="51">
        <v>417079058.641087</v>
      </c>
      <c r="CL579" s="51">
        <v>418436144.48455238</v>
      </c>
      <c r="CM579" s="51">
        <v>419693573.05239511</v>
      </c>
    </row>
    <row r="580" spans="1:91" s="50" customFormat="1" x14ac:dyDescent="0.25">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1"/>
      <c r="BZ580" s="51"/>
      <c r="CA580" s="51"/>
      <c r="CB580" s="51"/>
      <c r="CC580" s="51"/>
      <c r="CD580" s="51"/>
      <c r="CE580" s="51"/>
      <c r="CF580" s="51"/>
      <c r="CG580" s="51"/>
      <c r="CH580" s="51"/>
      <c r="CI580" s="51"/>
      <c r="CJ580" s="51"/>
      <c r="CK580" s="51"/>
      <c r="CL580" s="51"/>
      <c r="CM580" s="51"/>
    </row>
    <row r="581" spans="1:91" x14ac:dyDescent="0.25">
      <c r="A581" s="50" t="s">
        <v>152</v>
      </c>
      <c r="B581" s="4">
        <v>0</v>
      </c>
      <c r="C581" s="4">
        <v>0</v>
      </c>
      <c r="D581" s="4">
        <v>0</v>
      </c>
      <c r="E581" s="4">
        <v>0</v>
      </c>
      <c r="F581" s="4">
        <v>0</v>
      </c>
      <c r="G581" s="4">
        <v>0</v>
      </c>
      <c r="H581" s="4">
        <v>0</v>
      </c>
      <c r="I581" s="4">
        <v>0</v>
      </c>
      <c r="J581" s="4">
        <v>0</v>
      </c>
      <c r="K581" s="4">
        <v>0</v>
      </c>
      <c r="L581" s="4">
        <v>0</v>
      </c>
      <c r="M581" s="4">
        <v>0</v>
      </c>
      <c r="N581" s="4">
        <v>0</v>
      </c>
      <c r="O581" s="4">
        <v>0</v>
      </c>
      <c r="P581" s="4">
        <v>0</v>
      </c>
      <c r="Q581" s="4">
        <v>0</v>
      </c>
      <c r="R581" s="4">
        <v>0</v>
      </c>
      <c r="S581" s="4">
        <v>0</v>
      </c>
      <c r="T581" s="4">
        <v>0</v>
      </c>
      <c r="U581" s="4">
        <v>0</v>
      </c>
      <c r="V581" s="4">
        <v>0</v>
      </c>
      <c r="W581" s="4">
        <v>0</v>
      </c>
      <c r="X581" s="4">
        <v>0</v>
      </c>
      <c r="Y581" s="4">
        <v>0</v>
      </c>
      <c r="Z581" s="4">
        <v>0</v>
      </c>
      <c r="AA581" s="4">
        <v>0</v>
      </c>
      <c r="AB581" s="4">
        <v>0</v>
      </c>
      <c r="AC581" s="4">
        <v>0</v>
      </c>
      <c r="AD581" s="4">
        <v>0</v>
      </c>
      <c r="AE581" s="4">
        <v>0</v>
      </c>
      <c r="AF581" s="51">
        <v>255029896.23405221</v>
      </c>
      <c r="AG581" s="51">
        <v>263188169.99950063</v>
      </c>
      <c r="AH581" s="51">
        <v>271297880.85347933</v>
      </c>
      <c r="AI581" s="51">
        <v>279368373.72877496</v>
      </c>
      <c r="AJ581" s="51">
        <v>287407262.16232783</v>
      </c>
      <c r="AK581" s="51">
        <v>295411098.58538496</v>
      </c>
      <c r="AL581" s="51">
        <v>303374332.96417749</v>
      </c>
      <c r="AM581" s="51">
        <v>311309473.00776726</v>
      </c>
      <c r="AN581" s="51">
        <v>319234836.82332098</v>
      </c>
      <c r="AO581" s="51">
        <v>327164121.8014726</v>
      </c>
      <c r="AP581" s="51">
        <v>335103197.78979933</v>
      </c>
      <c r="AQ581" s="51">
        <v>343050760.79554319</v>
      </c>
      <c r="AR581" s="51">
        <v>351006626.05929631</v>
      </c>
      <c r="AS581" s="51">
        <v>358968861.50494057</v>
      </c>
      <c r="AT581" s="51">
        <v>366934293.74407184</v>
      </c>
      <c r="AU581" s="51">
        <v>374901438.53814214</v>
      </c>
      <c r="AV581" s="51">
        <v>382871790.66672498</v>
      </c>
      <c r="AW581" s="51">
        <v>390847528.82489228</v>
      </c>
      <c r="AX581" s="51">
        <v>398830924.93309176</v>
      </c>
      <c r="AY581" s="51">
        <v>406821252.92073947</v>
      </c>
      <c r="AZ581" s="51">
        <v>414818393.84142798</v>
      </c>
      <c r="BA581" s="51">
        <v>422814083.07411122</v>
      </c>
      <c r="BB581" s="51">
        <v>430796656.90487528</v>
      </c>
      <c r="BC581" s="51">
        <v>438749676.85215271</v>
      </c>
      <c r="BD581" s="51">
        <v>446658837.00543451</v>
      </c>
      <c r="BE581" s="51">
        <v>454517882.11212611</v>
      </c>
      <c r="BF581" s="51">
        <v>462319812.27282238</v>
      </c>
      <c r="BG581" s="51">
        <v>470053596.97940147</v>
      </c>
      <c r="BH581" s="51">
        <v>477706687.40724427</v>
      </c>
      <c r="BI581" s="51">
        <v>485266309.66376418</v>
      </c>
      <c r="BJ581" s="51">
        <v>492728135.77297455</v>
      </c>
      <c r="BK581" s="51">
        <v>500086498.34181255</v>
      </c>
      <c r="BL581" s="51">
        <v>507337047.74355054</v>
      </c>
      <c r="BM581" s="51">
        <v>514480180.16828966</v>
      </c>
      <c r="BN581" s="51">
        <v>521512990.09354287</v>
      </c>
      <c r="BO581" s="51">
        <v>528432599.74767154</v>
      </c>
      <c r="BP581" s="51">
        <v>535237535.24061131</v>
      </c>
      <c r="BQ581" s="51">
        <v>541929144.98134148</v>
      </c>
      <c r="BR581" s="51">
        <v>548510275.03195524</v>
      </c>
      <c r="BS581" s="51">
        <v>554983201.11183453</v>
      </c>
      <c r="BT581" s="51">
        <v>561346796.65176439</v>
      </c>
      <c r="BU581" s="51">
        <v>567602797.19192648</v>
      </c>
      <c r="BV581" s="51">
        <v>573753027.46841228</v>
      </c>
      <c r="BW581" s="51">
        <v>579805094.03474164</v>
      </c>
      <c r="BX581" s="51">
        <v>585761778.50315952</v>
      </c>
      <c r="BY581" s="51">
        <v>591625232.2406019</v>
      </c>
      <c r="BZ581" s="51">
        <v>597390466.60141945</v>
      </c>
      <c r="CA581" s="51">
        <v>603054616.53751493</v>
      </c>
      <c r="CB581" s="51">
        <v>608611169.49299312</v>
      </c>
      <c r="CC581" s="51">
        <v>614055004.06354487</v>
      </c>
      <c r="CD581" s="51">
        <v>619379489.86130762</v>
      </c>
      <c r="CE581" s="51">
        <v>624584552.42090821</v>
      </c>
      <c r="CF581" s="51">
        <v>629664247.98680961</v>
      </c>
      <c r="CG581" s="51">
        <v>634617768.8593148</v>
      </c>
      <c r="CH581" s="51">
        <v>639441358.41752136</v>
      </c>
      <c r="CI581" s="51">
        <v>644128258.18677557</v>
      </c>
      <c r="CJ581" s="51">
        <v>648671652.26963651</v>
      </c>
      <c r="CK581" s="51">
        <v>653063167.0588311</v>
      </c>
      <c r="CL581" s="51">
        <v>657292848.54451621</v>
      </c>
      <c r="CM581" s="51">
        <v>661346872.15125382</v>
      </c>
    </row>
    <row r="582" spans="1:91" s="50" customFormat="1" x14ac:dyDescent="0.25">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1"/>
      <c r="BZ582" s="51"/>
      <c r="CA582" s="51"/>
      <c r="CB582" s="51"/>
      <c r="CC582" s="51"/>
      <c r="CD582" s="51"/>
      <c r="CE582" s="51"/>
      <c r="CF582" s="51"/>
      <c r="CG582" s="51"/>
      <c r="CH582" s="51"/>
      <c r="CI582" s="51"/>
      <c r="CJ582" s="51"/>
      <c r="CK582" s="51"/>
      <c r="CL582" s="51"/>
      <c r="CM582" s="51"/>
    </row>
    <row r="583" spans="1:91" x14ac:dyDescent="0.25">
      <c r="A583" s="50" t="s">
        <v>153</v>
      </c>
      <c r="B583" s="4">
        <v>0</v>
      </c>
      <c r="C583" s="4">
        <v>0</v>
      </c>
      <c r="D583" s="4">
        <v>0</v>
      </c>
      <c r="E583" s="4">
        <v>0</v>
      </c>
      <c r="F583" s="4">
        <v>0</v>
      </c>
      <c r="G583" s="4">
        <v>0</v>
      </c>
      <c r="H583" s="4">
        <v>0</v>
      </c>
      <c r="I583" s="4">
        <v>0</v>
      </c>
      <c r="J583" s="4">
        <v>0</v>
      </c>
      <c r="K583" s="4">
        <v>0</v>
      </c>
      <c r="L583" s="4">
        <v>0</v>
      </c>
      <c r="M583" s="4">
        <v>0</v>
      </c>
      <c r="N583" s="4">
        <v>0</v>
      </c>
      <c r="O583" s="4">
        <v>0</v>
      </c>
      <c r="P583" s="4">
        <v>0</v>
      </c>
      <c r="Q583" s="4">
        <v>0</v>
      </c>
      <c r="R583" s="4">
        <v>0</v>
      </c>
      <c r="S583" s="4">
        <v>0</v>
      </c>
      <c r="T583" s="4">
        <v>0</v>
      </c>
      <c r="U583" s="4">
        <v>0</v>
      </c>
      <c r="V583" s="4">
        <v>0</v>
      </c>
      <c r="W583" s="4">
        <v>0</v>
      </c>
      <c r="X583" s="4">
        <v>0</v>
      </c>
      <c r="Y583" s="4">
        <v>0</v>
      </c>
      <c r="Z583" s="4">
        <v>0</v>
      </c>
      <c r="AA583" s="4">
        <v>0</v>
      </c>
      <c r="AB583" s="4">
        <v>0</v>
      </c>
      <c r="AC583" s="4">
        <v>0</v>
      </c>
      <c r="AD583" s="4">
        <v>0</v>
      </c>
      <c r="AE583" s="4">
        <v>0</v>
      </c>
      <c r="AF583" s="51">
        <v>142388105.44558215</v>
      </c>
      <c r="AG583" s="51">
        <v>142220010.87924543</v>
      </c>
      <c r="AH583" s="51">
        <v>142004749.11057913</v>
      </c>
      <c r="AI583" s="51">
        <v>141751163.69430938</v>
      </c>
      <c r="AJ583" s="51">
        <v>141466245.81791428</v>
      </c>
      <c r="AK583" s="51">
        <v>141150929.60388291</v>
      </c>
      <c r="AL583" s="51">
        <v>140805103.434692</v>
      </c>
      <c r="AM583" s="51">
        <v>140436849.89879394</v>
      </c>
      <c r="AN583" s="51">
        <v>140055947.94071251</v>
      </c>
      <c r="AO583" s="51">
        <v>139669175.798464</v>
      </c>
      <c r="AP583" s="51">
        <v>139279355.71050936</v>
      </c>
      <c r="AQ583" s="51">
        <v>138886118.48719329</v>
      </c>
      <c r="AR583" s="51">
        <v>138489576.46378046</v>
      </c>
      <c r="AS583" s="51">
        <v>138089161.31647214</v>
      </c>
      <c r="AT583" s="51">
        <v>137683897.42156127</v>
      </c>
      <c r="AU583" s="51">
        <v>137273525.18033874</v>
      </c>
      <c r="AV583" s="51">
        <v>136858878.79656348</v>
      </c>
      <c r="AW583" s="51">
        <v>136440957.66173172</v>
      </c>
      <c r="AX583" s="51">
        <v>136020704.48552701</v>
      </c>
      <c r="AY583" s="51">
        <v>135597979.7108582</v>
      </c>
      <c r="AZ583" s="51">
        <v>135172855.65813822</v>
      </c>
      <c r="BA583" s="51">
        <v>134742804.1030485</v>
      </c>
      <c r="BB583" s="51">
        <v>134304458.42776683</v>
      </c>
      <c r="BC583" s="51">
        <v>133853288.0145863</v>
      </c>
      <c r="BD583" s="51">
        <v>133385789.68107483</v>
      </c>
      <c r="BE583" s="51">
        <v>132901118.56049612</v>
      </c>
      <c r="BF583" s="51">
        <v>132398301.5235226</v>
      </c>
      <c r="BG583" s="51">
        <v>131875330.00015861</v>
      </c>
      <c r="BH583" s="51">
        <v>131329956.54138087</v>
      </c>
      <c r="BI583" s="51">
        <v>130760070.5413743</v>
      </c>
      <c r="BJ583" s="51">
        <v>130165979.38942294</v>
      </c>
      <c r="BK583" s="51">
        <v>129547642.82344237</v>
      </c>
      <c r="BL583" s="51">
        <v>128905381.3965504</v>
      </c>
      <c r="BM583" s="51">
        <v>128240697.26409632</v>
      </c>
      <c r="BN583" s="51">
        <v>127554194.97990172</v>
      </c>
      <c r="BO583" s="51">
        <v>126846462.22504072</v>
      </c>
      <c r="BP583" s="51">
        <v>126118395.13700359</v>
      </c>
      <c r="BQ583" s="51">
        <v>125371497.9281778</v>
      </c>
      <c r="BR583" s="51">
        <v>124607526.25349119</v>
      </c>
      <c r="BS583" s="51">
        <v>123828001.52692589</v>
      </c>
      <c r="BT583" s="51">
        <v>123033608.71199258</v>
      </c>
      <c r="BU583" s="51">
        <v>122225616.64206874</v>
      </c>
      <c r="BV583" s="51">
        <v>121405239.91866875</v>
      </c>
      <c r="BW583" s="51">
        <v>120574825.86259136</v>
      </c>
      <c r="BX583" s="51">
        <v>119735588.30072726</v>
      </c>
      <c r="BY583" s="51">
        <v>118888543.24030448</v>
      </c>
      <c r="BZ583" s="51">
        <v>118033237.73513006</v>
      </c>
      <c r="CA583" s="51">
        <v>117169670.71617542</v>
      </c>
      <c r="CB583" s="51">
        <v>116297153.75926015</v>
      </c>
      <c r="CC583" s="51">
        <v>115415314.63656805</v>
      </c>
      <c r="CD583" s="51">
        <v>114523536.56674354</v>
      </c>
      <c r="CE583" s="51">
        <v>113622445.83943778</v>
      </c>
      <c r="CF583" s="51">
        <v>112711589.20917755</v>
      </c>
      <c r="CG583" s="51">
        <v>111791457.76413989</v>
      </c>
      <c r="CH583" s="51">
        <v>110862011.5049371</v>
      </c>
      <c r="CI583" s="51">
        <v>109922711.52805507</v>
      </c>
      <c r="CJ583" s="51">
        <v>108973053.84351507</v>
      </c>
      <c r="CK583" s="51">
        <v>108012319.53378409</v>
      </c>
      <c r="CL583" s="51">
        <v>107039588.55115402</v>
      </c>
      <c r="CM583" s="51">
        <v>106053389.11377521</v>
      </c>
    </row>
    <row r="584" spans="1:91" s="50" customFormat="1" x14ac:dyDescent="0.25">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1"/>
      <c r="BZ584" s="51"/>
      <c r="CA584" s="51"/>
      <c r="CB584" s="51"/>
      <c r="CC584" s="51"/>
      <c r="CD584" s="51"/>
      <c r="CE584" s="51"/>
      <c r="CF584" s="51"/>
      <c r="CG584" s="51"/>
      <c r="CH584" s="51"/>
      <c r="CI584" s="51"/>
      <c r="CJ584" s="51"/>
      <c r="CK584" s="51"/>
      <c r="CL584" s="51"/>
      <c r="CM584" s="51"/>
    </row>
    <row r="585" spans="1:91" x14ac:dyDescent="0.25">
      <c r="A585" s="50" t="s">
        <v>154</v>
      </c>
      <c r="B585" s="4">
        <v>0</v>
      </c>
      <c r="C585" s="4">
        <v>0</v>
      </c>
      <c r="D585" s="4">
        <v>0</v>
      </c>
      <c r="E585" s="4">
        <v>0</v>
      </c>
      <c r="F585" s="4">
        <v>0</v>
      </c>
      <c r="G585" s="4">
        <v>0</v>
      </c>
      <c r="H585" s="4">
        <v>0</v>
      </c>
      <c r="I585" s="4">
        <v>0</v>
      </c>
      <c r="J585" s="4">
        <v>0</v>
      </c>
      <c r="K585" s="4">
        <v>0</v>
      </c>
      <c r="L585" s="4">
        <v>0</v>
      </c>
      <c r="M585" s="4">
        <v>0</v>
      </c>
      <c r="N585" s="4">
        <v>0</v>
      </c>
      <c r="O585" s="4">
        <v>0</v>
      </c>
      <c r="P585" s="4">
        <v>0</v>
      </c>
      <c r="Q585" s="4">
        <v>0</v>
      </c>
      <c r="R585" s="4">
        <v>0</v>
      </c>
      <c r="S585" s="4">
        <v>0</v>
      </c>
      <c r="T585" s="4">
        <v>0</v>
      </c>
      <c r="U585" s="4">
        <v>0</v>
      </c>
      <c r="V585" s="4">
        <v>0</v>
      </c>
      <c r="W585" s="4">
        <v>0</v>
      </c>
      <c r="X585" s="4">
        <v>0</v>
      </c>
      <c r="Y585" s="4">
        <v>0</v>
      </c>
      <c r="Z585" s="4">
        <v>0</v>
      </c>
      <c r="AA585" s="4">
        <v>0</v>
      </c>
      <c r="AB585" s="4">
        <v>0</v>
      </c>
      <c r="AC585" s="4">
        <v>0</v>
      </c>
      <c r="AD585" s="4">
        <v>0</v>
      </c>
      <c r="AE585" s="4">
        <v>0</v>
      </c>
      <c r="AF585" s="51">
        <v>214558623.11399344</v>
      </c>
      <c r="AG585" s="51">
        <v>215160315.20837006</v>
      </c>
      <c r="AH585" s="51">
        <v>215694563.25065026</v>
      </c>
      <c r="AI585" s="51">
        <v>216174036.80338821</v>
      </c>
      <c r="AJ585" s="51">
        <v>216608774.50871062</v>
      </c>
      <c r="AK585" s="51">
        <v>216999666.41027853</v>
      </c>
      <c r="AL585" s="51">
        <v>217346003.57969809</v>
      </c>
      <c r="AM585" s="51">
        <v>217659766.3279511</v>
      </c>
      <c r="AN585" s="51">
        <v>217955771.30684108</v>
      </c>
      <c r="AO585" s="51">
        <v>218244389.71874815</v>
      </c>
      <c r="AP585" s="51">
        <v>218529956.64417401</v>
      </c>
      <c r="AQ585" s="51">
        <v>218811850.80495203</v>
      </c>
      <c r="AR585" s="51">
        <v>219090202.4651469</v>
      </c>
      <c r="AS585" s="51">
        <v>219364062.8477051</v>
      </c>
      <c r="AT585" s="51">
        <v>219631817.7047261</v>
      </c>
      <c r="AU585" s="51">
        <v>219892972.83979306</v>
      </c>
      <c r="AV585" s="51">
        <v>220148785.34457898</v>
      </c>
      <c r="AW585" s="51">
        <v>220400800.44536194</v>
      </c>
      <c r="AX585" s="51">
        <v>220650497.64014348</v>
      </c>
      <c r="AY585" s="51">
        <v>220897618.51563653</v>
      </c>
      <c r="AZ585" s="51">
        <v>221142246.93465096</v>
      </c>
      <c r="BA585" s="51">
        <v>221380195.59018293</v>
      </c>
      <c r="BB585" s="51">
        <v>221605822.05958432</v>
      </c>
      <c r="BC585" s="51">
        <v>221811458.06559491</v>
      </c>
      <c r="BD585" s="51">
        <v>221991013.07682198</v>
      </c>
      <c r="BE585" s="51">
        <v>222142734.72294301</v>
      </c>
      <c r="BF585" s="51">
        <v>222264625.31745937</v>
      </c>
      <c r="BG585" s="51">
        <v>222352906.97940499</v>
      </c>
      <c r="BH585" s="51">
        <v>222403331.65795571</v>
      </c>
      <c r="BI585" s="51">
        <v>222411809.98578471</v>
      </c>
      <c r="BJ585" s="51">
        <v>222378312.08067483</v>
      </c>
      <c r="BK585" s="51">
        <v>222302211.75805718</v>
      </c>
      <c r="BL585" s="51">
        <v>222183494.40050757</v>
      </c>
      <c r="BM585" s="51">
        <v>222024191.65690851</v>
      </c>
      <c r="BN585" s="51">
        <v>221824811.40282544</v>
      </c>
      <c r="BO585" s="51">
        <v>221585841.94817129</v>
      </c>
      <c r="BP585" s="51">
        <v>221308322.45471221</v>
      </c>
      <c r="BQ585" s="51">
        <v>220994383.53944528</v>
      </c>
      <c r="BR585" s="51">
        <v>220646640.55788291</v>
      </c>
      <c r="BS585" s="51">
        <v>220267340.65677601</v>
      </c>
      <c r="BT585" s="51">
        <v>219857278.12037119</v>
      </c>
      <c r="BU585" s="51">
        <v>219418310.61997235</v>
      </c>
      <c r="BV585" s="51">
        <v>218952232.93957132</v>
      </c>
      <c r="BW585" s="51">
        <v>218462926.02753106</v>
      </c>
      <c r="BX585" s="51">
        <v>217952280.35235962</v>
      </c>
      <c r="BY585" s="51">
        <v>217421860.40795115</v>
      </c>
      <c r="BZ585" s="51">
        <v>216870561.46090659</v>
      </c>
      <c r="CA585" s="51">
        <v>216298092.52326882</v>
      </c>
      <c r="CB585" s="51">
        <v>215702882.63563094</v>
      </c>
      <c r="CC585" s="51">
        <v>215083920.66568986</v>
      </c>
      <c r="CD585" s="51">
        <v>214439718.73111784</v>
      </c>
      <c r="CE585" s="51">
        <v>213771099.6606766</v>
      </c>
      <c r="CF585" s="51">
        <v>213076861.79115161</v>
      </c>
      <c r="CG585" s="51">
        <v>212357574.58879462</v>
      </c>
      <c r="CH585" s="51">
        <v>211612805.33920047</v>
      </c>
      <c r="CI585" s="51">
        <v>210841156.46725035</v>
      </c>
      <c r="CJ585" s="51">
        <v>210041270.88358822</v>
      </c>
      <c r="CK585" s="51">
        <v>209211349.10315073</v>
      </c>
      <c r="CL585" s="51">
        <v>208349165.24461704</v>
      </c>
      <c r="CM585" s="51">
        <v>207451370.72145215</v>
      </c>
    </row>
    <row r="586" spans="1:91" s="50" customFormat="1" x14ac:dyDescent="0.25">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1"/>
      <c r="BZ586" s="51"/>
      <c r="CA586" s="51"/>
      <c r="CB586" s="51"/>
      <c r="CC586" s="51"/>
      <c r="CD586" s="51"/>
      <c r="CE586" s="51"/>
      <c r="CF586" s="51"/>
      <c r="CG586" s="51"/>
      <c r="CH586" s="51"/>
      <c r="CI586" s="51"/>
      <c r="CJ586" s="51"/>
      <c r="CK586" s="51"/>
      <c r="CL586" s="51"/>
      <c r="CM586" s="51"/>
    </row>
    <row r="587" spans="1:91" x14ac:dyDescent="0.25">
      <c r="A587" s="50" t="s">
        <v>155</v>
      </c>
      <c r="B587" s="4">
        <v>0</v>
      </c>
      <c r="C587" s="4">
        <v>0</v>
      </c>
      <c r="D587" s="4">
        <v>0</v>
      </c>
      <c r="E587" s="4">
        <v>0</v>
      </c>
      <c r="F587" s="4">
        <v>0</v>
      </c>
      <c r="G587" s="4">
        <v>0</v>
      </c>
      <c r="H587" s="4">
        <v>0</v>
      </c>
      <c r="I587" s="4">
        <v>0</v>
      </c>
      <c r="J587" s="4">
        <v>0</v>
      </c>
      <c r="K587" s="4">
        <v>0</v>
      </c>
      <c r="L587" s="4">
        <v>0</v>
      </c>
      <c r="M587" s="4">
        <v>0</v>
      </c>
      <c r="N587" s="4">
        <v>0</v>
      </c>
      <c r="O587" s="4">
        <v>0</v>
      </c>
      <c r="P587" s="4">
        <v>0</v>
      </c>
      <c r="Q587" s="4">
        <v>0</v>
      </c>
      <c r="R587" s="4">
        <v>0</v>
      </c>
      <c r="S587" s="4">
        <v>0</v>
      </c>
      <c r="T587" s="4">
        <v>0</v>
      </c>
      <c r="U587" s="4">
        <v>0</v>
      </c>
      <c r="V587" s="4">
        <v>0</v>
      </c>
      <c r="W587" s="4">
        <v>0</v>
      </c>
      <c r="X587" s="4">
        <v>0</v>
      </c>
      <c r="Y587" s="4">
        <v>0</v>
      </c>
      <c r="Z587" s="4">
        <v>0</v>
      </c>
      <c r="AA587" s="4">
        <v>0</v>
      </c>
      <c r="AB587" s="4">
        <v>0</v>
      </c>
      <c r="AC587" s="4">
        <v>0</v>
      </c>
      <c r="AD587" s="4">
        <v>0</v>
      </c>
      <c r="AE587" s="4">
        <v>0</v>
      </c>
      <c r="AF587" s="51">
        <v>10503945.219133187</v>
      </c>
      <c r="AG587" s="51">
        <v>10615128.929934397</v>
      </c>
      <c r="AH587" s="51">
        <v>10723357.853631297</v>
      </c>
      <c r="AI587" s="51">
        <v>10829189.495972589</v>
      </c>
      <c r="AJ587" s="51">
        <v>10933067.889311276</v>
      </c>
      <c r="AK587" s="51">
        <v>11034987.135021891</v>
      </c>
      <c r="AL587" s="51">
        <v>11134860.838341009</v>
      </c>
      <c r="AM587" s="51">
        <v>11233256.485901063</v>
      </c>
      <c r="AN587" s="51">
        <v>11330907.201886328</v>
      </c>
      <c r="AO587" s="51">
        <v>11428335.761558266</v>
      </c>
      <c r="AP587" s="51">
        <v>11525762.266904617</v>
      </c>
      <c r="AQ587" s="51">
        <v>11623150.092959849</v>
      </c>
      <c r="AR587" s="51">
        <v>11720501.888093023</v>
      </c>
      <c r="AS587" s="51">
        <v>11817762.372083019</v>
      </c>
      <c r="AT587" s="51">
        <v>11914838.741271986</v>
      </c>
      <c r="AU587" s="51">
        <v>12011696.954364514</v>
      </c>
      <c r="AV587" s="51">
        <v>12108398.559856026</v>
      </c>
      <c r="AW587" s="51">
        <v>12205022.961191246</v>
      </c>
      <c r="AX587" s="51">
        <v>12301648.225508345</v>
      </c>
      <c r="AY587" s="51">
        <v>12398257.102115309</v>
      </c>
      <c r="AZ587" s="51">
        <v>12494851.296007846</v>
      </c>
      <c r="BA587" s="51">
        <v>12591189.715647032</v>
      </c>
      <c r="BB587" s="51">
        <v>12686941.701117765</v>
      </c>
      <c r="BC587" s="51">
        <v>12781651.426664116</v>
      </c>
      <c r="BD587" s="51">
        <v>12874943.131123273</v>
      </c>
      <c r="BE587" s="51">
        <v>12966685.211850977</v>
      </c>
      <c r="BF587" s="51">
        <v>13056729.081785444</v>
      </c>
      <c r="BG587" s="51">
        <v>13144817.979434805</v>
      </c>
      <c r="BH587" s="51">
        <v>13230661.590490282</v>
      </c>
      <c r="BI587" s="51">
        <v>13313972.82680116</v>
      </c>
      <c r="BJ587" s="51">
        <v>13394703.093037851</v>
      </c>
      <c r="BK587" s="51">
        <v>13472767.676682837</v>
      </c>
      <c r="BL587" s="51">
        <v>13548118.292751495</v>
      </c>
      <c r="BM587" s="51">
        <v>13620832.237085517</v>
      </c>
      <c r="BN587" s="51">
        <v>13690895.841286927</v>
      </c>
      <c r="BO587" s="51">
        <v>13758295.039172826</v>
      </c>
      <c r="BP587" s="51">
        <v>13823050.957704479</v>
      </c>
      <c r="BQ587" s="51">
        <v>13885254.901772121</v>
      </c>
      <c r="BR587" s="51">
        <v>13945032.025274856</v>
      </c>
      <c r="BS587" s="51">
        <v>14002487.999193031</v>
      </c>
      <c r="BT587" s="51">
        <v>14057638.971938804</v>
      </c>
      <c r="BU587" s="51">
        <v>14110570.699205665</v>
      </c>
      <c r="BV587" s="51">
        <v>14161367.658139404</v>
      </c>
      <c r="BW587" s="51">
        <v>14210252.714820871</v>
      </c>
      <c r="BX587" s="51">
        <v>14257324.288686225</v>
      </c>
      <c r="BY587" s="51">
        <v>14302662.174905788</v>
      </c>
      <c r="BZ587" s="51">
        <v>14346171.931694692</v>
      </c>
      <c r="CA587" s="51">
        <v>14387811.652192226</v>
      </c>
      <c r="CB587" s="51">
        <v>14427453.421978144</v>
      </c>
      <c r="CC587" s="51">
        <v>14465004.702250255</v>
      </c>
      <c r="CD587" s="51">
        <v>14500339.267609499</v>
      </c>
      <c r="CE587" s="51">
        <v>14533485.843750378</v>
      </c>
      <c r="CF587" s="51">
        <v>14564336.021279728</v>
      </c>
      <c r="CG587" s="51">
        <v>14592901.377886344</v>
      </c>
      <c r="CH587" s="51">
        <v>14619125.128351061</v>
      </c>
      <c r="CI587" s="51">
        <v>14642882.883290164</v>
      </c>
      <c r="CJ587" s="51">
        <v>14664051.076426724</v>
      </c>
      <c r="CK587" s="51">
        <v>14682473.153336985</v>
      </c>
      <c r="CL587" s="51">
        <v>14697959.896731302</v>
      </c>
      <c r="CM587" s="51">
        <v>14710239.279104566</v>
      </c>
    </row>
    <row r="588" spans="1:91" s="50" customFormat="1" x14ac:dyDescent="0.25">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1"/>
      <c r="BZ588" s="51"/>
      <c r="CA588" s="51"/>
      <c r="CB588" s="51"/>
      <c r="CC588" s="51"/>
      <c r="CD588" s="51"/>
      <c r="CE588" s="51"/>
      <c r="CF588" s="51"/>
      <c r="CG588" s="51"/>
      <c r="CH588" s="51"/>
      <c r="CI588" s="51"/>
      <c r="CJ588" s="51"/>
      <c r="CK588" s="51"/>
      <c r="CL588" s="51"/>
      <c r="CM588" s="51"/>
    </row>
    <row r="589" spans="1:91" x14ac:dyDescent="0.25">
      <c r="A589" s="50" t="s">
        <v>156</v>
      </c>
      <c r="B589" s="4">
        <v>0</v>
      </c>
      <c r="C589" s="4">
        <v>0</v>
      </c>
      <c r="D589" s="4">
        <v>0</v>
      </c>
      <c r="E589" s="4">
        <v>0</v>
      </c>
      <c r="F589" s="4">
        <v>0</v>
      </c>
      <c r="G589" s="4">
        <v>0</v>
      </c>
      <c r="H589" s="4">
        <v>0</v>
      </c>
      <c r="I589" s="4">
        <v>0</v>
      </c>
      <c r="J589" s="4">
        <v>0</v>
      </c>
      <c r="K589" s="4">
        <v>0</v>
      </c>
      <c r="L589" s="4">
        <v>0</v>
      </c>
      <c r="M589" s="4">
        <v>0</v>
      </c>
      <c r="N589" s="4">
        <v>0</v>
      </c>
      <c r="O589" s="4">
        <v>0</v>
      </c>
      <c r="P589" s="4">
        <v>0</v>
      </c>
      <c r="Q589" s="4">
        <v>0</v>
      </c>
      <c r="R589" s="4">
        <v>0</v>
      </c>
      <c r="S589" s="4">
        <v>0</v>
      </c>
      <c r="T589" s="4">
        <v>0</v>
      </c>
      <c r="U589" s="4">
        <v>0</v>
      </c>
      <c r="V589" s="4">
        <v>0</v>
      </c>
      <c r="W589" s="4">
        <v>0</v>
      </c>
      <c r="X589" s="4">
        <v>0</v>
      </c>
      <c r="Y589" s="4">
        <v>0</v>
      </c>
      <c r="Z589" s="4">
        <v>0</v>
      </c>
      <c r="AA589" s="4">
        <v>0</v>
      </c>
      <c r="AB589" s="4">
        <v>0</v>
      </c>
      <c r="AC589" s="4">
        <v>0</v>
      </c>
      <c r="AD589" s="4">
        <v>0</v>
      </c>
      <c r="AE589" s="4">
        <v>0</v>
      </c>
      <c r="AF589" s="51">
        <v>229379435.2005932</v>
      </c>
      <c r="AG589" s="51">
        <v>236958924.4931064</v>
      </c>
      <c r="AH589" s="51">
        <v>244495761.7446416</v>
      </c>
      <c r="AI589" s="51">
        <v>251998166.37925494</v>
      </c>
      <c r="AJ589" s="51">
        <v>259472845.90265682</v>
      </c>
      <c r="AK589" s="51">
        <v>266916553.15254036</v>
      </c>
      <c r="AL589" s="51">
        <v>274324143.40635139</v>
      </c>
      <c r="AM589" s="51">
        <v>281706810.09931326</v>
      </c>
      <c r="AN589" s="51">
        <v>289081051.88837296</v>
      </c>
      <c r="AO589" s="51">
        <v>296459233.00098372</v>
      </c>
      <c r="AP589" s="51">
        <v>303846656.19667149</v>
      </c>
      <c r="AQ589" s="51">
        <v>311242130.26703674</v>
      </c>
      <c r="AR589" s="51">
        <v>318645478.00501037</v>
      </c>
      <c r="AS589" s="51">
        <v>326054935.53352994</v>
      </c>
      <c r="AT589" s="51">
        <v>333467607.88544273</v>
      </c>
      <c r="AU589" s="51">
        <v>340882130.97439855</v>
      </c>
      <c r="AV589" s="51">
        <v>348299849.25610727</v>
      </c>
      <c r="AW589" s="51">
        <v>355722733.40484691</v>
      </c>
      <c r="AX589" s="51">
        <v>363152843.5095461</v>
      </c>
      <c r="AY589" s="51">
        <v>370589512.91970044</v>
      </c>
      <c r="AZ589" s="51">
        <v>378032627.55102485</v>
      </c>
      <c r="BA589" s="51">
        <v>385474647.24228948</v>
      </c>
      <c r="BB589" s="51">
        <v>392904920.38667476</v>
      </c>
      <c r="BC589" s="51">
        <v>400308423.97146934</v>
      </c>
      <c r="BD589" s="51">
        <v>407672061.41962451</v>
      </c>
      <c r="BE589" s="51">
        <v>414990071.09827757</v>
      </c>
      <c r="BF589" s="51">
        <v>422256006.90716767</v>
      </c>
      <c r="BG589" s="51">
        <v>429459735.33961123</v>
      </c>
      <c r="BH589" s="51">
        <v>436589726.117607</v>
      </c>
      <c r="BI589" s="51">
        <v>443634233.09519833</v>
      </c>
      <c r="BJ589" s="51">
        <v>450589224.17247623</v>
      </c>
      <c r="BK589" s="51">
        <v>457449442.06483734</v>
      </c>
      <c r="BL589" s="51">
        <v>464210833.90663135</v>
      </c>
      <c r="BM589" s="51">
        <v>470873690.470698</v>
      </c>
      <c r="BN589" s="51">
        <v>477435284.48399067</v>
      </c>
      <c r="BO589" s="51">
        <v>483892915.28995091</v>
      </c>
      <c r="BP589" s="51">
        <v>490245169.24612528</v>
      </c>
      <c r="BQ589" s="51">
        <v>496493220.67997092</v>
      </c>
      <c r="BR589" s="51">
        <v>502639620.87152332</v>
      </c>
      <c r="BS589" s="51">
        <v>508686403.81256926</v>
      </c>
      <c r="BT589" s="51">
        <v>514632488.98420221</v>
      </c>
      <c r="BU589" s="51">
        <v>520479422.02047831</v>
      </c>
      <c r="BV589" s="51">
        <v>526228834.10534203</v>
      </c>
      <c r="BW589" s="51">
        <v>531887663.97284615</v>
      </c>
      <c r="BX589" s="51">
        <v>537458430.82845628</v>
      </c>
      <c r="BY589" s="51">
        <v>542943079.13540494</v>
      </c>
      <c r="BZ589" s="51">
        <v>548337002.61161876</v>
      </c>
      <c r="CA589" s="51">
        <v>553637542.54477036</v>
      </c>
      <c r="CB589" s="51">
        <v>558838690.5163846</v>
      </c>
      <c r="CC589" s="51">
        <v>563935712.91244888</v>
      </c>
      <c r="CD589" s="51">
        <v>568922488.29908335</v>
      </c>
      <c r="CE589" s="51">
        <v>573798915.51402056</v>
      </c>
      <c r="CF589" s="51">
        <v>578559501.94772708</v>
      </c>
      <c r="CG589" s="51">
        <v>583203472.91651714</v>
      </c>
      <c r="CH589" s="51">
        <v>587727344.32051718</v>
      </c>
      <c r="CI589" s="51">
        <v>592124871.87480462</v>
      </c>
      <c r="CJ589" s="51">
        <v>596389756.2189225</v>
      </c>
      <c r="CK589" s="51">
        <v>600514263.43803549</v>
      </c>
      <c r="CL589" s="51">
        <v>604489203.29778504</v>
      </c>
      <c r="CM589" s="51">
        <v>608301821.91770077</v>
      </c>
    </row>
    <row r="590" spans="1:91" s="50" customFormat="1" x14ac:dyDescent="0.25">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1"/>
      <c r="BZ590" s="51"/>
      <c r="CA590" s="51"/>
      <c r="CB590" s="51"/>
      <c r="CC590" s="51"/>
      <c r="CD590" s="51"/>
      <c r="CE590" s="51"/>
      <c r="CF590" s="51"/>
      <c r="CG590" s="51"/>
      <c r="CH590" s="51"/>
      <c r="CI590" s="51"/>
      <c r="CJ590" s="51"/>
      <c r="CK590" s="51"/>
      <c r="CL590" s="51"/>
      <c r="CM590" s="51"/>
    </row>
    <row r="591" spans="1:91" ht="14.25" customHeight="1" x14ac:dyDescent="0.25">
      <c r="A591" s="50" t="s">
        <v>157</v>
      </c>
      <c r="B591" s="4">
        <v>0</v>
      </c>
      <c r="C591" s="4">
        <v>0</v>
      </c>
      <c r="D591" s="4">
        <v>0</v>
      </c>
      <c r="E591" s="4">
        <v>0</v>
      </c>
      <c r="F591" s="4">
        <v>0</v>
      </c>
      <c r="G591" s="4">
        <v>0</v>
      </c>
      <c r="H591" s="4">
        <v>0</v>
      </c>
      <c r="I591" s="4">
        <v>0</v>
      </c>
      <c r="J591" s="4">
        <v>0</v>
      </c>
      <c r="K591" s="4">
        <v>0</v>
      </c>
      <c r="L591" s="4">
        <v>0</v>
      </c>
      <c r="M591" s="4">
        <v>0</v>
      </c>
      <c r="N591" s="4">
        <v>0</v>
      </c>
      <c r="O591" s="4">
        <v>0</v>
      </c>
      <c r="P591" s="4">
        <v>0</v>
      </c>
      <c r="Q591" s="4">
        <v>0</v>
      </c>
      <c r="R591" s="4">
        <v>0</v>
      </c>
      <c r="S591" s="4">
        <v>0</v>
      </c>
      <c r="T591" s="4">
        <v>0</v>
      </c>
      <c r="U591" s="4">
        <v>0</v>
      </c>
      <c r="V591" s="4">
        <v>0</v>
      </c>
      <c r="W591" s="4">
        <v>0</v>
      </c>
      <c r="X591" s="4">
        <v>0</v>
      </c>
      <c r="Y591" s="4">
        <v>0</v>
      </c>
      <c r="Z591" s="4">
        <v>0</v>
      </c>
      <c r="AA591" s="4">
        <v>0</v>
      </c>
      <c r="AB591" s="4">
        <v>0</v>
      </c>
      <c r="AC591" s="4">
        <v>0</v>
      </c>
      <c r="AD591" s="4">
        <v>0</v>
      </c>
      <c r="AE591" s="4">
        <v>0</v>
      </c>
      <c r="AF591" s="51">
        <v>469098025.04379141</v>
      </c>
      <c r="AG591" s="51">
        <v>488055374.74077004</v>
      </c>
      <c r="AH591" s="51">
        <v>506940174.86865485</v>
      </c>
      <c r="AI591" s="51">
        <v>525766580.85514951</v>
      </c>
      <c r="AJ591" s="51">
        <v>544546304.37439299</v>
      </c>
      <c r="AK591" s="51">
        <v>563270612.28771067</v>
      </c>
      <c r="AL591" s="51">
        <v>581926797.04438066</v>
      </c>
      <c r="AM591" s="51">
        <v>600536945.49067569</v>
      </c>
      <c r="AN591" s="51">
        <v>619135126.79382956</v>
      </c>
      <c r="AO591" s="51">
        <v>637747262.93661821</v>
      </c>
      <c r="AP591" s="51">
        <v>656384531.47494912</v>
      </c>
      <c r="AQ591" s="51">
        <v>675044233.65672171</v>
      </c>
      <c r="AR591" s="51">
        <v>693725849.36522472</v>
      </c>
      <c r="AS591" s="51">
        <v>712425397.78991032</v>
      </c>
      <c r="AT591" s="51">
        <v>731136375.82008636</v>
      </c>
      <c r="AU591" s="51">
        <v>749855577.29325891</v>
      </c>
      <c r="AV591" s="51">
        <v>768585751.98527896</v>
      </c>
      <c r="AW591" s="51">
        <v>787331088.90366948</v>
      </c>
      <c r="AX591" s="51">
        <v>806096039.49496901</v>
      </c>
      <c r="AY591" s="51">
        <v>824879045.85663438</v>
      </c>
      <c r="AZ591" s="51">
        <v>843679773.14229393</v>
      </c>
      <c r="BA591" s="51">
        <v>862481274.38424385</v>
      </c>
      <c r="BB591" s="51">
        <v>881259464.12283635</v>
      </c>
      <c r="BC591" s="51">
        <v>899980217.86209583</v>
      </c>
      <c r="BD591" s="51">
        <v>918613470.26977301</v>
      </c>
      <c r="BE591" s="51">
        <v>937145500.65312862</v>
      </c>
      <c r="BF591" s="51">
        <v>955560978.12290096</v>
      </c>
      <c r="BG591" s="51">
        <v>973836141.57663238</v>
      </c>
      <c r="BH591" s="51">
        <v>991943927.81643772</v>
      </c>
      <c r="BI591" s="51">
        <v>1009856640.0549811</v>
      </c>
      <c r="BJ591" s="51">
        <v>1027564038.8382735</v>
      </c>
      <c r="BK591" s="51">
        <v>1045053086.2370898</v>
      </c>
      <c r="BL591" s="51">
        <v>1062313481.8483671</v>
      </c>
      <c r="BM591" s="51">
        <v>1079344882.8058133</v>
      </c>
      <c r="BN591" s="51">
        <v>1096140081.886656</v>
      </c>
      <c r="BO591" s="51">
        <v>1112691949.9896331</v>
      </c>
      <c r="BP591" s="51">
        <v>1128996337.9628696</v>
      </c>
      <c r="BQ591" s="51">
        <v>1145055097.4732747</v>
      </c>
      <c r="BR591" s="51">
        <v>1160873324.1136284</v>
      </c>
      <c r="BS591" s="51">
        <v>1176454993.9641547</v>
      </c>
      <c r="BT591" s="51">
        <v>1191796935.6168218</v>
      </c>
      <c r="BU591" s="51">
        <v>1206902090.5526283</v>
      </c>
      <c r="BV591" s="51">
        <v>1221773651.348213</v>
      </c>
      <c r="BW591" s="51">
        <v>1236427198.5043435</v>
      </c>
      <c r="BX591" s="51">
        <v>1250868132.2415838</v>
      </c>
      <c r="BY591" s="51">
        <v>1265100564.6359634</v>
      </c>
      <c r="BZ591" s="51">
        <v>1279113368.5019286</v>
      </c>
      <c r="CA591" s="51">
        <v>1292899936.6170022</v>
      </c>
      <c r="CB591" s="51">
        <v>1306445823.9532547</v>
      </c>
      <c r="CC591" s="51">
        <v>1319739529.595871</v>
      </c>
      <c r="CD591" s="51">
        <v>1332766276.8078182</v>
      </c>
      <c r="CE591" s="51">
        <v>1345525369.9007227</v>
      </c>
      <c r="CF591" s="51">
        <v>1358003479.0173502</v>
      </c>
      <c r="CG591" s="51">
        <v>1370198330.4000893</v>
      </c>
      <c r="CH591" s="51">
        <v>1382101293.0181847</v>
      </c>
      <c r="CI591" s="51">
        <v>1393697229.5571246</v>
      </c>
      <c r="CJ591" s="51">
        <v>1404970841.051362</v>
      </c>
      <c r="CK591" s="51">
        <v>1415903415.5436215</v>
      </c>
      <c r="CL591" s="51">
        <v>1426472764.2025266</v>
      </c>
      <c r="CM591" s="51">
        <v>1436648232.4606271</v>
      </c>
    </row>
    <row r="592" spans="1:91" s="50" customFormat="1" ht="14.25" customHeight="1" x14ac:dyDescent="0.25">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c r="BS592" s="51"/>
      <c r="BT592" s="51"/>
      <c r="BU592" s="51"/>
      <c r="BV592" s="51"/>
      <c r="BW592" s="51"/>
      <c r="BX592" s="51"/>
      <c r="BY592" s="51"/>
      <c r="BZ592" s="51"/>
      <c r="CA592" s="51"/>
      <c r="CB592" s="51"/>
      <c r="CC592" s="51"/>
      <c r="CD592" s="51"/>
      <c r="CE592" s="51"/>
      <c r="CF592" s="51"/>
      <c r="CG592" s="51"/>
      <c r="CH592" s="51"/>
      <c r="CI592" s="51"/>
      <c r="CJ592" s="51"/>
      <c r="CK592" s="51"/>
      <c r="CL592" s="51"/>
      <c r="CM592" s="51"/>
    </row>
    <row r="593" spans="1:92" x14ac:dyDescent="0.25">
      <c r="A593" s="50" t="s">
        <v>158</v>
      </c>
      <c r="B593" s="4">
        <v>0</v>
      </c>
      <c r="C593" s="4">
        <v>0</v>
      </c>
      <c r="D593" s="4">
        <v>0</v>
      </c>
      <c r="E593" s="4">
        <v>0</v>
      </c>
      <c r="F593" s="4">
        <v>0</v>
      </c>
      <c r="G593" s="4">
        <v>0</v>
      </c>
      <c r="H593" s="4">
        <v>0</v>
      </c>
      <c r="I593" s="4">
        <v>0</v>
      </c>
      <c r="J593" s="4">
        <v>0</v>
      </c>
      <c r="K593" s="4">
        <v>0</v>
      </c>
      <c r="L593" s="4">
        <v>0</v>
      </c>
      <c r="M593" s="4">
        <v>0</v>
      </c>
      <c r="N593" s="4">
        <v>0</v>
      </c>
      <c r="O593" s="4">
        <v>0</v>
      </c>
      <c r="P593" s="4">
        <v>0</v>
      </c>
      <c r="Q593" s="4">
        <v>0</v>
      </c>
      <c r="R593" s="4">
        <v>0</v>
      </c>
      <c r="S593" s="4">
        <v>0</v>
      </c>
      <c r="T593" s="4">
        <v>0</v>
      </c>
      <c r="U593" s="4">
        <v>0</v>
      </c>
      <c r="V593" s="4">
        <v>0</v>
      </c>
      <c r="W593" s="4">
        <v>0</v>
      </c>
      <c r="X593" s="4">
        <v>0</v>
      </c>
      <c r="Y593" s="4">
        <v>0</v>
      </c>
      <c r="Z593" s="4">
        <v>0</v>
      </c>
      <c r="AA593" s="4">
        <v>0</v>
      </c>
      <c r="AB593" s="4">
        <v>0</v>
      </c>
      <c r="AC593" s="4">
        <v>0</v>
      </c>
      <c r="AD593" s="4">
        <v>0</v>
      </c>
      <c r="AE593" s="4">
        <v>0</v>
      </c>
      <c r="AF593" s="51">
        <v>25121192.475905295</v>
      </c>
      <c r="AG593" s="51">
        <v>25654415.91179309</v>
      </c>
      <c r="AH593" s="51">
        <v>26181707.699741621</v>
      </c>
      <c r="AI593" s="51">
        <v>26704195.935474072</v>
      </c>
      <c r="AJ593" s="51">
        <v>27222787.461489927</v>
      </c>
      <c r="AK593" s="51">
        <v>27737306.356651865</v>
      </c>
      <c r="AL593" s="51">
        <v>28247376.934904452</v>
      </c>
      <c r="AM593" s="51">
        <v>28754294.176294357</v>
      </c>
      <c r="AN593" s="51">
        <v>29259836.796952676</v>
      </c>
      <c r="AO593" s="51">
        <v>29765304.264193926</v>
      </c>
      <c r="AP593" s="51">
        <v>30271248.726072926</v>
      </c>
      <c r="AQ593" s="51">
        <v>30777562.279738948</v>
      </c>
      <c r="AR593" s="51">
        <v>31284239.062550269</v>
      </c>
      <c r="AS593" s="51">
        <v>31791117.979020052</v>
      </c>
      <c r="AT593" s="51">
        <v>32297932.01973829</v>
      </c>
      <c r="AU593" s="51">
        <v>32804567.562435172</v>
      </c>
      <c r="AV593" s="51">
        <v>33311171.826643735</v>
      </c>
      <c r="AW593" s="51">
        <v>33817946.996154755</v>
      </c>
      <c r="AX593" s="51">
        <v>34325098.212914631</v>
      </c>
      <c r="AY593" s="51">
        <v>34832569.175032936</v>
      </c>
      <c r="AZ593" s="51">
        <v>35340356.108194485</v>
      </c>
      <c r="BA593" s="51">
        <v>35847764.349688224</v>
      </c>
      <c r="BB593" s="51">
        <v>36353825.065514602</v>
      </c>
      <c r="BC593" s="51">
        <v>36857185.072976448</v>
      </c>
      <c r="BD593" s="51">
        <v>37356691.909596764</v>
      </c>
      <c r="BE593" s="51">
        <v>37851880.986297995</v>
      </c>
      <c r="BF593" s="51">
        <v>38342230.822665319</v>
      </c>
      <c r="BG593" s="51">
        <v>38826892.465443216</v>
      </c>
      <c r="BH593" s="51">
        <v>39304902.257770792</v>
      </c>
      <c r="BI593" s="51">
        <v>39775289.401105173</v>
      </c>
      <c r="BJ593" s="51">
        <v>40237783.512344755</v>
      </c>
      <c r="BK593" s="51">
        <v>40692005.181480221</v>
      </c>
      <c r="BL593" s="51">
        <v>41137683.338404946</v>
      </c>
      <c r="BM593" s="51">
        <v>41574930.343065292</v>
      </c>
      <c r="BN593" s="51">
        <v>42003587.474114507</v>
      </c>
      <c r="BO593" s="51">
        <v>42423496.89077381</v>
      </c>
      <c r="BP593" s="51">
        <v>42834611.824709997</v>
      </c>
      <c r="BQ593" s="51">
        <v>43237108.113721497</v>
      </c>
      <c r="BR593" s="51">
        <v>43631275.643537082</v>
      </c>
      <c r="BS593" s="51">
        <v>44017352.939431265</v>
      </c>
      <c r="BT593" s="51">
        <v>44395304.253985785</v>
      </c>
      <c r="BU593" s="51">
        <v>44765317.709145017</v>
      </c>
      <c r="BV593" s="51">
        <v>45127584.257149145</v>
      </c>
      <c r="BW593" s="51">
        <v>45482744.416639082</v>
      </c>
      <c r="BX593" s="51">
        <v>45831052.765488125</v>
      </c>
      <c r="BY593" s="51">
        <v>46172710.620332077</v>
      </c>
      <c r="BZ593" s="51">
        <v>46507360.108646624</v>
      </c>
      <c r="CA593" s="51">
        <v>46834810.53060358</v>
      </c>
      <c r="CB593" s="51">
        <v>47154589.132576935</v>
      </c>
      <c r="CC593" s="51">
        <v>47466333.82944788</v>
      </c>
      <c r="CD593" s="51">
        <v>47769568.128638193</v>
      </c>
      <c r="CE593" s="51">
        <v>48064322.930053748</v>
      </c>
      <c r="CF593" s="51">
        <v>48350176.791582659</v>
      </c>
      <c r="CG593" s="51">
        <v>48627104.083926298</v>
      </c>
      <c r="CH593" s="51">
        <v>48894852.55377803</v>
      </c>
      <c r="CI593" s="51">
        <v>49152941.644209214</v>
      </c>
      <c r="CJ593" s="51">
        <v>49400888.976195939</v>
      </c>
      <c r="CK593" s="51">
        <v>49638096.217110522</v>
      </c>
      <c r="CL593" s="51">
        <v>49863848.360653318</v>
      </c>
      <c r="CM593" s="51">
        <v>50077141.268830493</v>
      </c>
    </row>
    <row r="594" spans="1:92" x14ac:dyDescent="0.25">
      <c r="A594" s="100"/>
    </row>
    <row r="595" spans="1:92" x14ac:dyDescent="0.25">
      <c r="A595" s="99" t="s">
        <v>249</v>
      </c>
      <c r="B595" s="4">
        <v>0</v>
      </c>
      <c r="C595" s="4">
        <v>0</v>
      </c>
      <c r="D595" s="4">
        <v>0</v>
      </c>
      <c r="E595" s="4">
        <v>0</v>
      </c>
      <c r="F595" s="4">
        <v>0</v>
      </c>
      <c r="G595" s="4">
        <v>0</v>
      </c>
      <c r="H595" s="4">
        <v>0</v>
      </c>
      <c r="I595" s="4">
        <v>0</v>
      </c>
      <c r="J595" s="4">
        <v>0</v>
      </c>
      <c r="K595" s="4">
        <v>0</v>
      </c>
      <c r="L595" s="4">
        <v>0</v>
      </c>
      <c r="M595" s="4">
        <v>0</v>
      </c>
      <c r="N595" s="4">
        <v>0</v>
      </c>
      <c r="O595" s="4">
        <v>0</v>
      </c>
      <c r="P595" s="4">
        <v>0</v>
      </c>
      <c r="Q595" s="4">
        <v>0</v>
      </c>
      <c r="R595" s="4">
        <v>0</v>
      </c>
      <c r="S595" s="4">
        <v>0</v>
      </c>
      <c r="T595" s="4">
        <v>0</v>
      </c>
      <c r="U595" s="4">
        <v>0</v>
      </c>
      <c r="V595" s="4">
        <v>0</v>
      </c>
      <c r="W595" s="4">
        <v>0</v>
      </c>
      <c r="X595" s="4">
        <v>0</v>
      </c>
      <c r="Y595" s="4">
        <v>0</v>
      </c>
      <c r="Z595" s="4">
        <v>0</v>
      </c>
      <c r="AA595" s="4">
        <v>0</v>
      </c>
      <c r="AB595" s="4">
        <v>0</v>
      </c>
      <c r="AC595" s="4">
        <v>0</v>
      </c>
      <c r="AD595" s="4">
        <v>0</v>
      </c>
      <c r="AE595" s="4">
        <v>0</v>
      </c>
      <c r="AF595">
        <v>28315.197333333315</v>
      </c>
      <c r="AG595">
        <v>28952.722499999916</v>
      </c>
      <c r="AH595">
        <v>29590.247666666517</v>
      </c>
      <c r="AI595">
        <v>30227.772833333351</v>
      </c>
      <c r="AJ595">
        <v>30865.297999999952</v>
      </c>
      <c r="AK595">
        <v>31502.823166666552</v>
      </c>
      <c r="AL595">
        <v>32140.348333333153</v>
      </c>
      <c r="AM595">
        <v>32777.873499999987</v>
      </c>
      <c r="AN595">
        <v>33415.398666666588</v>
      </c>
      <c r="AO595">
        <v>34052.923833333189</v>
      </c>
      <c r="AP595">
        <v>34690.44899999979</v>
      </c>
      <c r="AQ595">
        <v>35327.974166666623</v>
      </c>
      <c r="AR595">
        <v>35965.499333333224</v>
      </c>
      <c r="AS595">
        <v>36603.024499999825</v>
      </c>
      <c r="AT595">
        <v>37240.549666666659</v>
      </c>
      <c r="AU595">
        <v>37878.074833333259</v>
      </c>
      <c r="AV595">
        <v>38515.59999999986</v>
      </c>
      <c r="AW595">
        <v>39153.125166666461</v>
      </c>
      <c r="AX595">
        <v>39790.650333333295</v>
      </c>
      <c r="AY595">
        <v>40428.175499999896</v>
      </c>
      <c r="AZ595">
        <v>41065.700666666497</v>
      </c>
      <c r="BA595">
        <v>41703.22583333333</v>
      </c>
      <c r="BB595">
        <v>42340.750999999931</v>
      </c>
      <c r="BC595">
        <v>42978.276166666532</v>
      </c>
      <c r="BD595">
        <v>43615.801333333133</v>
      </c>
      <c r="BE595">
        <v>44253.326499999966</v>
      </c>
      <c r="BF595">
        <v>44890.851666666567</v>
      </c>
      <c r="BG595">
        <v>45528.376833333168</v>
      </c>
      <c r="BH595">
        <v>46165.902000000002</v>
      </c>
      <c r="BI595">
        <v>46803.427166666603</v>
      </c>
      <c r="BJ595">
        <v>47440.952333333204</v>
      </c>
      <c r="BK595">
        <v>48078.477499999804</v>
      </c>
      <c r="BL595">
        <v>48716.002666666638</v>
      </c>
      <c r="BM595">
        <v>49353.527833333239</v>
      </c>
      <c r="BN595">
        <v>49991.05299999984</v>
      </c>
      <c r="BO595">
        <v>50628.578166666673</v>
      </c>
      <c r="BP595">
        <v>51266.103333333274</v>
      </c>
      <c r="BQ595">
        <v>51903.628499999875</v>
      </c>
      <c r="BR595">
        <v>52541.153666666476</v>
      </c>
      <c r="BS595">
        <v>53178.67883333331</v>
      </c>
      <c r="BT595">
        <v>53816.203999999911</v>
      </c>
      <c r="BU595">
        <v>54453.729166666511</v>
      </c>
      <c r="BV595">
        <v>55091.254333333345</v>
      </c>
      <c r="BW595">
        <v>55728.779499999946</v>
      </c>
      <c r="BX595">
        <v>56366.304666666547</v>
      </c>
      <c r="BY595">
        <v>57003.829833333148</v>
      </c>
      <c r="BZ595">
        <v>57641.354999999981</v>
      </c>
      <c r="CA595">
        <v>58278.880166666582</v>
      </c>
      <c r="CB595">
        <v>58916.405333333183</v>
      </c>
      <c r="CC595">
        <v>59553.930499999784</v>
      </c>
      <c r="CD595">
        <v>60191.455666666618</v>
      </c>
      <c r="CE595">
        <v>60828.980833333218</v>
      </c>
      <c r="CF595">
        <v>61466.505999999819</v>
      </c>
      <c r="CG595">
        <v>62104.031166666653</v>
      </c>
      <c r="CH595">
        <v>62741.556333333254</v>
      </c>
      <c r="CI595">
        <v>63379.081499999855</v>
      </c>
      <c r="CJ595">
        <v>64016.606666666456</v>
      </c>
      <c r="CK595">
        <v>64654.131833333289</v>
      </c>
      <c r="CL595">
        <v>65291.65699999989</v>
      </c>
      <c r="CM595">
        <v>65929.182166666491</v>
      </c>
      <c r="CN595">
        <v>66566.707333333325</v>
      </c>
    </row>
    <row r="596" spans="1:92" x14ac:dyDescent="0.25">
      <c r="A596" s="99" t="s">
        <v>1</v>
      </c>
      <c r="B596" s="4">
        <v>0</v>
      </c>
      <c r="C596" s="4">
        <v>0</v>
      </c>
      <c r="D596" s="4">
        <v>0</v>
      </c>
      <c r="E596" s="4">
        <v>0</v>
      </c>
      <c r="F596" s="4">
        <v>0</v>
      </c>
      <c r="G596" s="4">
        <v>0</v>
      </c>
      <c r="H596" s="4">
        <v>0</v>
      </c>
      <c r="I596" s="4">
        <v>0</v>
      </c>
      <c r="J596" s="4">
        <v>0</v>
      </c>
      <c r="K596" s="4">
        <v>0</v>
      </c>
      <c r="L596" s="4">
        <v>0</v>
      </c>
      <c r="M596" s="4">
        <v>0</v>
      </c>
      <c r="N596" s="4">
        <v>0</v>
      </c>
      <c r="O596" s="4">
        <v>0</v>
      </c>
      <c r="P596" s="4">
        <v>0</v>
      </c>
      <c r="Q596" s="4">
        <v>0</v>
      </c>
      <c r="R596" s="4">
        <v>0</v>
      </c>
      <c r="S596" s="4">
        <v>0</v>
      </c>
      <c r="T596" s="4">
        <v>0</v>
      </c>
      <c r="U596" s="4">
        <v>0</v>
      </c>
      <c r="V596" s="4">
        <v>0</v>
      </c>
      <c r="W596" s="4">
        <v>0</v>
      </c>
      <c r="X596" s="4">
        <v>0</v>
      </c>
      <c r="Y596" s="4">
        <v>0</v>
      </c>
      <c r="Z596" s="4">
        <v>0</v>
      </c>
      <c r="AA596" s="4">
        <v>0</v>
      </c>
      <c r="AB596" s="4">
        <v>0</v>
      </c>
      <c r="AC596" s="4">
        <v>0</v>
      </c>
      <c r="AD596" s="4">
        <v>0</v>
      </c>
      <c r="AE596" s="4">
        <v>0</v>
      </c>
      <c r="AF596">
        <v>25596.981333333417</v>
      </c>
      <c r="AG596">
        <v>25278.41166666674</v>
      </c>
      <c r="AH596">
        <v>24959.842000000062</v>
      </c>
      <c r="AI596">
        <v>24641.272333333385</v>
      </c>
      <c r="AJ596">
        <v>24322.702666666708</v>
      </c>
      <c r="AK596">
        <v>24004.133000000031</v>
      </c>
      <c r="AL596">
        <v>23685.563333333354</v>
      </c>
      <c r="AM596">
        <v>23366.993666666676</v>
      </c>
      <c r="AN596">
        <v>23048.424000000115</v>
      </c>
      <c r="AO596">
        <v>22729.854333333438</v>
      </c>
      <c r="AP596">
        <v>22411.284666666761</v>
      </c>
      <c r="AQ596">
        <v>22092.715000000084</v>
      </c>
      <c r="AR596">
        <v>21774.145333333407</v>
      </c>
      <c r="AS596">
        <v>21455.575666666729</v>
      </c>
      <c r="AT596">
        <v>21137.006000000052</v>
      </c>
      <c r="AU596">
        <v>20818.436333333375</v>
      </c>
      <c r="AV596">
        <v>20499.866666666698</v>
      </c>
      <c r="AW596">
        <v>20181.29700000002</v>
      </c>
      <c r="AX596">
        <v>19862.727333333343</v>
      </c>
      <c r="AY596">
        <v>19544.157666666782</v>
      </c>
      <c r="AZ596">
        <v>19225.588000000105</v>
      </c>
      <c r="BA596">
        <v>18907.018333333428</v>
      </c>
      <c r="BB596">
        <v>18588.448666666751</v>
      </c>
      <c r="BC596">
        <v>18269.879000000074</v>
      </c>
      <c r="BD596">
        <v>17951.309333333396</v>
      </c>
      <c r="BE596">
        <v>17632.739666666719</v>
      </c>
      <c r="BF596">
        <v>17314.170000000042</v>
      </c>
      <c r="BG596">
        <v>16995.600333333365</v>
      </c>
      <c r="BH596">
        <v>16677.030666666687</v>
      </c>
      <c r="BI596">
        <v>16358.46100000001</v>
      </c>
      <c r="BJ596">
        <v>16039.891333333449</v>
      </c>
      <c r="BK596">
        <v>15721.321666666772</v>
      </c>
      <c r="BL596">
        <v>15402.752000000095</v>
      </c>
      <c r="BM596">
        <v>15084.182333333418</v>
      </c>
      <c r="BN596">
        <v>14765.612666666741</v>
      </c>
      <c r="BO596">
        <v>14447.043000000063</v>
      </c>
      <c r="BP596">
        <v>14128.473333333386</v>
      </c>
      <c r="BQ596">
        <v>13809.903666666709</v>
      </c>
      <c r="BR596">
        <v>13491.334000000032</v>
      </c>
      <c r="BS596">
        <v>13172.764333333354</v>
      </c>
      <c r="BT596">
        <v>12854.194666666677</v>
      </c>
      <c r="BU596">
        <v>12535.625</v>
      </c>
      <c r="BV596">
        <v>12217.055333333439</v>
      </c>
      <c r="BW596">
        <v>11898.485666666762</v>
      </c>
      <c r="BX596">
        <v>11579.916000000085</v>
      </c>
      <c r="BY596">
        <v>11261.346333333408</v>
      </c>
      <c r="BZ596">
        <v>10942.77666666673</v>
      </c>
      <c r="CA596">
        <v>10624.207000000053</v>
      </c>
      <c r="CB596">
        <v>10305.637333333376</v>
      </c>
      <c r="CC596">
        <v>9987.0676666666986</v>
      </c>
      <c r="CD596">
        <v>9668.4980000000214</v>
      </c>
      <c r="CE596">
        <v>9349.9283333333442</v>
      </c>
      <c r="CF596">
        <v>9031.358666666667</v>
      </c>
      <c r="CG596">
        <v>8712.7890000001062</v>
      </c>
      <c r="CH596">
        <v>8394.2193333334289</v>
      </c>
      <c r="CI596">
        <v>8075.6496666667517</v>
      </c>
      <c r="CJ596">
        <v>7757.0800000000745</v>
      </c>
      <c r="CK596">
        <v>7438.5103333333973</v>
      </c>
      <c r="CL596">
        <v>7119.9406666667201</v>
      </c>
      <c r="CM596">
        <v>6801.3710000000428</v>
      </c>
      <c r="CN596">
        <v>6482.8013333333656</v>
      </c>
    </row>
    <row r="597" spans="1:92" x14ac:dyDescent="0.25">
      <c r="A597" s="99" t="s">
        <v>1</v>
      </c>
      <c r="B597" s="4">
        <v>0</v>
      </c>
      <c r="C597" s="4">
        <v>0</v>
      </c>
      <c r="D597" s="4">
        <v>0</v>
      </c>
      <c r="E597" s="4">
        <v>0</v>
      </c>
      <c r="F597" s="4">
        <v>0</v>
      </c>
      <c r="G597" s="4">
        <v>0</v>
      </c>
      <c r="H597" s="4">
        <v>0</v>
      </c>
      <c r="I597" s="4">
        <v>0</v>
      </c>
      <c r="J597" s="4">
        <v>0</v>
      </c>
      <c r="K597" s="4">
        <v>0</v>
      </c>
      <c r="L597" s="4">
        <v>0</v>
      </c>
      <c r="M597" s="4">
        <v>0</v>
      </c>
      <c r="N597" s="4">
        <v>0</v>
      </c>
      <c r="O597" s="4">
        <v>0</v>
      </c>
      <c r="P597" s="4">
        <v>0</v>
      </c>
      <c r="Q597" s="4">
        <v>0</v>
      </c>
      <c r="R597" s="4">
        <v>0</v>
      </c>
      <c r="S597" s="4">
        <v>0</v>
      </c>
      <c r="T597" s="4">
        <v>0</v>
      </c>
      <c r="U597" s="4">
        <v>0</v>
      </c>
      <c r="V597" s="4">
        <v>0</v>
      </c>
      <c r="W597" s="4">
        <v>0</v>
      </c>
      <c r="X597" s="4">
        <v>0</v>
      </c>
      <c r="Y597" s="4">
        <v>0</v>
      </c>
      <c r="Z597" s="4">
        <v>0</v>
      </c>
      <c r="AA597" s="4">
        <v>0</v>
      </c>
      <c r="AB597" s="4">
        <v>0</v>
      </c>
      <c r="AC597" s="4">
        <v>0</v>
      </c>
      <c r="AD597" s="4">
        <v>0</v>
      </c>
      <c r="AE597" s="4">
        <v>0</v>
      </c>
      <c r="AF597">
        <v>1777.9919999999984</v>
      </c>
      <c r="AG597">
        <v>1741.2383333333273</v>
      </c>
      <c r="AH597">
        <v>1704.4846666666563</v>
      </c>
      <c r="AI597">
        <v>1667.7309999999998</v>
      </c>
      <c r="AJ597">
        <v>1630.9773333333287</v>
      </c>
      <c r="AK597">
        <v>1594.2236666666577</v>
      </c>
      <c r="AL597">
        <v>1557.4699999999866</v>
      </c>
      <c r="AM597">
        <v>1520.7163333333301</v>
      </c>
      <c r="AN597">
        <v>1483.9626666666591</v>
      </c>
      <c r="AO597">
        <v>1447.208999999988</v>
      </c>
      <c r="AP597">
        <v>1410.4553333333315</v>
      </c>
      <c r="AQ597">
        <v>1373.7016666666605</v>
      </c>
      <c r="AR597">
        <v>1336.9479999999894</v>
      </c>
      <c r="AS597">
        <v>1300.1943333333329</v>
      </c>
      <c r="AT597">
        <v>1263.4406666666619</v>
      </c>
      <c r="AU597">
        <v>1226.6869999999908</v>
      </c>
      <c r="AV597">
        <v>1189.9333333333198</v>
      </c>
      <c r="AW597">
        <v>1153.1796666666633</v>
      </c>
      <c r="AX597">
        <v>1116.4259999999922</v>
      </c>
      <c r="AY597">
        <v>1079.6723333333211</v>
      </c>
      <c r="AZ597">
        <v>1042.9186666666646</v>
      </c>
      <c r="BA597">
        <v>1006.1649999999936</v>
      </c>
      <c r="BB597">
        <v>969.41133333332255</v>
      </c>
      <c r="BC597">
        <v>932.65766666666605</v>
      </c>
      <c r="BD597">
        <v>895.90399999999499</v>
      </c>
      <c r="BE597">
        <v>859.15033333332394</v>
      </c>
      <c r="BF597">
        <v>822.39666666665289</v>
      </c>
      <c r="BG597">
        <v>785.64299999999639</v>
      </c>
      <c r="BH597">
        <v>748.88933333332534</v>
      </c>
      <c r="BI597">
        <v>712.13566666665429</v>
      </c>
      <c r="BJ597">
        <v>675.38199999999779</v>
      </c>
      <c r="BK597">
        <v>638.62833333332674</v>
      </c>
      <c r="BL597">
        <v>601.87466666665568</v>
      </c>
      <c r="BM597">
        <v>565.12099999999919</v>
      </c>
      <c r="BN597">
        <v>528.36733333332813</v>
      </c>
      <c r="BO597">
        <v>491.61366666665708</v>
      </c>
      <c r="BP597">
        <v>454.85999999998603</v>
      </c>
      <c r="BQ597">
        <v>418.10633333332953</v>
      </c>
      <c r="BR597">
        <v>381.35266666665848</v>
      </c>
      <c r="BS597">
        <v>344.59899999998743</v>
      </c>
      <c r="BT597">
        <v>307.84533333333093</v>
      </c>
      <c r="BU597">
        <v>271.09166666665988</v>
      </c>
      <c r="BV597">
        <v>234.33799999998882</v>
      </c>
      <c r="BW597">
        <v>197.58433333333232</v>
      </c>
      <c r="BX597">
        <v>160.83066666666127</v>
      </c>
      <c r="BY597">
        <v>124.07699999999022</v>
      </c>
      <c r="BZ597">
        <v>87.323333333319169</v>
      </c>
      <c r="CA597">
        <v>50.56966666666267</v>
      </c>
      <c r="CB597">
        <v>13.815999999991618</v>
      </c>
      <c r="CC597">
        <v>-22.937666666679434</v>
      </c>
      <c r="CD597">
        <v>-59.691333333335933</v>
      </c>
      <c r="CE597">
        <v>-96.445000000006985</v>
      </c>
      <c r="CF597">
        <v>-133.19866666667804</v>
      </c>
      <c r="CG597">
        <v>-169.95233333333454</v>
      </c>
      <c r="CH597">
        <v>-206.70600000000559</v>
      </c>
      <c r="CI597">
        <v>-243.45966666667664</v>
      </c>
      <c r="CJ597">
        <v>-280.21333333334769</v>
      </c>
      <c r="CK597">
        <v>-316.96700000000419</v>
      </c>
      <c r="CL597">
        <v>-353.72066666667524</v>
      </c>
      <c r="CM597">
        <v>-390.47433333334629</v>
      </c>
      <c r="CN597">
        <v>-427.22800000000279</v>
      </c>
    </row>
    <row r="598" spans="1:92" x14ac:dyDescent="0.25">
      <c r="A598" s="99" t="s">
        <v>1</v>
      </c>
      <c r="B598" s="4">
        <v>0</v>
      </c>
      <c r="C598" s="4">
        <v>0</v>
      </c>
      <c r="D598" s="4">
        <v>0</v>
      </c>
      <c r="E598" s="4">
        <v>0</v>
      </c>
      <c r="F598" s="4">
        <v>0</v>
      </c>
      <c r="G598" s="4">
        <v>0</v>
      </c>
      <c r="H598" s="4">
        <v>0</v>
      </c>
      <c r="I598" s="4">
        <v>0</v>
      </c>
      <c r="J598" s="4">
        <v>0</v>
      </c>
      <c r="K598" s="4">
        <v>0</v>
      </c>
      <c r="L598" s="4">
        <v>0</v>
      </c>
      <c r="M598" s="4">
        <v>0</v>
      </c>
      <c r="N598" s="4">
        <v>0</v>
      </c>
      <c r="O598" s="4">
        <v>0</v>
      </c>
      <c r="P598" s="4">
        <v>0</v>
      </c>
      <c r="Q598" s="4">
        <v>0</v>
      </c>
      <c r="R598" s="4">
        <v>0</v>
      </c>
      <c r="S598" s="4">
        <v>0</v>
      </c>
      <c r="T598" s="4">
        <v>0</v>
      </c>
      <c r="U598" s="4">
        <v>0</v>
      </c>
      <c r="V598" s="4">
        <v>0</v>
      </c>
      <c r="W598" s="4">
        <v>0</v>
      </c>
      <c r="X598" s="4">
        <v>0</v>
      </c>
      <c r="Y598" s="4">
        <v>0</v>
      </c>
      <c r="Z598" s="4">
        <v>0</v>
      </c>
      <c r="AA598" s="4">
        <v>0</v>
      </c>
      <c r="AB598" s="4">
        <v>0</v>
      </c>
      <c r="AC598" s="4">
        <v>0</v>
      </c>
      <c r="AD598" s="4">
        <v>0</v>
      </c>
      <c r="AE598" s="4">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row>
    <row r="599" spans="1:92" x14ac:dyDescent="0.25">
      <c r="A599" s="99" t="s">
        <v>1</v>
      </c>
      <c r="B599" s="4">
        <v>0</v>
      </c>
      <c r="C599" s="4">
        <v>0</v>
      </c>
      <c r="D599" s="4">
        <v>0</v>
      </c>
      <c r="E599" s="4">
        <v>0</v>
      </c>
      <c r="F599" s="4">
        <v>0</v>
      </c>
      <c r="G599" s="4">
        <v>0</v>
      </c>
      <c r="H599" s="4">
        <v>0</v>
      </c>
      <c r="I599" s="4">
        <v>0</v>
      </c>
      <c r="J599" s="4">
        <v>0</v>
      </c>
      <c r="K599" s="4">
        <v>0</v>
      </c>
      <c r="L599" s="4">
        <v>0</v>
      </c>
      <c r="M599" s="4">
        <v>0</v>
      </c>
      <c r="N599" s="4">
        <v>0</v>
      </c>
      <c r="O599" s="4">
        <v>0</v>
      </c>
      <c r="P599" s="4">
        <v>0</v>
      </c>
      <c r="Q599" s="4">
        <v>0</v>
      </c>
      <c r="R599" s="4">
        <v>0</v>
      </c>
      <c r="S599" s="4">
        <v>0</v>
      </c>
      <c r="T599" s="4">
        <v>0</v>
      </c>
      <c r="U599" s="4">
        <v>0</v>
      </c>
      <c r="V599" s="4">
        <v>0</v>
      </c>
      <c r="W599" s="4">
        <v>0</v>
      </c>
      <c r="X599" s="4">
        <v>0</v>
      </c>
      <c r="Y599" s="4">
        <v>0</v>
      </c>
      <c r="Z599" s="4">
        <v>0</v>
      </c>
      <c r="AA599" s="4">
        <v>0</v>
      </c>
      <c r="AB599" s="4">
        <v>0</v>
      </c>
      <c r="AC599" s="4">
        <v>0</v>
      </c>
      <c r="AD599" s="4">
        <v>0</v>
      </c>
      <c r="AE599" s="4">
        <v>0</v>
      </c>
      <c r="AF599">
        <v>41489.210666666739</v>
      </c>
      <c r="AG599">
        <v>40724.85999999987</v>
      </c>
      <c r="AH599">
        <v>39960.509333333233</v>
      </c>
      <c r="AI599">
        <v>39196.158666666597</v>
      </c>
      <c r="AJ599">
        <v>38431.807999999961</v>
      </c>
      <c r="AK599">
        <v>37667.457333333325</v>
      </c>
      <c r="AL599">
        <v>36903.106666666688</v>
      </c>
      <c r="AM599">
        <v>36138.756000000052</v>
      </c>
      <c r="AN599">
        <v>35374.405333333183</v>
      </c>
      <c r="AO599">
        <v>34610.054666666547</v>
      </c>
      <c r="AP599">
        <v>33845.703999999911</v>
      </c>
      <c r="AQ599">
        <v>33081.353333333274</v>
      </c>
      <c r="AR599">
        <v>32317.002666666638</v>
      </c>
      <c r="AS599">
        <v>31552.652000000002</v>
      </c>
      <c r="AT599">
        <v>30788.301333333366</v>
      </c>
      <c r="AU599">
        <v>30023.950666666729</v>
      </c>
      <c r="AV599">
        <v>29259.59999999986</v>
      </c>
      <c r="AW599">
        <v>28495.249333333224</v>
      </c>
      <c r="AX599">
        <v>27730.898666666588</v>
      </c>
      <c r="AY599">
        <v>26966.547999999952</v>
      </c>
      <c r="AZ599">
        <v>26202.197333333315</v>
      </c>
      <c r="BA599">
        <v>25437.846666666679</v>
      </c>
      <c r="BB599">
        <v>24673.496000000043</v>
      </c>
      <c r="BC599">
        <v>23909.145333333407</v>
      </c>
      <c r="BD599">
        <v>23144.794666666538</v>
      </c>
      <c r="BE599">
        <v>22380.443999999901</v>
      </c>
      <c r="BF599">
        <v>21616.093333333265</v>
      </c>
      <c r="BG599">
        <v>20851.742666666629</v>
      </c>
      <c r="BH599">
        <v>20087.391999999993</v>
      </c>
      <c r="BI599">
        <v>19323.041333333356</v>
      </c>
      <c r="BJ599">
        <v>18558.69066666672</v>
      </c>
      <c r="BK599">
        <v>17794.340000000084</v>
      </c>
      <c r="BL599">
        <v>17029.989333333215</v>
      </c>
      <c r="BM599">
        <v>16265.638666666579</v>
      </c>
      <c r="BN599">
        <v>15501.287999999942</v>
      </c>
      <c r="BO599">
        <v>14736.937333333306</v>
      </c>
      <c r="BP599">
        <v>13972.58666666667</v>
      </c>
      <c r="BQ599">
        <v>13208.236000000034</v>
      </c>
      <c r="BR599">
        <v>12443.885333333397</v>
      </c>
      <c r="BS599">
        <v>11679.534666666528</v>
      </c>
      <c r="BT599">
        <v>10915.183999999892</v>
      </c>
      <c r="BU599">
        <v>10150.833333333256</v>
      </c>
      <c r="BV599">
        <v>9386.4826666666195</v>
      </c>
      <c r="BW599">
        <v>8622.1319999999832</v>
      </c>
      <c r="BX599">
        <v>7857.781333333347</v>
      </c>
      <c r="BY599">
        <v>7093.4306666667107</v>
      </c>
      <c r="BZ599">
        <v>6329.0800000000745</v>
      </c>
      <c r="CA599">
        <v>5564.7293333332054</v>
      </c>
      <c r="CB599">
        <v>4800.3786666665692</v>
      </c>
      <c r="CC599">
        <v>4036.0279999999329</v>
      </c>
      <c r="CD599">
        <v>3271.6773333332967</v>
      </c>
      <c r="CE599">
        <v>2507.3266666666605</v>
      </c>
      <c r="CF599">
        <v>1742.9760000000242</v>
      </c>
      <c r="CG599">
        <v>978.62533333338797</v>
      </c>
      <c r="CH599">
        <v>978.62533333338797</v>
      </c>
      <c r="CI599">
        <v>1233.4088888889335</v>
      </c>
      <c r="CJ599">
        <v>1063.5531851852365</v>
      </c>
      <c r="CK599">
        <v>1091.8624691358527</v>
      </c>
      <c r="CL599">
        <v>1129.6081810700077</v>
      </c>
      <c r="CM599">
        <v>1095.0079451303657</v>
      </c>
      <c r="CN599">
        <v>1105.4928651120754</v>
      </c>
    </row>
    <row r="600" spans="1:92" x14ac:dyDescent="0.25">
      <c r="A600" s="99" t="s">
        <v>1</v>
      </c>
      <c r="B600" s="4">
        <v>0</v>
      </c>
      <c r="C600" s="4">
        <v>0</v>
      </c>
      <c r="D600" s="4">
        <v>0</v>
      </c>
      <c r="E600" s="4">
        <v>0</v>
      </c>
      <c r="F600" s="4">
        <v>0</v>
      </c>
      <c r="G600" s="4">
        <v>0</v>
      </c>
      <c r="H600" s="4">
        <v>0</v>
      </c>
      <c r="I600" s="4">
        <v>0</v>
      </c>
      <c r="J600" s="4">
        <v>0</v>
      </c>
      <c r="K600" s="4">
        <v>0</v>
      </c>
      <c r="L600" s="4">
        <v>0</v>
      </c>
      <c r="M600" s="4">
        <v>0</v>
      </c>
      <c r="N600" s="4">
        <v>0</v>
      </c>
      <c r="O600" s="4">
        <v>0</v>
      </c>
      <c r="P600" s="4">
        <v>0</v>
      </c>
      <c r="Q600" s="4">
        <v>0</v>
      </c>
      <c r="R600" s="4">
        <v>0</v>
      </c>
      <c r="S600" s="4">
        <v>0</v>
      </c>
      <c r="T600" s="4">
        <v>0</v>
      </c>
      <c r="U600" s="4">
        <v>0</v>
      </c>
      <c r="V600" s="4">
        <v>0</v>
      </c>
      <c r="W600" s="4">
        <v>0</v>
      </c>
      <c r="X600" s="4">
        <v>0</v>
      </c>
      <c r="Y600" s="4">
        <v>0</v>
      </c>
      <c r="Z600" s="4">
        <v>0</v>
      </c>
      <c r="AA600" s="4">
        <v>0</v>
      </c>
      <c r="AB600" s="4">
        <v>0</v>
      </c>
      <c r="AC600" s="4">
        <v>0</v>
      </c>
      <c r="AD600" s="4">
        <v>0</v>
      </c>
      <c r="AE600" s="4">
        <v>0</v>
      </c>
      <c r="AF600">
        <v>1281.7293333333364</v>
      </c>
      <c r="AG600">
        <v>1256.4025000000038</v>
      </c>
      <c r="AH600">
        <v>1231.0756666666712</v>
      </c>
      <c r="AI600">
        <v>1205.7488333333313</v>
      </c>
      <c r="AJ600">
        <v>1180.4219999999987</v>
      </c>
      <c r="AK600">
        <v>1155.095166666666</v>
      </c>
      <c r="AL600">
        <v>1129.7683333333334</v>
      </c>
      <c r="AM600">
        <v>1104.4415000000008</v>
      </c>
      <c r="AN600">
        <v>1079.1146666666682</v>
      </c>
      <c r="AO600">
        <v>1053.7878333333356</v>
      </c>
      <c r="AP600">
        <v>1028.461000000003</v>
      </c>
      <c r="AQ600">
        <v>1003.1341666666704</v>
      </c>
      <c r="AR600">
        <v>977.80733333333774</v>
      </c>
      <c r="AS600">
        <v>952.48049999999785</v>
      </c>
      <c r="AT600">
        <v>927.15366666666523</v>
      </c>
      <c r="AU600">
        <v>901.82683333333262</v>
      </c>
      <c r="AV600">
        <v>876.5</v>
      </c>
      <c r="AW600">
        <v>851.17316666666738</v>
      </c>
      <c r="AX600">
        <v>825.84633333333477</v>
      </c>
      <c r="AY600">
        <v>800.51950000000215</v>
      </c>
      <c r="AZ600">
        <v>775.19266666666954</v>
      </c>
      <c r="BA600">
        <v>749.86583333333692</v>
      </c>
      <c r="BB600">
        <v>724.53900000000431</v>
      </c>
      <c r="BC600">
        <v>699.21216666666442</v>
      </c>
      <c r="BD600">
        <v>673.8853333333318</v>
      </c>
      <c r="BE600">
        <v>648.55849999999919</v>
      </c>
      <c r="BF600">
        <v>623.23166666666657</v>
      </c>
      <c r="BG600">
        <v>597.90483333333395</v>
      </c>
      <c r="BH600">
        <v>572.57800000000134</v>
      </c>
      <c r="BI600">
        <v>547.25116666666872</v>
      </c>
      <c r="BJ600">
        <v>521.92433333333611</v>
      </c>
      <c r="BK600">
        <v>496.59750000000349</v>
      </c>
      <c r="BL600">
        <v>471.27066666667088</v>
      </c>
      <c r="BM600">
        <v>445.94383333333099</v>
      </c>
      <c r="BN600">
        <v>420.61699999999837</v>
      </c>
      <c r="BO600">
        <v>395.29016666666575</v>
      </c>
      <c r="BP600">
        <v>369.96333333333314</v>
      </c>
      <c r="BQ600">
        <v>344.63650000000052</v>
      </c>
      <c r="BR600">
        <v>319.30966666666791</v>
      </c>
      <c r="BS600">
        <v>293.98283333333529</v>
      </c>
      <c r="BT600">
        <v>268.65600000000268</v>
      </c>
      <c r="BU600">
        <v>243.32916666667006</v>
      </c>
      <c r="BV600">
        <v>218.00233333333745</v>
      </c>
      <c r="BW600">
        <v>192.67549999999756</v>
      </c>
      <c r="BX600">
        <v>167.34866666666494</v>
      </c>
      <c r="BY600">
        <v>142.02183333333232</v>
      </c>
      <c r="BZ600">
        <v>116.69499999999971</v>
      </c>
      <c r="CA600">
        <v>91.368166666667094</v>
      </c>
      <c r="CB600">
        <v>66.041333333334478</v>
      </c>
      <c r="CC600">
        <v>40.714500000001863</v>
      </c>
      <c r="CD600">
        <v>15.387666666669247</v>
      </c>
      <c r="CE600">
        <v>78.704750000000786</v>
      </c>
      <c r="CF600">
        <v>53.37791666666817</v>
      </c>
      <c r="CG600">
        <v>50.212062500001593</v>
      </c>
      <c r="CH600">
        <v>47.046208333335017</v>
      </c>
      <c r="CI600">
        <v>49.420598958334949</v>
      </c>
      <c r="CJ600">
        <v>57.335234375001392</v>
      </c>
      <c r="CK600">
        <v>50.014196614584932</v>
      </c>
      <c r="CL600">
        <v>51.003526041668238</v>
      </c>
      <c r="CM600">
        <v>50.954059570314072</v>
      </c>
      <c r="CN600">
        <v>51.943388997397378</v>
      </c>
    </row>
    <row r="601" spans="1:92" x14ac:dyDescent="0.25">
      <c r="A601" s="44"/>
    </row>
    <row r="602" spans="1:92" x14ac:dyDescent="0.25">
      <c r="A602" s="99" t="s">
        <v>250</v>
      </c>
      <c r="B602" s="4">
        <v>0</v>
      </c>
      <c r="C602" s="4">
        <v>0</v>
      </c>
      <c r="D602" s="4">
        <v>0</v>
      </c>
      <c r="E602" s="4">
        <v>0</v>
      </c>
      <c r="F602" s="4">
        <v>0</v>
      </c>
      <c r="G602" s="4">
        <v>0</v>
      </c>
      <c r="H602" s="4">
        <v>0</v>
      </c>
      <c r="I602" s="4">
        <v>0</v>
      </c>
      <c r="J602" s="4">
        <v>0</v>
      </c>
      <c r="K602" s="4">
        <v>0</v>
      </c>
      <c r="L602" s="4">
        <v>0</v>
      </c>
      <c r="M602" s="4">
        <v>0</v>
      </c>
      <c r="N602" s="4">
        <v>0</v>
      </c>
      <c r="O602" s="4">
        <v>0</v>
      </c>
      <c r="P602" s="4">
        <v>0</v>
      </c>
      <c r="Q602" s="4">
        <v>0</v>
      </c>
      <c r="R602" s="4">
        <v>0</v>
      </c>
      <c r="S602" s="4">
        <v>0</v>
      </c>
      <c r="T602" s="4">
        <v>0</v>
      </c>
      <c r="U602" s="4">
        <v>0</v>
      </c>
      <c r="V602" s="4">
        <v>0</v>
      </c>
      <c r="W602" s="4">
        <v>0</v>
      </c>
      <c r="X602" s="4">
        <v>0</v>
      </c>
      <c r="Y602" s="4">
        <v>0</v>
      </c>
      <c r="Z602" s="4">
        <v>0</v>
      </c>
      <c r="AA602" s="4">
        <v>0</v>
      </c>
      <c r="AB602" s="4">
        <v>0</v>
      </c>
      <c r="AC602" s="4">
        <v>0</v>
      </c>
      <c r="AD602" s="4">
        <v>0</v>
      </c>
      <c r="AE602" s="4">
        <v>0</v>
      </c>
      <c r="AF602">
        <v>7245.7066666666651</v>
      </c>
      <c r="AG602">
        <v>7079.7999999999884</v>
      </c>
      <c r="AH602">
        <v>6913.8933333333116</v>
      </c>
      <c r="AI602">
        <v>6747.9866666666348</v>
      </c>
      <c r="AJ602">
        <v>6582.0800000000163</v>
      </c>
      <c r="AK602">
        <v>6416.1733333333395</v>
      </c>
      <c r="AL602">
        <v>6250.2666666666628</v>
      </c>
      <c r="AM602">
        <v>6084.359999999986</v>
      </c>
      <c r="AN602">
        <v>5918.4533333333093</v>
      </c>
      <c r="AO602">
        <v>5752.5466666666325</v>
      </c>
      <c r="AP602">
        <v>5586.640000000014</v>
      </c>
      <c r="AQ602">
        <v>5420.7333333333372</v>
      </c>
      <c r="AR602">
        <v>5254.8266666666605</v>
      </c>
      <c r="AS602">
        <v>5088.9199999999837</v>
      </c>
      <c r="AT602">
        <v>4923.0133333333069</v>
      </c>
      <c r="AU602">
        <v>4757.1066666666302</v>
      </c>
      <c r="AV602">
        <v>4591.2000000000116</v>
      </c>
      <c r="AW602">
        <v>4425.2933333333349</v>
      </c>
      <c r="AX602">
        <v>4259.3866666666581</v>
      </c>
      <c r="AY602">
        <v>4093.4799999999814</v>
      </c>
      <c r="AZ602">
        <v>3927.5733333333046</v>
      </c>
      <c r="BA602">
        <v>3761.6666666666861</v>
      </c>
      <c r="BB602">
        <v>3595.7600000000093</v>
      </c>
      <c r="BC602">
        <v>3429.8533333333326</v>
      </c>
      <c r="BD602">
        <v>3263.9466666666558</v>
      </c>
      <c r="BE602">
        <v>3098.039999999979</v>
      </c>
      <c r="BF602">
        <v>2932.1333333333023</v>
      </c>
      <c r="BG602">
        <v>2766.2266666666837</v>
      </c>
      <c r="BH602">
        <v>2600.320000000007</v>
      </c>
      <c r="BI602">
        <v>2434.4133333333302</v>
      </c>
      <c r="BJ602">
        <v>2268.5066666666535</v>
      </c>
      <c r="BK602">
        <v>2102.5999999999767</v>
      </c>
      <c r="BL602">
        <v>1936.6933333333</v>
      </c>
      <c r="BM602">
        <v>1770.7866666666814</v>
      </c>
      <c r="BN602">
        <v>1604.8800000000047</v>
      </c>
      <c r="BO602">
        <v>1438.9733333333279</v>
      </c>
      <c r="BP602">
        <v>1273.0666666666511</v>
      </c>
      <c r="BQ602">
        <v>1107.1599999999744</v>
      </c>
      <c r="BR602">
        <v>941.25333333335584</v>
      </c>
      <c r="BS602">
        <v>775.34666666667908</v>
      </c>
      <c r="BT602">
        <v>609.44000000000233</v>
      </c>
      <c r="BU602">
        <v>443.53333333332557</v>
      </c>
      <c r="BV602">
        <v>277.62666666664882</v>
      </c>
      <c r="BW602">
        <v>111.71999999997206</v>
      </c>
      <c r="BX602">
        <v>526.48666666666395</v>
      </c>
      <c r="BY602">
        <v>360.57999999998719</v>
      </c>
      <c r="BZ602">
        <v>339.8416666666526</v>
      </c>
      <c r="CA602">
        <v>319.10333333331801</v>
      </c>
      <c r="CB602">
        <v>334.65708333331895</v>
      </c>
      <c r="CC602">
        <v>386.50291666665544</v>
      </c>
      <c r="CD602">
        <v>338.54552083331919</v>
      </c>
      <c r="CE602">
        <v>345.02624999998625</v>
      </c>
      <c r="CF602">
        <v>344.7022135416529</v>
      </c>
      <c r="CG602">
        <v>351.18294270831996</v>
      </c>
      <c r="CH602">
        <v>353.69422526040341</v>
      </c>
      <c r="CI602">
        <v>344.86423177081952</v>
      </c>
      <c r="CJ602">
        <v>348.6514078775906</v>
      </c>
      <c r="CK602">
        <v>348.61090332029892</v>
      </c>
      <c r="CL602">
        <v>349.59820190428337</v>
      </c>
      <c r="CM602">
        <v>348.95519205727805</v>
      </c>
      <c r="CN602">
        <v>347.93118621824811</v>
      </c>
    </row>
    <row r="603" spans="1:92" x14ac:dyDescent="0.25">
      <c r="A603" s="99"/>
    </row>
    <row r="604" spans="1:92" s="50" customFormat="1" x14ac:dyDescent="0.25">
      <c r="A604" s="99" t="s">
        <v>251</v>
      </c>
      <c r="B604" s="4">
        <v>0</v>
      </c>
      <c r="C604" s="4">
        <v>0</v>
      </c>
      <c r="D604" s="4">
        <v>0</v>
      </c>
      <c r="E604" s="4">
        <v>0</v>
      </c>
      <c r="F604" s="4">
        <v>0</v>
      </c>
      <c r="G604" s="4">
        <v>0</v>
      </c>
      <c r="H604" s="4">
        <v>0</v>
      </c>
      <c r="I604" s="4">
        <v>0</v>
      </c>
      <c r="J604" s="4">
        <v>0</v>
      </c>
      <c r="K604" s="4">
        <v>0</v>
      </c>
      <c r="L604" s="4">
        <v>0</v>
      </c>
      <c r="M604" s="4">
        <v>0</v>
      </c>
      <c r="N604" s="4">
        <v>0</v>
      </c>
      <c r="O604" s="4">
        <v>0</v>
      </c>
      <c r="P604" s="4">
        <v>0</v>
      </c>
      <c r="Q604" s="4">
        <v>0</v>
      </c>
      <c r="R604" s="4">
        <v>0</v>
      </c>
      <c r="S604" s="4">
        <v>0</v>
      </c>
      <c r="T604" s="4">
        <v>0</v>
      </c>
      <c r="U604" s="4">
        <v>0</v>
      </c>
      <c r="V604" s="4">
        <v>0</v>
      </c>
      <c r="W604" s="4">
        <v>0</v>
      </c>
      <c r="X604" s="4">
        <v>0</v>
      </c>
      <c r="Y604" s="4">
        <v>0</v>
      </c>
      <c r="Z604" s="4">
        <v>0</v>
      </c>
      <c r="AA604" s="4">
        <v>0</v>
      </c>
      <c r="AB604" s="4">
        <v>0</v>
      </c>
      <c r="AC604" s="4">
        <v>0</v>
      </c>
      <c r="AD604" s="4">
        <v>0</v>
      </c>
      <c r="AE604" s="4">
        <v>0</v>
      </c>
      <c r="AF604" s="50">
        <v>242.16311153530836</v>
      </c>
      <c r="AG604" s="50">
        <v>242.04618954685489</v>
      </c>
      <c r="AH604" s="50">
        <v>241.92926755840142</v>
      </c>
      <c r="AI604" s="50">
        <v>241.81234556994795</v>
      </c>
      <c r="AJ604" s="50">
        <v>241.69542358149448</v>
      </c>
      <c r="AK604" s="50">
        <v>241.57850159304101</v>
      </c>
      <c r="AL604" s="50">
        <v>241.46157960458754</v>
      </c>
      <c r="AM604" s="50">
        <v>241.34465761613407</v>
      </c>
      <c r="AN604" s="50">
        <v>241.2277356276806</v>
      </c>
      <c r="AO604" s="50">
        <v>241.11081363922713</v>
      </c>
      <c r="AP604" s="50">
        <v>240.99389165077366</v>
      </c>
      <c r="AQ604" s="50">
        <v>240.87696966232019</v>
      </c>
      <c r="AR604" s="50">
        <v>240.76004767386672</v>
      </c>
      <c r="AS604" s="50">
        <v>240.64312568541325</v>
      </c>
      <c r="AT604" s="50">
        <v>240.52620369695978</v>
      </c>
      <c r="AU604" s="50">
        <v>240.40928170850631</v>
      </c>
      <c r="AV604" s="50">
        <v>240.29235972005284</v>
      </c>
      <c r="AW604" s="50">
        <v>240.17543773159937</v>
      </c>
      <c r="AX604" s="50">
        <v>240.0585157431459</v>
      </c>
      <c r="AY604" s="50">
        <v>239.94159375469243</v>
      </c>
      <c r="AZ604" s="50">
        <v>239.82467176623896</v>
      </c>
      <c r="BA604" s="50">
        <v>239.70774977778549</v>
      </c>
      <c r="BB604" s="50">
        <v>239.59082778933202</v>
      </c>
      <c r="BC604" s="50">
        <v>239.47390580087855</v>
      </c>
      <c r="BD604" s="50">
        <v>239.35698381242509</v>
      </c>
      <c r="BE604" s="50">
        <v>239.24006182397162</v>
      </c>
      <c r="BF604" s="50">
        <v>239.12313983551815</v>
      </c>
      <c r="BG604" s="50">
        <v>239.00621784706468</v>
      </c>
      <c r="BH604" s="50">
        <v>238.88929585861121</v>
      </c>
      <c r="BI604" s="50">
        <v>238.77237387015774</v>
      </c>
      <c r="BJ604" s="50">
        <v>238.65545188170427</v>
      </c>
      <c r="BK604" s="50">
        <v>238.5385298932508</v>
      </c>
      <c r="BL604" s="50">
        <v>238.42160790479733</v>
      </c>
      <c r="BM604" s="50">
        <v>238.30468591634386</v>
      </c>
      <c r="BN604" s="50">
        <v>238.18776392789039</v>
      </c>
      <c r="BO604" s="50">
        <v>238.07084193943692</v>
      </c>
      <c r="BP604" s="50">
        <v>237.95391995098345</v>
      </c>
      <c r="BQ604" s="50">
        <v>237.83699796252998</v>
      </c>
      <c r="BR604" s="50">
        <v>237.72007597407651</v>
      </c>
      <c r="BS604" s="50">
        <v>237.60315398562304</v>
      </c>
      <c r="BT604" s="50">
        <v>237.48623199716957</v>
      </c>
      <c r="BU604" s="50">
        <v>237.3693100087161</v>
      </c>
      <c r="BV604" s="50">
        <v>237.25238802026263</v>
      </c>
      <c r="BW604" s="50">
        <v>237.13546603180916</v>
      </c>
      <c r="BX604" s="50">
        <v>237.01854404335569</v>
      </c>
      <c r="BY604" s="50">
        <v>236.90162205490222</v>
      </c>
      <c r="BZ604" s="50">
        <v>236.78470006644875</v>
      </c>
      <c r="CA604" s="50">
        <v>236.66777807799528</v>
      </c>
      <c r="CB604" s="50">
        <v>236.55085608954181</v>
      </c>
      <c r="CC604" s="50">
        <v>236.43393410108834</v>
      </c>
      <c r="CD604" s="50">
        <v>236.31701211263487</v>
      </c>
      <c r="CE604" s="50">
        <v>236.2000901241814</v>
      </c>
      <c r="CF604" s="50">
        <v>236.08316813572793</v>
      </c>
      <c r="CG604" s="50">
        <v>235.96624614727446</v>
      </c>
      <c r="CH604" s="50">
        <v>235.84932415882099</v>
      </c>
      <c r="CI604" s="50">
        <v>235.73240217036752</v>
      </c>
      <c r="CJ604" s="50">
        <v>235.61548018191405</v>
      </c>
      <c r="CK604" s="50">
        <v>235.49855819346058</v>
      </c>
      <c r="CL604" s="50">
        <v>235.38163620500711</v>
      </c>
      <c r="CM604" s="50">
        <v>235.26471421655364</v>
      </c>
      <c r="CN604" s="50">
        <v>235.14779222810017</v>
      </c>
    </row>
    <row r="605" spans="1:92" s="50" customFormat="1" x14ac:dyDescent="0.25">
      <c r="A605" s="9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92" x14ac:dyDescent="0.25">
      <c r="A606" s="99" t="s">
        <v>252</v>
      </c>
      <c r="B606" s="4">
        <v>0</v>
      </c>
      <c r="C606" s="4">
        <v>0</v>
      </c>
      <c r="D606" s="4">
        <v>0</v>
      </c>
      <c r="E606" s="4">
        <v>0</v>
      </c>
      <c r="F606" s="4">
        <v>0</v>
      </c>
      <c r="G606" s="4">
        <v>0</v>
      </c>
      <c r="H606" s="4">
        <v>0</v>
      </c>
      <c r="I606" s="4">
        <v>0</v>
      </c>
      <c r="J606" s="4">
        <v>0</v>
      </c>
      <c r="K606" s="4">
        <v>0</v>
      </c>
      <c r="L606" s="4">
        <v>0</v>
      </c>
      <c r="M606" s="4">
        <v>0</v>
      </c>
      <c r="N606" s="4">
        <v>0</v>
      </c>
      <c r="O606" s="4">
        <v>0</v>
      </c>
      <c r="P606" s="4">
        <v>0</v>
      </c>
      <c r="Q606" s="4">
        <v>0</v>
      </c>
      <c r="R606" s="4">
        <v>0</v>
      </c>
      <c r="S606" s="4">
        <v>0</v>
      </c>
      <c r="T606" s="4">
        <v>0</v>
      </c>
      <c r="U606" s="4">
        <v>0</v>
      </c>
      <c r="V606" s="4">
        <v>0</v>
      </c>
      <c r="W606" s="4">
        <v>0</v>
      </c>
      <c r="X606" s="4">
        <v>0</v>
      </c>
      <c r="Y606" s="4">
        <v>0</v>
      </c>
      <c r="Z606" s="4">
        <v>0</v>
      </c>
      <c r="AA606" s="4">
        <v>0</v>
      </c>
      <c r="AB606" s="4">
        <v>0</v>
      </c>
      <c r="AC606" s="4">
        <v>0</v>
      </c>
      <c r="AD606" s="4">
        <v>0</v>
      </c>
      <c r="AE606" s="4">
        <v>0</v>
      </c>
      <c r="AF606">
        <v>3647.2466666666733</v>
      </c>
      <c r="AG606">
        <v>3682.8166666666802</v>
      </c>
      <c r="AH606">
        <v>3718.3866666666727</v>
      </c>
      <c r="AI606">
        <v>3753.9566666666797</v>
      </c>
      <c r="AJ606">
        <v>3789.5266666666721</v>
      </c>
      <c r="AK606">
        <v>3825.0966666666791</v>
      </c>
      <c r="AL606">
        <v>3860.6666666666715</v>
      </c>
      <c r="AM606">
        <v>3896.2366666666785</v>
      </c>
      <c r="AN606">
        <v>3931.8066666666709</v>
      </c>
      <c r="AO606">
        <v>3967.3766666666779</v>
      </c>
      <c r="AP606">
        <v>4002.9466666666704</v>
      </c>
      <c r="AQ606">
        <v>4038.5166666666773</v>
      </c>
      <c r="AR606">
        <v>4074.0866666666698</v>
      </c>
      <c r="AS606">
        <v>4109.6566666666768</v>
      </c>
      <c r="AT606">
        <v>4145.2266666666692</v>
      </c>
      <c r="AU606">
        <v>4180.7966666666762</v>
      </c>
      <c r="AV606">
        <v>4216.3666666666686</v>
      </c>
      <c r="AW606">
        <v>4251.9366666666756</v>
      </c>
      <c r="AX606">
        <v>4287.506666666668</v>
      </c>
      <c r="AY606">
        <v>4323.076666666675</v>
      </c>
      <c r="AZ606">
        <v>4358.6466666666674</v>
      </c>
      <c r="BA606">
        <v>4394.2166666666744</v>
      </c>
      <c r="BB606">
        <v>4429.7866666666669</v>
      </c>
      <c r="BC606">
        <v>4465.3566666666738</v>
      </c>
      <c r="BD606">
        <v>4500.9266666666663</v>
      </c>
      <c r="BE606">
        <v>4536.4966666666733</v>
      </c>
      <c r="BF606">
        <v>4572.0666666666802</v>
      </c>
      <c r="BG606">
        <v>4607.6366666666727</v>
      </c>
      <c r="BH606">
        <v>4643.2066666666797</v>
      </c>
      <c r="BI606">
        <v>4678.7766666666721</v>
      </c>
      <c r="BJ606">
        <v>4714.3466666666791</v>
      </c>
      <c r="BK606">
        <v>4749.9166666666715</v>
      </c>
      <c r="BL606">
        <v>4785.4866666666785</v>
      </c>
      <c r="BM606">
        <v>4821.0566666666709</v>
      </c>
      <c r="BN606">
        <v>4856.6266666666779</v>
      </c>
      <c r="BO606">
        <v>4892.1966666666704</v>
      </c>
      <c r="BP606">
        <v>4927.7666666666773</v>
      </c>
      <c r="BQ606">
        <v>4963.3366666666698</v>
      </c>
      <c r="BR606">
        <v>4998.9066666666768</v>
      </c>
      <c r="BS606">
        <v>5034.4766666666692</v>
      </c>
      <c r="BT606">
        <v>5070.0466666666762</v>
      </c>
      <c r="BU606">
        <v>5105.6166666666686</v>
      </c>
      <c r="BV606">
        <v>5141.1866666666756</v>
      </c>
      <c r="BW606">
        <v>5176.756666666668</v>
      </c>
      <c r="BX606">
        <v>5212.326666666675</v>
      </c>
      <c r="BY606">
        <v>5247.8966666666674</v>
      </c>
      <c r="BZ606">
        <v>5283.4666666666744</v>
      </c>
      <c r="CA606">
        <v>5319.0366666666669</v>
      </c>
      <c r="CB606">
        <v>5354.6066666666738</v>
      </c>
      <c r="CC606">
        <v>5390.1766666666663</v>
      </c>
      <c r="CD606">
        <v>5425.7466666666733</v>
      </c>
      <c r="CE606">
        <v>5461.3166666666657</v>
      </c>
      <c r="CF606">
        <v>5496.8866666666727</v>
      </c>
      <c r="CG606">
        <v>5532.4566666666651</v>
      </c>
      <c r="CH606">
        <v>5568.0266666666721</v>
      </c>
      <c r="CI606">
        <v>5603.5966666666645</v>
      </c>
      <c r="CJ606">
        <v>5639.1666666666715</v>
      </c>
      <c r="CK606">
        <v>5674.736666666664</v>
      </c>
      <c r="CL606">
        <v>5710.3066666666709</v>
      </c>
      <c r="CM606">
        <v>5745.8766666666779</v>
      </c>
      <c r="CN606">
        <v>5781.4466666666704</v>
      </c>
    </row>
    <row r="607" spans="1:92" s="44" customFormat="1" x14ac:dyDescent="0.25">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92" s="50" customFormat="1" x14ac:dyDescent="0.25">
      <c r="A608" s="99" t="s">
        <v>253</v>
      </c>
      <c r="B608" s="4">
        <v>0</v>
      </c>
      <c r="C608" s="4">
        <v>0</v>
      </c>
      <c r="D608" s="4">
        <v>0</v>
      </c>
      <c r="E608" s="4">
        <v>0</v>
      </c>
      <c r="F608" s="4">
        <v>0</v>
      </c>
      <c r="G608" s="4">
        <v>0</v>
      </c>
      <c r="H608" s="4">
        <v>0</v>
      </c>
      <c r="I608" s="4">
        <v>0</v>
      </c>
      <c r="J608" s="4">
        <v>0</v>
      </c>
      <c r="K608" s="4">
        <v>0</v>
      </c>
      <c r="L608" s="4">
        <v>0</v>
      </c>
      <c r="M608" s="4">
        <v>0</v>
      </c>
      <c r="N608" s="4">
        <v>0</v>
      </c>
      <c r="O608" s="4">
        <v>0</v>
      </c>
      <c r="P608" s="4">
        <v>0</v>
      </c>
      <c r="Q608" s="4">
        <v>0</v>
      </c>
      <c r="R608" s="4">
        <v>0</v>
      </c>
      <c r="S608" s="4">
        <v>0</v>
      </c>
      <c r="T608" s="4">
        <v>0</v>
      </c>
      <c r="U608" s="4">
        <v>0</v>
      </c>
      <c r="V608" s="4">
        <v>0</v>
      </c>
      <c r="W608" s="4">
        <v>0</v>
      </c>
      <c r="X608" s="4">
        <v>0</v>
      </c>
      <c r="Y608" s="4">
        <v>0</v>
      </c>
      <c r="Z608" s="4">
        <v>0</v>
      </c>
      <c r="AA608" s="4">
        <v>0</v>
      </c>
      <c r="AB608" s="4">
        <v>0</v>
      </c>
      <c r="AC608" s="4">
        <v>0</v>
      </c>
      <c r="AD608" s="4">
        <v>0</v>
      </c>
      <c r="AE608" s="4">
        <v>0</v>
      </c>
      <c r="AF608" s="50">
        <v>28874.770221798026</v>
      </c>
      <c r="AG608" s="50">
        <v>28860.828810453146</v>
      </c>
      <c r="AH608" s="50">
        <v>28846.887399108269</v>
      </c>
      <c r="AI608" s="50">
        <v>28832.945987763389</v>
      </c>
      <c r="AJ608" s="50">
        <v>28819.004576418509</v>
      </c>
      <c r="AK608" s="50">
        <v>28805.063165073629</v>
      </c>
      <c r="AL608" s="50">
        <v>28791.121753728748</v>
      </c>
      <c r="AM608" s="50">
        <v>28777.180342383868</v>
      </c>
      <c r="AN608" s="50">
        <v>28763.238931038992</v>
      </c>
      <c r="AO608" s="50">
        <v>28749.297519694112</v>
      </c>
      <c r="AP608" s="50">
        <v>28735.356108349231</v>
      </c>
      <c r="AQ608" s="50">
        <v>28721.414697004351</v>
      </c>
      <c r="AR608" s="50">
        <v>28707.473285659471</v>
      </c>
      <c r="AS608" s="50">
        <v>28693.531874314591</v>
      </c>
      <c r="AT608" s="50">
        <v>28679.590462969714</v>
      </c>
      <c r="AU608" s="50">
        <v>28665.649051624834</v>
      </c>
      <c r="AV608" s="50">
        <v>28651.707640279954</v>
      </c>
      <c r="AW608" s="50">
        <v>28637.766228935074</v>
      </c>
      <c r="AX608" s="50">
        <v>28623.824817590194</v>
      </c>
      <c r="AY608" s="50">
        <v>28609.883406245313</v>
      </c>
      <c r="AZ608" s="50">
        <v>28595.941994900437</v>
      </c>
      <c r="BA608" s="50">
        <v>28582.000583555557</v>
      </c>
      <c r="BB608" s="50">
        <v>28568.059172210676</v>
      </c>
      <c r="BC608" s="50">
        <v>28554.117760865796</v>
      </c>
      <c r="BD608" s="50">
        <v>28540.176349520916</v>
      </c>
      <c r="BE608" s="50">
        <v>28526.234938176036</v>
      </c>
      <c r="BF608" s="50">
        <v>28512.293526831159</v>
      </c>
      <c r="BG608" s="50">
        <v>28498.352115486279</v>
      </c>
      <c r="BH608" s="50">
        <v>28484.410704141399</v>
      </c>
      <c r="BI608" s="50">
        <v>28470.469292796519</v>
      </c>
      <c r="BJ608" s="50">
        <v>28456.527881451639</v>
      </c>
      <c r="BK608" s="50">
        <v>28442.586470106758</v>
      </c>
      <c r="BL608" s="50">
        <v>28428.645058761882</v>
      </c>
      <c r="BM608" s="50">
        <v>28414.703647417002</v>
      </c>
      <c r="BN608" s="50">
        <v>28400.762236072122</v>
      </c>
      <c r="BO608" s="50">
        <v>28386.820824727241</v>
      </c>
      <c r="BP608" s="50">
        <v>28372.879413382361</v>
      </c>
      <c r="BQ608" s="50">
        <v>28358.938002037481</v>
      </c>
      <c r="BR608" s="50">
        <v>28344.996590692605</v>
      </c>
      <c r="BS608" s="50">
        <v>28331.055179347724</v>
      </c>
      <c r="BT608" s="50">
        <v>28317.113768002844</v>
      </c>
      <c r="BU608" s="50">
        <v>28303.172356657964</v>
      </c>
      <c r="BV608" s="50">
        <v>28289.230945313084</v>
      </c>
      <c r="BW608" s="50">
        <v>28275.289533968204</v>
      </c>
      <c r="BX608" s="50">
        <v>28261.348122623327</v>
      </c>
      <c r="BY608" s="50">
        <v>28247.406711278447</v>
      </c>
      <c r="BZ608" s="50">
        <v>28233.465299933567</v>
      </c>
      <c r="CA608" s="50">
        <v>28219.523888588687</v>
      </c>
      <c r="CB608" s="50">
        <v>28205.582477243806</v>
      </c>
      <c r="CC608" s="50">
        <v>28191.641065898926</v>
      </c>
      <c r="CD608" s="50">
        <v>28177.69965455405</v>
      </c>
      <c r="CE608" s="50">
        <v>28163.758243209169</v>
      </c>
      <c r="CF608" s="50">
        <v>28149.816831864289</v>
      </c>
      <c r="CG608" s="50">
        <v>28135.875420519409</v>
      </c>
      <c r="CH608" s="50">
        <v>28121.934009174529</v>
      </c>
      <c r="CI608" s="50">
        <v>28107.992597829649</v>
      </c>
      <c r="CJ608" s="50">
        <v>28094.051186484772</v>
      </c>
      <c r="CK608" s="50">
        <v>28080.109775139892</v>
      </c>
      <c r="CL608" s="50">
        <v>28066.168363795012</v>
      </c>
      <c r="CM608" s="50">
        <v>28052.226952450132</v>
      </c>
      <c r="CN608" s="50">
        <v>28038.285541105251</v>
      </c>
    </row>
    <row r="609" spans="1:92" s="44" customFormat="1" x14ac:dyDescent="0.25">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92" x14ac:dyDescent="0.25">
      <c r="A610" s="99" t="s">
        <v>254</v>
      </c>
      <c r="B610" s="4">
        <v>0</v>
      </c>
      <c r="C610" s="4">
        <v>0</v>
      </c>
      <c r="D610" s="4">
        <v>0</v>
      </c>
      <c r="E610" s="4">
        <v>0</v>
      </c>
      <c r="F610" s="4">
        <v>0</v>
      </c>
      <c r="G610" s="4">
        <v>0</v>
      </c>
      <c r="H610" s="4">
        <v>0</v>
      </c>
      <c r="I610" s="4">
        <v>0</v>
      </c>
      <c r="J610" s="4">
        <v>0</v>
      </c>
      <c r="K610" s="4">
        <v>0</v>
      </c>
      <c r="L610" s="4">
        <v>0</v>
      </c>
      <c r="M610" s="4">
        <v>0</v>
      </c>
      <c r="N610" s="4">
        <v>0</v>
      </c>
      <c r="O610" s="4">
        <v>0</v>
      </c>
      <c r="P610" s="4">
        <v>0</v>
      </c>
      <c r="Q610" s="4">
        <v>0</v>
      </c>
      <c r="R610" s="4">
        <v>0</v>
      </c>
      <c r="S610" s="4">
        <v>0</v>
      </c>
      <c r="T610" s="4">
        <v>0</v>
      </c>
      <c r="U610" s="4">
        <v>0</v>
      </c>
      <c r="V610" s="4">
        <v>0</v>
      </c>
      <c r="W610" s="4">
        <v>0</v>
      </c>
      <c r="X610" s="4">
        <v>0</v>
      </c>
      <c r="Y610" s="4">
        <v>0</v>
      </c>
      <c r="Z610" s="4">
        <v>0</v>
      </c>
      <c r="AA610" s="4">
        <v>0</v>
      </c>
      <c r="AB610" s="4">
        <v>0</v>
      </c>
      <c r="AC610" s="4">
        <v>0</v>
      </c>
      <c r="AD610" s="4">
        <v>0</v>
      </c>
      <c r="AE610" s="4">
        <v>0</v>
      </c>
      <c r="AF610">
        <v>39402.301333333366</v>
      </c>
      <c r="AG610">
        <v>38961.520000000019</v>
      </c>
      <c r="AH610">
        <v>38520.738666666672</v>
      </c>
      <c r="AI610">
        <v>38079.957333333325</v>
      </c>
      <c r="AJ610">
        <v>37639.175999999978</v>
      </c>
      <c r="AK610">
        <v>37198.394666666631</v>
      </c>
      <c r="AL610">
        <v>36757.613333333284</v>
      </c>
      <c r="AM610">
        <v>36316.831999999937</v>
      </c>
      <c r="AN610">
        <v>35876.050666666706</v>
      </c>
      <c r="AO610">
        <v>35435.269333333359</v>
      </c>
      <c r="AP610">
        <v>34994.488000000012</v>
      </c>
      <c r="AQ610">
        <v>34553.706666666665</v>
      </c>
      <c r="AR610">
        <v>34112.925333333318</v>
      </c>
      <c r="AS610">
        <v>33672.143999999971</v>
      </c>
      <c r="AT610">
        <v>33231.362666666624</v>
      </c>
      <c r="AU610">
        <v>32790.581333333277</v>
      </c>
      <c r="AV610">
        <v>32349.79999999993</v>
      </c>
      <c r="AW610">
        <v>31909.0186666667</v>
      </c>
      <c r="AX610">
        <v>31468.237333333353</v>
      </c>
      <c r="AY610">
        <v>31027.456000000006</v>
      </c>
      <c r="AZ610">
        <v>30586.674666666659</v>
      </c>
      <c r="BA610">
        <v>30145.893333333312</v>
      </c>
      <c r="BB610">
        <v>29705.111999999965</v>
      </c>
      <c r="BC610">
        <v>29264.330666666618</v>
      </c>
      <c r="BD610">
        <v>28823.549333333271</v>
      </c>
      <c r="BE610">
        <v>28382.767999999924</v>
      </c>
      <c r="BF610">
        <v>27941.986666666577</v>
      </c>
      <c r="BG610">
        <v>27501.205333333346</v>
      </c>
      <c r="BH610">
        <v>27060.423999999999</v>
      </c>
      <c r="BI610">
        <v>26619.642666666652</v>
      </c>
      <c r="BJ610">
        <v>26178.861333333305</v>
      </c>
      <c r="BK610">
        <v>25738.079999999958</v>
      </c>
      <c r="BL610">
        <v>25297.298666666611</v>
      </c>
      <c r="BM610">
        <v>24856.517333333264</v>
      </c>
      <c r="BN610">
        <v>24415.735999999917</v>
      </c>
      <c r="BO610">
        <v>23974.95466666657</v>
      </c>
      <c r="BP610">
        <v>23534.17333333334</v>
      </c>
      <c r="BQ610">
        <v>23093.391999999993</v>
      </c>
      <c r="BR610">
        <v>22652.610666666646</v>
      </c>
      <c r="BS610">
        <v>22211.829333333299</v>
      </c>
      <c r="BT610">
        <v>21771.047999999952</v>
      </c>
      <c r="BU610">
        <v>21330.266666666605</v>
      </c>
      <c r="BV610">
        <v>20889.485333333258</v>
      </c>
      <c r="BW610">
        <v>20448.703999999911</v>
      </c>
      <c r="BX610">
        <v>20007.922666666564</v>
      </c>
      <c r="BY610">
        <v>19567.141333333333</v>
      </c>
      <c r="BZ610">
        <v>19126.359999999986</v>
      </c>
      <c r="CA610">
        <v>18685.578666666639</v>
      </c>
      <c r="CB610">
        <v>18244.797333333292</v>
      </c>
      <c r="CC610">
        <v>17804.015999999945</v>
      </c>
      <c r="CD610">
        <v>17363.234666666598</v>
      </c>
      <c r="CE610">
        <v>16922.453333333251</v>
      </c>
      <c r="CF610">
        <v>16481.671999999904</v>
      </c>
      <c r="CG610">
        <v>16040.890666666557</v>
      </c>
      <c r="CH610">
        <v>15600.109333333327</v>
      </c>
      <c r="CI610">
        <v>15159.32799999998</v>
      </c>
      <c r="CJ610">
        <v>14718.546666666633</v>
      </c>
      <c r="CK610">
        <v>14277.765333333286</v>
      </c>
      <c r="CL610">
        <v>13836.983999999939</v>
      </c>
      <c r="CM610">
        <v>13396.202666666592</v>
      </c>
      <c r="CN610">
        <v>12955.421333333245</v>
      </c>
    </row>
    <row r="611" spans="1:92" x14ac:dyDescent="0.25">
      <c r="A611" s="99" t="s">
        <v>1</v>
      </c>
      <c r="B611" s="4">
        <v>0</v>
      </c>
      <c r="C611" s="4">
        <v>0</v>
      </c>
      <c r="D611" s="4">
        <v>0</v>
      </c>
      <c r="E611" s="4">
        <v>0</v>
      </c>
      <c r="F611" s="4">
        <v>0</v>
      </c>
      <c r="G611" s="4">
        <v>0</v>
      </c>
      <c r="H611" s="4">
        <v>0</v>
      </c>
      <c r="I611" s="4">
        <v>0</v>
      </c>
      <c r="J611" s="4">
        <v>0</v>
      </c>
      <c r="K611" s="4">
        <v>0</v>
      </c>
      <c r="L611" s="4">
        <v>0</v>
      </c>
      <c r="M611" s="4">
        <v>0</v>
      </c>
      <c r="N611" s="4">
        <v>0</v>
      </c>
      <c r="O611" s="4">
        <v>0</v>
      </c>
      <c r="P611" s="4">
        <v>0</v>
      </c>
      <c r="Q611" s="4">
        <v>0</v>
      </c>
      <c r="R611" s="4">
        <v>0</v>
      </c>
      <c r="S611" s="4">
        <v>0</v>
      </c>
      <c r="T611" s="4">
        <v>0</v>
      </c>
      <c r="U611" s="4">
        <v>0</v>
      </c>
      <c r="V611" s="4">
        <v>0</v>
      </c>
      <c r="W611" s="4">
        <v>0</v>
      </c>
      <c r="X611" s="4">
        <v>0</v>
      </c>
      <c r="Y611" s="4">
        <v>0</v>
      </c>
      <c r="Z611" s="4">
        <v>0</v>
      </c>
      <c r="AA611" s="4">
        <v>0</v>
      </c>
      <c r="AB611" s="4">
        <v>0</v>
      </c>
      <c r="AC611" s="4">
        <v>0</v>
      </c>
      <c r="AD611" s="4">
        <v>0</v>
      </c>
      <c r="AE611" s="4">
        <v>0</v>
      </c>
      <c r="AF611">
        <v>26624.934666666639</v>
      </c>
      <c r="AG611">
        <v>26548.240833333315</v>
      </c>
      <c r="AH611">
        <v>26471.546999999991</v>
      </c>
      <c r="AI611">
        <v>26394.853166666639</v>
      </c>
      <c r="AJ611">
        <v>26318.159333333315</v>
      </c>
      <c r="AK611">
        <v>26241.465499999991</v>
      </c>
      <c r="AL611">
        <v>26164.771666666638</v>
      </c>
      <c r="AM611">
        <v>26088.077833333315</v>
      </c>
      <c r="AN611">
        <v>26011.383999999991</v>
      </c>
      <c r="AO611">
        <v>25934.690166666638</v>
      </c>
      <c r="AP611">
        <v>25857.996333333314</v>
      </c>
      <c r="AQ611">
        <v>25781.302499999991</v>
      </c>
      <c r="AR611">
        <v>25704.608666666638</v>
      </c>
      <c r="AS611">
        <v>25627.914833333314</v>
      </c>
      <c r="AT611">
        <v>25551.22099999999</v>
      </c>
      <c r="AU611">
        <v>25474.527166666638</v>
      </c>
      <c r="AV611">
        <v>25397.833333333314</v>
      </c>
      <c r="AW611">
        <v>25321.13949999999</v>
      </c>
      <c r="AX611">
        <v>25244.445666666637</v>
      </c>
      <c r="AY611">
        <v>25167.751833333314</v>
      </c>
      <c r="AZ611">
        <v>25091.05799999999</v>
      </c>
      <c r="BA611">
        <v>25014.364166666637</v>
      </c>
      <c r="BB611">
        <v>24937.670333333313</v>
      </c>
      <c r="BC611">
        <v>24860.97649999999</v>
      </c>
      <c r="BD611">
        <v>24784.282666666637</v>
      </c>
      <c r="BE611">
        <v>24707.588833333313</v>
      </c>
      <c r="BF611">
        <v>24630.89499999999</v>
      </c>
      <c r="BG611">
        <v>24554.201166666637</v>
      </c>
      <c r="BH611">
        <v>24477.507333333313</v>
      </c>
      <c r="BI611">
        <v>24400.813499999989</v>
      </c>
      <c r="BJ611">
        <v>24324.119666666636</v>
      </c>
      <c r="BK611">
        <v>24247.425833333313</v>
      </c>
      <c r="BL611">
        <v>24170.731999999989</v>
      </c>
      <c r="BM611">
        <v>24094.038166666636</v>
      </c>
      <c r="BN611">
        <v>24017.344333333313</v>
      </c>
      <c r="BO611">
        <v>23940.650499999989</v>
      </c>
      <c r="BP611">
        <v>23863.956666666636</v>
      </c>
      <c r="BQ611">
        <v>23787.262833333312</v>
      </c>
      <c r="BR611">
        <v>23710.568999999989</v>
      </c>
      <c r="BS611">
        <v>23633.875166666636</v>
      </c>
      <c r="BT611">
        <v>23557.181333333312</v>
      </c>
      <c r="BU611">
        <v>23480.487499999988</v>
      </c>
      <c r="BV611">
        <v>23403.793666666636</v>
      </c>
      <c r="BW611">
        <v>23327.099833333312</v>
      </c>
      <c r="BX611">
        <v>23250.405999999988</v>
      </c>
      <c r="BY611">
        <v>23173.712166666635</v>
      </c>
      <c r="BZ611">
        <v>23097.018333333312</v>
      </c>
      <c r="CA611">
        <v>23020.324499999988</v>
      </c>
      <c r="CB611">
        <v>22943.630666666635</v>
      </c>
      <c r="CC611">
        <v>22866.936833333311</v>
      </c>
      <c r="CD611">
        <v>22790.242999999988</v>
      </c>
      <c r="CE611">
        <v>22713.549166666635</v>
      </c>
      <c r="CF611">
        <v>22636.855333333311</v>
      </c>
      <c r="CG611">
        <v>22560.161499999987</v>
      </c>
      <c r="CH611">
        <v>22483.467666666635</v>
      </c>
      <c r="CI611">
        <v>22406.773833333311</v>
      </c>
      <c r="CJ611">
        <v>22330.079999999987</v>
      </c>
      <c r="CK611">
        <v>22253.386166666634</v>
      </c>
      <c r="CL611">
        <v>22176.692333333311</v>
      </c>
      <c r="CM611">
        <v>22099.998499999987</v>
      </c>
      <c r="CN611">
        <v>22023.304666666634</v>
      </c>
    </row>
    <row r="612" spans="1:92" x14ac:dyDescent="0.25">
      <c r="A612" s="99" t="s">
        <v>1</v>
      </c>
      <c r="B612" s="4">
        <v>0</v>
      </c>
      <c r="C612" s="4">
        <v>0</v>
      </c>
      <c r="D612" s="4">
        <v>0</v>
      </c>
      <c r="E612" s="4">
        <v>0</v>
      </c>
      <c r="F612" s="4">
        <v>0</v>
      </c>
      <c r="G612" s="4">
        <v>0</v>
      </c>
      <c r="H612" s="4">
        <v>0</v>
      </c>
      <c r="I612" s="4">
        <v>0</v>
      </c>
      <c r="J612" s="4">
        <v>0</v>
      </c>
      <c r="K612" s="4">
        <v>0</v>
      </c>
      <c r="L612" s="4">
        <v>0</v>
      </c>
      <c r="M612" s="4">
        <v>0</v>
      </c>
      <c r="N612" s="4">
        <v>0</v>
      </c>
      <c r="O612" s="4">
        <v>0</v>
      </c>
      <c r="P612" s="4">
        <v>0</v>
      </c>
      <c r="Q612" s="4">
        <v>0</v>
      </c>
      <c r="R612" s="4">
        <v>0</v>
      </c>
      <c r="S612" s="4">
        <v>0</v>
      </c>
      <c r="T612" s="4">
        <v>0</v>
      </c>
      <c r="U612" s="4">
        <v>0</v>
      </c>
      <c r="V612" s="4">
        <v>0</v>
      </c>
      <c r="W612" s="4">
        <v>0</v>
      </c>
      <c r="X612" s="4">
        <v>0</v>
      </c>
      <c r="Y612" s="4">
        <v>0</v>
      </c>
      <c r="Z612" s="4">
        <v>0</v>
      </c>
      <c r="AA612" s="4">
        <v>0</v>
      </c>
      <c r="AB612" s="4">
        <v>0</v>
      </c>
      <c r="AC612" s="4">
        <v>0</v>
      </c>
      <c r="AD612" s="4">
        <v>0</v>
      </c>
      <c r="AE612" s="4">
        <v>0</v>
      </c>
      <c r="AF612">
        <v>426.09999999999997</v>
      </c>
      <c r="AG612">
        <v>426.00416666666661</v>
      </c>
      <c r="AH612">
        <v>425.9083333333333</v>
      </c>
      <c r="AI612">
        <v>425.8125</v>
      </c>
      <c r="AJ612">
        <v>425.71666666666664</v>
      </c>
      <c r="AK612">
        <v>425.62083333333328</v>
      </c>
      <c r="AL612">
        <v>425.52499999999998</v>
      </c>
      <c r="AM612">
        <v>425.42916666666667</v>
      </c>
      <c r="AN612">
        <v>425.33333333333331</v>
      </c>
      <c r="AO612">
        <v>425.23749999999995</v>
      </c>
      <c r="AP612">
        <v>425.14166666666665</v>
      </c>
      <c r="AQ612">
        <v>425.04583333333335</v>
      </c>
      <c r="AR612">
        <v>424.95</v>
      </c>
      <c r="AS612">
        <v>424.85416666666663</v>
      </c>
      <c r="AT612">
        <v>424.75833333333333</v>
      </c>
      <c r="AU612">
        <v>424.66250000000002</v>
      </c>
      <c r="AV612">
        <v>424.56666666666666</v>
      </c>
      <c r="AW612">
        <v>424.4708333333333</v>
      </c>
      <c r="AX612">
        <v>424.375</v>
      </c>
      <c r="AY612">
        <v>424.2791666666667</v>
      </c>
      <c r="AZ612">
        <v>424.18333333333334</v>
      </c>
      <c r="BA612">
        <v>424.08749999999998</v>
      </c>
      <c r="BB612">
        <v>423.99166666666667</v>
      </c>
      <c r="BC612">
        <v>423.89583333333337</v>
      </c>
      <c r="BD612">
        <v>423.8</v>
      </c>
      <c r="BE612">
        <v>423.70416666666665</v>
      </c>
      <c r="BF612">
        <v>423.60833333333335</v>
      </c>
      <c r="BG612">
        <v>423.51250000000005</v>
      </c>
      <c r="BH612">
        <v>423.41666666666669</v>
      </c>
      <c r="BI612">
        <v>423.32083333333333</v>
      </c>
      <c r="BJ612">
        <v>423.22500000000002</v>
      </c>
      <c r="BK612">
        <v>423.12916666666672</v>
      </c>
      <c r="BL612">
        <v>423.03333333333336</v>
      </c>
      <c r="BM612">
        <v>422.9375</v>
      </c>
      <c r="BN612">
        <v>422.8416666666667</v>
      </c>
      <c r="BO612">
        <v>422.74583333333339</v>
      </c>
      <c r="BP612">
        <v>422.65000000000003</v>
      </c>
      <c r="BQ612">
        <v>422.55416666666667</v>
      </c>
      <c r="BR612">
        <v>422.45833333333337</v>
      </c>
      <c r="BS612">
        <v>422.36250000000007</v>
      </c>
      <c r="BT612">
        <v>422.26666666666671</v>
      </c>
      <c r="BU612">
        <v>422.17083333333335</v>
      </c>
      <c r="BV612">
        <v>422.07500000000005</v>
      </c>
      <c r="BW612">
        <v>421.97916666666674</v>
      </c>
      <c r="BX612">
        <v>421.88333333333338</v>
      </c>
      <c r="BY612">
        <v>421.78750000000002</v>
      </c>
      <c r="BZ612">
        <v>421.69166666666672</v>
      </c>
      <c r="CA612">
        <v>421.59583333333342</v>
      </c>
      <c r="CB612">
        <v>421.50000000000006</v>
      </c>
      <c r="CC612">
        <v>421.4041666666667</v>
      </c>
      <c r="CD612">
        <v>421.30833333333339</v>
      </c>
      <c r="CE612">
        <v>421.21250000000009</v>
      </c>
      <c r="CF612">
        <v>421.11666666666673</v>
      </c>
      <c r="CG612">
        <v>421.02083333333337</v>
      </c>
      <c r="CH612">
        <v>420.92500000000007</v>
      </c>
      <c r="CI612">
        <v>420.82916666666677</v>
      </c>
      <c r="CJ612">
        <v>420.73333333333341</v>
      </c>
      <c r="CK612">
        <v>420.63750000000005</v>
      </c>
      <c r="CL612">
        <v>420.54166666666674</v>
      </c>
      <c r="CM612">
        <v>420.44583333333344</v>
      </c>
      <c r="CN612">
        <v>420.35000000000008</v>
      </c>
    </row>
    <row r="613" spans="1:92" x14ac:dyDescent="0.25">
      <c r="A613" s="99" t="s">
        <v>1</v>
      </c>
      <c r="B613" s="4">
        <v>0</v>
      </c>
      <c r="C613" s="4">
        <v>0</v>
      </c>
      <c r="D613" s="4">
        <v>0</v>
      </c>
      <c r="E613" s="4">
        <v>0</v>
      </c>
      <c r="F613" s="4">
        <v>0</v>
      </c>
      <c r="G613" s="4">
        <v>0</v>
      </c>
      <c r="H613" s="4">
        <v>0</v>
      </c>
      <c r="I613" s="4">
        <v>0</v>
      </c>
      <c r="J613" s="4">
        <v>0</v>
      </c>
      <c r="K613" s="4">
        <v>0</v>
      </c>
      <c r="L613" s="4">
        <v>0</v>
      </c>
      <c r="M613" s="4">
        <v>0</v>
      </c>
      <c r="N613" s="4">
        <v>0</v>
      </c>
      <c r="O613" s="4">
        <v>0</v>
      </c>
      <c r="P613" s="4">
        <v>0</v>
      </c>
      <c r="Q613" s="4">
        <v>0</v>
      </c>
      <c r="R613" s="4">
        <v>0</v>
      </c>
      <c r="S613" s="4">
        <v>0</v>
      </c>
      <c r="T613" s="4">
        <v>0</v>
      </c>
      <c r="U613" s="4">
        <v>0</v>
      </c>
      <c r="V613" s="4">
        <v>0</v>
      </c>
      <c r="W613" s="4">
        <v>0</v>
      </c>
      <c r="X613" s="4">
        <v>0</v>
      </c>
      <c r="Y613" s="4">
        <v>0</v>
      </c>
      <c r="Z613" s="4">
        <v>0</v>
      </c>
      <c r="AA613" s="4">
        <v>0</v>
      </c>
      <c r="AB613" s="4">
        <v>0</v>
      </c>
      <c r="AC613" s="4">
        <v>0</v>
      </c>
      <c r="AD613" s="4">
        <v>0</v>
      </c>
      <c r="AE613" s="4">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row>
    <row r="614" spans="1:92" x14ac:dyDescent="0.25">
      <c r="A614" s="99" t="s">
        <v>1</v>
      </c>
      <c r="B614" s="4">
        <v>0</v>
      </c>
      <c r="C614" s="4">
        <v>0</v>
      </c>
      <c r="D614" s="4">
        <v>0</v>
      </c>
      <c r="E614" s="4">
        <v>0</v>
      </c>
      <c r="F614" s="4">
        <v>0</v>
      </c>
      <c r="G614" s="4">
        <v>0</v>
      </c>
      <c r="H614" s="4">
        <v>0</v>
      </c>
      <c r="I614" s="4">
        <v>0</v>
      </c>
      <c r="J614" s="4">
        <v>0</v>
      </c>
      <c r="K614" s="4">
        <v>0</v>
      </c>
      <c r="L614" s="4">
        <v>0</v>
      </c>
      <c r="M614" s="4">
        <v>0</v>
      </c>
      <c r="N614" s="4">
        <v>0</v>
      </c>
      <c r="O614" s="4">
        <v>0</v>
      </c>
      <c r="P614" s="4">
        <v>0</v>
      </c>
      <c r="Q614" s="4">
        <v>0</v>
      </c>
      <c r="R614" s="4">
        <v>0</v>
      </c>
      <c r="S614" s="4">
        <v>0</v>
      </c>
      <c r="T614" s="4">
        <v>0</v>
      </c>
      <c r="U614" s="4">
        <v>0</v>
      </c>
      <c r="V614" s="4">
        <v>0</v>
      </c>
      <c r="W614" s="4">
        <v>0</v>
      </c>
      <c r="X614" s="4">
        <v>0</v>
      </c>
      <c r="Y614" s="4">
        <v>0</v>
      </c>
      <c r="Z614" s="4">
        <v>0</v>
      </c>
      <c r="AA614" s="4">
        <v>0</v>
      </c>
      <c r="AB614" s="4">
        <v>0</v>
      </c>
      <c r="AC614" s="4">
        <v>0</v>
      </c>
      <c r="AD614" s="4">
        <v>0</v>
      </c>
      <c r="AE614" s="4">
        <v>0</v>
      </c>
      <c r="AF614">
        <v>8190.4053333334159</v>
      </c>
      <c r="AG614">
        <v>8612.9966666667024</v>
      </c>
      <c r="AH614">
        <v>9035.5880000001052</v>
      </c>
      <c r="AI614">
        <v>9458.1793333333917</v>
      </c>
      <c r="AJ614">
        <v>9880.7706666666782</v>
      </c>
      <c r="AK614">
        <v>10303.362000000081</v>
      </c>
      <c r="AL614">
        <v>10725.953333333367</v>
      </c>
      <c r="AM614">
        <v>11148.54466666677</v>
      </c>
      <c r="AN614">
        <v>11571.136000000057</v>
      </c>
      <c r="AO614">
        <v>11993.727333333343</v>
      </c>
      <c r="AP614">
        <v>12416.318666666746</v>
      </c>
      <c r="AQ614">
        <v>12838.910000000033</v>
      </c>
      <c r="AR614">
        <v>13261.501333333435</v>
      </c>
      <c r="AS614">
        <v>13684.092666666722</v>
      </c>
      <c r="AT614">
        <v>14106.684000000008</v>
      </c>
      <c r="AU614">
        <v>14529.275333333411</v>
      </c>
      <c r="AV614">
        <v>14951.866666666698</v>
      </c>
      <c r="AW614">
        <v>15374.458000000101</v>
      </c>
      <c r="AX614">
        <v>15797.049333333387</v>
      </c>
      <c r="AY614">
        <v>16219.640666666673</v>
      </c>
      <c r="AZ614">
        <v>16642.232000000076</v>
      </c>
      <c r="BA614">
        <v>17064.823333333363</v>
      </c>
      <c r="BB614">
        <v>17487.414666666766</v>
      </c>
      <c r="BC614">
        <v>17910.006000000052</v>
      </c>
      <c r="BD614">
        <v>18332.597333333339</v>
      </c>
      <c r="BE614">
        <v>18755.188666666741</v>
      </c>
      <c r="BF614">
        <v>19177.780000000028</v>
      </c>
      <c r="BG614">
        <v>19600.371333333431</v>
      </c>
      <c r="BH614">
        <v>20022.962666666717</v>
      </c>
      <c r="BI614">
        <v>20445.554000000004</v>
      </c>
      <c r="BJ614">
        <v>20868.145333333407</v>
      </c>
      <c r="BK614">
        <v>21290.736666666693</v>
      </c>
      <c r="BL614">
        <v>21713.328000000096</v>
      </c>
      <c r="BM614">
        <v>22135.919333333382</v>
      </c>
      <c r="BN614">
        <v>22558.510666666669</v>
      </c>
      <c r="BO614">
        <v>22981.102000000072</v>
      </c>
      <c r="BP614">
        <v>23403.693333333358</v>
      </c>
      <c r="BQ614">
        <v>23826.284666666761</v>
      </c>
      <c r="BR614">
        <v>24248.876000000047</v>
      </c>
      <c r="BS614">
        <v>24671.467333333334</v>
      </c>
      <c r="BT614">
        <v>25094.058666666737</v>
      </c>
      <c r="BU614">
        <v>25516.650000000023</v>
      </c>
      <c r="BV614">
        <v>25939.241333333426</v>
      </c>
      <c r="BW614">
        <v>26361.832666666713</v>
      </c>
      <c r="BX614">
        <v>26784.423999999999</v>
      </c>
      <c r="BY614">
        <v>27207.015333333402</v>
      </c>
      <c r="BZ614">
        <v>27629.606666666688</v>
      </c>
      <c r="CA614">
        <v>28052.198000000091</v>
      </c>
      <c r="CB614">
        <v>28474.789333333378</v>
      </c>
      <c r="CC614">
        <v>28897.380666666664</v>
      </c>
      <c r="CD614">
        <v>29319.972000000067</v>
      </c>
      <c r="CE614">
        <v>29742.563333333354</v>
      </c>
      <c r="CF614">
        <v>30165.154666666756</v>
      </c>
      <c r="CG614">
        <v>30587.746000000043</v>
      </c>
      <c r="CH614">
        <v>31010.337333333329</v>
      </c>
      <c r="CI614">
        <v>31432.928666666732</v>
      </c>
      <c r="CJ614">
        <v>31855.520000000019</v>
      </c>
      <c r="CK614">
        <v>32278.111333333421</v>
      </c>
      <c r="CL614">
        <v>32700.702666666708</v>
      </c>
      <c r="CM614">
        <v>33123.293999999994</v>
      </c>
      <c r="CN614">
        <v>33545.885333333397</v>
      </c>
    </row>
    <row r="615" spans="1:92" x14ac:dyDescent="0.25">
      <c r="A615" s="99" t="s">
        <v>1</v>
      </c>
      <c r="B615" s="4">
        <v>0</v>
      </c>
      <c r="C615" s="4">
        <v>0</v>
      </c>
      <c r="D615" s="4">
        <v>0</v>
      </c>
      <c r="E615" s="4">
        <v>0</v>
      </c>
      <c r="F615" s="4">
        <v>0</v>
      </c>
      <c r="G615" s="4">
        <v>0</v>
      </c>
      <c r="H615" s="4">
        <v>0</v>
      </c>
      <c r="I615" s="4">
        <v>0</v>
      </c>
      <c r="J615" s="4">
        <v>0</v>
      </c>
      <c r="K615" s="4">
        <v>0</v>
      </c>
      <c r="L615" s="4">
        <v>0</v>
      </c>
      <c r="M615" s="4">
        <v>0</v>
      </c>
      <c r="N615" s="4">
        <v>0</v>
      </c>
      <c r="O615" s="4">
        <v>0</v>
      </c>
      <c r="P615" s="4">
        <v>0</v>
      </c>
      <c r="Q615" s="4">
        <v>0</v>
      </c>
      <c r="R615" s="4">
        <v>0</v>
      </c>
      <c r="S615" s="4">
        <v>0</v>
      </c>
      <c r="T615" s="4">
        <v>0</v>
      </c>
      <c r="U615" s="4">
        <v>0</v>
      </c>
      <c r="V615" s="4">
        <v>0</v>
      </c>
      <c r="W615" s="4">
        <v>0</v>
      </c>
      <c r="X615" s="4">
        <v>0</v>
      </c>
      <c r="Y615" s="4">
        <v>0</v>
      </c>
      <c r="Z615" s="4">
        <v>0</v>
      </c>
      <c r="AA615" s="4">
        <v>0</v>
      </c>
      <c r="AB615" s="4">
        <v>0</v>
      </c>
      <c r="AC615" s="4">
        <v>0</v>
      </c>
      <c r="AD615" s="4">
        <v>0</v>
      </c>
      <c r="AE615" s="4">
        <v>0</v>
      </c>
      <c r="AF615">
        <v>3695.0959999999905</v>
      </c>
      <c r="AG615">
        <v>3585.8525000000081</v>
      </c>
      <c r="AH615">
        <v>3476.6089999999967</v>
      </c>
      <c r="AI615">
        <v>3367.3654999999853</v>
      </c>
      <c r="AJ615">
        <v>3258.122000000003</v>
      </c>
      <c r="AK615">
        <v>3148.8784999999916</v>
      </c>
      <c r="AL615">
        <v>3039.6349999999802</v>
      </c>
      <c r="AM615">
        <v>2930.3914999999979</v>
      </c>
      <c r="AN615">
        <v>2821.1479999999865</v>
      </c>
      <c r="AO615">
        <v>2711.9045000000042</v>
      </c>
      <c r="AP615">
        <v>2602.6609999999928</v>
      </c>
      <c r="AQ615">
        <v>2493.4174999999814</v>
      </c>
      <c r="AR615">
        <v>2384.1739999999991</v>
      </c>
      <c r="AS615">
        <v>2274.9304999999877</v>
      </c>
      <c r="AT615">
        <v>2165.6870000000054</v>
      </c>
      <c r="AU615">
        <v>2056.4434999999939</v>
      </c>
      <c r="AV615">
        <v>1947.1999999999825</v>
      </c>
      <c r="AW615">
        <v>1837.9565000000002</v>
      </c>
      <c r="AX615">
        <v>1728.7129999999888</v>
      </c>
      <c r="AY615">
        <v>1619.4695000000065</v>
      </c>
      <c r="AZ615">
        <v>1510.2259999999951</v>
      </c>
      <c r="BA615">
        <v>1400.9824999999837</v>
      </c>
      <c r="BB615">
        <v>1291.7390000000014</v>
      </c>
      <c r="BC615">
        <v>1182.49549999999</v>
      </c>
      <c r="BD615">
        <v>1073.2520000000077</v>
      </c>
      <c r="BE615">
        <v>964.00849999999627</v>
      </c>
      <c r="BF615">
        <v>854.76499999998487</v>
      </c>
      <c r="BG615">
        <v>745.52150000000256</v>
      </c>
      <c r="BH615">
        <v>636.27799999999115</v>
      </c>
      <c r="BI615">
        <v>527.03450000000885</v>
      </c>
      <c r="BJ615">
        <v>417.79099999999744</v>
      </c>
      <c r="BK615">
        <v>308.54749999998603</v>
      </c>
      <c r="BL615">
        <v>199.30400000000373</v>
      </c>
      <c r="BM615">
        <v>90.060499999992317</v>
      </c>
      <c r="BN615">
        <v>308.54749999999575</v>
      </c>
      <c r="BO615">
        <v>199.30399999999403</v>
      </c>
      <c r="BP615">
        <v>199.30399999999727</v>
      </c>
      <c r="BQ615">
        <v>199.30399999999403</v>
      </c>
      <c r="BR615">
        <v>235.71849999999566</v>
      </c>
      <c r="BS615">
        <v>199.30399999999511</v>
      </c>
      <c r="BT615">
        <v>211.4421666666623</v>
      </c>
      <c r="BU615">
        <v>211.44216666666159</v>
      </c>
      <c r="BV615">
        <v>215.4882222222177</v>
      </c>
      <c r="BW615">
        <v>207.39611111110631</v>
      </c>
      <c r="BX615">
        <v>212.79085185184718</v>
      </c>
      <c r="BY615">
        <v>211.44216666666185</v>
      </c>
      <c r="BZ615">
        <v>211.89172839505704</v>
      </c>
      <c r="CA615">
        <v>210.5430432098718</v>
      </c>
      <c r="CB615">
        <v>212.041582304522</v>
      </c>
      <c r="CC615">
        <v>211.2923127571969</v>
      </c>
      <c r="CD615">
        <v>211.49211796981695</v>
      </c>
      <c r="CE615">
        <v>211.2923127571969</v>
      </c>
      <c r="CF615">
        <v>211.60867101051193</v>
      </c>
      <c r="CG615">
        <v>211.35891449473692</v>
      </c>
      <c r="CH615">
        <v>211.46436724584191</v>
      </c>
      <c r="CI615">
        <v>211.41996608748192</v>
      </c>
      <c r="CJ615">
        <v>211.47731758369693</v>
      </c>
      <c r="CK615">
        <v>211.41441594268693</v>
      </c>
      <c r="CL615">
        <v>211.45388363900693</v>
      </c>
      <c r="CM615">
        <v>211.43723320462195</v>
      </c>
      <c r="CN615">
        <v>211.44853905513025</v>
      </c>
    </row>
    <row r="616" spans="1:92" x14ac:dyDescent="0.25">
      <c r="A616" s="99"/>
    </row>
    <row r="617" spans="1:92" x14ac:dyDescent="0.25">
      <c r="A617" s="99" t="s">
        <v>255</v>
      </c>
      <c r="B617" s="4">
        <v>0</v>
      </c>
      <c r="C617" s="4">
        <v>0</v>
      </c>
      <c r="D617" s="4">
        <v>0</v>
      </c>
      <c r="E617" s="4">
        <v>0</v>
      </c>
      <c r="F617" s="4">
        <v>0</v>
      </c>
      <c r="G617" s="4">
        <v>0</v>
      </c>
      <c r="H617" s="4">
        <v>0</v>
      </c>
      <c r="I617" s="4">
        <v>0</v>
      </c>
      <c r="J617" s="4">
        <v>0</v>
      </c>
      <c r="K617" s="4">
        <v>0</v>
      </c>
      <c r="L617" s="4">
        <v>0</v>
      </c>
      <c r="M617" s="4">
        <v>0</v>
      </c>
      <c r="N617" s="4">
        <v>0</v>
      </c>
      <c r="O617" s="4">
        <v>0</v>
      </c>
      <c r="P617" s="4">
        <v>0</v>
      </c>
      <c r="Q617" s="4">
        <v>0</v>
      </c>
      <c r="R617" s="4">
        <v>0</v>
      </c>
      <c r="S617" s="4">
        <v>0</v>
      </c>
      <c r="T617" s="4">
        <v>0</v>
      </c>
      <c r="U617" s="4">
        <v>0</v>
      </c>
      <c r="V617" s="4">
        <v>0</v>
      </c>
      <c r="W617" s="4">
        <v>0</v>
      </c>
      <c r="X617" s="4">
        <v>0</v>
      </c>
      <c r="Y617" s="4">
        <v>0</v>
      </c>
      <c r="Z617" s="4">
        <v>0</v>
      </c>
      <c r="AA617" s="4">
        <v>0</v>
      </c>
      <c r="AB617" s="4">
        <v>0</v>
      </c>
      <c r="AC617" s="4">
        <v>0</v>
      </c>
      <c r="AD617" s="4">
        <v>0</v>
      </c>
      <c r="AE617" s="4">
        <v>0</v>
      </c>
      <c r="AF617">
        <v>834.26800000000367</v>
      </c>
      <c r="AG617">
        <v>817.09916666666686</v>
      </c>
      <c r="AH617">
        <v>799.93033333333005</v>
      </c>
      <c r="AI617">
        <v>782.76150000000052</v>
      </c>
      <c r="AJ617">
        <v>765.59266666666372</v>
      </c>
      <c r="AK617">
        <v>748.42383333333419</v>
      </c>
      <c r="AL617">
        <v>731.25499999999738</v>
      </c>
      <c r="AM617">
        <v>714.08616666666785</v>
      </c>
      <c r="AN617">
        <v>696.91733333333104</v>
      </c>
      <c r="AO617">
        <v>679.74850000000151</v>
      </c>
      <c r="AP617">
        <v>662.57966666666471</v>
      </c>
      <c r="AQ617">
        <v>645.41083333333518</v>
      </c>
      <c r="AR617">
        <v>628.24199999999837</v>
      </c>
      <c r="AS617">
        <v>611.07316666666884</v>
      </c>
      <c r="AT617">
        <v>593.90433333333203</v>
      </c>
      <c r="AU617">
        <v>576.7355000000025</v>
      </c>
      <c r="AV617">
        <v>559.5666666666657</v>
      </c>
      <c r="AW617">
        <v>542.39783333333617</v>
      </c>
      <c r="AX617">
        <v>525.22899999999936</v>
      </c>
      <c r="AY617">
        <v>508.06016666666983</v>
      </c>
      <c r="AZ617">
        <v>490.89133333333302</v>
      </c>
      <c r="BA617">
        <v>473.72249999999622</v>
      </c>
      <c r="BB617">
        <v>456.55366666666669</v>
      </c>
      <c r="BC617">
        <v>439.38483333332988</v>
      </c>
      <c r="BD617">
        <v>422.21600000000035</v>
      </c>
      <c r="BE617">
        <v>405.04716666666354</v>
      </c>
      <c r="BF617">
        <v>387.87833333333401</v>
      </c>
      <c r="BG617">
        <v>370.70949999999721</v>
      </c>
      <c r="BH617">
        <v>353.54066666666768</v>
      </c>
      <c r="BI617">
        <v>336.37183333333087</v>
      </c>
      <c r="BJ617">
        <v>319.20300000000134</v>
      </c>
      <c r="BK617">
        <v>302.03416666666453</v>
      </c>
      <c r="BL617">
        <v>284.865333333335</v>
      </c>
      <c r="BM617">
        <v>267.6964999999982</v>
      </c>
      <c r="BN617">
        <v>250.52766666666867</v>
      </c>
      <c r="BO617">
        <v>233.35883333333186</v>
      </c>
      <c r="BP617">
        <v>216.19000000000233</v>
      </c>
      <c r="BQ617">
        <v>199.02116666666552</v>
      </c>
      <c r="BR617">
        <v>181.85233333333599</v>
      </c>
      <c r="BS617">
        <v>164.68349999999919</v>
      </c>
      <c r="BT617">
        <v>147.51466666666238</v>
      </c>
      <c r="BU617">
        <v>130.34583333333285</v>
      </c>
      <c r="BV617">
        <v>113.17699999999604</v>
      </c>
      <c r="BW617">
        <v>96.008166666666511</v>
      </c>
      <c r="BX617">
        <v>78.839333333329705</v>
      </c>
      <c r="BY617">
        <v>61.670500000000175</v>
      </c>
      <c r="BZ617">
        <v>44.501666666663368</v>
      </c>
      <c r="CA617">
        <v>27.332833333333838</v>
      </c>
      <c r="CB617">
        <v>61.670499999998718</v>
      </c>
      <c r="CC617">
        <v>54.802966666665156</v>
      </c>
      <c r="CD617">
        <v>49.995693333332255</v>
      </c>
      <c r="CE617">
        <v>47.660731999998667</v>
      </c>
      <c r="CF617">
        <v>48.292545066665724</v>
      </c>
      <c r="CG617">
        <v>52.484487413332104</v>
      </c>
      <c r="CH617">
        <v>50.64728489599878</v>
      </c>
      <c r="CI617">
        <v>49.816148541865502</v>
      </c>
      <c r="CJ617">
        <v>49.780239583572154</v>
      </c>
      <c r="CK617">
        <v>50.204141100286861</v>
      </c>
      <c r="CL617">
        <v>50.58646030701108</v>
      </c>
      <c r="CM617">
        <v>50.206854885746871</v>
      </c>
      <c r="CN617">
        <v>50.11876888369649</v>
      </c>
    </row>
    <row r="618" spans="1:92" x14ac:dyDescent="0.25">
      <c r="A618" s="99"/>
    </row>
    <row r="619" spans="1:92" s="50" customFormat="1" x14ac:dyDescent="0.25">
      <c r="A619" s="99" t="s">
        <v>256</v>
      </c>
      <c r="B619" s="4">
        <v>0</v>
      </c>
      <c r="C619" s="4">
        <v>0</v>
      </c>
      <c r="D619" s="4">
        <v>0</v>
      </c>
      <c r="E619" s="4">
        <v>0</v>
      </c>
      <c r="F619" s="4">
        <v>0</v>
      </c>
      <c r="G619" s="4">
        <v>0</v>
      </c>
      <c r="H619" s="4">
        <v>0</v>
      </c>
      <c r="I619" s="4">
        <v>0</v>
      </c>
      <c r="J619" s="4">
        <v>0</v>
      </c>
      <c r="K619" s="4">
        <v>0</v>
      </c>
      <c r="L619" s="4">
        <v>0</v>
      </c>
      <c r="M619" s="4">
        <v>0</v>
      </c>
      <c r="N619" s="4">
        <v>0</v>
      </c>
      <c r="O619" s="4">
        <v>0</v>
      </c>
      <c r="P619" s="4">
        <v>0</v>
      </c>
      <c r="Q619" s="4">
        <v>0</v>
      </c>
      <c r="R619" s="4">
        <v>0</v>
      </c>
      <c r="S619" s="4">
        <v>0</v>
      </c>
      <c r="T619" s="4">
        <v>0</v>
      </c>
      <c r="U619" s="4">
        <v>0</v>
      </c>
      <c r="V619" s="4">
        <v>0</v>
      </c>
      <c r="W619" s="4">
        <v>0</v>
      </c>
      <c r="X619" s="4">
        <v>0</v>
      </c>
      <c r="Y619" s="4">
        <v>0</v>
      </c>
      <c r="Z619" s="4">
        <v>0</v>
      </c>
      <c r="AA619" s="4">
        <v>0</v>
      </c>
      <c r="AB619" s="4">
        <v>0</v>
      </c>
      <c r="AC619" s="4">
        <v>0</v>
      </c>
      <c r="AD619" s="4">
        <v>0</v>
      </c>
      <c r="AE619" s="4">
        <v>0</v>
      </c>
      <c r="AF619" s="50">
        <v>15245.122666666633</v>
      </c>
      <c r="AG619" s="50">
        <v>15110.640000000014</v>
      </c>
      <c r="AH619" s="50">
        <v>14976.157333333336</v>
      </c>
      <c r="AI619" s="50">
        <v>14841.674666666659</v>
      </c>
      <c r="AJ619" s="50">
        <v>14707.191999999981</v>
      </c>
      <c r="AK619" s="50">
        <v>14572.709333333303</v>
      </c>
      <c r="AL619" s="50">
        <v>14438.226666666684</v>
      </c>
      <c r="AM619" s="50">
        <v>14303.744000000006</v>
      </c>
      <c r="AN619" s="50">
        <v>14169.261333333328</v>
      </c>
      <c r="AO619" s="50">
        <v>14034.778666666651</v>
      </c>
      <c r="AP619" s="50">
        <v>13900.295999999973</v>
      </c>
      <c r="AQ619" s="50">
        <v>13765.813333333295</v>
      </c>
      <c r="AR619" s="50">
        <v>13631.330666666676</v>
      </c>
      <c r="AS619" s="50">
        <v>13496.847999999998</v>
      </c>
      <c r="AT619" s="50">
        <v>13362.36533333332</v>
      </c>
      <c r="AU619" s="50">
        <v>13227.882666666643</v>
      </c>
      <c r="AV619" s="50">
        <v>13093.399999999965</v>
      </c>
      <c r="AW619" s="50">
        <v>12958.917333333346</v>
      </c>
      <c r="AX619" s="50">
        <v>12824.434666666668</v>
      </c>
      <c r="AY619" s="50">
        <v>12689.95199999999</v>
      </c>
      <c r="AZ619" s="50">
        <v>12555.469333333313</v>
      </c>
      <c r="BA619" s="50">
        <v>12420.986666666635</v>
      </c>
      <c r="BB619" s="50">
        <v>12286.503999999957</v>
      </c>
      <c r="BC619" s="50">
        <v>12152.021333333338</v>
      </c>
      <c r="BD619" s="50">
        <v>12017.53866666666</v>
      </c>
      <c r="BE619" s="50">
        <v>11883.055999999982</v>
      </c>
      <c r="BF619" s="50">
        <v>11748.573333333305</v>
      </c>
      <c r="BG619" s="50">
        <v>11614.090666666627</v>
      </c>
      <c r="BH619" s="50">
        <v>11479.608000000007</v>
      </c>
      <c r="BI619" s="50">
        <v>11345.12533333333</v>
      </c>
      <c r="BJ619" s="50">
        <v>11210.642666666652</v>
      </c>
      <c r="BK619" s="50">
        <v>11076.159999999974</v>
      </c>
      <c r="BL619" s="50">
        <v>10941.677333333297</v>
      </c>
      <c r="BM619" s="50">
        <v>10807.194666666619</v>
      </c>
      <c r="BN619" s="50">
        <v>10672.712</v>
      </c>
      <c r="BO619" s="50">
        <v>10538.229333333322</v>
      </c>
      <c r="BP619" s="50">
        <v>10403.746666666644</v>
      </c>
      <c r="BQ619" s="50">
        <v>10269.263999999966</v>
      </c>
      <c r="BR619" s="50">
        <v>10134.781333333289</v>
      </c>
      <c r="BS619" s="50">
        <v>10000.298666666669</v>
      </c>
      <c r="BT619" s="50">
        <v>9865.8159999999916</v>
      </c>
      <c r="BU619" s="50">
        <v>9731.3333333333139</v>
      </c>
      <c r="BV619" s="50">
        <v>9596.8506666666362</v>
      </c>
      <c r="BW619" s="50">
        <v>9462.3679999999586</v>
      </c>
      <c r="BX619" s="50">
        <v>9327.8853333332809</v>
      </c>
      <c r="BY619" s="50">
        <v>9193.4026666666614</v>
      </c>
      <c r="BZ619" s="50">
        <v>9058.9199999999837</v>
      </c>
      <c r="CA619" s="50">
        <v>8924.437333333306</v>
      </c>
      <c r="CB619" s="50">
        <v>8789.9546666666283</v>
      </c>
      <c r="CC619" s="50">
        <v>8655.4719999999506</v>
      </c>
      <c r="CD619" s="50">
        <v>8520.9893333333312</v>
      </c>
      <c r="CE619" s="50">
        <v>8386.5066666666535</v>
      </c>
      <c r="CF619" s="50">
        <v>8252.0239999999758</v>
      </c>
      <c r="CG619" s="50">
        <v>8117.5413333332981</v>
      </c>
      <c r="CH619" s="50">
        <v>7983.0586666666204</v>
      </c>
      <c r="CI619" s="50">
        <v>7848.5759999999427</v>
      </c>
      <c r="CJ619" s="50">
        <v>7714.0933333333232</v>
      </c>
      <c r="CK619" s="50">
        <v>7579.6106666666456</v>
      </c>
      <c r="CL619" s="50">
        <v>7445.1279999999679</v>
      </c>
      <c r="CM619" s="50">
        <v>7310.6453333332902</v>
      </c>
      <c r="CN619" s="50">
        <v>7176.1626666666125</v>
      </c>
    </row>
    <row r="620" spans="1:92" s="50" customFormat="1" x14ac:dyDescent="0.25">
      <c r="A620" s="9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92" x14ac:dyDescent="0.25">
      <c r="A621" s="99" t="s">
        <v>257</v>
      </c>
      <c r="B621" s="4">
        <v>0</v>
      </c>
      <c r="C621" s="4">
        <v>0</v>
      </c>
      <c r="D621" s="4">
        <v>0</v>
      </c>
      <c r="E621" s="4">
        <v>0</v>
      </c>
      <c r="F621" s="4">
        <v>0</v>
      </c>
      <c r="G621" s="4">
        <v>0</v>
      </c>
      <c r="H621" s="4">
        <v>0</v>
      </c>
      <c r="I621" s="4">
        <v>0</v>
      </c>
      <c r="J621" s="4">
        <v>0</v>
      </c>
      <c r="K621" s="4">
        <v>0</v>
      </c>
      <c r="L621" s="4">
        <v>0</v>
      </c>
      <c r="M621" s="4">
        <v>0</v>
      </c>
      <c r="N621" s="4">
        <v>0</v>
      </c>
      <c r="O621" s="4">
        <v>0</v>
      </c>
      <c r="P621" s="4">
        <v>0</v>
      </c>
      <c r="Q621" s="4">
        <v>0</v>
      </c>
      <c r="R621" s="4">
        <v>0</v>
      </c>
      <c r="S621" s="4">
        <v>0</v>
      </c>
      <c r="T621" s="4">
        <v>0</v>
      </c>
      <c r="U621" s="4">
        <v>0</v>
      </c>
      <c r="V621" s="4">
        <v>0</v>
      </c>
      <c r="W621" s="4">
        <v>0</v>
      </c>
      <c r="X621" s="4">
        <v>0</v>
      </c>
      <c r="Y621" s="4">
        <v>0</v>
      </c>
      <c r="Z621" s="4">
        <v>0</v>
      </c>
      <c r="AA621" s="4">
        <v>0</v>
      </c>
      <c r="AB621" s="4">
        <v>0</v>
      </c>
      <c r="AC621" s="4">
        <v>0</v>
      </c>
      <c r="AD621" s="4">
        <v>0</v>
      </c>
      <c r="AE621" s="4">
        <v>0</v>
      </c>
      <c r="AF621">
        <v>444.03991840316075</v>
      </c>
      <c r="AG621">
        <v>443.7017745752396</v>
      </c>
      <c r="AH621">
        <v>443.36363074731855</v>
      </c>
      <c r="AI621">
        <v>443.02548691939739</v>
      </c>
      <c r="AJ621">
        <v>442.68734309147624</v>
      </c>
      <c r="AK621">
        <v>442.34919926355508</v>
      </c>
      <c r="AL621">
        <v>442.01105543563392</v>
      </c>
      <c r="AM621">
        <v>441.67291160771276</v>
      </c>
      <c r="AN621">
        <v>441.33476777979172</v>
      </c>
      <c r="AO621">
        <v>440.99662395187056</v>
      </c>
      <c r="AP621">
        <v>440.6584801239494</v>
      </c>
      <c r="AQ621">
        <v>440.32033629602824</v>
      </c>
      <c r="AR621">
        <v>439.98219246810709</v>
      </c>
      <c r="AS621">
        <v>439.64404864018593</v>
      </c>
      <c r="AT621">
        <v>439.30590481226488</v>
      </c>
      <c r="AU621">
        <v>438.96776098434373</v>
      </c>
      <c r="AV621">
        <v>438.62961715642257</v>
      </c>
      <c r="AW621">
        <v>438.29147332850141</v>
      </c>
      <c r="AX621">
        <v>437.95332950058025</v>
      </c>
      <c r="AY621">
        <v>437.61518567265909</v>
      </c>
      <c r="AZ621">
        <v>437.27704184473805</v>
      </c>
      <c r="BA621">
        <v>436.93889801681689</v>
      </c>
      <c r="BB621">
        <v>436.60075418889573</v>
      </c>
      <c r="BC621">
        <v>436.26261036097458</v>
      </c>
      <c r="BD621">
        <v>435.92446653305342</v>
      </c>
      <c r="BE621">
        <v>435.58632270513226</v>
      </c>
      <c r="BF621">
        <v>435.24817887721122</v>
      </c>
      <c r="BG621">
        <v>434.91003504929006</v>
      </c>
      <c r="BH621">
        <v>434.5718912213689</v>
      </c>
      <c r="BI621">
        <v>434.23374739344774</v>
      </c>
      <c r="BJ621">
        <v>433.89560356552659</v>
      </c>
      <c r="BK621">
        <v>433.55745973760543</v>
      </c>
      <c r="BL621">
        <v>433.21931590968438</v>
      </c>
      <c r="BM621">
        <v>432.88117208176322</v>
      </c>
      <c r="BN621">
        <v>432.54302825384207</v>
      </c>
      <c r="BO621">
        <v>432.20488442592091</v>
      </c>
      <c r="BP621">
        <v>431.86674059799975</v>
      </c>
      <c r="BQ621">
        <v>431.52859677007859</v>
      </c>
      <c r="BR621">
        <v>431.19045294215755</v>
      </c>
      <c r="BS621">
        <v>430.85230911423639</v>
      </c>
      <c r="BT621">
        <v>430.51416528631523</v>
      </c>
      <c r="BU621">
        <v>430.17602145839408</v>
      </c>
      <c r="BV621">
        <v>429.83787763047292</v>
      </c>
      <c r="BW621">
        <v>429.49973380255176</v>
      </c>
      <c r="BX621">
        <v>429.16158997463072</v>
      </c>
      <c r="BY621">
        <v>428.82344614670956</v>
      </c>
      <c r="BZ621">
        <v>428.4853023187884</v>
      </c>
      <c r="CA621">
        <v>428.14715849086724</v>
      </c>
      <c r="CB621">
        <v>427.80901466294608</v>
      </c>
      <c r="CC621">
        <v>427.47087083502493</v>
      </c>
      <c r="CD621">
        <v>427.13272700710388</v>
      </c>
      <c r="CE621">
        <v>426.79458317918272</v>
      </c>
      <c r="CF621">
        <v>426.45643935126157</v>
      </c>
      <c r="CG621">
        <v>426.11829552334041</v>
      </c>
      <c r="CH621">
        <v>425.78015169541925</v>
      </c>
      <c r="CI621">
        <v>425.44200786749809</v>
      </c>
      <c r="CJ621">
        <v>425.10386403957705</v>
      </c>
      <c r="CK621">
        <v>424.76572021165589</v>
      </c>
      <c r="CL621">
        <v>424.42757638373473</v>
      </c>
      <c r="CM621">
        <v>424.08943255581357</v>
      </c>
      <c r="CN621">
        <v>423.75128872789242</v>
      </c>
    </row>
    <row r="622" spans="1:92" x14ac:dyDescent="0.25">
      <c r="A622" s="44"/>
    </row>
    <row r="623" spans="1:92" s="50" customFormat="1" x14ac:dyDescent="0.25">
      <c r="A623" s="99" t="s">
        <v>258</v>
      </c>
      <c r="B623" s="4">
        <v>0</v>
      </c>
      <c r="C623" s="4">
        <v>0</v>
      </c>
      <c r="D623" s="4">
        <v>0</v>
      </c>
      <c r="E623" s="4">
        <v>0</v>
      </c>
      <c r="F623" s="4">
        <v>0</v>
      </c>
      <c r="G623" s="4">
        <v>0</v>
      </c>
      <c r="H623" s="4">
        <v>0</v>
      </c>
      <c r="I623" s="4">
        <v>0</v>
      </c>
      <c r="J623" s="4">
        <v>0</v>
      </c>
      <c r="K623" s="4">
        <v>0</v>
      </c>
      <c r="L623" s="4">
        <v>0</v>
      </c>
      <c r="M623" s="4">
        <v>0</v>
      </c>
      <c r="N623" s="4">
        <v>0</v>
      </c>
      <c r="O623" s="4">
        <v>0</v>
      </c>
      <c r="P623" s="4">
        <v>0</v>
      </c>
      <c r="Q623" s="4">
        <v>0</v>
      </c>
      <c r="R623" s="4">
        <v>0</v>
      </c>
      <c r="S623" s="4">
        <v>0</v>
      </c>
      <c r="T623" s="4">
        <v>0</v>
      </c>
      <c r="U623" s="4">
        <v>0</v>
      </c>
      <c r="V623" s="4">
        <v>0</v>
      </c>
      <c r="W623" s="4">
        <v>0</v>
      </c>
      <c r="X623" s="4">
        <v>0</v>
      </c>
      <c r="Y623" s="4">
        <v>0</v>
      </c>
      <c r="Z623" s="4">
        <v>0</v>
      </c>
      <c r="AA623" s="4">
        <v>0</v>
      </c>
      <c r="AB623" s="4">
        <v>0</v>
      </c>
      <c r="AC623" s="4">
        <v>0</v>
      </c>
      <c r="AD623" s="4">
        <v>0</v>
      </c>
      <c r="AE623" s="4">
        <v>0</v>
      </c>
      <c r="AF623" s="50">
        <v>25413.785414930164</v>
      </c>
      <c r="AG623" s="50">
        <v>25394.432392091418</v>
      </c>
      <c r="AH623" s="50">
        <v>25375.079369252679</v>
      </c>
      <c r="AI623" s="50">
        <v>25355.726346413932</v>
      </c>
      <c r="AJ623" s="50">
        <v>25336.373323575186</v>
      </c>
      <c r="AK623" s="50">
        <v>25317.02030073644</v>
      </c>
      <c r="AL623" s="50">
        <v>25297.667277897694</v>
      </c>
      <c r="AM623" s="50">
        <v>25278.314255058947</v>
      </c>
      <c r="AN623" s="50">
        <v>25258.961232220208</v>
      </c>
      <c r="AO623" s="50">
        <v>25239.608209381462</v>
      </c>
      <c r="AP623" s="50">
        <v>25220.255186542716</v>
      </c>
      <c r="AQ623" s="50">
        <v>25200.90216370397</v>
      </c>
      <c r="AR623" s="50">
        <v>25181.549140865223</v>
      </c>
      <c r="AS623" s="50">
        <v>25162.196118026477</v>
      </c>
      <c r="AT623" s="50">
        <v>25142.843095187738</v>
      </c>
      <c r="AU623" s="50">
        <v>25123.490072348992</v>
      </c>
      <c r="AV623" s="50">
        <v>25104.137049510246</v>
      </c>
      <c r="AW623" s="50">
        <v>25084.784026671499</v>
      </c>
      <c r="AX623" s="50">
        <v>25065.431003832753</v>
      </c>
      <c r="AY623" s="50">
        <v>25046.077980994007</v>
      </c>
      <c r="AZ623" s="50">
        <v>25026.724958155268</v>
      </c>
      <c r="BA623" s="50">
        <v>25007.371935316522</v>
      </c>
      <c r="BB623" s="50">
        <v>24988.018912477775</v>
      </c>
      <c r="BC623" s="50">
        <v>24968.665889639029</v>
      </c>
      <c r="BD623" s="50">
        <v>24949.312866800283</v>
      </c>
      <c r="BE623" s="50">
        <v>24929.959843961537</v>
      </c>
      <c r="BF623" s="50">
        <v>24910.606821122798</v>
      </c>
      <c r="BG623" s="50">
        <v>24891.253798284051</v>
      </c>
      <c r="BH623" s="50">
        <v>24871.900775445305</v>
      </c>
      <c r="BI623" s="50">
        <v>24852.547752606559</v>
      </c>
      <c r="BJ623" s="50">
        <v>24833.194729767813</v>
      </c>
      <c r="BK623" s="50">
        <v>24813.841706929066</v>
      </c>
      <c r="BL623" s="50">
        <v>24794.488684090327</v>
      </c>
      <c r="BM623" s="50">
        <v>24775.135661251581</v>
      </c>
      <c r="BN623" s="50">
        <v>24755.782638412835</v>
      </c>
      <c r="BO623" s="50">
        <v>24736.429615574089</v>
      </c>
      <c r="BP623" s="50">
        <v>24717.076592735342</v>
      </c>
      <c r="BQ623" s="50">
        <v>24697.723569896596</v>
      </c>
      <c r="BR623" s="50">
        <v>24678.370547057857</v>
      </c>
      <c r="BS623" s="50">
        <v>24659.017524219111</v>
      </c>
      <c r="BT623" s="50">
        <v>24639.664501380365</v>
      </c>
      <c r="BU623" s="50">
        <v>24620.311478541618</v>
      </c>
      <c r="BV623" s="50">
        <v>24600.958455702872</v>
      </c>
      <c r="BW623" s="50">
        <v>24581.605432864126</v>
      </c>
      <c r="BX623" s="50">
        <v>24562.252410025387</v>
      </c>
      <c r="BY623" s="50">
        <v>24542.899387186641</v>
      </c>
      <c r="BZ623" s="50">
        <v>24523.546364347894</v>
      </c>
      <c r="CA623" s="50">
        <v>24504.193341509148</v>
      </c>
      <c r="CB623" s="50">
        <v>24484.840318670402</v>
      </c>
      <c r="CC623" s="50">
        <v>24465.487295831656</v>
      </c>
      <c r="CD623" s="50">
        <v>24446.134272992917</v>
      </c>
      <c r="CE623" s="50">
        <v>24426.78125015417</v>
      </c>
      <c r="CF623" s="50">
        <v>24407.428227315424</v>
      </c>
      <c r="CG623" s="50">
        <v>24388.075204476678</v>
      </c>
      <c r="CH623" s="50">
        <v>24368.722181637931</v>
      </c>
      <c r="CI623" s="50">
        <v>24349.369158799185</v>
      </c>
      <c r="CJ623" s="50">
        <v>24330.016135960446</v>
      </c>
      <c r="CK623" s="50">
        <v>24310.6631131217</v>
      </c>
      <c r="CL623" s="50">
        <v>24291.310090282954</v>
      </c>
      <c r="CM623" s="50">
        <v>24271.957067444207</v>
      </c>
      <c r="CN623" s="50">
        <v>24252.604044605461</v>
      </c>
    </row>
    <row r="624" spans="1:92" s="50" customFormat="1" x14ac:dyDescent="0.25">
      <c r="A624" s="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92" x14ac:dyDescent="0.25">
      <c r="A625" s="99" t="s">
        <v>259</v>
      </c>
      <c r="B625" s="4">
        <v>0</v>
      </c>
      <c r="C625" s="4">
        <v>0</v>
      </c>
      <c r="D625" s="4">
        <v>0</v>
      </c>
      <c r="E625" s="4">
        <v>0</v>
      </c>
      <c r="F625" s="4">
        <v>0</v>
      </c>
      <c r="G625" s="4">
        <v>0</v>
      </c>
      <c r="H625" s="4">
        <v>0</v>
      </c>
      <c r="I625" s="4">
        <v>0</v>
      </c>
      <c r="J625" s="4">
        <v>0</v>
      </c>
      <c r="K625" s="4">
        <v>0</v>
      </c>
      <c r="L625" s="4">
        <v>0</v>
      </c>
      <c r="M625" s="4">
        <v>0</v>
      </c>
      <c r="N625" s="4">
        <v>0</v>
      </c>
      <c r="O625" s="4">
        <v>0</v>
      </c>
      <c r="P625" s="4">
        <v>0</v>
      </c>
      <c r="Q625" s="4">
        <v>0</v>
      </c>
      <c r="R625" s="4">
        <v>0</v>
      </c>
      <c r="S625" s="4">
        <v>0</v>
      </c>
      <c r="T625" s="4">
        <v>0</v>
      </c>
      <c r="U625" s="4">
        <v>0</v>
      </c>
      <c r="V625" s="4">
        <v>0</v>
      </c>
      <c r="W625" s="4">
        <v>0</v>
      </c>
      <c r="X625" s="4">
        <v>0</v>
      </c>
      <c r="Y625" s="4">
        <v>0</v>
      </c>
      <c r="Z625" s="4">
        <v>0</v>
      </c>
      <c r="AA625" s="4">
        <v>0</v>
      </c>
      <c r="AB625" s="4">
        <v>0</v>
      </c>
      <c r="AC625" s="4">
        <v>0</v>
      </c>
      <c r="AD625" s="4">
        <v>0</v>
      </c>
      <c r="AE625" s="4">
        <v>0</v>
      </c>
      <c r="AF625">
        <v>7517.0826666667126</v>
      </c>
      <c r="AG625">
        <v>7946.7941666666884</v>
      </c>
      <c r="AH625">
        <v>8376.5056666666642</v>
      </c>
      <c r="AI625">
        <v>8806.2171666667564</v>
      </c>
      <c r="AJ625">
        <v>9235.9286666667322</v>
      </c>
      <c r="AK625">
        <v>9665.640166666708</v>
      </c>
      <c r="AL625">
        <v>10095.351666666684</v>
      </c>
      <c r="AM625">
        <v>10525.06316666666</v>
      </c>
      <c r="AN625">
        <v>10954.774666666752</v>
      </c>
      <c r="AO625">
        <v>11384.486166666728</v>
      </c>
      <c r="AP625">
        <v>11814.197666666703</v>
      </c>
      <c r="AQ625">
        <v>12243.909166666679</v>
      </c>
      <c r="AR625">
        <v>12673.620666666655</v>
      </c>
      <c r="AS625">
        <v>13103.332166666747</v>
      </c>
      <c r="AT625">
        <v>13533.043666666723</v>
      </c>
      <c r="AU625">
        <v>13962.755166666699</v>
      </c>
      <c r="AV625">
        <v>14392.466666666674</v>
      </c>
      <c r="AW625">
        <v>14822.17816666665</v>
      </c>
      <c r="AX625">
        <v>15251.889666666742</v>
      </c>
      <c r="AY625">
        <v>15681.601166666718</v>
      </c>
      <c r="AZ625">
        <v>16111.312666666694</v>
      </c>
      <c r="BA625">
        <v>16541.02416666667</v>
      </c>
      <c r="BB625">
        <v>16970.735666666762</v>
      </c>
      <c r="BC625">
        <v>17400.447166666738</v>
      </c>
      <c r="BD625">
        <v>17830.158666666714</v>
      </c>
      <c r="BE625">
        <v>18259.870166666689</v>
      </c>
      <c r="BF625">
        <v>18689.581666666665</v>
      </c>
      <c r="BG625">
        <v>19119.293166666757</v>
      </c>
      <c r="BH625">
        <v>19549.004666666733</v>
      </c>
      <c r="BI625">
        <v>19978.716166666709</v>
      </c>
      <c r="BJ625">
        <v>20408.427666666685</v>
      </c>
      <c r="BK625">
        <v>20838.13916666666</v>
      </c>
      <c r="BL625">
        <v>21267.850666666753</v>
      </c>
      <c r="BM625">
        <v>21697.562166666728</v>
      </c>
      <c r="BN625">
        <v>22127.273666666704</v>
      </c>
      <c r="BO625">
        <v>22556.98516666668</v>
      </c>
      <c r="BP625">
        <v>22986.696666666656</v>
      </c>
      <c r="BQ625">
        <v>23416.408166666748</v>
      </c>
      <c r="BR625">
        <v>23846.119666666724</v>
      </c>
      <c r="BS625">
        <v>24275.8311666667</v>
      </c>
      <c r="BT625">
        <v>24705.542666666675</v>
      </c>
      <c r="BU625">
        <v>25135.254166666651</v>
      </c>
      <c r="BV625">
        <v>25564.965666666743</v>
      </c>
      <c r="BW625">
        <v>25994.677166666719</v>
      </c>
      <c r="BX625">
        <v>26424.388666666695</v>
      </c>
      <c r="BY625">
        <v>26854.100166666671</v>
      </c>
      <c r="BZ625">
        <v>27283.811666666763</v>
      </c>
      <c r="CA625">
        <v>27713.523166666739</v>
      </c>
      <c r="CB625">
        <v>28143.234666666714</v>
      </c>
      <c r="CC625">
        <v>28572.94616666669</v>
      </c>
      <c r="CD625">
        <v>29002.657666666666</v>
      </c>
      <c r="CE625">
        <v>29432.369166666758</v>
      </c>
      <c r="CF625">
        <v>29862.080666666734</v>
      </c>
      <c r="CG625">
        <v>30291.79216666671</v>
      </c>
      <c r="CH625">
        <v>30721.503666666686</v>
      </c>
      <c r="CI625">
        <v>31151.215166666661</v>
      </c>
      <c r="CJ625">
        <v>31580.926666666754</v>
      </c>
      <c r="CK625">
        <v>32010.638166666729</v>
      </c>
      <c r="CL625">
        <v>32440.349666666705</v>
      </c>
      <c r="CM625">
        <v>32870.061166666681</v>
      </c>
      <c r="CN625">
        <v>33299.772666666657</v>
      </c>
    </row>
    <row r="626" spans="1:92" x14ac:dyDescent="0.25">
      <c r="A626" s="99" t="s">
        <v>1</v>
      </c>
      <c r="B626" s="4">
        <v>0</v>
      </c>
      <c r="C626" s="4">
        <v>0</v>
      </c>
      <c r="D626" s="4">
        <v>0</v>
      </c>
      <c r="E626" s="4">
        <v>0</v>
      </c>
      <c r="F626" s="4">
        <v>0</v>
      </c>
      <c r="G626" s="4">
        <v>0</v>
      </c>
      <c r="H626" s="4">
        <v>0</v>
      </c>
      <c r="I626" s="4">
        <v>0</v>
      </c>
      <c r="J626" s="4">
        <v>0</v>
      </c>
      <c r="K626" s="4">
        <v>0</v>
      </c>
      <c r="L626" s="4">
        <v>0</v>
      </c>
      <c r="M626" s="4">
        <v>0</v>
      </c>
      <c r="N626" s="4">
        <v>0</v>
      </c>
      <c r="O626" s="4">
        <v>0</v>
      </c>
      <c r="P626" s="4">
        <v>0</v>
      </c>
      <c r="Q626" s="4">
        <v>0</v>
      </c>
      <c r="R626" s="4">
        <v>0</v>
      </c>
      <c r="S626" s="4">
        <v>0</v>
      </c>
      <c r="T626" s="4">
        <v>0</v>
      </c>
      <c r="U626" s="4">
        <v>0</v>
      </c>
      <c r="V626" s="4">
        <v>0</v>
      </c>
      <c r="W626" s="4">
        <v>0</v>
      </c>
      <c r="X626" s="4">
        <v>0</v>
      </c>
      <c r="Y626" s="4">
        <v>0</v>
      </c>
      <c r="Z626" s="4">
        <v>0</v>
      </c>
      <c r="AA626" s="4">
        <v>0</v>
      </c>
      <c r="AB626" s="4">
        <v>0</v>
      </c>
      <c r="AC626" s="4">
        <v>0</v>
      </c>
      <c r="AD626" s="4">
        <v>0</v>
      </c>
      <c r="AE626" s="4">
        <v>0</v>
      </c>
      <c r="AF626">
        <v>1582.1813333333266</v>
      </c>
      <c r="AG626">
        <v>1618.9949999999953</v>
      </c>
      <c r="AH626">
        <v>1655.8086666666641</v>
      </c>
      <c r="AI626">
        <v>1692.6223333333328</v>
      </c>
      <c r="AJ626">
        <v>1729.4360000000015</v>
      </c>
      <c r="AK626">
        <v>1766.2496666666557</v>
      </c>
      <c r="AL626">
        <v>1803.0633333333244</v>
      </c>
      <c r="AM626">
        <v>1839.8769999999931</v>
      </c>
      <c r="AN626">
        <v>1876.6906666666619</v>
      </c>
      <c r="AO626">
        <v>1913.5043333333306</v>
      </c>
      <c r="AP626">
        <v>1950.3179999999993</v>
      </c>
      <c r="AQ626">
        <v>1987.131666666668</v>
      </c>
      <c r="AR626">
        <v>2023.9453333333222</v>
      </c>
      <c r="AS626">
        <v>2060.7589999999909</v>
      </c>
      <c r="AT626">
        <v>2097.5726666666596</v>
      </c>
      <c r="AU626">
        <v>2134.3863333333284</v>
      </c>
      <c r="AV626">
        <v>2171.1999999999971</v>
      </c>
      <c r="AW626">
        <v>2208.0136666666658</v>
      </c>
      <c r="AX626">
        <v>2244.8273333333345</v>
      </c>
      <c r="AY626">
        <v>2281.6409999999887</v>
      </c>
      <c r="AZ626">
        <v>2318.4546666666574</v>
      </c>
      <c r="BA626">
        <v>2355.2683333333262</v>
      </c>
      <c r="BB626">
        <v>2392.0819999999949</v>
      </c>
      <c r="BC626">
        <v>2428.8956666666636</v>
      </c>
      <c r="BD626">
        <v>2465.7093333333323</v>
      </c>
      <c r="BE626">
        <v>2502.523000000001</v>
      </c>
      <c r="BF626">
        <v>2539.3366666666552</v>
      </c>
      <c r="BG626">
        <v>2576.1503333333239</v>
      </c>
      <c r="BH626">
        <v>2612.9639999999927</v>
      </c>
      <c r="BI626">
        <v>2649.7776666666614</v>
      </c>
      <c r="BJ626">
        <v>2686.5913333333301</v>
      </c>
      <c r="BK626">
        <v>2723.4049999999988</v>
      </c>
      <c r="BL626">
        <v>2760.2186666666676</v>
      </c>
      <c r="BM626">
        <v>2797.0323333333363</v>
      </c>
      <c r="BN626">
        <v>2833.8459999999905</v>
      </c>
      <c r="BO626">
        <v>2870.6596666666592</v>
      </c>
      <c r="BP626">
        <v>2907.4733333333279</v>
      </c>
      <c r="BQ626">
        <v>2944.2869999999966</v>
      </c>
      <c r="BR626">
        <v>2981.1006666666653</v>
      </c>
      <c r="BS626">
        <v>3017.9143333333341</v>
      </c>
      <c r="BT626">
        <v>3054.7280000000028</v>
      </c>
      <c r="BU626">
        <v>3091.541666666657</v>
      </c>
      <c r="BV626">
        <v>3128.3553333333257</v>
      </c>
      <c r="BW626">
        <v>3165.1689999999944</v>
      </c>
      <c r="BX626">
        <v>3201.9826666666631</v>
      </c>
      <c r="BY626">
        <v>3238.7963333333319</v>
      </c>
      <c r="BZ626">
        <v>3275.6100000000006</v>
      </c>
      <c r="CA626">
        <v>3312.4236666666693</v>
      </c>
      <c r="CB626">
        <v>3349.2373333333235</v>
      </c>
      <c r="CC626">
        <v>3386.0509999999922</v>
      </c>
      <c r="CD626">
        <v>3422.8646666666609</v>
      </c>
      <c r="CE626">
        <v>3459.6783333333296</v>
      </c>
      <c r="CF626">
        <v>3496.4919999999984</v>
      </c>
      <c r="CG626">
        <v>3533.3056666666671</v>
      </c>
      <c r="CH626">
        <v>3570.1193333333358</v>
      </c>
      <c r="CI626">
        <v>3606.93299999999</v>
      </c>
      <c r="CJ626">
        <v>3643.7466666666587</v>
      </c>
      <c r="CK626">
        <v>3680.5603333333274</v>
      </c>
      <c r="CL626">
        <v>3717.3739999999962</v>
      </c>
      <c r="CM626">
        <v>3754.1876666666649</v>
      </c>
      <c r="CN626">
        <v>3791.0013333333336</v>
      </c>
    </row>
    <row r="627" spans="1:92" x14ac:dyDescent="0.25">
      <c r="A627" s="99" t="s">
        <v>1</v>
      </c>
      <c r="B627" s="4">
        <v>0</v>
      </c>
      <c r="C627" s="4">
        <v>0</v>
      </c>
      <c r="D627" s="4">
        <v>0</v>
      </c>
      <c r="E627" s="4">
        <v>0</v>
      </c>
      <c r="F627" s="4">
        <v>0</v>
      </c>
      <c r="G627" s="4">
        <v>0</v>
      </c>
      <c r="H627" s="4">
        <v>0</v>
      </c>
      <c r="I627" s="4">
        <v>0</v>
      </c>
      <c r="J627" s="4">
        <v>0</v>
      </c>
      <c r="K627" s="4">
        <v>0</v>
      </c>
      <c r="L627" s="4">
        <v>0</v>
      </c>
      <c r="M627" s="4">
        <v>0</v>
      </c>
      <c r="N627" s="4">
        <v>0</v>
      </c>
      <c r="O627" s="4">
        <v>0</v>
      </c>
      <c r="P627" s="4">
        <v>0</v>
      </c>
      <c r="Q627" s="4">
        <v>0</v>
      </c>
      <c r="R627" s="4">
        <v>0</v>
      </c>
      <c r="S627" s="4">
        <v>0</v>
      </c>
      <c r="T627" s="4">
        <v>0</v>
      </c>
      <c r="U627" s="4">
        <v>0</v>
      </c>
      <c r="V627" s="4">
        <v>0</v>
      </c>
      <c r="W627" s="4">
        <v>0</v>
      </c>
      <c r="X627" s="4">
        <v>0</v>
      </c>
      <c r="Y627" s="4">
        <v>0</v>
      </c>
      <c r="Z627" s="4">
        <v>0</v>
      </c>
      <c r="AA627" s="4">
        <v>0</v>
      </c>
      <c r="AB627" s="4">
        <v>0</v>
      </c>
      <c r="AC627" s="4">
        <v>0</v>
      </c>
      <c r="AD627" s="4">
        <v>0</v>
      </c>
      <c r="AE627" s="4">
        <v>0</v>
      </c>
      <c r="AF627">
        <v>3350.7160000000003</v>
      </c>
      <c r="AG627">
        <v>3339.5233333333344</v>
      </c>
      <c r="AH627">
        <v>3328.3306666666685</v>
      </c>
      <c r="AI627">
        <v>3317.137999999999</v>
      </c>
      <c r="AJ627">
        <v>3305.9453333333331</v>
      </c>
      <c r="AK627">
        <v>3294.7526666666672</v>
      </c>
      <c r="AL627">
        <v>3283.5600000000013</v>
      </c>
      <c r="AM627">
        <v>3272.3673333333354</v>
      </c>
      <c r="AN627">
        <v>3261.1746666666659</v>
      </c>
      <c r="AO627">
        <v>3249.982</v>
      </c>
      <c r="AP627">
        <v>3238.7893333333341</v>
      </c>
      <c r="AQ627">
        <v>3227.5966666666682</v>
      </c>
      <c r="AR627">
        <v>3216.4040000000023</v>
      </c>
      <c r="AS627">
        <v>3205.2113333333327</v>
      </c>
      <c r="AT627">
        <v>3194.0186666666668</v>
      </c>
      <c r="AU627">
        <v>3182.8260000000009</v>
      </c>
      <c r="AV627">
        <v>3171.633333333335</v>
      </c>
      <c r="AW627">
        <v>3160.4406666666691</v>
      </c>
      <c r="AX627">
        <v>3149.2479999999996</v>
      </c>
      <c r="AY627">
        <v>3138.0553333333337</v>
      </c>
      <c r="AZ627">
        <v>3126.8626666666678</v>
      </c>
      <c r="BA627">
        <v>3115.6700000000019</v>
      </c>
      <c r="BB627">
        <v>3104.4773333333324</v>
      </c>
      <c r="BC627">
        <v>3093.2846666666665</v>
      </c>
      <c r="BD627">
        <v>3082.0920000000006</v>
      </c>
      <c r="BE627">
        <v>3070.8993333333347</v>
      </c>
      <c r="BF627">
        <v>3059.7066666666688</v>
      </c>
      <c r="BG627">
        <v>3048.5139999999992</v>
      </c>
      <c r="BH627">
        <v>3037.3213333333333</v>
      </c>
      <c r="BI627">
        <v>3026.1286666666674</v>
      </c>
      <c r="BJ627">
        <v>3014.9360000000015</v>
      </c>
      <c r="BK627">
        <v>3003.7433333333356</v>
      </c>
      <c r="BL627">
        <v>2992.5506666666661</v>
      </c>
      <c r="BM627">
        <v>2981.3580000000002</v>
      </c>
      <c r="BN627">
        <v>2970.1653333333343</v>
      </c>
      <c r="BO627">
        <v>2958.9726666666684</v>
      </c>
      <c r="BP627">
        <v>2947.7800000000025</v>
      </c>
      <c r="BQ627">
        <v>2936.5873333333329</v>
      </c>
      <c r="BR627">
        <v>2925.394666666667</v>
      </c>
      <c r="BS627">
        <v>2914.2020000000011</v>
      </c>
      <c r="BT627">
        <v>2903.0093333333352</v>
      </c>
      <c r="BU627">
        <v>2891.8166666666693</v>
      </c>
      <c r="BV627">
        <v>2880.6239999999998</v>
      </c>
      <c r="BW627">
        <v>2869.4313333333339</v>
      </c>
      <c r="BX627">
        <v>2858.238666666668</v>
      </c>
      <c r="BY627">
        <v>2847.0460000000021</v>
      </c>
      <c r="BZ627">
        <v>2835.8533333333326</v>
      </c>
      <c r="CA627">
        <v>2824.6606666666667</v>
      </c>
      <c r="CB627">
        <v>2813.4680000000008</v>
      </c>
      <c r="CC627">
        <v>2802.2753333333349</v>
      </c>
      <c r="CD627">
        <v>2791.082666666669</v>
      </c>
      <c r="CE627">
        <v>2779.8899999999994</v>
      </c>
      <c r="CF627">
        <v>2768.6973333333335</v>
      </c>
      <c r="CG627">
        <v>2757.5046666666676</v>
      </c>
      <c r="CH627">
        <v>2746.3120000000017</v>
      </c>
      <c r="CI627">
        <v>2735.1193333333358</v>
      </c>
      <c r="CJ627">
        <v>2723.9266666666663</v>
      </c>
      <c r="CK627">
        <v>2712.7340000000004</v>
      </c>
      <c r="CL627">
        <v>2701.5413333333345</v>
      </c>
      <c r="CM627">
        <v>2690.3486666666686</v>
      </c>
      <c r="CN627">
        <v>2679.1560000000027</v>
      </c>
    </row>
    <row r="628" spans="1:92" x14ac:dyDescent="0.25">
      <c r="A628" s="99" t="s">
        <v>1</v>
      </c>
      <c r="B628" s="4">
        <v>0</v>
      </c>
      <c r="C628" s="4">
        <v>0</v>
      </c>
      <c r="D628" s="4">
        <v>0</v>
      </c>
      <c r="E628" s="4">
        <v>0</v>
      </c>
      <c r="F628" s="4">
        <v>0</v>
      </c>
      <c r="G628" s="4">
        <v>0</v>
      </c>
      <c r="H628" s="4">
        <v>0</v>
      </c>
      <c r="I628" s="4">
        <v>0</v>
      </c>
      <c r="J628" s="4">
        <v>0</v>
      </c>
      <c r="K628" s="4">
        <v>0</v>
      </c>
      <c r="L628" s="4">
        <v>0</v>
      </c>
      <c r="M628" s="4">
        <v>0</v>
      </c>
      <c r="N628" s="4">
        <v>0</v>
      </c>
      <c r="O628" s="4">
        <v>0</v>
      </c>
      <c r="P628" s="4">
        <v>0</v>
      </c>
      <c r="Q628" s="4">
        <v>0</v>
      </c>
      <c r="R628" s="4">
        <v>0</v>
      </c>
      <c r="S628" s="4">
        <v>0</v>
      </c>
      <c r="T628" s="4">
        <v>0</v>
      </c>
      <c r="U628" s="4">
        <v>0</v>
      </c>
      <c r="V628" s="4">
        <v>0</v>
      </c>
      <c r="W628" s="4">
        <v>0</v>
      </c>
      <c r="X628" s="4">
        <v>0</v>
      </c>
      <c r="Y628" s="4">
        <v>0</v>
      </c>
      <c r="Z628" s="4">
        <v>0</v>
      </c>
      <c r="AA628" s="4">
        <v>0</v>
      </c>
      <c r="AB628" s="4">
        <v>0</v>
      </c>
      <c r="AC628" s="4">
        <v>0</v>
      </c>
      <c r="AD628" s="4">
        <v>0</v>
      </c>
      <c r="AE628" s="4">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row>
    <row r="629" spans="1:92" x14ac:dyDescent="0.25">
      <c r="A629" s="99" t="s">
        <v>1</v>
      </c>
      <c r="B629" s="4">
        <v>0</v>
      </c>
      <c r="C629" s="4">
        <v>0</v>
      </c>
      <c r="D629" s="4">
        <v>0</v>
      </c>
      <c r="E629" s="4">
        <v>0</v>
      </c>
      <c r="F629" s="4">
        <v>0</v>
      </c>
      <c r="G629" s="4">
        <v>0</v>
      </c>
      <c r="H629" s="4">
        <v>0</v>
      </c>
      <c r="I629" s="4">
        <v>0</v>
      </c>
      <c r="J629" s="4">
        <v>0</v>
      </c>
      <c r="K629" s="4">
        <v>0</v>
      </c>
      <c r="L629" s="4">
        <v>0</v>
      </c>
      <c r="M629" s="4">
        <v>0</v>
      </c>
      <c r="N629" s="4">
        <v>0</v>
      </c>
      <c r="O629" s="4">
        <v>0</v>
      </c>
      <c r="P629" s="4">
        <v>0</v>
      </c>
      <c r="Q629" s="4">
        <v>0</v>
      </c>
      <c r="R629" s="4">
        <v>0</v>
      </c>
      <c r="S629" s="4">
        <v>0</v>
      </c>
      <c r="T629" s="4">
        <v>0</v>
      </c>
      <c r="U629" s="4">
        <v>0</v>
      </c>
      <c r="V629" s="4">
        <v>0</v>
      </c>
      <c r="W629" s="4">
        <v>0</v>
      </c>
      <c r="X629" s="4">
        <v>0</v>
      </c>
      <c r="Y629" s="4">
        <v>0</v>
      </c>
      <c r="Z629" s="4">
        <v>0</v>
      </c>
      <c r="AA629" s="4">
        <v>0</v>
      </c>
      <c r="AB629" s="4">
        <v>0</v>
      </c>
      <c r="AC629" s="4">
        <v>0</v>
      </c>
      <c r="AD629" s="4">
        <v>0</v>
      </c>
      <c r="AE629" s="4">
        <v>0</v>
      </c>
      <c r="AF629">
        <v>2573.6533333337866</v>
      </c>
      <c r="AG629">
        <v>3763.7500000004657</v>
      </c>
      <c r="AH629">
        <v>4953.8466666666791</v>
      </c>
      <c r="AI629">
        <v>6143.9433333333582</v>
      </c>
      <c r="AJ629">
        <v>7334.0400000000373</v>
      </c>
      <c r="AK629">
        <v>8524.1366666667163</v>
      </c>
      <c r="AL629">
        <v>9714.2333333333954</v>
      </c>
      <c r="AM629">
        <v>10904.330000000075</v>
      </c>
      <c r="AN629">
        <v>12094.426666666754</v>
      </c>
      <c r="AO629">
        <v>13284.523333333433</v>
      </c>
      <c r="AP629">
        <v>14474.620000000112</v>
      </c>
      <c r="AQ629">
        <v>15664.716666666791</v>
      </c>
      <c r="AR629">
        <v>16854.81333333347</v>
      </c>
      <c r="AS629">
        <v>18044.910000000149</v>
      </c>
      <c r="AT629">
        <v>19235.006666666828</v>
      </c>
      <c r="AU629">
        <v>20425.103333333507</v>
      </c>
      <c r="AV629">
        <v>21615.200000000186</v>
      </c>
      <c r="AW629">
        <v>22805.296666666865</v>
      </c>
      <c r="AX629">
        <v>23995.393333333544</v>
      </c>
      <c r="AY629">
        <v>25185.490000000224</v>
      </c>
      <c r="AZ629">
        <v>26375.586666666903</v>
      </c>
      <c r="BA629">
        <v>27565.683333333582</v>
      </c>
      <c r="BB629">
        <v>28755.780000000261</v>
      </c>
      <c r="BC629">
        <v>29945.87666666694</v>
      </c>
      <c r="BD629">
        <v>31135.973333333619</v>
      </c>
      <c r="BE629">
        <v>32326.070000000298</v>
      </c>
      <c r="BF629">
        <v>33516.166666666977</v>
      </c>
      <c r="BG629">
        <v>34706.263333333656</v>
      </c>
      <c r="BH629">
        <v>35896.360000000335</v>
      </c>
      <c r="BI629">
        <v>37086.456666667014</v>
      </c>
      <c r="BJ629">
        <v>38276.553333333693</v>
      </c>
      <c r="BK629">
        <v>39466.650000000373</v>
      </c>
      <c r="BL629">
        <v>40656.746666667052</v>
      </c>
      <c r="BM629">
        <v>41846.843333333731</v>
      </c>
      <c r="BN629">
        <v>43036.94000000041</v>
      </c>
      <c r="BO629">
        <v>44227.036666667089</v>
      </c>
      <c r="BP629">
        <v>45417.133333333768</v>
      </c>
      <c r="BQ629">
        <v>46607.230000000447</v>
      </c>
      <c r="BR629">
        <v>47797.326666667126</v>
      </c>
      <c r="BS629">
        <v>48987.423333333805</v>
      </c>
      <c r="BT629">
        <v>50177.520000000019</v>
      </c>
      <c r="BU629">
        <v>51367.616666666698</v>
      </c>
      <c r="BV629">
        <v>52557.713333333377</v>
      </c>
      <c r="BW629">
        <v>53747.810000000056</v>
      </c>
      <c r="BX629">
        <v>54937.906666666735</v>
      </c>
      <c r="BY629">
        <v>56128.003333333414</v>
      </c>
      <c r="BZ629">
        <v>57318.100000000093</v>
      </c>
      <c r="CA629">
        <v>58508.196666666772</v>
      </c>
      <c r="CB629">
        <v>59698.293333333451</v>
      </c>
      <c r="CC629">
        <v>60888.39000000013</v>
      </c>
      <c r="CD629">
        <v>62078.486666666809</v>
      </c>
      <c r="CE629">
        <v>63268.583333333489</v>
      </c>
      <c r="CF629">
        <v>64458.680000000168</v>
      </c>
      <c r="CG629">
        <v>65648.776666666847</v>
      </c>
      <c r="CH629">
        <v>66838.873333333526</v>
      </c>
      <c r="CI629">
        <v>68028.970000000205</v>
      </c>
      <c r="CJ629">
        <v>69219.066666666884</v>
      </c>
      <c r="CK629">
        <v>70409.163333333563</v>
      </c>
      <c r="CL629">
        <v>71599.260000000242</v>
      </c>
      <c r="CM629">
        <v>72789.356666666921</v>
      </c>
      <c r="CN629">
        <v>73979.4533333336</v>
      </c>
    </row>
    <row r="630" spans="1:92" x14ac:dyDescent="0.25">
      <c r="A630" s="99" t="s">
        <v>1</v>
      </c>
      <c r="B630" s="4">
        <v>0</v>
      </c>
      <c r="C630" s="4">
        <v>0</v>
      </c>
      <c r="D630" s="4">
        <v>0</v>
      </c>
      <c r="E630" s="4">
        <v>0</v>
      </c>
      <c r="F630" s="4">
        <v>0</v>
      </c>
      <c r="G630" s="4">
        <v>0</v>
      </c>
      <c r="H630" s="4">
        <v>0</v>
      </c>
      <c r="I630" s="4">
        <v>0</v>
      </c>
      <c r="J630" s="4">
        <v>0</v>
      </c>
      <c r="K630" s="4">
        <v>0</v>
      </c>
      <c r="L630" s="4">
        <v>0</v>
      </c>
      <c r="M630" s="4">
        <v>0</v>
      </c>
      <c r="N630" s="4">
        <v>0</v>
      </c>
      <c r="O630" s="4">
        <v>0</v>
      </c>
      <c r="P630" s="4">
        <v>0</v>
      </c>
      <c r="Q630" s="4">
        <v>0</v>
      </c>
      <c r="R630" s="4">
        <v>0</v>
      </c>
      <c r="S630" s="4">
        <v>0</v>
      </c>
      <c r="T630" s="4">
        <v>0</v>
      </c>
      <c r="U630" s="4">
        <v>0</v>
      </c>
      <c r="V630" s="4">
        <v>0</v>
      </c>
      <c r="W630" s="4">
        <v>0</v>
      </c>
      <c r="X630" s="4">
        <v>0</v>
      </c>
      <c r="Y630" s="4">
        <v>0</v>
      </c>
      <c r="Z630" s="4">
        <v>0</v>
      </c>
      <c r="AA630" s="4">
        <v>0</v>
      </c>
      <c r="AB630" s="4">
        <v>0</v>
      </c>
      <c r="AC630" s="4">
        <v>0</v>
      </c>
      <c r="AD630" s="4">
        <v>0</v>
      </c>
      <c r="AE630" s="4">
        <v>0</v>
      </c>
      <c r="AF630">
        <v>1120.3986666667042</v>
      </c>
      <c r="AG630">
        <v>1462.7383333332837</v>
      </c>
      <c r="AH630">
        <v>1805.0779999999795</v>
      </c>
      <c r="AI630">
        <v>2147.4176666666754</v>
      </c>
      <c r="AJ630">
        <v>2489.7573333333712</v>
      </c>
      <c r="AK630">
        <v>2832.0969999999506</v>
      </c>
      <c r="AL630">
        <v>3174.4366666666465</v>
      </c>
      <c r="AM630">
        <v>3516.7763333333423</v>
      </c>
      <c r="AN630">
        <v>3859.1160000000382</v>
      </c>
      <c r="AO630">
        <v>4201.4556666666176</v>
      </c>
      <c r="AP630">
        <v>4543.7953333333135</v>
      </c>
      <c r="AQ630">
        <v>4886.1350000000093</v>
      </c>
      <c r="AR630">
        <v>5228.4746666667052</v>
      </c>
      <c r="AS630">
        <v>5570.8143333332846</v>
      </c>
      <c r="AT630">
        <v>5913.1539999999804</v>
      </c>
      <c r="AU630">
        <v>6255.4936666666763</v>
      </c>
      <c r="AV630">
        <v>6597.8333333333721</v>
      </c>
      <c r="AW630">
        <v>6940.1729999999516</v>
      </c>
      <c r="AX630">
        <v>7282.5126666666474</v>
      </c>
      <c r="AY630">
        <v>7624.8523333333433</v>
      </c>
      <c r="AZ630">
        <v>7967.1920000000391</v>
      </c>
      <c r="BA630">
        <v>8309.5316666666185</v>
      </c>
      <c r="BB630">
        <v>8651.8713333333144</v>
      </c>
      <c r="BC630">
        <v>8994.2110000000102</v>
      </c>
      <c r="BD630">
        <v>9336.5506666667061</v>
      </c>
      <c r="BE630">
        <v>9678.8903333332855</v>
      </c>
      <c r="BF630">
        <v>10021.229999999981</v>
      </c>
      <c r="BG630">
        <v>10363.569666666677</v>
      </c>
      <c r="BH630">
        <v>10705.909333333373</v>
      </c>
      <c r="BI630">
        <v>11048.248999999953</v>
      </c>
      <c r="BJ630">
        <v>11390.588666666648</v>
      </c>
      <c r="BK630">
        <v>11732.928333333344</v>
      </c>
      <c r="BL630">
        <v>12075.26800000004</v>
      </c>
      <c r="BM630">
        <v>12417.607666666619</v>
      </c>
      <c r="BN630">
        <v>12759.947333333315</v>
      </c>
      <c r="BO630">
        <v>13102.287000000011</v>
      </c>
      <c r="BP630">
        <v>13444.626666666707</v>
      </c>
      <c r="BQ630">
        <v>13786.966333333286</v>
      </c>
      <c r="BR630">
        <v>14129.305999999982</v>
      </c>
      <c r="BS630">
        <v>14471.645666666678</v>
      </c>
      <c r="BT630">
        <v>14813.985333333374</v>
      </c>
      <c r="BU630">
        <v>15156.324999999953</v>
      </c>
      <c r="BV630">
        <v>15498.664666666649</v>
      </c>
      <c r="BW630">
        <v>15841.004333333345</v>
      </c>
      <c r="BX630">
        <v>16183.344000000041</v>
      </c>
      <c r="BY630">
        <v>16525.68366666662</v>
      </c>
      <c r="BZ630">
        <v>16868.023333333316</v>
      </c>
      <c r="CA630">
        <v>17210.363000000012</v>
      </c>
      <c r="CB630">
        <v>17552.702666666708</v>
      </c>
      <c r="CC630">
        <v>17895.042333333287</v>
      </c>
      <c r="CD630">
        <v>18237.381999999983</v>
      </c>
      <c r="CE630">
        <v>18579.721666666679</v>
      </c>
      <c r="CF630">
        <v>18922.061333333375</v>
      </c>
      <c r="CG630">
        <v>19264.400999999954</v>
      </c>
      <c r="CH630">
        <v>19606.74066666665</v>
      </c>
      <c r="CI630">
        <v>19949.080333333346</v>
      </c>
      <c r="CJ630">
        <v>20291.420000000042</v>
      </c>
      <c r="CK630">
        <v>20633.759666666621</v>
      </c>
      <c r="CL630">
        <v>20976.099333333317</v>
      </c>
      <c r="CM630">
        <v>21318.439000000013</v>
      </c>
      <c r="CN630">
        <v>21660.778666666592</v>
      </c>
    </row>
    <row r="631" spans="1:92" x14ac:dyDescent="0.25">
      <c r="A631" s="44"/>
    </row>
    <row r="632" spans="1:92" x14ac:dyDescent="0.25">
      <c r="A632" s="99" t="s">
        <v>260</v>
      </c>
      <c r="B632" s="4">
        <v>0</v>
      </c>
      <c r="C632" s="4">
        <v>0</v>
      </c>
      <c r="D632" s="4">
        <v>0</v>
      </c>
      <c r="E632" s="4">
        <v>0</v>
      </c>
      <c r="F632" s="4">
        <v>0</v>
      </c>
      <c r="G632" s="4">
        <v>0</v>
      </c>
      <c r="H632" s="4">
        <v>0</v>
      </c>
      <c r="I632" s="4">
        <v>0</v>
      </c>
      <c r="J632" s="4">
        <v>0</v>
      </c>
      <c r="K632" s="4">
        <v>0</v>
      </c>
      <c r="L632" s="4">
        <v>0</v>
      </c>
      <c r="M632" s="4">
        <v>0</v>
      </c>
      <c r="N632" s="4">
        <v>0</v>
      </c>
      <c r="O632" s="4">
        <v>0</v>
      </c>
      <c r="P632" s="4">
        <v>0</v>
      </c>
      <c r="Q632" s="4">
        <v>0</v>
      </c>
      <c r="R632" s="4">
        <v>0</v>
      </c>
      <c r="S632" s="4">
        <v>0</v>
      </c>
      <c r="T632" s="4">
        <v>0</v>
      </c>
      <c r="U632" s="4">
        <v>0</v>
      </c>
      <c r="V632" s="4">
        <v>0</v>
      </c>
      <c r="W632" s="4">
        <v>0</v>
      </c>
      <c r="X632" s="4">
        <v>0</v>
      </c>
      <c r="Y632" s="4">
        <v>0</v>
      </c>
      <c r="Z632" s="4">
        <v>0</v>
      </c>
      <c r="AA632" s="4">
        <v>0</v>
      </c>
      <c r="AB632" s="4">
        <v>0</v>
      </c>
      <c r="AC632" s="4">
        <v>0</v>
      </c>
      <c r="AD632" s="4">
        <v>0</v>
      </c>
      <c r="AE632" s="4">
        <v>0</v>
      </c>
      <c r="AF632">
        <v>-20.419999999983702</v>
      </c>
      <c r="AG632">
        <v>69.0625</v>
      </c>
      <c r="AH632">
        <v>158.54500000001281</v>
      </c>
      <c r="AI632">
        <v>248.02749999999651</v>
      </c>
      <c r="AJ632">
        <v>337.51000000000931</v>
      </c>
      <c r="AK632">
        <v>426.99249999999302</v>
      </c>
      <c r="AL632">
        <v>516.47500000000582</v>
      </c>
      <c r="AM632">
        <v>605.95749999998952</v>
      </c>
      <c r="AN632">
        <v>695.44000000000233</v>
      </c>
      <c r="AO632">
        <v>784.92250000001513</v>
      </c>
      <c r="AP632">
        <v>874.40499999999884</v>
      </c>
      <c r="AQ632">
        <v>963.88750000001164</v>
      </c>
      <c r="AR632">
        <v>1053.3699999999953</v>
      </c>
      <c r="AS632">
        <v>1142.8525000000081</v>
      </c>
      <c r="AT632">
        <v>1232.3349999999919</v>
      </c>
      <c r="AU632">
        <v>1321.8175000000047</v>
      </c>
      <c r="AV632">
        <v>1411.2999999999884</v>
      </c>
      <c r="AW632">
        <v>1500.7825000000012</v>
      </c>
      <c r="AX632">
        <v>1590.265000000014</v>
      </c>
      <c r="AY632">
        <v>1679.7474999999977</v>
      </c>
      <c r="AZ632">
        <v>1769.2300000000105</v>
      </c>
      <c r="BA632">
        <v>1858.7124999999942</v>
      </c>
      <c r="BB632">
        <v>1948.195000000007</v>
      </c>
      <c r="BC632">
        <v>2037.6774999999907</v>
      </c>
      <c r="BD632">
        <v>2127.1600000000035</v>
      </c>
      <c r="BE632">
        <v>2216.6425000000163</v>
      </c>
      <c r="BF632">
        <v>2306.125</v>
      </c>
      <c r="BG632">
        <v>2395.6075000000128</v>
      </c>
      <c r="BH632">
        <v>2485.0899999999965</v>
      </c>
      <c r="BI632">
        <v>2574.5725000000093</v>
      </c>
      <c r="BJ632">
        <v>2664.054999999993</v>
      </c>
      <c r="BK632">
        <v>2753.5375000000058</v>
      </c>
      <c r="BL632">
        <v>2843.0199999999895</v>
      </c>
      <c r="BM632">
        <v>2932.5025000000023</v>
      </c>
      <c r="BN632">
        <v>3021.9850000000151</v>
      </c>
      <c r="BO632">
        <v>3111.4674999999988</v>
      </c>
      <c r="BP632">
        <v>3200.9500000000116</v>
      </c>
      <c r="BQ632">
        <v>3290.4324999999953</v>
      </c>
      <c r="BR632">
        <v>3379.9150000000081</v>
      </c>
      <c r="BS632">
        <v>3469.3974999999919</v>
      </c>
      <c r="BT632">
        <v>3558.8800000000047</v>
      </c>
      <c r="BU632">
        <v>3648.3624999999884</v>
      </c>
      <c r="BV632">
        <v>3737.8450000000012</v>
      </c>
      <c r="BW632">
        <v>3827.327500000014</v>
      </c>
      <c r="BX632">
        <v>3916.8099999999977</v>
      </c>
      <c r="BY632">
        <v>4006.2925000000105</v>
      </c>
      <c r="BZ632">
        <v>4095.7749999999942</v>
      </c>
      <c r="CA632">
        <v>4185.257500000007</v>
      </c>
      <c r="CB632">
        <v>4274.7399999999907</v>
      </c>
      <c r="CC632">
        <v>4364.2225000000035</v>
      </c>
      <c r="CD632">
        <v>4453.7050000000163</v>
      </c>
      <c r="CE632">
        <v>4543.1875</v>
      </c>
      <c r="CF632">
        <v>4632.6700000000128</v>
      </c>
      <c r="CG632">
        <v>4722.1524999999965</v>
      </c>
      <c r="CH632">
        <v>4811.6350000000093</v>
      </c>
      <c r="CI632">
        <v>4901.117499999993</v>
      </c>
      <c r="CJ632">
        <v>4990.6000000000058</v>
      </c>
      <c r="CK632">
        <v>5080.0824999999895</v>
      </c>
      <c r="CL632">
        <v>5169.5650000000023</v>
      </c>
      <c r="CM632">
        <v>5259.0475000000151</v>
      </c>
      <c r="CN632">
        <v>5348.5299999999988</v>
      </c>
    </row>
    <row r="633" spans="1:92" x14ac:dyDescent="0.25">
      <c r="A633" s="99"/>
    </row>
    <row r="634" spans="1:92" s="50" customFormat="1" x14ac:dyDescent="0.25">
      <c r="A634" s="99" t="s">
        <v>261</v>
      </c>
      <c r="B634" s="4">
        <v>0</v>
      </c>
      <c r="C634" s="4">
        <v>0</v>
      </c>
      <c r="D634" s="4">
        <v>0</v>
      </c>
      <c r="E634" s="4">
        <v>0</v>
      </c>
      <c r="F634" s="4">
        <v>0</v>
      </c>
      <c r="G634" s="4">
        <v>0</v>
      </c>
      <c r="H634" s="4">
        <v>0</v>
      </c>
      <c r="I634" s="4">
        <v>0</v>
      </c>
      <c r="J634" s="4">
        <v>0</v>
      </c>
      <c r="K634" s="4">
        <v>0</v>
      </c>
      <c r="L634" s="4">
        <v>0</v>
      </c>
      <c r="M634" s="4">
        <v>0</v>
      </c>
      <c r="N634" s="4">
        <v>0</v>
      </c>
      <c r="O634" s="4">
        <v>0</v>
      </c>
      <c r="P634" s="4">
        <v>0</v>
      </c>
      <c r="Q634" s="4">
        <v>0</v>
      </c>
      <c r="R634" s="4">
        <v>0</v>
      </c>
      <c r="S634" s="4">
        <v>0</v>
      </c>
      <c r="T634" s="4">
        <v>0</v>
      </c>
      <c r="U634" s="4">
        <v>0</v>
      </c>
      <c r="V634" s="4">
        <v>0</v>
      </c>
      <c r="W634" s="4">
        <v>0</v>
      </c>
      <c r="X634" s="4">
        <v>0</v>
      </c>
      <c r="Y634" s="4">
        <v>0</v>
      </c>
      <c r="Z634" s="4">
        <v>0</v>
      </c>
      <c r="AA634" s="4">
        <v>0</v>
      </c>
      <c r="AB634" s="4">
        <v>0</v>
      </c>
      <c r="AC634" s="4">
        <v>0</v>
      </c>
      <c r="AD634" s="4">
        <v>0</v>
      </c>
      <c r="AE634" s="4">
        <v>0</v>
      </c>
      <c r="AF634" s="50">
        <v>3053.3303192392195</v>
      </c>
      <c r="AG634" s="50">
        <v>3080.9001018442577</v>
      </c>
      <c r="AH634" s="50">
        <v>3108.4698844492887</v>
      </c>
      <c r="AI634" s="50">
        <v>3136.0396670543269</v>
      </c>
      <c r="AJ634" s="50">
        <v>3163.6094496593578</v>
      </c>
      <c r="AK634" s="50">
        <v>3191.1792322643887</v>
      </c>
      <c r="AL634" s="50">
        <v>3218.7490148694269</v>
      </c>
      <c r="AM634" s="50">
        <v>3246.3187974744578</v>
      </c>
      <c r="AN634" s="50">
        <v>3273.888580079496</v>
      </c>
      <c r="AO634" s="50">
        <v>3301.4583626845269</v>
      </c>
      <c r="AP634" s="50">
        <v>3329.0281452895579</v>
      </c>
      <c r="AQ634" s="50">
        <v>3356.5979278945961</v>
      </c>
      <c r="AR634" s="50">
        <v>3384.167710499627</v>
      </c>
      <c r="AS634" s="50">
        <v>3411.7374931046652</v>
      </c>
      <c r="AT634" s="50">
        <v>3439.3072757096961</v>
      </c>
      <c r="AU634" s="50">
        <v>3466.8770583147343</v>
      </c>
      <c r="AV634" s="50">
        <v>3494.4468409197652</v>
      </c>
      <c r="AW634" s="50">
        <v>3522.0166235247962</v>
      </c>
      <c r="AX634" s="50">
        <v>3549.5864061298344</v>
      </c>
      <c r="AY634" s="50">
        <v>3577.1561887348653</v>
      </c>
      <c r="AZ634" s="50">
        <v>3604.7259713399035</v>
      </c>
      <c r="BA634" s="50">
        <v>3632.2957539449344</v>
      </c>
      <c r="BB634" s="50">
        <v>3659.8655365499653</v>
      </c>
      <c r="BC634" s="50">
        <v>3687.4353191550035</v>
      </c>
      <c r="BD634" s="50">
        <v>3715.0051017600344</v>
      </c>
      <c r="BE634" s="50">
        <v>3742.5748843650726</v>
      </c>
      <c r="BF634" s="50">
        <v>3770.1446669701036</v>
      </c>
      <c r="BG634" s="50">
        <v>3797.7144495751345</v>
      </c>
      <c r="BH634" s="50">
        <v>3825.2842321801727</v>
      </c>
      <c r="BI634" s="50">
        <v>3852.8540147852036</v>
      </c>
      <c r="BJ634" s="50">
        <v>3880.4237973902418</v>
      </c>
      <c r="BK634" s="50">
        <v>3907.9935799952727</v>
      </c>
      <c r="BL634" s="50">
        <v>3935.5633626003037</v>
      </c>
      <c r="BM634" s="50">
        <v>3963.1331452053419</v>
      </c>
      <c r="BN634" s="50">
        <v>3990.7029278103728</v>
      </c>
      <c r="BO634" s="50">
        <v>4018.272710415411</v>
      </c>
      <c r="BP634" s="50">
        <v>4045.8424930204419</v>
      </c>
      <c r="BQ634" s="50">
        <v>4073.4122756254728</v>
      </c>
      <c r="BR634" s="50">
        <v>4100.982058230511</v>
      </c>
      <c r="BS634" s="50">
        <v>4128.551840835542</v>
      </c>
      <c r="BT634" s="50">
        <v>4156.1216234405802</v>
      </c>
      <c r="BU634" s="50">
        <v>4183.6914060456111</v>
      </c>
      <c r="BV634" s="50">
        <v>4211.2611886506493</v>
      </c>
      <c r="BW634" s="50">
        <v>4238.8309712556802</v>
      </c>
      <c r="BX634" s="50">
        <v>4266.4007538607111</v>
      </c>
      <c r="BY634" s="50">
        <v>4293.9705364657493</v>
      </c>
      <c r="BZ634" s="50">
        <v>4321.5403190707802</v>
      </c>
      <c r="CA634" s="50">
        <v>4349.1101016758184</v>
      </c>
      <c r="CB634" s="50">
        <v>4376.6798842808494</v>
      </c>
      <c r="CC634" s="50">
        <v>4404.2496668858803</v>
      </c>
      <c r="CD634" s="50">
        <v>4431.8194494909185</v>
      </c>
      <c r="CE634" s="50">
        <v>4459.3892320959494</v>
      </c>
      <c r="CF634" s="50">
        <v>4486.9590147009876</v>
      </c>
      <c r="CG634" s="50">
        <v>4514.5287973060185</v>
      </c>
      <c r="CH634" s="50">
        <v>4542.0985799110495</v>
      </c>
      <c r="CI634" s="50">
        <v>4569.6683625160877</v>
      </c>
      <c r="CJ634" s="50">
        <v>4597.2381451211186</v>
      </c>
      <c r="CK634" s="50">
        <v>4624.8079277261568</v>
      </c>
      <c r="CL634" s="50">
        <v>4652.3777103311877</v>
      </c>
      <c r="CM634" s="50">
        <v>4679.9474929362186</v>
      </c>
      <c r="CN634" s="50">
        <v>4707.5172755412568</v>
      </c>
    </row>
    <row r="635" spans="1:92" s="50" customFormat="1" x14ac:dyDescent="0.25">
      <c r="A635" s="9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92" x14ac:dyDescent="0.25">
      <c r="A636" s="99" t="s">
        <v>262</v>
      </c>
      <c r="B636" s="4">
        <v>0</v>
      </c>
      <c r="C636" s="4">
        <v>0</v>
      </c>
      <c r="D636" s="4">
        <v>0</v>
      </c>
      <c r="E636" s="4">
        <v>0</v>
      </c>
      <c r="F636" s="4">
        <v>0</v>
      </c>
      <c r="G636" s="4">
        <v>0</v>
      </c>
      <c r="H636" s="4">
        <v>0</v>
      </c>
      <c r="I636" s="4">
        <v>0</v>
      </c>
      <c r="J636" s="4">
        <v>0</v>
      </c>
      <c r="K636" s="4">
        <v>0</v>
      </c>
      <c r="L636" s="4">
        <v>0</v>
      </c>
      <c r="M636" s="4">
        <v>0</v>
      </c>
      <c r="N636" s="4">
        <v>0</v>
      </c>
      <c r="O636" s="4">
        <v>0</v>
      </c>
      <c r="P636" s="4">
        <v>0</v>
      </c>
      <c r="Q636" s="4">
        <v>0</v>
      </c>
      <c r="R636" s="4">
        <v>0</v>
      </c>
      <c r="S636" s="4">
        <v>0</v>
      </c>
      <c r="T636" s="4">
        <v>0</v>
      </c>
      <c r="U636" s="4">
        <v>0</v>
      </c>
      <c r="V636" s="4">
        <v>0</v>
      </c>
      <c r="W636" s="4">
        <v>0</v>
      </c>
      <c r="X636" s="4">
        <v>0</v>
      </c>
      <c r="Y636" s="4">
        <v>0</v>
      </c>
      <c r="Z636" s="4">
        <v>0</v>
      </c>
      <c r="AA636" s="4">
        <v>0</v>
      </c>
      <c r="AB636" s="4">
        <v>0</v>
      </c>
      <c r="AC636" s="4">
        <v>0</v>
      </c>
      <c r="AD636" s="4">
        <v>0</v>
      </c>
      <c r="AE636" s="4">
        <v>0</v>
      </c>
      <c r="AF636">
        <v>6225.5439999999362</v>
      </c>
      <c r="AG636">
        <v>6431.7474999999395</v>
      </c>
      <c r="AH636">
        <v>6637.9509999999427</v>
      </c>
      <c r="AI636">
        <v>6844.154499999946</v>
      </c>
      <c r="AJ636">
        <v>7050.3579999999492</v>
      </c>
      <c r="AK636">
        <v>7256.5614999999525</v>
      </c>
      <c r="AL636">
        <v>7462.7649999999558</v>
      </c>
      <c r="AM636">
        <v>7668.968499999959</v>
      </c>
      <c r="AN636">
        <v>7875.1719999999623</v>
      </c>
      <c r="AO636">
        <v>8081.3754999999655</v>
      </c>
      <c r="AP636">
        <v>8287.5789999999688</v>
      </c>
      <c r="AQ636">
        <v>8493.7824999999721</v>
      </c>
      <c r="AR636">
        <v>8699.9859999999753</v>
      </c>
      <c r="AS636">
        <v>8906.1894999999786</v>
      </c>
      <c r="AT636">
        <v>9112.3929999999818</v>
      </c>
      <c r="AU636">
        <v>9318.5964999999269</v>
      </c>
      <c r="AV636">
        <v>9524.7999999999302</v>
      </c>
      <c r="AW636">
        <v>9731.0034999999334</v>
      </c>
      <c r="AX636">
        <v>9937.2069999999367</v>
      </c>
      <c r="AY636">
        <v>10143.41049999994</v>
      </c>
      <c r="AZ636">
        <v>10349.613999999943</v>
      </c>
      <c r="BA636">
        <v>10555.817499999946</v>
      </c>
      <c r="BB636">
        <v>10762.02099999995</v>
      </c>
      <c r="BC636">
        <v>10968.224499999953</v>
      </c>
      <c r="BD636">
        <v>11174.427999999956</v>
      </c>
      <c r="BE636">
        <v>11380.631499999959</v>
      </c>
      <c r="BF636">
        <v>11586.834999999963</v>
      </c>
      <c r="BG636">
        <v>11793.038499999966</v>
      </c>
      <c r="BH636">
        <v>11999.241999999969</v>
      </c>
      <c r="BI636">
        <v>12205.445499999973</v>
      </c>
      <c r="BJ636">
        <v>12411.648999999976</v>
      </c>
      <c r="BK636">
        <v>12617.852499999979</v>
      </c>
      <c r="BL636">
        <v>12824.055999999924</v>
      </c>
      <c r="BM636">
        <v>13030.259499999927</v>
      </c>
      <c r="BN636">
        <v>13236.462999999931</v>
      </c>
      <c r="BO636">
        <v>13442.666499999934</v>
      </c>
      <c r="BP636">
        <v>13648.869999999937</v>
      </c>
      <c r="BQ636">
        <v>13855.07349999994</v>
      </c>
      <c r="BR636">
        <v>14061.276999999944</v>
      </c>
      <c r="BS636">
        <v>14267.480499999947</v>
      </c>
      <c r="BT636">
        <v>14473.68399999995</v>
      </c>
      <c r="BU636">
        <v>14679.887499999953</v>
      </c>
      <c r="BV636">
        <v>14886.090999999957</v>
      </c>
      <c r="BW636">
        <v>15092.29449999996</v>
      </c>
      <c r="BX636">
        <v>15298.497999999963</v>
      </c>
      <c r="BY636">
        <v>15504.701499999966</v>
      </c>
      <c r="BZ636">
        <v>15710.90499999997</v>
      </c>
      <c r="CA636">
        <v>15917.108499999973</v>
      </c>
      <c r="CB636">
        <v>16123.311999999976</v>
      </c>
      <c r="CC636">
        <v>16329.51549999998</v>
      </c>
      <c r="CD636">
        <v>16535.718999999925</v>
      </c>
      <c r="CE636">
        <v>16741.922499999928</v>
      </c>
      <c r="CF636">
        <v>16948.125999999931</v>
      </c>
      <c r="CG636">
        <v>17154.329499999934</v>
      </c>
      <c r="CH636">
        <v>17360.532999999938</v>
      </c>
      <c r="CI636">
        <v>17566.736499999941</v>
      </c>
      <c r="CJ636">
        <v>17772.939999999944</v>
      </c>
      <c r="CK636">
        <v>17979.143499999947</v>
      </c>
      <c r="CL636">
        <v>18185.346999999951</v>
      </c>
      <c r="CM636">
        <v>18391.550499999954</v>
      </c>
      <c r="CN636">
        <v>18597.753999999957</v>
      </c>
    </row>
    <row r="637" spans="1:92" s="44" customFormat="1" x14ac:dyDescent="0.25">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92" s="50" customFormat="1" x14ac:dyDescent="0.25">
      <c r="A638" s="99" t="s">
        <v>263</v>
      </c>
      <c r="B638" s="4">
        <v>0</v>
      </c>
      <c r="C638" s="4">
        <v>0</v>
      </c>
      <c r="D638" s="4">
        <v>0</v>
      </c>
      <c r="E638" s="4">
        <v>0</v>
      </c>
      <c r="F638" s="4">
        <v>0</v>
      </c>
      <c r="G638" s="4">
        <v>0</v>
      </c>
      <c r="H638" s="4">
        <v>0</v>
      </c>
      <c r="I638" s="4">
        <v>0</v>
      </c>
      <c r="J638" s="4">
        <v>0</v>
      </c>
      <c r="K638" s="4">
        <v>0</v>
      </c>
      <c r="L638" s="4">
        <v>0</v>
      </c>
      <c r="M638" s="4">
        <v>0</v>
      </c>
      <c r="N638" s="4">
        <v>0</v>
      </c>
      <c r="O638" s="4">
        <v>0</v>
      </c>
      <c r="P638" s="4">
        <v>0</v>
      </c>
      <c r="Q638" s="4">
        <v>0</v>
      </c>
      <c r="R638" s="4">
        <v>0</v>
      </c>
      <c r="S638" s="4">
        <v>0</v>
      </c>
      <c r="T638" s="4">
        <v>0</v>
      </c>
      <c r="U638" s="4">
        <v>0</v>
      </c>
      <c r="V638" s="4">
        <v>0</v>
      </c>
      <c r="W638" s="4">
        <v>0</v>
      </c>
      <c r="X638" s="4">
        <v>0</v>
      </c>
      <c r="Y638" s="4">
        <v>0</v>
      </c>
      <c r="Z638" s="4">
        <v>0</v>
      </c>
      <c r="AA638" s="4">
        <v>0</v>
      </c>
      <c r="AB638" s="4">
        <v>0</v>
      </c>
      <c r="AC638" s="4">
        <v>0</v>
      </c>
      <c r="AD638" s="4">
        <v>0</v>
      </c>
      <c r="AE638" s="4">
        <v>0</v>
      </c>
      <c r="AF638" s="50">
        <v>52.297680760781077</v>
      </c>
      <c r="AG638" s="50">
        <v>52.769898155747228</v>
      </c>
      <c r="AH638" s="50">
        <v>53.242115550713379</v>
      </c>
      <c r="AI638" s="50">
        <v>53.714332945679416</v>
      </c>
      <c r="AJ638" s="50">
        <v>54.186550340645567</v>
      </c>
      <c r="AK638" s="50">
        <v>54.658767735611718</v>
      </c>
      <c r="AL638" s="50">
        <v>55.130985130577756</v>
      </c>
      <c r="AM638" s="50">
        <v>55.603202525543907</v>
      </c>
      <c r="AN638" s="50">
        <v>56.075419920510058</v>
      </c>
      <c r="AO638" s="50">
        <v>56.547637315476095</v>
      </c>
      <c r="AP638" s="50">
        <v>57.019854710442246</v>
      </c>
      <c r="AQ638" s="50">
        <v>57.492072105408397</v>
      </c>
      <c r="AR638" s="50">
        <v>57.964289500374434</v>
      </c>
      <c r="AS638" s="50">
        <v>58.436506895340585</v>
      </c>
      <c r="AT638" s="50">
        <v>58.908724290306736</v>
      </c>
      <c r="AU638" s="50">
        <v>59.380941685272774</v>
      </c>
      <c r="AV638" s="50">
        <v>59.853159080238925</v>
      </c>
      <c r="AW638" s="50">
        <v>60.325376475205076</v>
      </c>
      <c r="AX638" s="50">
        <v>60.797593870171113</v>
      </c>
      <c r="AY638" s="50">
        <v>61.269811265137264</v>
      </c>
      <c r="AZ638" s="50">
        <v>61.742028660103415</v>
      </c>
      <c r="BA638" s="50">
        <v>62.214246055069452</v>
      </c>
      <c r="BB638" s="50">
        <v>62.686463450035603</v>
      </c>
      <c r="BC638" s="50">
        <v>63.158680845001754</v>
      </c>
      <c r="BD638" s="50">
        <v>63.630898239967792</v>
      </c>
      <c r="BE638" s="50">
        <v>64.103115634933943</v>
      </c>
      <c r="BF638" s="50">
        <v>64.575333029900094</v>
      </c>
      <c r="BG638" s="50">
        <v>65.047550424866131</v>
      </c>
      <c r="BH638" s="50">
        <v>65.519767819832282</v>
      </c>
      <c r="BI638" s="50">
        <v>65.991985214798433</v>
      </c>
      <c r="BJ638" s="50">
        <v>66.46420260976447</v>
      </c>
      <c r="BK638" s="50">
        <v>66.936420004730621</v>
      </c>
      <c r="BL638" s="50">
        <v>67.408637399696772</v>
      </c>
      <c r="BM638" s="50">
        <v>67.88085479466281</v>
      </c>
      <c r="BN638" s="50">
        <v>68.353072189628961</v>
      </c>
      <c r="BO638" s="50">
        <v>68.825289584595112</v>
      </c>
      <c r="BP638" s="50">
        <v>69.297506979561149</v>
      </c>
      <c r="BQ638" s="50">
        <v>69.7697243745273</v>
      </c>
      <c r="BR638" s="50">
        <v>70.241941769493451</v>
      </c>
      <c r="BS638" s="50">
        <v>70.714159164459488</v>
      </c>
      <c r="BT638" s="50">
        <v>71.186376559425639</v>
      </c>
      <c r="BU638" s="50">
        <v>71.65859395439179</v>
      </c>
      <c r="BV638" s="50">
        <v>72.130811349357828</v>
      </c>
      <c r="BW638" s="50">
        <v>72.603028744323979</v>
      </c>
      <c r="BX638" s="50">
        <v>73.07524613929013</v>
      </c>
      <c r="BY638" s="50">
        <v>73.547463534256167</v>
      </c>
      <c r="BZ638" s="50">
        <v>74.019680929222318</v>
      </c>
      <c r="CA638" s="50">
        <v>74.491898324188469</v>
      </c>
      <c r="CB638" s="50">
        <v>74.964115719154506</v>
      </c>
      <c r="CC638" s="50">
        <v>75.436333114120657</v>
      </c>
      <c r="CD638" s="50">
        <v>75.908550509086808</v>
      </c>
      <c r="CE638" s="50">
        <v>76.380767904052846</v>
      </c>
      <c r="CF638" s="50">
        <v>76.852985299018997</v>
      </c>
      <c r="CG638" s="50">
        <v>77.325202693985148</v>
      </c>
      <c r="CH638" s="50">
        <v>77.797420088951185</v>
      </c>
      <c r="CI638" s="50">
        <v>78.269637483917336</v>
      </c>
      <c r="CJ638" s="50">
        <v>78.741854878883487</v>
      </c>
      <c r="CK638" s="50">
        <v>79.214072273849524</v>
      </c>
      <c r="CL638" s="50">
        <v>79.686289668815675</v>
      </c>
      <c r="CM638" s="50">
        <v>80.158507063781826</v>
      </c>
      <c r="CN638" s="50">
        <v>80.630724458747864</v>
      </c>
    </row>
    <row r="639" spans="1:92" s="44" customFormat="1" x14ac:dyDescent="0.25">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92" x14ac:dyDescent="0.25">
      <c r="A640" s="99" t="s">
        <v>264</v>
      </c>
      <c r="B640" s="4">
        <v>0</v>
      </c>
      <c r="C640" s="4">
        <v>0</v>
      </c>
      <c r="D640" s="4">
        <v>0</v>
      </c>
      <c r="E640" s="4">
        <v>0</v>
      </c>
      <c r="F640" s="4">
        <v>0</v>
      </c>
      <c r="G640" s="4">
        <v>0</v>
      </c>
      <c r="H640" s="4">
        <v>0</v>
      </c>
      <c r="I640" s="4">
        <v>0</v>
      </c>
      <c r="J640" s="4">
        <v>0</v>
      </c>
      <c r="K640" s="4">
        <v>0</v>
      </c>
      <c r="L640" s="4">
        <v>0</v>
      </c>
      <c r="M640" s="4">
        <v>0</v>
      </c>
      <c r="N640" s="4">
        <v>0</v>
      </c>
      <c r="O640" s="4">
        <v>0</v>
      </c>
      <c r="P640" s="4">
        <v>0</v>
      </c>
      <c r="Q640" s="4">
        <v>0</v>
      </c>
      <c r="R640" s="4">
        <v>0</v>
      </c>
      <c r="S640" s="4">
        <v>0</v>
      </c>
      <c r="T640" s="4">
        <v>0</v>
      </c>
      <c r="U640" s="4">
        <v>0</v>
      </c>
      <c r="V640" s="4">
        <v>0</v>
      </c>
      <c r="W640" s="4">
        <v>0</v>
      </c>
      <c r="X640" s="4">
        <v>0</v>
      </c>
      <c r="Y640" s="4">
        <v>0</v>
      </c>
      <c r="Z640" s="4">
        <v>0</v>
      </c>
      <c r="AA640" s="4">
        <v>0</v>
      </c>
      <c r="AB640" s="4">
        <v>0</v>
      </c>
      <c r="AC640" s="4">
        <v>0</v>
      </c>
      <c r="AD640" s="4">
        <v>0</v>
      </c>
      <c r="AE640" s="4">
        <v>0</v>
      </c>
      <c r="AF640">
        <v>7198.3213333333324</v>
      </c>
      <c r="AG640">
        <v>7204.3324999999995</v>
      </c>
      <c r="AH640">
        <v>7210.3436666666666</v>
      </c>
      <c r="AI640">
        <v>7216.3548333333338</v>
      </c>
      <c r="AJ640">
        <v>7222.3660000000009</v>
      </c>
      <c r="AK640">
        <v>7228.3771666666662</v>
      </c>
      <c r="AL640">
        <v>7234.3883333333333</v>
      </c>
      <c r="AM640">
        <v>7240.3995000000004</v>
      </c>
      <c r="AN640">
        <v>7246.4106666666657</v>
      </c>
      <c r="AO640">
        <v>7252.4218333333329</v>
      </c>
      <c r="AP640">
        <v>7258.433</v>
      </c>
      <c r="AQ640">
        <v>7264.4441666666671</v>
      </c>
      <c r="AR640">
        <v>7270.4553333333342</v>
      </c>
      <c r="AS640">
        <v>7276.4664999999995</v>
      </c>
      <c r="AT640">
        <v>7282.4776666666667</v>
      </c>
      <c r="AU640">
        <v>7288.4888333333338</v>
      </c>
      <c r="AV640">
        <v>7294.4999999999991</v>
      </c>
      <c r="AW640">
        <v>7300.5111666666662</v>
      </c>
      <c r="AX640">
        <v>7306.5223333333333</v>
      </c>
      <c r="AY640">
        <v>7312.5335000000005</v>
      </c>
      <c r="AZ640">
        <v>7318.5446666666676</v>
      </c>
      <c r="BA640">
        <v>7324.5558333333329</v>
      </c>
      <c r="BB640">
        <v>7330.567</v>
      </c>
      <c r="BC640">
        <v>7336.5781666666671</v>
      </c>
      <c r="BD640">
        <v>7342.5893333333324</v>
      </c>
      <c r="BE640">
        <v>7348.6004999999996</v>
      </c>
      <c r="BF640">
        <v>7354.6116666666667</v>
      </c>
      <c r="BG640">
        <v>7360.6228333333338</v>
      </c>
      <c r="BH640">
        <v>7366.6340000000009</v>
      </c>
      <c r="BI640">
        <v>7372.6451666666662</v>
      </c>
      <c r="BJ640">
        <v>7378.6563333333334</v>
      </c>
      <c r="BK640">
        <v>7384.6675000000005</v>
      </c>
      <c r="BL640">
        <v>7390.6786666666658</v>
      </c>
      <c r="BM640">
        <v>7396.6898333333329</v>
      </c>
      <c r="BN640">
        <v>7402.701</v>
      </c>
      <c r="BO640">
        <v>7408.7121666666671</v>
      </c>
      <c r="BP640">
        <v>7414.7233333333343</v>
      </c>
      <c r="BQ640">
        <v>7420.7344999999996</v>
      </c>
      <c r="BR640">
        <v>7426.7456666666667</v>
      </c>
      <c r="BS640">
        <v>7432.7568333333338</v>
      </c>
      <c r="BT640">
        <v>7438.7679999999991</v>
      </c>
      <c r="BU640">
        <v>7444.7791666666662</v>
      </c>
      <c r="BV640">
        <v>7450.7903333333334</v>
      </c>
      <c r="BW640">
        <v>7456.8015000000005</v>
      </c>
      <c r="BX640">
        <v>7462.8126666666676</v>
      </c>
      <c r="BY640">
        <v>7468.8238333333329</v>
      </c>
      <c r="BZ640">
        <v>7474.835</v>
      </c>
      <c r="CA640">
        <v>7480.8461666666672</v>
      </c>
      <c r="CB640">
        <v>7486.8573333333325</v>
      </c>
      <c r="CC640">
        <v>7492.8684999999996</v>
      </c>
      <c r="CD640">
        <v>7498.8796666666667</v>
      </c>
      <c r="CE640">
        <v>7504.8908333333338</v>
      </c>
      <c r="CF640">
        <v>7510.902000000001</v>
      </c>
      <c r="CG640">
        <v>7516.9131666666663</v>
      </c>
      <c r="CH640">
        <v>7522.9243333333334</v>
      </c>
      <c r="CI640">
        <v>7528.9355000000005</v>
      </c>
      <c r="CJ640">
        <v>7534.9466666666658</v>
      </c>
      <c r="CK640">
        <v>7540.9578333333329</v>
      </c>
      <c r="CL640">
        <v>7546.9690000000001</v>
      </c>
      <c r="CM640">
        <v>7552.9801666666672</v>
      </c>
      <c r="CN640">
        <v>7558.9913333333343</v>
      </c>
    </row>
    <row r="641" spans="1:92" x14ac:dyDescent="0.25">
      <c r="A641" s="99" t="s">
        <v>1</v>
      </c>
      <c r="B641" s="4">
        <v>0</v>
      </c>
      <c r="C641" s="4">
        <v>0</v>
      </c>
      <c r="D641" s="4">
        <v>0</v>
      </c>
      <c r="E641" s="4">
        <v>0</v>
      </c>
      <c r="F641" s="4">
        <v>0</v>
      </c>
      <c r="G641" s="4">
        <v>0</v>
      </c>
      <c r="H641" s="4">
        <v>0</v>
      </c>
      <c r="I641" s="4">
        <v>0</v>
      </c>
      <c r="J641" s="4">
        <v>0</v>
      </c>
      <c r="K641" s="4">
        <v>0</v>
      </c>
      <c r="L641" s="4">
        <v>0</v>
      </c>
      <c r="M641" s="4">
        <v>0</v>
      </c>
      <c r="N641" s="4">
        <v>0</v>
      </c>
      <c r="O641" s="4">
        <v>0</v>
      </c>
      <c r="P641" s="4">
        <v>0</v>
      </c>
      <c r="Q641" s="4">
        <v>0</v>
      </c>
      <c r="R641" s="4">
        <v>0</v>
      </c>
      <c r="S641" s="4">
        <v>0</v>
      </c>
      <c r="T641" s="4">
        <v>0</v>
      </c>
      <c r="U641" s="4">
        <v>0</v>
      </c>
      <c r="V641" s="4">
        <v>0</v>
      </c>
      <c r="W641" s="4">
        <v>0</v>
      </c>
      <c r="X641" s="4">
        <v>0</v>
      </c>
      <c r="Y641" s="4">
        <v>0</v>
      </c>
      <c r="Z641" s="4">
        <v>0</v>
      </c>
      <c r="AA641" s="4">
        <v>0</v>
      </c>
      <c r="AB641" s="4">
        <v>0</v>
      </c>
      <c r="AC641" s="4">
        <v>0</v>
      </c>
      <c r="AD641" s="4">
        <v>0</v>
      </c>
      <c r="AE641" s="4">
        <v>0</v>
      </c>
      <c r="AF641">
        <v>14412.486666666693</v>
      </c>
      <c r="AG641">
        <v>14067.154166666674</v>
      </c>
      <c r="AH641">
        <v>13721.821666666656</v>
      </c>
      <c r="AI641">
        <v>13376.489166666637</v>
      </c>
      <c r="AJ641">
        <v>13031.156666666619</v>
      </c>
      <c r="AK641">
        <v>12685.824166666716</v>
      </c>
      <c r="AL641">
        <v>12340.491666666698</v>
      </c>
      <c r="AM641">
        <v>11995.159166666679</v>
      </c>
      <c r="AN641">
        <v>11649.82666666666</v>
      </c>
      <c r="AO641">
        <v>11304.494166666642</v>
      </c>
      <c r="AP641">
        <v>10959.161666666623</v>
      </c>
      <c r="AQ641">
        <v>10613.829166666721</v>
      </c>
      <c r="AR641">
        <v>10268.496666666702</v>
      </c>
      <c r="AS641">
        <v>9923.1641666666837</v>
      </c>
      <c r="AT641">
        <v>9577.8316666666651</v>
      </c>
      <c r="AU641">
        <v>9232.4991666666465</v>
      </c>
      <c r="AV641">
        <v>8887.1666666666279</v>
      </c>
      <c r="AW641">
        <v>8541.8341666666092</v>
      </c>
      <c r="AX641">
        <v>8196.501666666707</v>
      </c>
      <c r="AY641">
        <v>7851.1691666666884</v>
      </c>
      <c r="AZ641">
        <v>7505.8366666666698</v>
      </c>
      <c r="BA641">
        <v>7160.5041666666511</v>
      </c>
      <c r="BB641">
        <v>6815.1716666666325</v>
      </c>
      <c r="BC641">
        <v>6469.8391666666139</v>
      </c>
      <c r="BD641">
        <v>6124.5066666667117</v>
      </c>
      <c r="BE641">
        <v>5779.1741666666931</v>
      </c>
      <c r="BF641">
        <v>5433.8416666666744</v>
      </c>
      <c r="BG641">
        <v>5088.5091666666558</v>
      </c>
      <c r="BH641">
        <v>4743.1766666666372</v>
      </c>
      <c r="BI641">
        <v>4397.8441666666185</v>
      </c>
      <c r="BJ641">
        <v>4052.5116666667163</v>
      </c>
      <c r="BK641">
        <v>3707.1791666666977</v>
      </c>
      <c r="BL641">
        <v>3361.8466666666791</v>
      </c>
      <c r="BM641">
        <v>3016.5141666666605</v>
      </c>
      <c r="BN641">
        <v>2671.1816666666418</v>
      </c>
      <c r="BO641">
        <v>2325.8491666666232</v>
      </c>
      <c r="BP641">
        <v>1980.5166666666046</v>
      </c>
      <c r="BQ641">
        <v>1635.1841666667024</v>
      </c>
      <c r="BR641">
        <v>1289.8516666666837</v>
      </c>
      <c r="BS641">
        <v>944.51916666666511</v>
      </c>
      <c r="BT641">
        <v>599.18666666664649</v>
      </c>
      <c r="BU641">
        <v>944.51916666666511</v>
      </c>
      <c r="BV641">
        <v>829.40833333332557</v>
      </c>
      <c r="BW641">
        <v>791.03805555554572</v>
      </c>
      <c r="BX641">
        <v>854.98851851851214</v>
      </c>
      <c r="BY641">
        <v>825.14496913579444</v>
      </c>
      <c r="BZ641">
        <v>823.72384773661736</v>
      </c>
      <c r="CA641">
        <v>834.61911179697461</v>
      </c>
      <c r="CB641">
        <v>827.82930955646214</v>
      </c>
      <c r="CC641">
        <v>828.7240896966847</v>
      </c>
      <c r="CD641">
        <v>830.39083701670722</v>
      </c>
      <c r="CE641">
        <v>828.98141208995139</v>
      </c>
      <c r="CF641">
        <v>829.36544626778107</v>
      </c>
      <c r="CG641">
        <v>829.57923179147986</v>
      </c>
      <c r="CH641">
        <v>829.30869671640403</v>
      </c>
      <c r="CI641">
        <v>829.41779159188843</v>
      </c>
      <c r="CJ641">
        <v>829.4352400332574</v>
      </c>
      <c r="CK641">
        <v>829.38724278051666</v>
      </c>
      <c r="CL641">
        <v>829.41342480188757</v>
      </c>
      <c r="CM641">
        <v>829.41196920522054</v>
      </c>
      <c r="CN641">
        <v>829.40421226254159</v>
      </c>
    </row>
    <row r="642" spans="1:92" x14ac:dyDescent="0.25">
      <c r="A642" s="99" t="s">
        <v>1</v>
      </c>
      <c r="B642" s="4">
        <v>0</v>
      </c>
      <c r="C642" s="4">
        <v>0</v>
      </c>
      <c r="D642" s="4">
        <v>0</v>
      </c>
      <c r="E642" s="4">
        <v>0</v>
      </c>
      <c r="F642" s="4">
        <v>0</v>
      </c>
      <c r="G642" s="4">
        <v>0</v>
      </c>
      <c r="H642" s="4">
        <v>0</v>
      </c>
      <c r="I642" s="4">
        <v>0</v>
      </c>
      <c r="J642" s="4">
        <v>0</v>
      </c>
      <c r="K642" s="4">
        <v>0</v>
      </c>
      <c r="L642" s="4">
        <v>0</v>
      </c>
      <c r="M642" s="4">
        <v>0</v>
      </c>
      <c r="N642" s="4">
        <v>0</v>
      </c>
      <c r="O642" s="4">
        <v>0</v>
      </c>
      <c r="P642" s="4">
        <v>0</v>
      </c>
      <c r="Q642" s="4">
        <v>0</v>
      </c>
      <c r="R642" s="4">
        <v>0</v>
      </c>
      <c r="S642" s="4">
        <v>0</v>
      </c>
      <c r="T642" s="4">
        <v>0</v>
      </c>
      <c r="U642" s="4">
        <v>0</v>
      </c>
      <c r="V642" s="4">
        <v>0</v>
      </c>
      <c r="W642" s="4">
        <v>0</v>
      </c>
      <c r="X642" s="4">
        <v>0</v>
      </c>
      <c r="Y642" s="4">
        <v>0</v>
      </c>
      <c r="Z642" s="4">
        <v>0</v>
      </c>
      <c r="AA642" s="4">
        <v>0</v>
      </c>
      <c r="AB642" s="4">
        <v>0</v>
      </c>
      <c r="AC642" s="4">
        <v>0</v>
      </c>
      <c r="AD642" s="4">
        <v>0</v>
      </c>
      <c r="AE642" s="4">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row>
    <row r="643" spans="1:92" x14ac:dyDescent="0.25">
      <c r="A643" s="99" t="s">
        <v>1</v>
      </c>
      <c r="B643" s="4">
        <v>0</v>
      </c>
      <c r="C643" s="4">
        <v>0</v>
      </c>
      <c r="D643" s="4">
        <v>0</v>
      </c>
      <c r="E643" s="4">
        <v>0</v>
      </c>
      <c r="F643" s="4">
        <v>0</v>
      </c>
      <c r="G643" s="4">
        <v>0</v>
      </c>
      <c r="H643" s="4">
        <v>0</v>
      </c>
      <c r="I643" s="4">
        <v>0</v>
      </c>
      <c r="J643" s="4">
        <v>0</v>
      </c>
      <c r="K643" s="4">
        <v>0</v>
      </c>
      <c r="L643" s="4">
        <v>0</v>
      </c>
      <c r="M643" s="4">
        <v>0</v>
      </c>
      <c r="N643" s="4">
        <v>0</v>
      </c>
      <c r="O643" s="4">
        <v>0</v>
      </c>
      <c r="P643" s="4">
        <v>0</v>
      </c>
      <c r="Q643" s="4">
        <v>0</v>
      </c>
      <c r="R643" s="4">
        <v>0</v>
      </c>
      <c r="S643" s="4">
        <v>0</v>
      </c>
      <c r="T643" s="4">
        <v>0</v>
      </c>
      <c r="U643" s="4">
        <v>0</v>
      </c>
      <c r="V643" s="4">
        <v>0</v>
      </c>
      <c r="W643" s="4">
        <v>0</v>
      </c>
      <c r="X643" s="4">
        <v>0</v>
      </c>
      <c r="Y643" s="4">
        <v>0</v>
      </c>
      <c r="Z643" s="4">
        <v>0</v>
      </c>
      <c r="AA643" s="4">
        <v>0</v>
      </c>
      <c r="AB643" s="4">
        <v>0</v>
      </c>
      <c r="AC643" s="4">
        <v>0</v>
      </c>
      <c r="AD643" s="4">
        <v>0</v>
      </c>
      <c r="AE643" s="4">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0</v>
      </c>
      <c r="CC643">
        <v>0</v>
      </c>
      <c r="CD643">
        <v>0</v>
      </c>
      <c r="CE643">
        <v>0</v>
      </c>
      <c r="CF643">
        <v>0</v>
      </c>
      <c r="CG643">
        <v>0</v>
      </c>
      <c r="CH643">
        <v>0</v>
      </c>
      <c r="CI643">
        <v>0</v>
      </c>
      <c r="CJ643">
        <v>0</v>
      </c>
      <c r="CK643">
        <v>0</v>
      </c>
      <c r="CL643">
        <v>0</v>
      </c>
      <c r="CM643">
        <v>0</v>
      </c>
      <c r="CN643">
        <v>0</v>
      </c>
    </row>
    <row r="644" spans="1:92" x14ac:dyDescent="0.25">
      <c r="A644" s="99" t="s">
        <v>1</v>
      </c>
      <c r="B644" s="4">
        <v>0</v>
      </c>
      <c r="C644" s="4">
        <v>0</v>
      </c>
      <c r="D644" s="4">
        <v>0</v>
      </c>
      <c r="E644" s="4">
        <v>0</v>
      </c>
      <c r="F644" s="4">
        <v>0</v>
      </c>
      <c r="G644" s="4">
        <v>0</v>
      </c>
      <c r="H644" s="4">
        <v>0</v>
      </c>
      <c r="I644" s="4">
        <v>0</v>
      </c>
      <c r="J644" s="4">
        <v>0</v>
      </c>
      <c r="K644" s="4">
        <v>0</v>
      </c>
      <c r="L644" s="4">
        <v>0</v>
      </c>
      <c r="M644" s="4">
        <v>0</v>
      </c>
      <c r="N644" s="4">
        <v>0</v>
      </c>
      <c r="O644" s="4">
        <v>0</v>
      </c>
      <c r="P644" s="4">
        <v>0</v>
      </c>
      <c r="Q644" s="4">
        <v>0</v>
      </c>
      <c r="R644" s="4">
        <v>0</v>
      </c>
      <c r="S644" s="4">
        <v>0</v>
      </c>
      <c r="T644" s="4">
        <v>0</v>
      </c>
      <c r="U644" s="4">
        <v>0</v>
      </c>
      <c r="V644" s="4">
        <v>0</v>
      </c>
      <c r="W644" s="4">
        <v>0</v>
      </c>
      <c r="X644" s="4">
        <v>0</v>
      </c>
      <c r="Y644" s="4">
        <v>0</v>
      </c>
      <c r="Z644" s="4">
        <v>0</v>
      </c>
      <c r="AA644" s="4">
        <v>0</v>
      </c>
      <c r="AB644" s="4">
        <v>0</v>
      </c>
      <c r="AC644" s="4">
        <v>0</v>
      </c>
      <c r="AD644" s="4">
        <v>0</v>
      </c>
      <c r="AE644" s="4">
        <v>0</v>
      </c>
      <c r="AF644">
        <v>4154.9013333333423</v>
      </c>
      <c r="AG644">
        <v>4384.2783333333209</v>
      </c>
      <c r="AH644">
        <v>4613.6553333332995</v>
      </c>
      <c r="AI644">
        <v>4843.0323333333363</v>
      </c>
      <c r="AJ644">
        <v>5072.4093333333149</v>
      </c>
      <c r="AK644">
        <v>5301.7863333332934</v>
      </c>
      <c r="AL644">
        <v>5531.1633333333302</v>
      </c>
      <c r="AM644">
        <v>5760.5403333333088</v>
      </c>
      <c r="AN644">
        <v>5989.9173333333456</v>
      </c>
      <c r="AO644">
        <v>6219.2943333333242</v>
      </c>
      <c r="AP644">
        <v>6448.6713333333028</v>
      </c>
      <c r="AQ644">
        <v>6678.0483333333395</v>
      </c>
      <c r="AR644">
        <v>6907.4253333333181</v>
      </c>
      <c r="AS644">
        <v>7136.8023333332967</v>
      </c>
      <c r="AT644">
        <v>7366.1793333333335</v>
      </c>
      <c r="AU644">
        <v>7595.5563333333121</v>
      </c>
      <c r="AV644">
        <v>7824.9333333332906</v>
      </c>
      <c r="AW644">
        <v>8054.3103333333274</v>
      </c>
      <c r="AX644">
        <v>8283.687333333306</v>
      </c>
      <c r="AY644">
        <v>8513.0643333333428</v>
      </c>
      <c r="AZ644">
        <v>8742.4413333333214</v>
      </c>
      <c r="BA644">
        <v>8971.8183333333</v>
      </c>
      <c r="BB644">
        <v>9201.1953333333367</v>
      </c>
      <c r="BC644">
        <v>9430.5723333333153</v>
      </c>
      <c r="BD644">
        <v>9659.9493333332939</v>
      </c>
      <c r="BE644">
        <v>9889.3263333333307</v>
      </c>
      <c r="BF644">
        <v>10118.703333333309</v>
      </c>
      <c r="BG644">
        <v>10348.080333333346</v>
      </c>
      <c r="BH644">
        <v>10577.457333333325</v>
      </c>
      <c r="BI644">
        <v>10806.834333333303</v>
      </c>
      <c r="BJ644">
        <v>11036.21133333334</v>
      </c>
      <c r="BK644">
        <v>11265.588333333319</v>
      </c>
      <c r="BL644">
        <v>11494.965333333297</v>
      </c>
      <c r="BM644">
        <v>11724.342333333334</v>
      </c>
      <c r="BN644">
        <v>11953.719333333313</v>
      </c>
      <c r="BO644">
        <v>12183.096333333291</v>
      </c>
      <c r="BP644">
        <v>12412.473333333328</v>
      </c>
      <c r="BQ644">
        <v>12641.850333333306</v>
      </c>
      <c r="BR644">
        <v>12871.227333333343</v>
      </c>
      <c r="BS644">
        <v>13100.604333333322</v>
      </c>
      <c r="BT644">
        <v>13329.9813333333</v>
      </c>
      <c r="BU644">
        <v>13559.358333333337</v>
      </c>
      <c r="BV644">
        <v>13788.735333333316</v>
      </c>
      <c r="BW644">
        <v>14018.112333333294</v>
      </c>
      <c r="BX644">
        <v>14247.489333333331</v>
      </c>
      <c r="BY644">
        <v>14476.86633333331</v>
      </c>
      <c r="BZ644">
        <v>14706.243333333347</v>
      </c>
      <c r="CA644">
        <v>14935.620333333325</v>
      </c>
      <c r="CB644">
        <v>15164.997333333304</v>
      </c>
      <c r="CC644">
        <v>15394.37433333334</v>
      </c>
      <c r="CD644">
        <v>15623.751333333319</v>
      </c>
      <c r="CE644">
        <v>15853.128333333298</v>
      </c>
      <c r="CF644">
        <v>16082.505333333334</v>
      </c>
      <c r="CG644">
        <v>16311.882333333313</v>
      </c>
      <c r="CH644">
        <v>16541.25933333335</v>
      </c>
      <c r="CI644">
        <v>16770.636333333328</v>
      </c>
      <c r="CJ644">
        <v>17000.013333333307</v>
      </c>
      <c r="CK644">
        <v>17229.390333333344</v>
      </c>
      <c r="CL644">
        <v>17458.767333333322</v>
      </c>
      <c r="CM644">
        <v>17688.144333333301</v>
      </c>
      <c r="CN644">
        <v>17917.521333333338</v>
      </c>
    </row>
    <row r="645" spans="1:92" x14ac:dyDescent="0.25">
      <c r="A645" s="99" t="s">
        <v>1</v>
      </c>
      <c r="B645" s="4">
        <v>0</v>
      </c>
      <c r="C645" s="4">
        <v>0</v>
      </c>
      <c r="D645" s="4">
        <v>0</v>
      </c>
      <c r="E645" s="4">
        <v>0</v>
      </c>
      <c r="F645" s="4">
        <v>0</v>
      </c>
      <c r="G645" s="4">
        <v>0</v>
      </c>
      <c r="H645" s="4">
        <v>0</v>
      </c>
      <c r="I645" s="4">
        <v>0</v>
      </c>
      <c r="J645" s="4">
        <v>0</v>
      </c>
      <c r="K645" s="4">
        <v>0</v>
      </c>
      <c r="L645" s="4">
        <v>0</v>
      </c>
      <c r="M645" s="4">
        <v>0</v>
      </c>
      <c r="N645" s="4">
        <v>0</v>
      </c>
      <c r="O645" s="4">
        <v>0</v>
      </c>
      <c r="P645" s="4">
        <v>0</v>
      </c>
      <c r="Q645" s="4">
        <v>0</v>
      </c>
      <c r="R645" s="4">
        <v>0</v>
      </c>
      <c r="S645" s="4">
        <v>0</v>
      </c>
      <c r="T645" s="4">
        <v>0</v>
      </c>
      <c r="U645" s="4">
        <v>0</v>
      </c>
      <c r="V645" s="4">
        <v>0</v>
      </c>
      <c r="W645" s="4">
        <v>0</v>
      </c>
      <c r="X645" s="4">
        <v>0</v>
      </c>
      <c r="Y645" s="4">
        <v>0</v>
      </c>
      <c r="Z645" s="4">
        <v>0</v>
      </c>
      <c r="AA645" s="4">
        <v>0</v>
      </c>
      <c r="AB645" s="4">
        <v>0</v>
      </c>
      <c r="AC645" s="4">
        <v>0</v>
      </c>
      <c r="AD645" s="4">
        <v>0</v>
      </c>
      <c r="AE645" s="4">
        <v>0</v>
      </c>
      <c r="AF645">
        <v>7.6986666666666679</v>
      </c>
      <c r="AG645">
        <v>8.0883333333333667</v>
      </c>
      <c r="AH645">
        <v>8.4780000000000655</v>
      </c>
      <c r="AI645">
        <v>8.8676666666666506</v>
      </c>
      <c r="AJ645">
        <v>9.2573333333333494</v>
      </c>
      <c r="AK645">
        <v>9.6470000000000482</v>
      </c>
      <c r="AL645">
        <v>10.036666666666747</v>
      </c>
      <c r="AM645">
        <v>10.426333333333332</v>
      </c>
      <c r="AN645">
        <v>10.816000000000031</v>
      </c>
      <c r="AO645">
        <v>11.20566666666673</v>
      </c>
      <c r="AP645">
        <v>11.595333333333429</v>
      </c>
      <c r="AQ645">
        <v>11.985000000000014</v>
      </c>
      <c r="AR645">
        <v>12.374666666666712</v>
      </c>
      <c r="AS645">
        <v>12.764333333333411</v>
      </c>
      <c r="AT645">
        <v>13.153999999999996</v>
      </c>
      <c r="AU645">
        <v>13.543666666666695</v>
      </c>
      <c r="AV645">
        <v>13.933333333333394</v>
      </c>
      <c r="AW645">
        <v>14.323000000000093</v>
      </c>
      <c r="AX645">
        <v>14.712666666666678</v>
      </c>
      <c r="AY645">
        <v>15.102333333333377</v>
      </c>
      <c r="AZ645">
        <v>15.492000000000075</v>
      </c>
      <c r="BA645">
        <v>15.881666666666661</v>
      </c>
      <c r="BB645">
        <v>16.271333333333359</v>
      </c>
      <c r="BC645">
        <v>16.661000000000058</v>
      </c>
      <c r="BD645">
        <v>17.050666666666757</v>
      </c>
      <c r="BE645">
        <v>17.440333333333342</v>
      </c>
      <c r="BF645">
        <v>17.830000000000041</v>
      </c>
      <c r="BG645">
        <v>18.21966666666674</v>
      </c>
      <c r="BH645">
        <v>18.609333333333325</v>
      </c>
      <c r="BI645">
        <v>18.999000000000024</v>
      </c>
      <c r="BJ645">
        <v>19.388666666666722</v>
      </c>
      <c r="BK645">
        <v>19.778333333333421</v>
      </c>
      <c r="BL645">
        <v>20.168000000000006</v>
      </c>
      <c r="BM645">
        <v>20.557666666666705</v>
      </c>
      <c r="BN645">
        <v>20.947333333333404</v>
      </c>
      <c r="BO645">
        <v>21.336999999999989</v>
      </c>
      <c r="BP645">
        <v>21.726666666666688</v>
      </c>
      <c r="BQ645">
        <v>22.116333333333387</v>
      </c>
      <c r="BR645">
        <v>22.506000000000085</v>
      </c>
      <c r="BS645">
        <v>22.895666666666671</v>
      </c>
      <c r="BT645">
        <v>23.285333333333369</v>
      </c>
      <c r="BU645">
        <v>23.675000000000068</v>
      </c>
      <c r="BV645">
        <v>24.064666666666653</v>
      </c>
      <c r="BW645">
        <v>24.454333333333352</v>
      </c>
      <c r="BX645">
        <v>24.844000000000051</v>
      </c>
      <c r="BY645">
        <v>25.23366666666675</v>
      </c>
      <c r="BZ645">
        <v>25.623333333333335</v>
      </c>
      <c r="CA645">
        <v>26.013000000000034</v>
      </c>
      <c r="CB645">
        <v>26.402666666666732</v>
      </c>
      <c r="CC645">
        <v>26.792333333333431</v>
      </c>
      <c r="CD645">
        <v>27.182000000000016</v>
      </c>
      <c r="CE645">
        <v>27.571666666666715</v>
      </c>
      <c r="CF645">
        <v>27.961333333333414</v>
      </c>
      <c r="CG645">
        <v>28.350999999999999</v>
      </c>
      <c r="CH645">
        <v>28.740666666666698</v>
      </c>
      <c r="CI645">
        <v>29.130333333333397</v>
      </c>
      <c r="CJ645">
        <v>29.520000000000095</v>
      </c>
      <c r="CK645">
        <v>29.909666666666681</v>
      </c>
      <c r="CL645">
        <v>30.299333333333379</v>
      </c>
      <c r="CM645">
        <v>30.689000000000078</v>
      </c>
      <c r="CN645">
        <v>31.078666666666663</v>
      </c>
    </row>
    <row r="646" spans="1:92" x14ac:dyDescent="0.25">
      <c r="A646" s="99"/>
    </row>
    <row r="647" spans="1:92" x14ac:dyDescent="0.25">
      <c r="A647" s="99" t="s">
        <v>265</v>
      </c>
      <c r="B647" s="4">
        <v>0</v>
      </c>
      <c r="C647" s="4">
        <v>0</v>
      </c>
      <c r="D647" s="4">
        <v>0</v>
      </c>
      <c r="E647" s="4">
        <v>0</v>
      </c>
      <c r="F647" s="4">
        <v>0</v>
      </c>
      <c r="G647" s="4">
        <v>0</v>
      </c>
      <c r="H647" s="4">
        <v>0</v>
      </c>
      <c r="I647" s="4">
        <v>0</v>
      </c>
      <c r="J647" s="4">
        <v>0</v>
      </c>
      <c r="K647" s="4">
        <v>0</v>
      </c>
      <c r="L647" s="4">
        <v>0</v>
      </c>
      <c r="M647" s="4">
        <v>0</v>
      </c>
      <c r="N647" s="4">
        <v>0</v>
      </c>
      <c r="O647" s="4">
        <v>0</v>
      </c>
      <c r="P647" s="4">
        <v>0</v>
      </c>
      <c r="Q647" s="4">
        <v>0</v>
      </c>
      <c r="R647" s="4">
        <v>0</v>
      </c>
      <c r="S647" s="4">
        <v>0</v>
      </c>
      <c r="T647" s="4">
        <v>0</v>
      </c>
      <c r="U647" s="4">
        <v>0</v>
      </c>
      <c r="V647" s="4">
        <v>0</v>
      </c>
      <c r="W647" s="4">
        <v>0</v>
      </c>
      <c r="X647" s="4">
        <v>0</v>
      </c>
      <c r="Y647" s="4">
        <v>0</v>
      </c>
      <c r="Z647" s="4">
        <v>0</v>
      </c>
      <c r="AA647" s="4">
        <v>0</v>
      </c>
      <c r="AB647" s="4">
        <v>0</v>
      </c>
      <c r="AC647" s="4">
        <v>0</v>
      </c>
      <c r="AD647" s="4">
        <v>0</v>
      </c>
      <c r="AE647" s="4">
        <v>0</v>
      </c>
      <c r="AF647">
        <v>-42.335999999999331</v>
      </c>
      <c r="AG647">
        <v>-37.798333333334085</v>
      </c>
      <c r="AH647">
        <v>-33.260666666667021</v>
      </c>
      <c r="AI647">
        <v>-28.722999999999956</v>
      </c>
      <c r="AJ647">
        <v>-24.185333333332892</v>
      </c>
      <c r="AK647">
        <v>-19.647666666665828</v>
      </c>
      <c r="AL647">
        <v>-15.110000000000582</v>
      </c>
      <c r="AM647">
        <v>-10.572333333333518</v>
      </c>
      <c r="AN647">
        <v>-6.0346666666664532</v>
      </c>
      <c r="AO647">
        <v>-1.4969999999993888</v>
      </c>
      <c r="AP647">
        <v>3.0406666666658566</v>
      </c>
      <c r="AQ647">
        <v>7.578333333332921</v>
      </c>
      <c r="AR647">
        <v>12.115999999999985</v>
      </c>
      <c r="AS647">
        <v>16.65366666666705</v>
      </c>
      <c r="AT647">
        <v>21.191333333334114</v>
      </c>
      <c r="AU647">
        <v>25.72899999999936</v>
      </c>
      <c r="AV647">
        <v>30.266666666666424</v>
      </c>
      <c r="AW647">
        <v>34.804333333333489</v>
      </c>
      <c r="AX647">
        <v>39.342000000000553</v>
      </c>
      <c r="AY647">
        <v>43.879666666667617</v>
      </c>
      <c r="AZ647">
        <v>48.417333333332863</v>
      </c>
      <c r="BA647">
        <v>52.954999999999927</v>
      </c>
      <c r="BB647">
        <v>57.492666666666992</v>
      </c>
      <c r="BC647">
        <v>62.030333333334056</v>
      </c>
      <c r="BD647">
        <v>66.567999999999302</v>
      </c>
      <c r="BE647">
        <v>71.105666666666366</v>
      </c>
      <c r="BF647">
        <v>75.64333333333343</v>
      </c>
      <c r="BG647">
        <v>80.181000000000495</v>
      </c>
      <c r="BH647">
        <v>84.718666666667559</v>
      </c>
      <c r="BI647">
        <v>89.256333333332805</v>
      </c>
      <c r="BJ647">
        <v>93.793999999999869</v>
      </c>
      <c r="BK647">
        <v>98.331666666666933</v>
      </c>
      <c r="BL647">
        <v>102.869333333334</v>
      </c>
      <c r="BM647">
        <v>107.40699999999924</v>
      </c>
      <c r="BN647">
        <v>111.94466666666631</v>
      </c>
      <c r="BO647">
        <v>116.48233333333337</v>
      </c>
      <c r="BP647">
        <v>121.02000000000044</v>
      </c>
      <c r="BQ647">
        <v>125.5576666666675</v>
      </c>
      <c r="BR647">
        <v>130.09533333333275</v>
      </c>
      <c r="BS647">
        <v>134.63299999999981</v>
      </c>
      <c r="BT647">
        <v>139.17066666666688</v>
      </c>
      <c r="BU647">
        <v>143.70833333333394</v>
      </c>
      <c r="BV647">
        <v>148.246000000001</v>
      </c>
      <c r="BW647">
        <v>152.78366666666625</v>
      </c>
      <c r="BX647">
        <v>157.32133333333331</v>
      </c>
      <c r="BY647">
        <v>161.85900000000038</v>
      </c>
      <c r="BZ647">
        <v>166.39666666666744</v>
      </c>
      <c r="CA647">
        <v>170.93433333333269</v>
      </c>
      <c r="CB647">
        <v>175.47199999999975</v>
      </c>
      <c r="CC647">
        <v>180.00966666666682</v>
      </c>
      <c r="CD647">
        <v>184.54733333333388</v>
      </c>
      <c r="CE647">
        <v>189.08500000000095</v>
      </c>
      <c r="CF647">
        <v>193.62266666666619</v>
      </c>
      <c r="CG647">
        <v>198.16033333333326</v>
      </c>
      <c r="CH647">
        <v>202.69800000000032</v>
      </c>
      <c r="CI647">
        <v>207.23566666666738</v>
      </c>
      <c r="CJ647">
        <v>211.77333333333263</v>
      </c>
      <c r="CK647">
        <v>216.31099999999969</v>
      </c>
      <c r="CL647">
        <v>220.84866666666676</v>
      </c>
      <c r="CM647">
        <v>225.38633333333382</v>
      </c>
      <c r="CN647">
        <v>229.92400000000089</v>
      </c>
    </row>
    <row r="648" spans="1:92" x14ac:dyDescent="0.25">
      <c r="A648" s="99"/>
    </row>
    <row r="649" spans="1:92" s="50" customFormat="1" x14ac:dyDescent="0.25">
      <c r="A649" s="99" t="s">
        <v>266</v>
      </c>
      <c r="B649" s="4">
        <v>0</v>
      </c>
      <c r="C649" s="4">
        <v>0</v>
      </c>
      <c r="D649" s="4">
        <v>0</v>
      </c>
      <c r="E649" s="4">
        <v>0</v>
      </c>
      <c r="F649" s="4">
        <v>0</v>
      </c>
      <c r="G649" s="4">
        <v>0</v>
      </c>
      <c r="H649" s="4">
        <v>0</v>
      </c>
      <c r="I649" s="4">
        <v>0</v>
      </c>
      <c r="J649" s="4">
        <v>0</v>
      </c>
      <c r="K649" s="4">
        <v>0</v>
      </c>
      <c r="L649" s="4">
        <v>0</v>
      </c>
      <c r="M649" s="4">
        <v>0</v>
      </c>
      <c r="N649" s="4">
        <v>0</v>
      </c>
      <c r="O649" s="4">
        <v>0</v>
      </c>
      <c r="P649" s="4">
        <v>0</v>
      </c>
      <c r="Q649" s="4">
        <v>0</v>
      </c>
      <c r="R649" s="4">
        <v>0</v>
      </c>
      <c r="S649" s="4">
        <v>0</v>
      </c>
      <c r="T649" s="4">
        <v>0</v>
      </c>
      <c r="U649" s="4">
        <v>0</v>
      </c>
      <c r="V649" s="4">
        <v>0</v>
      </c>
      <c r="W649" s="4">
        <v>0</v>
      </c>
      <c r="X649" s="4">
        <v>0</v>
      </c>
      <c r="Y649" s="4">
        <v>0</v>
      </c>
      <c r="Z649" s="4">
        <v>0</v>
      </c>
      <c r="AA649" s="4">
        <v>0</v>
      </c>
      <c r="AB649" s="4">
        <v>0</v>
      </c>
      <c r="AC649" s="4">
        <v>0</v>
      </c>
      <c r="AD649" s="4">
        <v>0</v>
      </c>
      <c r="AE649" s="4">
        <v>0</v>
      </c>
      <c r="AF649" s="50">
        <v>26.402952232549563</v>
      </c>
      <c r="AG649" s="50">
        <v>26.397468326767303</v>
      </c>
      <c r="AH649" s="50">
        <v>26.39198442098504</v>
      </c>
      <c r="AI649" s="50">
        <v>26.386500515202776</v>
      </c>
      <c r="AJ649" s="50">
        <v>26.381016609420517</v>
      </c>
      <c r="AK649" s="50">
        <v>26.375532703638257</v>
      </c>
      <c r="AL649" s="50">
        <v>26.370048797855993</v>
      </c>
      <c r="AM649" s="50">
        <v>26.36456489207373</v>
      </c>
      <c r="AN649" s="50">
        <v>26.35908098629147</v>
      </c>
      <c r="AO649" s="50">
        <v>26.353597080509211</v>
      </c>
      <c r="AP649" s="50">
        <v>26.348113174726947</v>
      </c>
      <c r="AQ649" s="50">
        <v>26.342629268944684</v>
      </c>
      <c r="AR649" s="50">
        <v>26.337145363162424</v>
      </c>
      <c r="AS649" s="50">
        <v>26.331661457380164</v>
      </c>
      <c r="AT649" s="50">
        <v>26.326177551597901</v>
      </c>
      <c r="AU649" s="50">
        <v>26.320693645815638</v>
      </c>
      <c r="AV649" s="50">
        <v>26.315209740033378</v>
      </c>
      <c r="AW649" s="50">
        <v>26.309725834251118</v>
      </c>
      <c r="AX649" s="50">
        <v>26.304241928468855</v>
      </c>
      <c r="AY649" s="50">
        <v>26.298758022686592</v>
      </c>
      <c r="AZ649" s="50">
        <v>26.293274116904332</v>
      </c>
      <c r="BA649" s="50">
        <v>26.287790211122072</v>
      </c>
      <c r="BB649" s="50">
        <v>26.282306305339809</v>
      </c>
      <c r="BC649" s="50">
        <v>26.276822399557545</v>
      </c>
      <c r="BD649" s="50">
        <v>26.271338493775286</v>
      </c>
      <c r="BE649" s="50">
        <v>26.265854587993026</v>
      </c>
      <c r="BF649" s="50">
        <v>26.260370682210763</v>
      </c>
      <c r="BG649" s="50">
        <v>26.254886776428499</v>
      </c>
      <c r="BH649" s="50">
        <v>26.249402870646239</v>
      </c>
      <c r="BI649" s="50">
        <v>26.24391896486398</v>
      </c>
      <c r="BJ649" s="50">
        <v>26.238435059081716</v>
      </c>
      <c r="BK649" s="50">
        <v>26.232951153299453</v>
      </c>
      <c r="BL649" s="50">
        <v>26.227467247517193</v>
      </c>
      <c r="BM649" s="50">
        <v>26.221983341734934</v>
      </c>
      <c r="BN649" s="50">
        <v>26.21649943595267</v>
      </c>
      <c r="BO649" s="50">
        <v>26.211015530170407</v>
      </c>
      <c r="BP649" s="50">
        <v>26.205531624388147</v>
      </c>
      <c r="BQ649" s="50">
        <v>26.200047718605887</v>
      </c>
      <c r="BR649" s="50">
        <v>26.194563812823624</v>
      </c>
      <c r="BS649" s="50">
        <v>26.189079907041361</v>
      </c>
      <c r="BT649" s="50">
        <v>26.183596001259101</v>
      </c>
      <c r="BU649" s="50">
        <v>26.178112095476841</v>
      </c>
      <c r="BV649" s="50">
        <v>26.172628189694578</v>
      </c>
      <c r="BW649" s="50">
        <v>26.167144283912315</v>
      </c>
      <c r="BX649" s="50">
        <v>26.161660378130055</v>
      </c>
      <c r="BY649" s="50">
        <v>26.156176472347795</v>
      </c>
      <c r="BZ649" s="50">
        <v>26.150692566565532</v>
      </c>
      <c r="CA649" s="50">
        <v>26.145208660783268</v>
      </c>
      <c r="CB649" s="50">
        <v>26.139724755001009</v>
      </c>
      <c r="CC649" s="50">
        <v>26.134240849218749</v>
      </c>
      <c r="CD649" s="50">
        <v>26.128756943436485</v>
      </c>
      <c r="CE649" s="50">
        <v>26.123273037654222</v>
      </c>
      <c r="CF649" s="50">
        <v>26.117789131871962</v>
      </c>
      <c r="CG649" s="50">
        <v>26.112305226089703</v>
      </c>
      <c r="CH649" s="50">
        <v>26.106821320307439</v>
      </c>
      <c r="CI649" s="50">
        <v>26.101337414525176</v>
      </c>
      <c r="CJ649" s="50">
        <v>26.095853508742916</v>
      </c>
      <c r="CK649" s="50">
        <v>26.090369602960656</v>
      </c>
      <c r="CL649" s="50">
        <v>26.084885697178393</v>
      </c>
      <c r="CM649" s="50">
        <v>26.07940179139613</v>
      </c>
      <c r="CN649" s="50">
        <v>26.07391788561387</v>
      </c>
    </row>
    <row r="650" spans="1:92" s="50" customFormat="1" x14ac:dyDescent="0.25">
      <c r="A650" s="9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92" x14ac:dyDescent="0.25">
      <c r="A651" s="99" t="s">
        <v>267</v>
      </c>
      <c r="B651" s="4">
        <v>0</v>
      </c>
      <c r="C651" s="4">
        <v>0</v>
      </c>
      <c r="D651" s="4">
        <v>0</v>
      </c>
      <c r="E651" s="4">
        <v>0</v>
      </c>
      <c r="F651" s="4">
        <v>0</v>
      </c>
      <c r="G651" s="4">
        <v>0</v>
      </c>
      <c r="H651" s="4">
        <v>0</v>
      </c>
      <c r="I651" s="4">
        <v>0</v>
      </c>
      <c r="J651" s="4">
        <v>0</v>
      </c>
      <c r="K651" s="4">
        <v>0</v>
      </c>
      <c r="L651" s="4">
        <v>0</v>
      </c>
      <c r="M651" s="4">
        <v>0</v>
      </c>
      <c r="N651" s="4">
        <v>0</v>
      </c>
      <c r="O651" s="4">
        <v>0</v>
      </c>
      <c r="P651" s="4">
        <v>0</v>
      </c>
      <c r="Q651" s="4">
        <v>0</v>
      </c>
      <c r="R651" s="4">
        <v>0</v>
      </c>
      <c r="S651" s="4">
        <v>0</v>
      </c>
      <c r="T651" s="4">
        <v>0</v>
      </c>
      <c r="U651" s="4">
        <v>0</v>
      </c>
      <c r="V651" s="4">
        <v>0</v>
      </c>
      <c r="W651" s="4">
        <v>0</v>
      </c>
      <c r="X651" s="4">
        <v>0</v>
      </c>
      <c r="Y651" s="4">
        <v>0</v>
      </c>
      <c r="Z651" s="4">
        <v>0</v>
      </c>
      <c r="AA651" s="4">
        <v>0</v>
      </c>
      <c r="AB651" s="4">
        <v>0</v>
      </c>
      <c r="AC651" s="4">
        <v>0</v>
      </c>
      <c r="AD651" s="4">
        <v>0</v>
      </c>
      <c r="AE651" s="4">
        <v>0</v>
      </c>
      <c r="AF651">
        <v>1394.1359999999986</v>
      </c>
      <c r="AG651">
        <v>1469.4733333333279</v>
      </c>
      <c r="AH651">
        <v>1544.8106666666572</v>
      </c>
      <c r="AI651">
        <v>1620.1479999999865</v>
      </c>
      <c r="AJ651">
        <v>1695.4853333333449</v>
      </c>
      <c r="AK651">
        <v>1770.8226666666742</v>
      </c>
      <c r="AL651">
        <v>1846.1600000000035</v>
      </c>
      <c r="AM651">
        <v>1921.4973333333328</v>
      </c>
      <c r="AN651">
        <v>1996.8346666666621</v>
      </c>
      <c r="AO651">
        <v>2072.1719999999914</v>
      </c>
      <c r="AP651">
        <v>2147.5093333333207</v>
      </c>
      <c r="AQ651">
        <v>2222.8466666666791</v>
      </c>
      <c r="AR651">
        <v>2298.1840000000084</v>
      </c>
      <c r="AS651">
        <v>2373.5213333333377</v>
      </c>
      <c r="AT651">
        <v>2448.858666666667</v>
      </c>
      <c r="AU651">
        <v>2524.1959999999963</v>
      </c>
      <c r="AV651">
        <v>2599.5333333333256</v>
      </c>
      <c r="AW651">
        <v>2674.8706666666549</v>
      </c>
      <c r="AX651">
        <v>2750.2079999999842</v>
      </c>
      <c r="AY651">
        <v>2825.5453333333426</v>
      </c>
      <c r="AZ651">
        <v>2900.8826666666719</v>
      </c>
      <c r="BA651">
        <v>2976.2200000000012</v>
      </c>
      <c r="BB651">
        <v>3051.5573333333305</v>
      </c>
      <c r="BC651">
        <v>3126.8946666666598</v>
      </c>
      <c r="BD651">
        <v>3202.2319999999891</v>
      </c>
      <c r="BE651">
        <v>3277.5693333333184</v>
      </c>
      <c r="BF651">
        <v>3352.9066666666768</v>
      </c>
      <c r="BG651">
        <v>3428.2440000000061</v>
      </c>
      <c r="BH651">
        <v>3503.5813333333354</v>
      </c>
      <c r="BI651">
        <v>3578.9186666666646</v>
      </c>
      <c r="BJ651">
        <v>3654.2559999999939</v>
      </c>
      <c r="BK651">
        <v>3729.5933333333232</v>
      </c>
      <c r="BL651">
        <v>3804.9306666666525</v>
      </c>
      <c r="BM651">
        <v>3880.2680000000109</v>
      </c>
      <c r="BN651">
        <v>3955.6053333333402</v>
      </c>
      <c r="BO651">
        <v>4030.9426666666695</v>
      </c>
      <c r="BP651">
        <v>4106.2799999999988</v>
      </c>
      <c r="BQ651">
        <v>4181.6173333333281</v>
      </c>
      <c r="BR651">
        <v>4256.9546666666574</v>
      </c>
      <c r="BS651">
        <v>4332.2919999999867</v>
      </c>
      <c r="BT651">
        <v>4407.6293333333451</v>
      </c>
      <c r="BU651">
        <v>4482.9666666666744</v>
      </c>
      <c r="BV651">
        <v>4558.3040000000037</v>
      </c>
      <c r="BW651">
        <v>4633.641333333333</v>
      </c>
      <c r="BX651">
        <v>4708.9786666666623</v>
      </c>
      <c r="BY651">
        <v>4784.3159999999916</v>
      </c>
      <c r="BZ651">
        <v>4859.6533333333209</v>
      </c>
      <c r="CA651">
        <v>4934.9906666666502</v>
      </c>
      <c r="CB651">
        <v>5010.3280000000086</v>
      </c>
      <c r="CC651">
        <v>5085.6653333333379</v>
      </c>
      <c r="CD651">
        <v>5161.0026666666672</v>
      </c>
      <c r="CE651">
        <v>5236.3399999999965</v>
      </c>
      <c r="CF651">
        <v>5311.6773333333258</v>
      </c>
      <c r="CG651">
        <v>5387.0146666666551</v>
      </c>
      <c r="CH651">
        <v>5462.3519999999844</v>
      </c>
      <c r="CI651">
        <v>5537.6893333333428</v>
      </c>
      <c r="CJ651">
        <v>5613.0266666666721</v>
      </c>
      <c r="CK651">
        <v>5688.3640000000014</v>
      </c>
      <c r="CL651">
        <v>5763.7013333333307</v>
      </c>
      <c r="CM651">
        <v>5839.03866666666</v>
      </c>
      <c r="CN651">
        <v>5914.3759999999893</v>
      </c>
    </row>
    <row r="652" spans="1:92" x14ac:dyDescent="0.25">
      <c r="A652" s="99"/>
    </row>
    <row r="653" spans="1:92" s="50" customFormat="1" x14ac:dyDescent="0.25">
      <c r="A653" s="99" t="s">
        <v>268</v>
      </c>
      <c r="B653" s="4">
        <v>0</v>
      </c>
      <c r="C653" s="4">
        <v>0</v>
      </c>
      <c r="D653" s="4">
        <v>0</v>
      </c>
      <c r="E653" s="4">
        <v>0</v>
      </c>
      <c r="F653" s="4">
        <v>0</v>
      </c>
      <c r="G653" s="4">
        <v>0</v>
      </c>
      <c r="H653" s="4">
        <v>0</v>
      </c>
      <c r="I653" s="4">
        <v>0</v>
      </c>
      <c r="J653" s="4">
        <v>0</v>
      </c>
      <c r="K653" s="4">
        <v>0</v>
      </c>
      <c r="L653" s="4">
        <v>0</v>
      </c>
      <c r="M653" s="4">
        <v>0</v>
      </c>
      <c r="N653" s="4">
        <v>0</v>
      </c>
      <c r="O653" s="4">
        <v>0</v>
      </c>
      <c r="P653" s="4">
        <v>0</v>
      </c>
      <c r="Q653" s="4">
        <v>0</v>
      </c>
      <c r="R653" s="4">
        <v>0</v>
      </c>
      <c r="S653" s="4">
        <v>0</v>
      </c>
      <c r="T653" s="4">
        <v>0</v>
      </c>
      <c r="U653" s="4">
        <v>0</v>
      </c>
      <c r="V653" s="4">
        <v>0</v>
      </c>
      <c r="W653" s="4">
        <v>0</v>
      </c>
      <c r="X653" s="4">
        <v>0</v>
      </c>
      <c r="Y653" s="4">
        <v>0</v>
      </c>
      <c r="Z653" s="4">
        <v>0</v>
      </c>
      <c r="AA653" s="4">
        <v>0</v>
      </c>
      <c r="AB653" s="4">
        <v>0</v>
      </c>
      <c r="AC653" s="4">
        <v>0</v>
      </c>
      <c r="AD653" s="4">
        <v>0</v>
      </c>
      <c r="AE653" s="4">
        <v>0</v>
      </c>
      <c r="AF653" s="50">
        <v>7912.9143811007825</v>
      </c>
      <c r="AG653" s="50">
        <v>7911.2708650065651</v>
      </c>
      <c r="AH653" s="50">
        <v>7909.6273489123469</v>
      </c>
      <c r="AI653" s="50">
        <v>7907.9838328181295</v>
      </c>
      <c r="AJ653" s="50">
        <v>7906.3403167239121</v>
      </c>
      <c r="AK653" s="50">
        <v>7904.6968006296938</v>
      </c>
      <c r="AL653" s="50">
        <v>7903.0532845354765</v>
      </c>
      <c r="AM653" s="50">
        <v>7901.4097684412591</v>
      </c>
      <c r="AN653" s="50">
        <v>7899.7662523470408</v>
      </c>
      <c r="AO653" s="50">
        <v>7898.1227362528234</v>
      </c>
      <c r="AP653" s="50">
        <v>7896.479220158606</v>
      </c>
      <c r="AQ653" s="50">
        <v>7894.8357040643878</v>
      </c>
      <c r="AR653" s="50">
        <v>7893.1921879701704</v>
      </c>
      <c r="AS653" s="50">
        <v>7891.548671875953</v>
      </c>
      <c r="AT653" s="50">
        <v>7889.9051557817347</v>
      </c>
      <c r="AU653" s="50">
        <v>7888.2616396875173</v>
      </c>
      <c r="AV653" s="50">
        <v>7886.6181235933</v>
      </c>
      <c r="AW653" s="50">
        <v>7884.9746074990817</v>
      </c>
      <c r="AX653" s="50">
        <v>7883.3310914048643</v>
      </c>
      <c r="AY653" s="50">
        <v>7881.6875753106469</v>
      </c>
      <c r="AZ653" s="50">
        <v>7880.0440592164286</v>
      </c>
      <c r="BA653" s="50">
        <v>7878.4005431222113</v>
      </c>
      <c r="BB653" s="50">
        <v>7876.7570270279939</v>
      </c>
      <c r="BC653" s="50">
        <v>7875.1135109337756</v>
      </c>
      <c r="BD653" s="50">
        <v>7873.4699948395582</v>
      </c>
      <c r="BE653" s="50">
        <v>7871.8264787453409</v>
      </c>
      <c r="BF653" s="50">
        <v>7870.1829626511226</v>
      </c>
      <c r="BG653" s="50">
        <v>7868.5394465569052</v>
      </c>
      <c r="BH653" s="50">
        <v>7866.8959304626878</v>
      </c>
      <c r="BI653" s="50">
        <v>7865.2524143684695</v>
      </c>
      <c r="BJ653" s="50">
        <v>7863.6088982742522</v>
      </c>
      <c r="BK653" s="50">
        <v>7861.9653821800348</v>
      </c>
      <c r="BL653" s="50">
        <v>7860.3218660858165</v>
      </c>
      <c r="BM653" s="50">
        <v>7858.6783499915991</v>
      </c>
      <c r="BN653" s="50">
        <v>7857.0348338973818</v>
      </c>
      <c r="BO653" s="50">
        <v>7855.3913178031635</v>
      </c>
      <c r="BP653" s="50">
        <v>7853.7478017089461</v>
      </c>
      <c r="BQ653" s="50">
        <v>7852.1042856147287</v>
      </c>
      <c r="BR653" s="50">
        <v>7850.4607695205104</v>
      </c>
      <c r="BS653" s="50">
        <v>7848.8172534262931</v>
      </c>
      <c r="BT653" s="50">
        <v>7847.1737373320757</v>
      </c>
      <c r="BU653" s="50">
        <v>7845.5302212378574</v>
      </c>
      <c r="BV653" s="50">
        <v>7843.88670514364</v>
      </c>
      <c r="BW653" s="50">
        <v>7842.2431890494227</v>
      </c>
      <c r="BX653" s="50">
        <v>7840.5996729552044</v>
      </c>
      <c r="BY653" s="50">
        <v>7838.956156860987</v>
      </c>
      <c r="BZ653" s="50">
        <v>7837.3126407667696</v>
      </c>
      <c r="CA653" s="50">
        <v>7835.6691246725513</v>
      </c>
      <c r="CB653" s="50">
        <v>7834.025608578334</v>
      </c>
      <c r="CC653" s="50">
        <v>7832.3820924841166</v>
      </c>
      <c r="CD653" s="50">
        <v>7830.7385763898983</v>
      </c>
      <c r="CE653" s="50">
        <v>7829.0950602956809</v>
      </c>
      <c r="CF653" s="50">
        <v>7827.4515442014635</v>
      </c>
      <c r="CG653" s="50">
        <v>7825.8080281072453</v>
      </c>
      <c r="CH653" s="50">
        <v>7824.1645120130279</v>
      </c>
      <c r="CI653" s="50">
        <v>7822.5209959188105</v>
      </c>
      <c r="CJ653" s="50">
        <v>7820.8774798245922</v>
      </c>
      <c r="CK653" s="50">
        <v>7819.2339637303749</v>
      </c>
      <c r="CL653" s="50">
        <v>7817.5904476361575</v>
      </c>
      <c r="CM653" s="50">
        <v>7815.9469315419392</v>
      </c>
      <c r="CN653" s="50">
        <v>7814.3034154477218</v>
      </c>
    </row>
    <row r="654" spans="1:92" s="50" customFormat="1" x14ac:dyDescent="0.25">
      <c r="A654" s="9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92" x14ac:dyDescent="0.25">
      <c r="A655" s="99" t="s">
        <v>269</v>
      </c>
      <c r="B655" s="4">
        <v>0</v>
      </c>
      <c r="C655" s="4">
        <v>0</v>
      </c>
      <c r="D655" s="4">
        <v>0</v>
      </c>
      <c r="E655" s="4">
        <v>0</v>
      </c>
      <c r="F655" s="4">
        <v>0</v>
      </c>
      <c r="G655" s="4">
        <v>0</v>
      </c>
      <c r="H655" s="4">
        <v>0</v>
      </c>
      <c r="I655" s="4">
        <v>0</v>
      </c>
      <c r="J655" s="4">
        <v>0</v>
      </c>
      <c r="K655" s="4">
        <v>0</v>
      </c>
      <c r="L655" s="4">
        <v>0</v>
      </c>
      <c r="M655" s="4">
        <v>0</v>
      </c>
      <c r="N655" s="4">
        <v>0</v>
      </c>
      <c r="O655" s="4">
        <v>0</v>
      </c>
      <c r="P655" s="4">
        <v>0</v>
      </c>
      <c r="Q655" s="4">
        <v>0</v>
      </c>
      <c r="R655" s="4">
        <v>0</v>
      </c>
      <c r="S655" s="4">
        <v>0</v>
      </c>
      <c r="T655" s="4">
        <v>0</v>
      </c>
      <c r="U655" s="4">
        <v>0</v>
      </c>
      <c r="V655" s="4">
        <v>0</v>
      </c>
      <c r="W655" s="4">
        <v>0</v>
      </c>
      <c r="X655" s="4">
        <v>0</v>
      </c>
      <c r="Y655" s="4">
        <v>0</v>
      </c>
      <c r="Z655" s="4">
        <v>0</v>
      </c>
      <c r="AA655" s="4">
        <v>0</v>
      </c>
      <c r="AB655" s="4">
        <v>0</v>
      </c>
      <c r="AC655" s="4">
        <v>0</v>
      </c>
      <c r="AD655" s="4">
        <v>0</v>
      </c>
      <c r="AE655" s="4">
        <v>0</v>
      </c>
      <c r="AF655">
        <v>71.485333333333074</v>
      </c>
      <c r="AG655">
        <v>73.350833333332957</v>
      </c>
      <c r="AH655">
        <v>75.216333333333296</v>
      </c>
      <c r="AI655">
        <v>77.081833333333179</v>
      </c>
      <c r="AJ655">
        <v>78.947333333333063</v>
      </c>
      <c r="AK655">
        <v>80.812833333332946</v>
      </c>
      <c r="AL655">
        <v>82.678333333333285</v>
      </c>
      <c r="AM655">
        <v>84.543833333333168</v>
      </c>
      <c r="AN655">
        <v>86.409333333333052</v>
      </c>
      <c r="AO655">
        <v>88.27483333333339</v>
      </c>
      <c r="AP655">
        <v>90.140333333333274</v>
      </c>
      <c r="AQ655">
        <v>92.005833333333157</v>
      </c>
      <c r="AR655">
        <v>93.871333333333041</v>
      </c>
      <c r="AS655">
        <v>95.736833333333379</v>
      </c>
      <c r="AT655">
        <v>97.602333333333263</v>
      </c>
      <c r="AU655">
        <v>99.467833333333147</v>
      </c>
      <c r="AV655">
        <v>101.33333333333303</v>
      </c>
      <c r="AW655">
        <v>103.19883333333337</v>
      </c>
      <c r="AX655">
        <v>105.06433333333325</v>
      </c>
      <c r="AY655">
        <v>106.92983333333314</v>
      </c>
      <c r="AZ655">
        <v>108.79533333333302</v>
      </c>
      <c r="BA655">
        <v>110.66083333333336</v>
      </c>
      <c r="BB655">
        <v>112.52633333333324</v>
      </c>
      <c r="BC655">
        <v>114.39183333333312</v>
      </c>
      <c r="BD655">
        <v>116.25733333333301</v>
      </c>
      <c r="BE655">
        <v>118.12283333333335</v>
      </c>
      <c r="BF655">
        <v>119.98833333333323</v>
      </c>
      <c r="BG655">
        <v>121.85383333333311</v>
      </c>
      <c r="BH655">
        <v>123.719333333333</v>
      </c>
      <c r="BI655">
        <v>125.58483333333334</v>
      </c>
      <c r="BJ655">
        <v>127.45033333333322</v>
      </c>
      <c r="BK655">
        <v>129.3158333333331</v>
      </c>
      <c r="BL655">
        <v>131.18133333333299</v>
      </c>
      <c r="BM655">
        <v>133.04683333333332</v>
      </c>
      <c r="BN655">
        <v>134.91233333333321</v>
      </c>
      <c r="BO655">
        <v>136.77783333333309</v>
      </c>
      <c r="BP655">
        <v>138.64333333333298</v>
      </c>
      <c r="BQ655">
        <v>140.50883333333331</v>
      </c>
      <c r="BR655">
        <v>142.3743333333332</v>
      </c>
      <c r="BS655">
        <v>144.23983333333308</v>
      </c>
      <c r="BT655">
        <v>146.10533333333296</v>
      </c>
      <c r="BU655">
        <v>147.9708333333333</v>
      </c>
      <c r="BV655">
        <v>149.83633333333319</v>
      </c>
      <c r="BW655">
        <v>151.70183333333307</v>
      </c>
      <c r="BX655">
        <v>153.56733333333295</v>
      </c>
      <c r="BY655">
        <v>155.43283333333329</v>
      </c>
      <c r="BZ655">
        <v>157.29833333333318</v>
      </c>
      <c r="CA655">
        <v>159.16383333333306</v>
      </c>
      <c r="CB655">
        <v>161.02933333333294</v>
      </c>
      <c r="CC655">
        <v>162.89483333333328</v>
      </c>
      <c r="CD655">
        <v>164.76033333333316</v>
      </c>
      <c r="CE655">
        <v>166.62583333333305</v>
      </c>
      <c r="CF655">
        <v>168.49133333333293</v>
      </c>
      <c r="CG655">
        <v>170.35683333333327</v>
      </c>
      <c r="CH655">
        <v>172.22233333333315</v>
      </c>
      <c r="CI655">
        <v>174.08783333333304</v>
      </c>
      <c r="CJ655">
        <v>175.95333333333292</v>
      </c>
      <c r="CK655">
        <v>177.81883333333326</v>
      </c>
      <c r="CL655">
        <v>179.68433333333314</v>
      </c>
      <c r="CM655">
        <v>181.54983333333303</v>
      </c>
      <c r="CN655">
        <v>183.41533333333336</v>
      </c>
    </row>
    <row r="656" spans="1:92" x14ac:dyDescent="0.25">
      <c r="A656" s="99" t="s">
        <v>1</v>
      </c>
      <c r="B656" s="4">
        <v>0</v>
      </c>
      <c r="C656" s="4">
        <v>0</v>
      </c>
      <c r="D656" s="4">
        <v>0</v>
      </c>
      <c r="E656" s="4">
        <v>0</v>
      </c>
      <c r="F656" s="4">
        <v>0</v>
      </c>
      <c r="G656" s="4">
        <v>0</v>
      </c>
      <c r="H656" s="4">
        <v>0</v>
      </c>
      <c r="I656" s="4">
        <v>0</v>
      </c>
      <c r="J656" s="4">
        <v>0</v>
      </c>
      <c r="K656" s="4">
        <v>0</v>
      </c>
      <c r="L656" s="4">
        <v>0</v>
      </c>
      <c r="M656" s="4">
        <v>0</v>
      </c>
      <c r="N656" s="4">
        <v>0</v>
      </c>
      <c r="O656" s="4">
        <v>0</v>
      </c>
      <c r="P656" s="4">
        <v>0</v>
      </c>
      <c r="Q656" s="4">
        <v>0</v>
      </c>
      <c r="R656" s="4">
        <v>0</v>
      </c>
      <c r="S656" s="4">
        <v>0</v>
      </c>
      <c r="T656" s="4">
        <v>0</v>
      </c>
      <c r="U656" s="4">
        <v>0</v>
      </c>
      <c r="V656" s="4">
        <v>0</v>
      </c>
      <c r="W656" s="4">
        <v>0</v>
      </c>
      <c r="X656" s="4">
        <v>0</v>
      </c>
      <c r="Y656" s="4">
        <v>0</v>
      </c>
      <c r="Z656" s="4">
        <v>0</v>
      </c>
      <c r="AA656" s="4">
        <v>0</v>
      </c>
      <c r="AB656" s="4">
        <v>0</v>
      </c>
      <c r="AC656" s="4">
        <v>0</v>
      </c>
      <c r="AD656" s="4">
        <v>0</v>
      </c>
      <c r="AE656" s="4">
        <v>0</v>
      </c>
      <c r="AF656">
        <v>168.46933333333254</v>
      </c>
      <c r="AG656">
        <v>171.10666666666657</v>
      </c>
      <c r="AH656">
        <v>173.74399999999969</v>
      </c>
      <c r="AI656">
        <v>176.3813333333328</v>
      </c>
      <c r="AJ656">
        <v>179.01866666666592</v>
      </c>
      <c r="AK656">
        <v>181.65599999999995</v>
      </c>
      <c r="AL656">
        <v>184.29333333333307</v>
      </c>
      <c r="AM656">
        <v>186.93066666666618</v>
      </c>
      <c r="AN656">
        <v>189.5679999999993</v>
      </c>
      <c r="AO656">
        <v>192.20533333333333</v>
      </c>
      <c r="AP656">
        <v>194.84266666666645</v>
      </c>
      <c r="AQ656">
        <v>197.47999999999956</v>
      </c>
      <c r="AR656">
        <v>200.11733333333268</v>
      </c>
      <c r="AS656">
        <v>202.7546666666658</v>
      </c>
      <c r="AT656">
        <v>205.39199999999983</v>
      </c>
      <c r="AU656">
        <v>208.02933333333294</v>
      </c>
      <c r="AV656">
        <v>210.66666666666606</v>
      </c>
      <c r="AW656">
        <v>213.30399999999918</v>
      </c>
      <c r="AX656">
        <v>215.9413333333332</v>
      </c>
      <c r="AY656">
        <v>218.57866666666632</v>
      </c>
      <c r="AZ656">
        <v>221.21599999999944</v>
      </c>
      <c r="BA656">
        <v>223.85333333333256</v>
      </c>
      <c r="BB656">
        <v>226.49066666666658</v>
      </c>
      <c r="BC656">
        <v>229.1279999999997</v>
      </c>
      <c r="BD656">
        <v>231.76533333333282</v>
      </c>
      <c r="BE656">
        <v>234.40266666666594</v>
      </c>
      <c r="BF656">
        <v>237.03999999999905</v>
      </c>
      <c r="BG656">
        <v>239.67733333333308</v>
      </c>
      <c r="BH656">
        <v>242.3146666666662</v>
      </c>
      <c r="BI656">
        <v>244.95199999999932</v>
      </c>
      <c r="BJ656">
        <v>247.58933333333243</v>
      </c>
      <c r="BK656">
        <v>250.22666666666646</v>
      </c>
      <c r="BL656">
        <v>252.86399999999958</v>
      </c>
      <c r="BM656">
        <v>255.5013333333327</v>
      </c>
      <c r="BN656">
        <v>258.13866666666581</v>
      </c>
      <c r="BO656">
        <v>260.77599999999984</v>
      </c>
      <c r="BP656">
        <v>263.41333333333296</v>
      </c>
      <c r="BQ656">
        <v>266.05066666666607</v>
      </c>
      <c r="BR656">
        <v>268.68799999999919</v>
      </c>
      <c r="BS656">
        <v>271.32533333333322</v>
      </c>
      <c r="BT656">
        <v>273.96266666666634</v>
      </c>
      <c r="BU656">
        <v>276.59999999999945</v>
      </c>
      <c r="BV656">
        <v>279.23733333333257</v>
      </c>
      <c r="BW656">
        <v>281.87466666666569</v>
      </c>
      <c r="BX656">
        <v>284.51199999999972</v>
      </c>
      <c r="BY656">
        <v>287.14933333333283</v>
      </c>
      <c r="BZ656">
        <v>289.78666666666595</v>
      </c>
      <c r="CA656">
        <v>292.42399999999907</v>
      </c>
      <c r="CB656">
        <v>295.0613333333331</v>
      </c>
      <c r="CC656">
        <v>297.69866666666621</v>
      </c>
      <c r="CD656">
        <v>300.33599999999933</v>
      </c>
      <c r="CE656">
        <v>302.97333333333245</v>
      </c>
      <c r="CF656">
        <v>305.61066666666648</v>
      </c>
      <c r="CG656">
        <v>308.24799999999959</v>
      </c>
      <c r="CH656">
        <v>310.88533333333271</v>
      </c>
      <c r="CI656">
        <v>313.52266666666583</v>
      </c>
      <c r="CJ656">
        <v>316.15999999999985</v>
      </c>
      <c r="CK656">
        <v>318.79733333333297</v>
      </c>
      <c r="CL656">
        <v>321.43466666666609</v>
      </c>
      <c r="CM656">
        <v>324.07199999999921</v>
      </c>
      <c r="CN656">
        <v>326.70933333333232</v>
      </c>
    </row>
    <row r="657" spans="1:92" x14ac:dyDescent="0.25">
      <c r="A657" s="99" t="s">
        <v>1</v>
      </c>
      <c r="B657" s="4">
        <v>0</v>
      </c>
      <c r="C657" s="4">
        <v>0</v>
      </c>
      <c r="D657" s="4">
        <v>0</v>
      </c>
      <c r="E657" s="4">
        <v>0</v>
      </c>
      <c r="F657" s="4">
        <v>0</v>
      </c>
      <c r="G657" s="4">
        <v>0</v>
      </c>
      <c r="H657" s="4">
        <v>0</v>
      </c>
      <c r="I657" s="4">
        <v>0</v>
      </c>
      <c r="J657" s="4">
        <v>0</v>
      </c>
      <c r="K657" s="4">
        <v>0</v>
      </c>
      <c r="L657" s="4">
        <v>0</v>
      </c>
      <c r="M657" s="4">
        <v>0</v>
      </c>
      <c r="N657" s="4">
        <v>0</v>
      </c>
      <c r="O657" s="4">
        <v>0</v>
      </c>
      <c r="P657" s="4">
        <v>0</v>
      </c>
      <c r="Q657" s="4">
        <v>0</v>
      </c>
      <c r="R657" s="4">
        <v>0</v>
      </c>
      <c r="S657" s="4">
        <v>0</v>
      </c>
      <c r="T657" s="4">
        <v>0</v>
      </c>
      <c r="U657" s="4">
        <v>0</v>
      </c>
      <c r="V657" s="4">
        <v>0</v>
      </c>
      <c r="W657" s="4">
        <v>0</v>
      </c>
      <c r="X657" s="4">
        <v>0</v>
      </c>
      <c r="Y657" s="4">
        <v>0</v>
      </c>
      <c r="Z657" s="4">
        <v>0</v>
      </c>
      <c r="AA657" s="4">
        <v>0</v>
      </c>
      <c r="AB657" s="4">
        <v>0</v>
      </c>
      <c r="AC657" s="4">
        <v>0</v>
      </c>
      <c r="AD657" s="4">
        <v>0</v>
      </c>
      <c r="AE657" s="4">
        <v>0</v>
      </c>
      <c r="AF657">
        <v>2288.3066666666709</v>
      </c>
      <c r="AG657">
        <v>2250.4333333333343</v>
      </c>
      <c r="AH657">
        <v>2212.5599999999977</v>
      </c>
      <c r="AI657">
        <v>2174.6866666666756</v>
      </c>
      <c r="AJ657">
        <v>2136.813333333339</v>
      </c>
      <c r="AK657">
        <v>2098.9400000000023</v>
      </c>
      <c r="AL657">
        <v>2061.0666666666657</v>
      </c>
      <c r="AM657">
        <v>2023.1933333333291</v>
      </c>
      <c r="AN657">
        <v>1985.320000000007</v>
      </c>
      <c r="AO657">
        <v>1947.4466666666704</v>
      </c>
      <c r="AP657">
        <v>1909.5733333333337</v>
      </c>
      <c r="AQ657">
        <v>1871.6999999999971</v>
      </c>
      <c r="AR657">
        <v>1833.826666666675</v>
      </c>
      <c r="AS657">
        <v>1795.9533333333384</v>
      </c>
      <c r="AT657">
        <v>1758.0800000000017</v>
      </c>
      <c r="AU657">
        <v>1720.2066666666651</v>
      </c>
      <c r="AV657">
        <v>1682.3333333333285</v>
      </c>
      <c r="AW657">
        <v>1644.4600000000064</v>
      </c>
      <c r="AX657">
        <v>1606.5866666666698</v>
      </c>
      <c r="AY657">
        <v>1568.7133333333331</v>
      </c>
      <c r="AZ657">
        <v>1530.8399999999965</v>
      </c>
      <c r="BA657">
        <v>1492.9666666666744</v>
      </c>
      <c r="BB657">
        <v>1455.0933333333378</v>
      </c>
      <c r="BC657">
        <v>1417.2200000000012</v>
      </c>
      <c r="BD657">
        <v>1379.3466666666645</v>
      </c>
      <c r="BE657">
        <v>1341.4733333333425</v>
      </c>
      <c r="BF657">
        <v>1303.6000000000058</v>
      </c>
      <c r="BG657">
        <v>1265.7266666666692</v>
      </c>
      <c r="BH657">
        <v>1227.8533333333326</v>
      </c>
      <c r="BI657">
        <v>1189.9799999999959</v>
      </c>
      <c r="BJ657">
        <v>1152.1066666666738</v>
      </c>
      <c r="BK657">
        <v>1114.2333333333372</v>
      </c>
      <c r="BL657">
        <v>1076.3600000000006</v>
      </c>
      <c r="BM657">
        <v>1038.486666666664</v>
      </c>
      <c r="BN657">
        <v>1000.6133333333419</v>
      </c>
      <c r="BO657">
        <v>962.74000000000524</v>
      </c>
      <c r="BP657">
        <v>924.86666666666861</v>
      </c>
      <c r="BQ657">
        <v>886.99333333333198</v>
      </c>
      <c r="BR657">
        <v>849.11999999999534</v>
      </c>
      <c r="BS657">
        <v>811.24666666667326</v>
      </c>
      <c r="BT657">
        <v>773.37333333333663</v>
      </c>
      <c r="BU657">
        <v>735.5</v>
      </c>
      <c r="BV657">
        <v>697.62666666666337</v>
      </c>
      <c r="BW657">
        <v>659.75333333334129</v>
      </c>
      <c r="BX657">
        <v>621.88000000000466</v>
      </c>
      <c r="BY657">
        <v>584.00666666666802</v>
      </c>
      <c r="BZ657">
        <v>546.13333333333139</v>
      </c>
      <c r="CA657">
        <v>508.26000000000931</v>
      </c>
      <c r="CB657">
        <v>470.38666666667268</v>
      </c>
      <c r="CC657">
        <v>432.51333333333605</v>
      </c>
      <c r="CD657">
        <v>394.63999999999942</v>
      </c>
      <c r="CE657">
        <v>356.76666666666279</v>
      </c>
      <c r="CF657">
        <v>318.89333333334071</v>
      </c>
      <c r="CG657">
        <v>281.02000000000407</v>
      </c>
      <c r="CH657">
        <v>243.14666666666744</v>
      </c>
      <c r="CI657">
        <v>205.27333333333081</v>
      </c>
      <c r="CJ657">
        <v>167.40000000000873</v>
      </c>
      <c r="CK657">
        <v>129.5266666666721</v>
      </c>
      <c r="CL657">
        <v>91.653333333335468</v>
      </c>
      <c r="CM657">
        <v>53.779999999998836</v>
      </c>
      <c r="CN657">
        <v>15.906666666662204</v>
      </c>
    </row>
    <row r="658" spans="1:92" x14ac:dyDescent="0.25">
      <c r="A658" s="99" t="s">
        <v>1</v>
      </c>
      <c r="B658" s="4">
        <v>0</v>
      </c>
      <c r="C658" s="4">
        <v>0</v>
      </c>
      <c r="D658" s="4">
        <v>0</v>
      </c>
      <c r="E658" s="4">
        <v>0</v>
      </c>
      <c r="F658" s="4">
        <v>0</v>
      </c>
      <c r="G658" s="4">
        <v>0</v>
      </c>
      <c r="H658" s="4">
        <v>0</v>
      </c>
      <c r="I658" s="4">
        <v>0</v>
      </c>
      <c r="J658" s="4">
        <v>0</v>
      </c>
      <c r="K658" s="4">
        <v>0</v>
      </c>
      <c r="L658" s="4">
        <v>0</v>
      </c>
      <c r="M658" s="4">
        <v>0</v>
      </c>
      <c r="N658" s="4">
        <v>0</v>
      </c>
      <c r="O658" s="4">
        <v>0</v>
      </c>
      <c r="P658" s="4">
        <v>0</v>
      </c>
      <c r="Q658" s="4">
        <v>0</v>
      </c>
      <c r="R658" s="4">
        <v>0</v>
      </c>
      <c r="S658" s="4">
        <v>0</v>
      </c>
      <c r="T658" s="4">
        <v>0</v>
      </c>
      <c r="U658" s="4">
        <v>0</v>
      </c>
      <c r="V658" s="4">
        <v>0</v>
      </c>
      <c r="W658" s="4">
        <v>0</v>
      </c>
      <c r="X658" s="4">
        <v>0</v>
      </c>
      <c r="Y658" s="4">
        <v>0</v>
      </c>
      <c r="Z658" s="4">
        <v>0</v>
      </c>
      <c r="AA658" s="4">
        <v>0</v>
      </c>
      <c r="AB658" s="4">
        <v>0</v>
      </c>
      <c r="AC658" s="4">
        <v>0</v>
      </c>
      <c r="AD658" s="4">
        <v>0</v>
      </c>
      <c r="AE658" s="4">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row>
    <row r="659" spans="1:92" x14ac:dyDescent="0.25">
      <c r="A659" s="99" t="s">
        <v>1</v>
      </c>
      <c r="B659" s="4">
        <v>0</v>
      </c>
      <c r="C659" s="4">
        <v>0</v>
      </c>
      <c r="D659" s="4">
        <v>0</v>
      </c>
      <c r="E659" s="4">
        <v>0</v>
      </c>
      <c r="F659" s="4">
        <v>0</v>
      </c>
      <c r="G659" s="4">
        <v>0</v>
      </c>
      <c r="H659" s="4">
        <v>0</v>
      </c>
      <c r="I659" s="4">
        <v>0</v>
      </c>
      <c r="J659" s="4">
        <v>0</v>
      </c>
      <c r="K659" s="4">
        <v>0</v>
      </c>
      <c r="L659" s="4">
        <v>0</v>
      </c>
      <c r="M659" s="4">
        <v>0</v>
      </c>
      <c r="N659" s="4">
        <v>0</v>
      </c>
      <c r="O659" s="4">
        <v>0</v>
      </c>
      <c r="P659" s="4">
        <v>0</v>
      </c>
      <c r="Q659" s="4">
        <v>0</v>
      </c>
      <c r="R659" s="4">
        <v>0</v>
      </c>
      <c r="S659" s="4">
        <v>0</v>
      </c>
      <c r="T659" s="4">
        <v>0</v>
      </c>
      <c r="U659" s="4">
        <v>0</v>
      </c>
      <c r="V659" s="4">
        <v>0</v>
      </c>
      <c r="W659" s="4">
        <v>0</v>
      </c>
      <c r="X659" s="4">
        <v>0</v>
      </c>
      <c r="Y659" s="4">
        <v>0</v>
      </c>
      <c r="Z659" s="4">
        <v>0</v>
      </c>
      <c r="AA659" s="4">
        <v>0</v>
      </c>
      <c r="AB659" s="4">
        <v>0</v>
      </c>
      <c r="AC659" s="4">
        <v>0</v>
      </c>
      <c r="AD659" s="4">
        <v>0</v>
      </c>
      <c r="AE659" s="4">
        <v>0</v>
      </c>
      <c r="AF659">
        <v>125.32133333333331</v>
      </c>
      <c r="AG659">
        <v>126.63666666666631</v>
      </c>
      <c r="AH659">
        <v>127.95199999999977</v>
      </c>
      <c r="AI659">
        <v>129.26733333333323</v>
      </c>
      <c r="AJ659">
        <v>130.58266666666668</v>
      </c>
      <c r="AK659">
        <v>131.89799999999968</v>
      </c>
      <c r="AL659">
        <v>133.21333333333314</v>
      </c>
      <c r="AM659">
        <v>134.5286666666666</v>
      </c>
      <c r="AN659">
        <v>135.84400000000005</v>
      </c>
      <c r="AO659">
        <v>137.15933333333305</v>
      </c>
      <c r="AP659">
        <v>138.47466666666651</v>
      </c>
      <c r="AQ659">
        <v>139.78999999999996</v>
      </c>
      <c r="AR659">
        <v>141.10533333333296</v>
      </c>
      <c r="AS659">
        <v>142.42066666666642</v>
      </c>
      <c r="AT659">
        <v>143.73599999999988</v>
      </c>
      <c r="AU659">
        <v>145.05133333333333</v>
      </c>
      <c r="AV659">
        <v>146.36666666666633</v>
      </c>
      <c r="AW659">
        <v>147.68199999999979</v>
      </c>
      <c r="AX659">
        <v>148.99733333333324</v>
      </c>
      <c r="AY659">
        <v>150.3126666666667</v>
      </c>
      <c r="AZ659">
        <v>151.6279999999997</v>
      </c>
      <c r="BA659">
        <v>152.94333333333316</v>
      </c>
      <c r="BB659">
        <v>154.25866666666661</v>
      </c>
      <c r="BC659">
        <v>155.57399999999961</v>
      </c>
      <c r="BD659">
        <v>156.88933333333307</v>
      </c>
      <c r="BE659">
        <v>158.20466666666653</v>
      </c>
      <c r="BF659">
        <v>159.51999999999998</v>
      </c>
      <c r="BG659">
        <v>160.83533333333298</v>
      </c>
      <c r="BH659">
        <v>162.15066666666644</v>
      </c>
      <c r="BI659">
        <v>163.46599999999989</v>
      </c>
      <c r="BJ659">
        <v>164.78133333333335</v>
      </c>
      <c r="BK659">
        <v>166.09666666666635</v>
      </c>
      <c r="BL659">
        <v>167.41199999999981</v>
      </c>
      <c r="BM659">
        <v>168.72733333333326</v>
      </c>
      <c r="BN659">
        <v>170.04266666666672</v>
      </c>
      <c r="BO659">
        <v>171.35799999999972</v>
      </c>
      <c r="BP659">
        <v>172.67333333333318</v>
      </c>
      <c r="BQ659">
        <v>173.98866666666663</v>
      </c>
      <c r="BR659">
        <v>175.30399999999963</v>
      </c>
      <c r="BS659">
        <v>176.61933333333309</v>
      </c>
      <c r="BT659">
        <v>177.93466666666654</v>
      </c>
      <c r="BU659">
        <v>179.25</v>
      </c>
      <c r="BV659">
        <v>180.565333333333</v>
      </c>
      <c r="BW659">
        <v>181.88066666666646</v>
      </c>
      <c r="BX659">
        <v>183.19599999999991</v>
      </c>
      <c r="BY659">
        <v>184.51133333333337</v>
      </c>
      <c r="BZ659">
        <v>185.82666666666637</v>
      </c>
      <c r="CA659">
        <v>187.14199999999983</v>
      </c>
      <c r="CB659">
        <v>188.45733333333328</v>
      </c>
      <c r="CC659">
        <v>189.77266666666628</v>
      </c>
      <c r="CD659">
        <v>191.08799999999974</v>
      </c>
      <c r="CE659">
        <v>192.40333333333319</v>
      </c>
      <c r="CF659">
        <v>193.71866666666665</v>
      </c>
      <c r="CG659">
        <v>195.03399999999965</v>
      </c>
      <c r="CH659">
        <v>196.34933333333311</v>
      </c>
      <c r="CI659">
        <v>197.66466666666656</v>
      </c>
      <c r="CJ659">
        <v>198.98000000000002</v>
      </c>
      <c r="CK659">
        <v>200.29533333333302</v>
      </c>
      <c r="CL659">
        <v>201.61066666666648</v>
      </c>
      <c r="CM659">
        <v>202.92599999999993</v>
      </c>
      <c r="CN659">
        <v>204.24133333333293</v>
      </c>
    </row>
    <row r="660" spans="1:92" x14ac:dyDescent="0.25">
      <c r="A660" s="99" t="s">
        <v>1</v>
      </c>
      <c r="B660" s="4">
        <v>0</v>
      </c>
      <c r="C660" s="4">
        <v>0</v>
      </c>
      <c r="D660" s="4">
        <v>0</v>
      </c>
      <c r="E660" s="4">
        <v>0</v>
      </c>
      <c r="F660" s="4">
        <v>0</v>
      </c>
      <c r="G660" s="4">
        <v>0</v>
      </c>
      <c r="H660" s="4">
        <v>0</v>
      </c>
      <c r="I660" s="4">
        <v>0</v>
      </c>
      <c r="J660" s="4">
        <v>0</v>
      </c>
      <c r="K660" s="4">
        <v>0</v>
      </c>
      <c r="L660" s="4">
        <v>0</v>
      </c>
      <c r="M660" s="4">
        <v>0</v>
      </c>
      <c r="N660" s="4">
        <v>0</v>
      </c>
      <c r="O660" s="4">
        <v>0</v>
      </c>
      <c r="P660" s="4">
        <v>0</v>
      </c>
      <c r="Q660" s="4">
        <v>0</v>
      </c>
      <c r="R660" s="4">
        <v>0</v>
      </c>
      <c r="S660" s="4">
        <v>0</v>
      </c>
      <c r="T660" s="4">
        <v>0</v>
      </c>
      <c r="U660" s="4">
        <v>0</v>
      </c>
      <c r="V660" s="4">
        <v>0</v>
      </c>
      <c r="W660" s="4">
        <v>0</v>
      </c>
      <c r="X660" s="4">
        <v>0</v>
      </c>
      <c r="Y660" s="4">
        <v>0</v>
      </c>
      <c r="Z660" s="4">
        <v>0</v>
      </c>
      <c r="AA660" s="4">
        <v>0</v>
      </c>
      <c r="AB660" s="4">
        <v>0</v>
      </c>
      <c r="AC660" s="4">
        <v>0</v>
      </c>
      <c r="AD660" s="4">
        <v>0</v>
      </c>
      <c r="AE660" s="4">
        <v>0</v>
      </c>
      <c r="AF660">
        <v>66.282666666666501</v>
      </c>
      <c r="AG660">
        <v>67.735833333333176</v>
      </c>
      <c r="AH660">
        <v>69.188999999999851</v>
      </c>
      <c r="AI660">
        <v>70.642166666666526</v>
      </c>
      <c r="AJ660">
        <v>72.095333333333201</v>
      </c>
      <c r="AK660">
        <v>73.548499999999876</v>
      </c>
      <c r="AL660">
        <v>75.001666666666551</v>
      </c>
      <c r="AM660">
        <v>76.454833333333227</v>
      </c>
      <c r="AN660">
        <v>77.907999999999902</v>
      </c>
      <c r="AO660">
        <v>79.361166666666577</v>
      </c>
      <c r="AP660">
        <v>80.814333333333252</v>
      </c>
      <c r="AQ660">
        <v>82.267499999999927</v>
      </c>
      <c r="AR660">
        <v>83.720666666666602</v>
      </c>
      <c r="AS660">
        <v>85.173833333333278</v>
      </c>
      <c r="AT660">
        <v>86.626999999999953</v>
      </c>
      <c r="AU660">
        <v>88.080166666666628</v>
      </c>
      <c r="AV660">
        <v>89.533333333333303</v>
      </c>
      <c r="AW660">
        <v>90.986499999999978</v>
      </c>
      <c r="AX660">
        <v>92.439666666666653</v>
      </c>
      <c r="AY660">
        <v>93.892833333333328</v>
      </c>
      <c r="AZ660">
        <v>95.346000000000004</v>
      </c>
      <c r="BA660">
        <v>96.799166666666679</v>
      </c>
      <c r="BB660">
        <v>98.252333333333354</v>
      </c>
      <c r="BC660">
        <v>99.705500000000029</v>
      </c>
      <c r="BD660">
        <v>101.1586666666667</v>
      </c>
      <c r="BE660">
        <v>102.61183333333338</v>
      </c>
      <c r="BF660">
        <v>104.0649999999996</v>
      </c>
      <c r="BG660">
        <v>105.51816666666627</v>
      </c>
      <c r="BH660">
        <v>106.97133333333295</v>
      </c>
      <c r="BI660">
        <v>108.42449999999963</v>
      </c>
      <c r="BJ660">
        <v>109.8776666666663</v>
      </c>
      <c r="BK660">
        <v>111.33083333333298</v>
      </c>
      <c r="BL660">
        <v>112.78399999999965</v>
      </c>
      <c r="BM660">
        <v>114.23716666666633</v>
      </c>
      <c r="BN660">
        <v>115.690333333333</v>
      </c>
      <c r="BO660">
        <v>117.14349999999968</v>
      </c>
      <c r="BP660">
        <v>118.59666666666635</v>
      </c>
      <c r="BQ660">
        <v>120.04983333333303</v>
      </c>
      <c r="BR660">
        <v>121.5029999999997</v>
      </c>
      <c r="BS660">
        <v>122.95616666666638</v>
      </c>
      <c r="BT660">
        <v>124.40933333333305</v>
      </c>
      <c r="BU660">
        <v>125.86249999999973</v>
      </c>
      <c r="BV660">
        <v>127.3156666666664</v>
      </c>
      <c r="BW660">
        <v>128.76883333333308</v>
      </c>
      <c r="BX660">
        <v>130.22199999999975</v>
      </c>
      <c r="BY660">
        <v>131.67516666666643</v>
      </c>
      <c r="BZ660">
        <v>133.1283333333331</v>
      </c>
      <c r="CA660">
        <v>134.58149999999978</v>
      </c>
      <c r="CB660">
        <v>136.03466666666645</v>
      </c>
      <c r="CC660">
        <v>137.48783333333313</v>
      </c>
      <c r="CD660">
        <v>138.9409999999998</v>
      </c>
      <c r="CE660">
        <v>140.39416666666648</v>
      </c>
      <c r="CF660">
        <v>141.84733333333315</v>
      </c>
      <c r="CG660">
        <v>143.30049999999983</v>
      </c>
      <c r="CH660">
        <v>144.7536666666665</v>
      </c>
      <c r="CI660">
        <v>146.20683333333318</v>
      </c>
      <c r="CJ660">
        <v>147.65999999999985</v>
      </c>
      <c r="CK660">
        <v>149.11316666666653</v>
      </c>
      <c r="CL660">
        <v>150.5663333333332</v>
      </c>
      <c r="CM660">
        <v>152.01949999999988</v>
      </c>
      <c r="CN660">
        <v>153.47266666666656</v>
      </c>
    </row>
    <row r="661" spans="1:92" x14ac:dyDescent="0.25">
      <c r="A661" s="44"/>
    </row>
    <row r="662" spans="1:92" x14ac:dyDescent="0.25">
      <c r="A662" s="99" t="s">
        <v>270</v>
      </c>
      <c r="B662" s="4">
        <v>0</v>
      </c>
      <c r="C662" s="4">
        <v>0</v>
      </c>
      <c r="D662" s="4">
        <v>0</v>
      </c>
      <c r="E662" s="4">
        <v>0</v>
      </c>
      <c r="F662" s="4">
        <v>0</v>
      </c>
      <c r="G662" s="4">
        <v>0</v>
      </c>
      <c r="H662" s="4">
        <v>0</v>
      </c>
      <c r="I662" s="4">
        <v>0</v>
      </c>
      <c r="J662" s="4">
        <v>0</v>
      </c>
      <c r="K662" s="4">
        <v>0</v>
      </c>
      <c r="L662" s="4">
        <v>0</v>
      </c>
      <c r="M662" s="4">
        <v>0</v>
      </c>
      <c r="N662" s="4">
        <v>0</v>
      </c>
      <c r="O662" s="4">
        <v>0</v>
      </c>
      <c r="P662" s="4">
        <v>0</v>
      </c>
      <c r="Q662" s="4">
        <v>0</v>
      </c>
      <c r="R662" s="4">
        <v>0</v>
      </c>
      <c r="S662" s="4">
        <v>0</v>
      </c>
      <c r="T662" s="4">
        <v>0</v>
      </c>
      <c r="U662" s="4">
        <v>0</v>
      </c>
      <c r="V662" s="4">
        <v>0</v>
      </c>
      <c r="W662" s="4">
        <v>0</v>
      </c>
      <c r="X662" s="4">
        <v>0</v>
      </c>
      <c r="Y662" s="4">
        <v>0</v>
      </c>
      <c r="Z662" s="4">
        <v>0</v>
      </c>
      <c r="AA662" s="4">
        <v>0</v>
      </c>
      <c r="AB662" s="4">
        <v>0</v>
      </c>
      <c r="AC662" s="4">
        <v>0</v>
      </c>
      <c r="AD662" s="4">
        <v>0</v>
      </c>
      <c r="AE662" s="4">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row>
    <row r="663" spans="1:92" x14ac:dyDescent="0.25">
      <c r="A663" s="99"/>
    </row>
    <row r="664" spans="1:92" s="50" customFormat="1" x14ac:dyDescent="0.25">
      <c r="A664" s="99" t="s">
        <v>271</v>
      </c>
      <c r="B664" s="4">
        <v>0</v>
      </c>
      <c r="C664" s="4">
        <v>0</v>
      </c>
      <c r="D664" s="4">
        <v>0</v>
      </c>
      <c r="E664" s="4">
        <v>0</v>
      </c>
      <c r="F664" s="4">
        <v>0</v>
      </c>
      <c r="G664" s="4">
        <v>0</v>
      </c>
      <c r="H664" s="4">
        <v>0</v>
      </c>
      <c r="I664" s="4">
        <v>0</v>
      </c>
      <c r="J664" s="4">
        <v>0</v>
      </c>
      <c r="K664" s="4">
        <v>0</v>
      </c>
      <c r="L664" s="4">
        <v>0</v>
      </c>
      <c r="M664" s="4">
        <v>0</v>
      </c>
      <c r="N664" s="4">
        <v>0</v>
      </c>
      <c r="O664" s="4">
        <v>0</v>
      </c>
      <c r="P664" s="4">
        <v>0</v>
      </c>
      <c r="Q664" s="4">
        <v>0</v>
      </c>
      <c r="R664" s="4">
        <v>0</v>
      </c>
      <c r="S664" s="4">
        <v>0</v>
      </c>
      <c r="T664" s="4">
        <v>0</v>
      </c>
      <c r="U664" s="4">
        <v>0</v>
      </c>
      <c r="V664" s="4">
        <v>0</v>
      </c>
      <c r="W664" s="4">
        <v>0</v>
      </c>
      <c r="X664" s="4">
        <v>0</v>
      </c>
      <c r="Y664" s="4">
        <v>0</v>
      </c>
      <c r="Z664" s="4">
        <v>0</v>
      </c>
      <c r="AA664" s="4">
        <v>0</v>
      </c>
      <c r="AB664" s="4">
        <v>0</v>
      </c>
      <c r="AC664" s="4">
        <v>0</v>
      </c>
      <c r="AD664" s="4">
        <v>0</v>
      </c>
      <c r="AE664" s="4">
        <v>0</v>
      </c>
      <c r="AF664" s="50">
        <v>64.614731385523982</v>
      </c>
      <c r="AG664" s="50">
        <v>64.666442740239205</v>
      </c>
      <c r="AH664" s="50">
        <v>64.718154094954429</v>
      </c>
      <c r="AI664" s="50">
        <v>64.769865449669652</v>
      </c>
      <c r="AJ664" s="50">
        <v>64.821576804384875</v>
      </c>
      <c r="AK664" s="50">
        <v>64.873288159100099</v>
      </c>
      <c r="AL664" s="50">
        <v>64.924999513815322</v>
      </c>
      <c r="AM664" s="50">
        <v>64.976710868530546</v>
      </c>
      <c r="AN664" s="50">
        <v>65.028422223245769</v>
      </c>
      <c r="AO664" s="50">
        <v>65.080133577960993</v>
      </c>
      <c r="AP664" s="50">
        <v>65.131844932676216</v>
      </c>
      <c r="AQ664" s="50">
        <v>65.18355628739144</v>
      </c>
      <c r="AR664" s="50">
        <v>65.235267642106663</v>
      </c>
      <c r="AS664" s="50">
        <v>65.286978996821887</v>
      </c>
      <c r="AT664" s="50">
        <v>65.33869035153711</v>
      </c>
      <c r="AU664" s="50">
        <v>65.390401706252334</v>
      </c>
      <c r="AV664" s="50">
        <v>65.442113060967557</v>
      </c>
      <c r="AW664" s="50">
        <v>65.493824415682781</v>
      </c>
      <c r="AX664" s="50">
        <v>65.545535770398004</v>
      </c>
      <c r="AY664" s="50">
        <v>65.597247125113228</v>
      </c>
      <c r="AZ664" s="50">
        <v>65.648958479828451</v>
      </c>
      <c r="BA664" s="50">
        <v>65.700669834543675</v>
      </c>
      <c r="BB664" s="50">
        <v>65.752381189258898</v>
      </c>
      <c r="BC664" s="50">
        <v>65.804092543974122</v>
      </c>
      <c r="BD664" s="50">
        <v>65.855803898689345</v>
      </c>
      <c r="BE664" s="50">
        <v>65.907515253404569</v>
      </c>
      <c r="BF664" s="50">
        <v>65.959226608119792</v>
      </c>
      <c r="BG664" s="50">
        <v>66.010937962835015</v>
      </c>
      <c r="BH664" s="50">
        <v>66.062649317550239</v>
      </c>
      <c r="BI664" s="50">
        <v>66.114360672265462</v>
      </c>
      <c r="BJ664" s="50">
        <v>66.166072026980686</v>
      </c>
      <c r="BK664" s="50">
        <v>66.217783381695909</v>
      </c>
      <c r="BL664" s="50">
        <v>66.269494736411133</v>
      </c>
      <c r="BM664" s="50">
        <v>66.321206091126356</v>
      </c>
      <c r="BN664" s="50">
        <v>66.37291744584158</v>
      </c>
      <c r="BO664" s="50">
        <v>66.424628800556803</v>
      </c>
      <c r="BP664" s="50">
        <v>66.476340155272027</v>
      </c>
      <c r="BQ664" s="50">
        <v>66.52805150998725</v>
      </c>
      <c r="BR664" s="50">
        <v>66.579762864702474</v>
      </c>
      <c r="BS664" s="50">
        <v>66.631474219417697</v>
      </c>
      <c r="BT664" s="50">
        <v>66.683185574132921</v>
      </c>
      <c r="BU664" s="50">
        <v>66.734896928848144</v>
      </c>
      <c r="BV664" s="50">
        <v>66.786608283563368</v>
      </c>
      <c r="BW664" s="50">
        <v>66.838319638278591</v>
      </c>
      <c r="BX664" s="50">
        <v>66.890030992993815</v>
      </c>
      <c r="BY664" s="50">
        <v>66.941742347709038</v>
      </c>
      <c r="BZ664" s="50">
        <v>66.993453702424262</v>
      </c>
      <c r="CA664" s="50">
        <v>67.045165057139485</v>
      </c>
      <c r="CB664" s="50">
        <v>67.096876411854709</v>
      </c>
      <c r="CC664" s="50">
        <v>67.148587766569932</v>
      </c>
      <c r="CD664" s="50">
        <v>67.200299121285155</v>
      </c>
      <c r="CE664" s="50">
        <v>67.252010476000379</v>
      </c>
      <c r="CF664" s="50">
        <v>67.303721830715602</v>
      </c>
      <c r="CG664" s="50">
        <v>67.355433185430826</v>
      </c>
      <c r="CH664" s="50">
        <v>67.407144540146049</v>
      </c>
      <c r="CI664" s="50">
        <v>67.458855894861273</v>
      </c>
      <c r="CJ664" s="50">
        <v>67.510567249576496</v>
      </c>
      <c r="CK664" s="50">
        <v>67.56227860429172</v>
      </c>
      <c r="CL664" s="50">
        <v>67.613989959006943</v>
      </c>
      <c r="CM664" s="50">
        <v>67.665701313722167</v>
      </c>
      <c r="CN664" s="50">
        <v>67.71741266843739</v>
      </c>
    </row>
    <row r="665" spans="1:92" s="50" customFormat="1" x14ac:dyDescent="0.25">
      <c r="A665" s="9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92" x14ac:dyDescent="0.25">
      <c r="A666" s="99" t="s">
        <v>272</v>
      </c>
      <c r="B666" s="4">
        <v>0</v>
      </c>
      <c r="C666" s="4">
        <v>0</v>
      </c>
      <c r="D666" s="4">
        <v>0</v>
      </c>
      <c r="E666" s="4">
        <v>0</v>
      </c>
      <c r="F666" s="4">
        <v>0</v>
      </c>
      <c r="G666" s="4">
        <v>0</v>
      </c>
      <c r="H666" s="4">
        <v>0</v>
      </c>
      <c r="I666" s="4">
        <v>0</v>
      </c>
      <c r="J666" s="4">
        <v>0</v>
      </c>
      <c r="K666" s="4">
        <v>0</v>
      </c>
      <c r="L666" s="4">
        <v>0</v>
      </c>
      <c r="M666" s="4">
        <v>0</v>
      </c>
      <c r="N666" s="4">
        <v>0</v>
      </c>
      <c r="O666" s="4">
        <v>0</v>
      </c>
      <c r="P666" s="4">
        <v>0</v>
      </c>
      <c r="Q666" s="4">
        <v>0</v>
      </c>
      <c r="R666" s="4">
        <v>0</v>
      </c>
      <c r="S666" s="4">
        <v>0</v>
      </c>
      <c r="T666" s="4">
        <v>0</v>
      </c>
      <c r="U666" s="4">
        <v>0</v>
      </c>
      <c r="V666" s="4">
        <v>0</v>
      </c>
      <c r="W666" s="4">
        <v>0</v>
      </c>
      <c r="X666" s="4">
        <v>0</v>
      </c>
      <c r="Y666" s="4">
        <v>0</v>
      </c>
      <c r="Z666" s="4">
        <v>0</v>
      </c>
      <c r="AA666" s="4">
        <v>0</v>
      </c>
      <c r="AB666" s="4">
        <v>0</v>
      </c>
      <c r="AC666" s="4">
        <v>0</v>
      </c>
      <c r="AD666" s="4">
        <v>0</v>
      </c>
      <c r="AE666" s="4">
        <v>0</v>
      </c>
      <c r="AF666">
        <v>642.44666666666672</v>
      </c>
      <c r="AG666">
        <v>652.85000000000218</v>
      </c>
      <c r="AH666">
        <v>663.25333333333401</v>
      </c>
      <c r="AI666">
        <v>673.65666666666584</v>
      </c>
      <c r="AJ666">
        <v>684.06000000000131</v>
      </c>
      <c r="AK666">
        <v>694.46333333333314</v>
      </c>
      <c r="AL666">
        <v>704.86666666666861</v>
      </c>
      <c r="AM666">
        <v>715.27000000000044</v>
      </c>
      <c r="AN666">
        <v>725.67333333333227</v>
      </c>
      <c r="AO666">
        <v>736.07666666666773</v>
      </c>
      <c r="AP666">
        <v>746.47999999999956</v>
      </c>
      <c r="AQ666">
        <v>756.88333333333503</v>
      </c>
      <c r="AR666">
        <v>767.28666666666686</v>
      </c>
      <c r="AS666">
        <v>777.68999999999869</v>
      </c>
      <c r="AT666">
        <v>788.09333333333416</v>
      </c>
      <c r="AU666">
        <v>798.49666666666599</v>
      </c>
      <c r="AV666">
        <v>808.90000000000146</v>
      </c>
      <c r="AW666">
        <v>819.30333333333328</v>
      </c>
      <c r="AX666">
        <v>829.70666666666875</v>
      </c>
      <c r="AY666">
        <v>840.11000000000058</v>
      </c>
      <c r="AZ666">
        <v>850.51333333333241</v>
      </c>
      <c r="BA666">
        <v>860.91666666666788</v>
      </c>
      <c r="BB666">
        <v>871.31999999999971</v>
      </c>
      <c r="BC666">
        <v>881.72333333333518</v>
      </c>
      <c r="BD666">
        <v>892.12666666666701</v>
      </c>
      <c r="BE666">
        <v>902.52999999999884</v>
      </c>
      <c r="BF666">
        <v>912.9333333333343</v>
      </c>
      <c r="BG666">
        <v>923.33666666666613</v>
      </c>
      <c r="BH666">
        <v>933.7400000000016</v>
      </c>
      <c r="BI666">
        <v>944.14333333333343</v>
      </c>
      <c r="BJ666">
        <v>954.54666666666526</v>
      </c>
      <c r="BK666">
        <v>964.95000000000073</v>
      </c>
      <c r="BL666">
        <v>975.35333333333256</v>
      </c>
      <c r="BM666">
        <v>985.75666666666802</v>
      </c>
      <c r="BN666">
        <v>996.15999999999985</v>
      </c>
      <c r="BO666">
        <v>1006.5633333333353</v>
      </c>
      <c r="BP666">
        <v>1016.9666666666672</v>
      </c>
      <c r="BQ666">
        <v>1027.369999999999</v>
      </c>
      <c r="BR666">
        <v>1037.7733333333344</v>
      </c>
      <c r="BS666">
        <v>1048.1766666666663</v>
      </c>
      <c r="BT666">
        <v>1058.5800000000017</v>
      </c>
      <c r="BU666">
        <v>1068.9833333333336</v>
      </c>
      <c r="BV666">
        <v>1079.3866666666654</v>
      </c>
      <c r="BW666">
        <v>1089.7900000000009</v>
      </c>
      <c r="BX666">
        <v>1100.1933333333327</v>
      </c>
      <c r="BY666">
        <v>1110.5966666666682</v>
      </c>
      <c r="BZ666">
        <v>1121</v>
      </c>
      <c r="CA666">
        <v>1131.4033333333318</v>
      </c>
      <c r="CB666">
        <v>1141.8066666666673</v>
      </c>
      <c r="CC666">
        <v>1152.2099999999991</v>
      </c>
      <c r="CD666">
        <v>1162.6133333333346</v>
      </c>
      <c r="CE666">
        <v>1173.0166666666664</v>
      </c>
      <c r="CF666">
        <v>1183.4200000000019</v>
      </c>
      <c r="CG666">
        <v>1193.8233333333337</v>
      </c>
      <c r="CH666">
        <v>1204.2266666666656</v>
      </c>
      <c r="CI666">
        <v>1214.630000000001</v>
      </c>
      <c r="CJ666">
        <v>1225.0333333333328</v>
      </c>
      <c r="CK666">
        <v>1235.4366666666683</v>
      </c>
      <c r="CL666">
        <v>1245.8400000000001</v>
      </c>
      <c r="CM666">
        <v>1256.243333333332</v>
      </c>
      <c r="CN666">
        <v>1266.6466666666674</v>
      </c>
    </row>
    <row r="667" spans="1:92" s="44" customFormat="1" x14ac:dyDescent="0.25">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92" s="50" customFormat="1" x14ac:dyDescent="0.25">
      <c r="A668" s="99" t="s">
        <v>273</v>
      </c>
      <c r="B668" s="4">
        <v>0</v>
      </c>
      <c r="C668" s="4">
        <v>0</v>
      </c>
      <c r="D668" s="4">
        <v>0</v>
      </c>
      <c r="E668" s="4">
        <v>0</v>
      </c>
      <c r="F668" s="4">
        <v>0</v>
      </c>
      <c r="G668" s="4">
        <v>0</v>
      </c>
      <c r="H668" s="4">
        <v>0</v>
      </c>
      <c r="I668" s="4">
        <v>0</v>
      </c>
      <c r="J668" s="4">
        <v>0</v>
      </c>
      <c r="K668" s="4">
        <v>0</v>
      </c>
      <c r="L668" s="4">
        <v>0</v>
      </c>
      <c r="M668" s="4">
        <v>0</v>
      </c>
      <c r="N668" s="4">
        <v>0</v>
      </c>
      <c r="O668" s="4">
        <v>0</v>
      </c>
      <c r="P668" s="4">
        <v>0</v>
      </c>
      <c r="Q668" s="4">
        <v>0</v>
      </c>
      <c r="R668" s="4">
        <v>0</v>
      </c>
      <c r="S668" s="4">
        <v>0</v>
      </c>
      <c r="T668" s="4">
        <v>0</v>
      </c>
      <c r="U668" s="4">
        <v>0</v>
      </c>
      <c r="V668" s="4">
        <v>0</v>
      </c>
      <c r="W668" s="4">
        <v>0</v>
      </c>
      <c r="X668" s="4">
        <v>0</v>
      </c>
      <c r="Y668" s="4">
        <v>0</v>
      </c>
      <c r="Z668" s="4">
        <v>0</v>
      </c>
      <c r="AA668" s="4">
        <v>0</v>
      </c>
      <c r="AB668" s="4">
        <v>0</v>
      </c>
      <c r="AC668" s="4">
        <v>0</v>
      </c>
      <c r="AD668" s="4">
        <v>0</v>
      </c>
      <c r="AE668" s="4">
        <v>0</v>
      </c>
      <c r="AF668" s="50">
        <v>970.82660194780931</v>
      </c>
      <c r="AG668" s="50">
        <v>971.60355725976081</v>
      </c>
      <c r="AH668" s="50">
        <v>972.3805125717123</v>
      </c>
      <c r="AI668" s="50">
        <v>973.1574678836638</v>
      </c>
      <c r="AJ668" s="50">
        <v>973.9344231956153</v>
      </c>
      <c r="AK668" s="50">
        <v>974.71137850756656</v>
      </c>
      <c r="AL668" s="50">
        <v>975.48833381951806</v>
      </c>
      <c r="AM668" s="50">
        <v>976.26528913146956</v>
      </c>
      <c r="AN668" s="50">
        <v>977.04224444342083</v>
      </c>
      <c r="AO668" s="50">
        <v>977.81919975537232</v>
      </c>
      <c r="AP668" s="50">
        <v>978.59615506732382</v>
      </c>
      <c r="AQ668" s="50">
        <v>979.37311037927532</v>
      </c>
      <c r="AR668" s="50">
        <v>980.15006569122681</v>
      </c>
      <c r="AS668" s="50">
        <v>980.92702100317808</v>
      </c>
      <c r="AT668" s="50">
        <v>981.70397631512958</v>
      </c>
      <c r="AU668" s="50">
        <v>982.48093162708108</v>
      </c>
      <c r="AV668" s="50">
        <v>983.25788693903235</v>
      </c>
      <c r="AW668" s="50">
        <v>984.03484225098384</v>
      </c>
      <c r="AX668" s="50">
        <v>984.81179756293534</v>
      </c>
      <c r="AY668" s="50">
        <v>985.58875287488684</v>
      </c>
      <c r="AZ668" s="50">
        <v>986.36570818683833</v>
      </c>
      <c r="BA668" s="50">
        <v>987.1426634987896</v>
      </c>
      <c r="BB668" s="50">
        <v>987.9196188107411</v>
      </c>
      <c r="BC668" s="50">
        <v>988.6965741226926</v>
      </c>
      <c r="BD668" s="50">
        <v>989.47352943464386</v>
      </c>
      <c r="BE668" s="50">
        <v>990.25048474659536</v>
      </c>
      <c r="BF668" s="50">
        <v>991.02744005854686</v>
      </c>
      <c r="BG668" s="50">
        <v>991.80439537049836</v>
      </c>
      <c r="BH668" s="50">
        <v>992.58135068244985</v>
      </c>
      <c r="BI668" s="50">
        <v>993.35830599440112</v>
      </c>
      <c r="BJ668" s="50">
        <v>994.13526130635262</v>
      </c>
      <c r="BK668" s="50">
        <v>994.91221661830411</v>
      </c>
      <c r="BL668" s="50">
        <v>995.68917193025538</v>
      </c>
      <c r="BM668" s="50">
        <v>996.46612724220688</v>
      </c>
      <c r="BN668" s="50">
        <v>997.24308255415838</v>
      </c>
      <c r="BO668" s="50">
        <v>998.02003786610987</v>
      </c>
      <c r="BP668" s="50">
        <v>998.79699317806137</v>
      </c>
      <c r="BQ668" s="50">
        <v>999.57394849001264</v>
      </c>
      <c r="BR668" s="50">
        <v>1000.3509038019641</v>
      </c>
      <c r="BS668" s="50">
        <v>1001.1278591139156</v>
      </c>
      <c r="BT668" s="50">
        <v>1001.9048144258669</v>
      </c>
      <c r="BU668" s="50">
        <v>1002.6817697378184</v>
      </c>
      <c r="BV668" s="50">
        <v>1003.4587250497699</v>
      </c>
      <c r="BW668" s="50">
        <v>1004.2356803617214</v>
      </c>
      <c r="BX668" s="50">
        <v>1005.0126356736729</v>
      </c>
      <c r="BY668" s="50">
        <v>1005.7895909856242</v>
      </c>
      <c r="BZ668" s="50">
        <v>1006.5665462975757</v>
      </c>
      <c r="CA668" s="50">
        <v>1007.3435016095272</v>
      </c>
      <c r="CB668" s="50">
        <v>1008.1204569214784</v>
      </c>
      <c r="CC668" s="50">
        <v>1008.8974122334299</v>
      </c>
      <c r="CD668" s="50">
        <v>1009.6743675453814</v>
      </c>
      <c r="CE668" s="50">
        <v>1010.4513228573329</v>
      </c>
      <c r="CF668" s="50">
        <v>1011.2282781692844</v>
      </c>
      <c r="CG668" s="50">
        <v>1012.0052334812357</v>
      </c>
      <c r="CH668" s="50">
        <v>1012.7821887931872</v>
      </c>
      <c r="CI668" s="50">
        <v>1013.5591441051387</v>
      </c>
      <c r="CJ668" s="50">
        <v>1014.3360994170899</v>
      </c>
      <c r="CK668" s="50">
        <v>1015.1130547290414</v>
      </c>
      <c r="CL668" s="50">
        <v>1015.8900100409929</v>
      </c>
      <c r="CM668" s="50">
        <v>1016.6669653529444</v>
      </c>
      <c r="CN668" s="50">
        <v>1017.4439206648959</v>
      </c>
    </row>
    <row r="669" spans="1:92" s="44" customFormat="1" x14ac:dyDescent="0.25">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92" x14ac:dyDescent="0.25">
      <c r="A670" s="99" t="s">
        <v>274</v>
      </c>
      <c r="B670" s="4">
        <v>0</v>
      </c>
      <c r="C670" s="4">
        <v>0</v>
      </c>
      <c r="D670" s="4">
        <v>0</v>
      </c>
      <c r="E670" s="4">
        <v>0</v>
      </c>
      <c r="F670" s="4">
        <v>0</v>
      </c>
      <c r="G670" s="4">
        <v>0</v>
      </c>
      <c r="H670" s="4">
        <v>0</v>
      </c>
      <c r="I670" s="4">
        <v>0</v>
      </c>
      <c r="J670" s="4">
        <v>0</v>
      </c>
      <c r="K670" s="4">
        <v>0</v>
      </c>
      <c r="L670" s="4">
        <v>0</v>
      </c>
      <c r="M670" s="4">
        <v>0</v>
      </c>
      <c r="N670" s="4">
        <v>0</v>
      </c>
      <c r="O670" s="4">
        <v>0</v>
      </c>
      <c r="P670" s="4">
        <v>0</v>
      </c>
      <c r="Q670" s="4">
        <v>0</v>
      </c>
      <c r="R670" s="4">
        <v>0</v>
      </c>
      <c r="S670" s="4">
        <v>0</v>
      </c>
      <c r="T670" s="4">
        <v>0</v>
      </c>
      <c r="U670" s="4">
        <v>0</v>
      </c>
      <c r="V670" s="4">
        <v>0</v>
      </c>
      <c r="W670" s="4">
        <v>0</v>
      </c>
      <c r="X670" s="4">
        <v>0</v>
      </c>
      <c r="Y670" s="4">
        <v>0</v>
      </c>
      <c r="Z670" s="4">
        <v>0</v>
      </c>
      <c r="AA670" s="4">
        <v>0</v>
      </c>
      <c r="AB670" s="4">
        <v>0</v>
      </c>
      <c r="AC670" s="4">
        <v>0</v>
      </c>
      <c r="AD670" s="4">
        <v>0</v>
      </c>
      <c r="AE670" s="4">
        <v>0</v>
      </c>
      <c r="AF670">
        <v>23047.462666666601</v>
      </c>
      <c r="AG670">
        <v>23600.469166666735</v>
      </c>
      <c r="AH670">
        <v>24153.475666666636</v>
      </c>
      <c r="AI670">
        <v>24706.48216666677</v>
      </c>
      <c r="AJ670">
        <v>25259.488666666672</v>
      </c>
      <c r="AK670">
        <v>25812.495166666573</v>
      </c>
      <c r="AL670">
        <v>26365.501666666707</v>
      </c>
      <c r="AM670">
        <v>26918.508166666608</v>
      </c>
      <c r="AN670">
        <v>27471.514666666742</v>
      </c>
      <c r="AO670">
        <v>28024.521166666644</v>
      </c>
      <c r="AP670">
        <v>28577.527666666778</v>
      </c>
      <c r="AQ670">
        <v>29130.534166666679</v>
      </c>
      <c r="AR670">
        <v>29683.54066666658</v>
      </c>
      <c r="AS670">
        <v>30236.547166666714</v>
      </c>
      <c r="AT670">
        <v>30789.553666666616</v>
      </c>
      <c r="AU670">
        <v>31342.56016666675</v>
      </c>
      <c r="AV670">
        <v>31895.566666666651</v>
      </c>
      <c r="AW670">
        <v>32448.573166666785</v>
      </c>
      <c r="AX670">
        <v>33001.579666666687</v>
      </c>
      <c r="AY670">
        <v>33554.586166666588</v>
      </c>
      <c r="AZ670">
        <v>34107.592666666722</v>
      </c>
      <c r="BA670">
        <v>34660.599166666623</v>
      </c>
      <c r="BB670">
        <v>35213.605666666757</v>
      </c>
      <c r="BC670">
        <v>35766.612166666659</v>
      </c>
      <c r="BD670">
        <v>36319.61866666656</v>
      </c>
      <c r="BE670">
        <v>36872.625166666694</v>
      </c>
      <c r="BF670">
        <v>37425.631666666595</v>
      </c>
      <c r="BG670">
        <v>37978.638166666729</v>
      </c>
      <c r="BH670">
        <v>38531.644666666631</v>
      </c>
      <c r="BI670">
        <v>39084.651166666765</v>
      </c>
      <c r="BJ670">
        <v>39637.657666666666</v>
      </c>
      <c r="BK670">
        <v>40190.664166666567</v>
      </c>
      <c r="BL670">
        <v>40743.670666666701</v>
      </c>
      <c r="BM670">
        <v>41296.677166666603</v>
      </c>
      <c r="BN670">
        <v>41849.683666666737</v>
      </c>
      <c r="BO670">
        <v>42402.690166666638</v>
      </c>
      <c r="BP670">
        <v>42955.696666666772</v>
      </c>
      <c r="BQ670">
        <v>43508.703166666673</v>
      </c>
      <c r="BR670">
        <v>44061.709666666575</v>
      </c>
      <c r="BS670">
        <v>44614.716166666709</v>
      </c>
      <c r="BT670">
        <v>45167.72266666661</v>
      </c>
      <c r="BU670">
        <v>45720.729166666744</v>
      </c>
      <c r="BV670">
        <v>46273.735666666646</v>
      </c>
      <c r="BW670">
        <v>46826.74216666678</v>
      </c>
      <c r="BX670">
        <v>47379.748666666681</v>
      </c>
      <c r="BY670">
        <v>47932.755166666582</v>
      </c>
      <c r="BZ670">
        <v>48485.761666666716</v>
      </c>
      <c r="CA670">
        <v>49038.768166666618</v>
      </c>
      <c r="CB670">
        <v>49591.774666666752</v>
      </c>
      <c r="CC670">
        <v>50144.781166666653</v>
      </c>
      <c r="CD670">
        <v>50697.787666666787</v>
      </c>
      <c r="CE670">
        <v>51250.794166666688</v>
      </c>
      <c r="CF670">
        <v>51803.80066666659</v>
      </c>
      <c r="CG670">
        <v>52356.807166666724</v>
      </c>
      <c r="CH670">
        <v>52909.813666666625</v>
      </c>
      <c r="CI670">
        <v>53462.820166666759</v>
      </c>
      <c r="CJ670">
        <v>54015.82666666666</v>
      </c>
      <c r="CK670">
        <v>54568.833166666795</v>
      </c>
      <c r="CL670">
        <v>55121.839666666696</v>
      </c>
      <c r="CM670">
        <v>55674.846166666597</v>
      </c>
      <c r="CN670">
        <v>56227.852666666731</v>
      </c>
    </row>
    <row r="671" spans="1:92" x14ac:dyDescent="0.25">
      <c r="A671" s="99" t="s">
        <v>1</v>
      </c>
      <c r="B671" s="4">
        <v>0</v>
      </c>
      <c r="C671" s="4">
        <v>0</v>
      </c>
      <c r="D671" s="4">
        <v>0</v>
      </c>
      <c r="E671" s="4">
        <v>0</v>
      </c>
      <c r="F671" s="4">
        <v>0</v>
      </c>
      <c r="G671" s="4">
        <v>0</v>
      </c>
      <c r="H671" s="4">
        <v>0</v>
      </c>
      <c r="I671" s="4">
        <v>0</v>
      </c>
      <c r="J671" s="4">
        <v>0</v>
      </c>
      <c r="K671" s="4">
        <v>0</v>
      </c>
      <c r="L671" s="4">
        <v>0</v>
      </c>
      <c r="M671" s="4">
        <v>0</v>
      </c>
      <c r="N671" s="4">
        <v>0</v>
      </c>
      <c r="O671" s="4">
        <v>0</v>
      </c>
      <c r="P671" s="4">
        <v>0</v>
      </c>
      <c r="Q671" s="4">
        <v>0</v>
      </c>
      <c r="R671" s="4">
        <v>0</v>
      </c>
      <c r="S671" s="4">
        <v>0</v>
      </c>
      <c r="T671" s="4">
        <v>0</v>
      </c>
      <c r="U671" s="4">
        <v>0</v>
      </c>
      <c r="V671" s="4">
        <v>0</v>
      </c>
      <c r="W671" s="4">
        <v>0</v>
      </c>
      <c r="X671" s="4">
        <v>0</v>
      </c>
      <c r="Y671" s="4">
        <v>0</v>
      </c>
      <c r="Z671" s="4">
        <v>0</v>
      </c>
      <c r="AA671" s="4">
        <v>0</v>
      </c>
      <c r="AB671" s="4">
        <v>0</v>
      </c>
      <c r="AC671" s="4">
        <v>0</v>
      </c>
      <c r="AD671" s="4">
        <v>0</v>
      </c>
      <c r="AE671" s="4">
        <v>0</v>
      </c>
      <c r="AF671">
        <v>31089.134666666738</v>
      </c>
      <c r="AG671">
        <v>30584.986666666693</v>
      </c>
      <c r="AH671">
        <v>30080.838666666765</v>
      </c>
      <c r="AI671">
        <v>29576.69066666672</v>
      </c>
      <c r="AJ671">
        <v>29072.542666666675</v>
      </c>
      <c r="AK671">
        <v>28568.394666666747</v>
      </c>
      <c r="AL671">
        <v>28064.246666666702</v>
      </c>
      <c r="AM671">
        <v>27560.098666666774</v>
      </c>
      <c r="AN671">
        <v>27055.950666666729</v>
      </c>
      <c r="AO671">
        <v>26551.802666666685</v>
      </c>
      <c r="AP671">
        <v>26047.654666666756</v>
      </c>
      <c r="AQ671">
        <v>25543.506666666712</v>
      </c>
      <c r="AR671">
        <v>25039.358666666783</v>
      </c>
      <c r="AS671">
        <v>24535.210666666739</v>
      </c>
      <c r="AT671">
        <v>24031.062666666694</v>
      </c>
      <c r="AU671">
        <v>23526.914666666766</v>
      </c>
      <c r="AV671">
        <v>23022.766666666721</v>
      </c>
      <c r="AW671">
        <v>22518.618666666676</v>
      </c>
      <c r="AX671">
        <v>22014.470666666748</v>
      </c>
      <c r="AY671">
        <v>21510.322666666703</v>
      </c>
      <c r="AZ671">
        <v>21006.174666666775</v>
      </c>
      <c r="BA671">
        <v>20502.02666666673</v>
      </c>
      <c r="BB671">
        <v>19997.878666666686</v>
      </c>
      <c r="BC671">
        <v>19493.730666666757</v>
      </c>
      <c r="BD671">
        <v>18989.582666666713</v>
      </c>
      <c r="BE671">
        <v>18485.434666666668</v>
      </c>
      <c r="BF671">
        <v>17981.28666666674</v>
      </c>
      <c r="BG671">
        <v>17477.138666666695</v>
      </c>
      <c r="BH671">
        <v>16972.990666666767</v>
      </c>
      <c r="BI671">
        <v>16468.842666666722</v>
      </c>
      <c r="BJ671">
        <v>15964.694666666677</v>
      </c>
      <c r="BK671">
        <v>15460.546666666749</v>
      </c>
      <c r="BL671">
        <v>14956.398666666704</v>
      </c>
      <c r="BM671">
        <v>14452.25066666666</v>
      </c>
      <c r="BN671">
        <v>13948.102666666731</v>
      </c>
      <c r="BO671">
        <v>13443.954666666687</v>
      </c>
      <c r="BP671">
        <v>12939.806666666758</v>
      </c>
      <c r="BQ671">
        <v>12435.658666666714</v>
      </c>
      <c r="BR671">
        <v>11931.510666666669</v>
      </c>
      <c r="BS671">
        <v>11427.362666666741</v>
      </c>
      <c r="BT671">
        <v>10923.214666666696</v>
      </c>
      <c r="BU671">
        <v>10419.066666666768</v>
      </c>
      <c r="BV671">
        <v>9914.9186666667229</v>
      </c>
      <c r="BW671">
        <v>9410.7706666666782</v>
      </c>
      <c r="BX671">
        <v>8906.6226666667499</v>
      </c>
      <c r="BY671">
        <v>8402.4746666667052</v>
      </c>
      <c r="BZ671">
        <v>7898.3266666666605</v>
      </c>
      <c r="CA671">
        <v>7394.1786666667322</v>
      </c>
      <c r="CB671">
        <v>6890.0306666666875</v>
      </c>
      <c r="CC671">
        <v>6385.8826666667592</v>
      </c>
      <c r="CD671">
        <v>5881.7346666667145</v>
      </c>
      <c r="CE671">
        <v>5377.5866666666698</v>
      </c>
      <c r="CF671">
        <v>4873.4386666667415</v>
      </c>
      <c r="CG671">
        <v>4369.2906666666968</v>
      </c>
      <c r="CH671">
        <v>3865.1426666666521</v>
      </c>
      <c r="CI671">
        <v>3360.9946666667238</v>
      </c>
      <c r="CJ671">
        <v>2856.8466666666791</v>
      </c>
      <c r="CK671">
        <v>2352.6986666667508</v>
      </c>
      <c r="CL671">
        <v>1848.5506666667061</v>
      </c>
      <c r="CM671">
        <v>1344.4026666666614</v>
      </c>
      <c r="CN671">
        <v>840.2546666667331</v>
      </c>
    </row>
    <row r="672" spans="1:92" x14ac:dyDescent="0.25">
      <c r="A672" s="99" t="s">
        <v>1</v>
      </c>
      <c r="B672" s="4">
        <v>0</v>
      </c>
      <c r="C672" s="4">
        <v>0</v>
      </c>
      <c r="D672" s="4">
        <v>0</v>
      </c>
      <c r="E672" s="4">
        <v>0</v>
      </c>
      <c r="F672" s="4">
        <v>0</v>
      </c>
      <c r="G672" s="4">
        <v>0</v>
      </c>
      <c r="H672" s="4">
        <v>0</v>
      </c>
      <c r="I672" s="4">
        <v>0</v>
      </c>
      <c r="J672" s="4">
        <v>0</v>
      </c>
      <c r="K672" s="4">
        <v>0</v>
      </c>
      <c r="L672" s="4">
        <v>0</v>
      </c>
      <c r="M672" s="4">
        <v>0</v>
      </c>
      <c r="N672" s="4">
        <v>0</v>
      </c>
      <c r="O672" s="4">
        <v>0</v>
      </c>
      <c r="P672" s="4">
        <v>0</v>
      </c>
      <c r="Q672" s="4">
        <v>0</v>
      </c>
      <c r="R672" s="4">
        <v>0</v>
      </c>
      <c r="S672" s="4">
        <v>0</v>
      </c>
      <c r="T672" s="4">
        <v>0</v>
      </c>
      <c r="U672" s="4">
        <v>0</v>
      </c>
      <c r="V672" s="4">
        <v>0</v>
      </c>
      <c r="W672" s="4">
        <v>0</v>
      </c>
      <c r="X672" s="4">
        <v>0</v>
      </c>
      <c r="Y672" s="4">
        <v>0</v>
      </c>
      <c r="Z672" s="4">
        <v>0</v>
      </c>
      <c r="AA672" s="4">
        <v>0</v>
      </c>
      <c r="AB672" s="4">
        <v>0</v>
      </c>
      <c r="AC672" s="4">
        <v>0</v>
      </c>
      <c r="AD672" s="4">
        <v>0</v>
      </c>
      <c r="AE672" s="4">
        <v>0</v>
      </c>
      <c r="AF672">
        <v>37265.174666666659</v>
      </c>
      <c r="AG672">
        <v>36748.057499999995</v>
      </c>
      <c r="AH672">
        <v>36230.940333333332</v>
      </c>
      <c r="AI672">
        <v>35713.823166666669</v>
      </c>
      <c r="AJ672">
        <v>35196.706000000006</v>
      </c>
      <c r="AK672">
        <v>34679.588833333342</v>
      </c>
      <c r="AL672">
        <v>34162.471666666679</v>
      </c>
      <c r="AM672">
        <v>33645.354500000016</v>
      </c>
      <c r="AN672">
        <v>33128.237333333353</v>
      </c>
      <c r="AO672">
        <v>32611.120166666689</v>
      </c>
      <c r="AP672">
        <v>32094.003000000026</v>
      </c>
      <c r="AQ672">
        <v>31576.885833333246</v>
      </c>
      <c r="AR672">
        <v>31059.768666666583</v>
      </c>
      <c r="AS672">
        <v>30542.65149999992</v>
      </c>
      <c r="AT672">
        <v>30025.534333333257</v>
      </c>
      <c r="AU672">
        <v>29508.417166666593</v>
      </c>
      <c r="AV672">
        <v>28991.29999999993</v>
      </c>
      <c r="AW672">
        <v>28474.182833333267</v>
      </c>
      <c r="AX672">
        <v>27957.065666666604</v>
      </c>
      <c r="AY672">
        <v>27439.94849999994</v>
      </c>
      <c r="AZ672">
        <v>26922.831333333277</v>
      </c>
      <c r="BA672">
        <v>26405.714166666614</v>
      </c>
      <c r="BB672">
        <v>25888.596999999951</v>
      </c>
      <c r="BC672">
        <v>25371.479833333287</v>
      </c>
      <c r="BD672">
        <v>24854.362666666624</v>
      </c>
      <c r="BE672">
        <v>24337.245499999961</v>
      </c>
      <c r="BF672">
        <v>23820.128333333298</v>
      </c>
      <c r="BG672">
        <v>23303.011166666634</v>
      </c>
      <c r="BH672">
        <v>22785.893999999971</v>
      </c>
      <c r="BI672">
        <v>22268.776833333308</v>
      </c>
      <c r="BJ672">
        <v>21751.659666666645</v>
      </c>
      <c r="BK672">
        <v>21234.542499999981</v>
      </c>
      <c r="BL672">
        <v>20717.425333333318</v>
      </c>
      <c r="BM672">
        <v>20200.308166666655</v>
      </c>
      <c r="BN672">
        <v>19683.190999999992</v>
      </c>
      <c r="BO672">
        <v>19166.073833333328</v>
      </c>
      <c r="BP672">
        <v>18648.956666666665</v>
      </c>
      <c r="BQ672">
        <v>18131.839500000002</v>
      </c>
      <c r="BR672">
        <v>17614.722333333222</v>
      </c>
      <c r="BS672">
        <v>17097.605166666675</v>
      </c>
      <c r="BT672">
        <v>16580.487999999896</v>
      </c>
      <c r="BU672">
        <v>16063.370833333349</v>
      </c>
      <c r="BV672">
        <v>15546.253666666569</v>
      </c>
      <c r="BW672">
        <v>15029.136500000022</v>
      </c>
      <c r="BX672">
        <v>14512.019333333243</v>
      </c>
      <c r="BY672">
        <v>13994.902166666696</v>
      </c>
      <c r="BZ672">
        <v>13477.784999999916</v>
      </c>
      <c r="CA672">
        <v>12960.667833333369</v>
      </c>
      <c r="CB672">
        <v>12443.55066666659</v>
      </c>
      <c r="CC672">
        <v>11926.433500000043</v>
      </c>
      <c r="CD672">
        <v>11409.316333333263</v>
      </c>
      <c r="CE672">
        <v>10892.199166666716</v>
      </c>
      <c r="CF672">
        <v>10375.081999999937</v>
      </c>
      <c r="CG672">
        <v>9857.9648333333898</v>
      </c>
      <c r="CH672">
        <v>9340.8476666666102</v>
      </c>
      <c r="CI672">
        <v>8823.7305000000633</v>
      </c>
      <c r="CJ672">
        <v>8306.6133333332837</v>
      </c>
      <c r="CK672">
        <v>7789.4961666667368</v>
      </c>
      <c r="CL672">
        <v>7272.3789999999572</v>
      </c>
      <c r="CM672">
        <v>6755.2618333331775</v>
      </c>
      <c r="CN672">
        <v>6238.1446666666307</v>
      </c>
    </row>
    <row r="673" spans="1:92" x14ac:dyDescent="0.25">
      <c r="A673" s="99" t="s">
        <v>1</v>
      </c>
      <c r="B673" s="4">
        <v>0</v>
      </c>
      <c r="C673" s="4">
        <v>0</v>
      </c>
      <c r="D673" s="4">
        <v>0</v>
      </c>
      <c r="E673" s="4">
        <v>0</v>
      </c>
      <c r="F673" s="4">
        <v>0</v>
      </c>
      <c r="G673" s="4">
        <v>0</v>
      </c>
      <c r="H673" s="4">
        <v>0</v>
      </c>
      <c r="I673" s="4">
        <v>0</v>
      </c>
      <c r="J673" s="4">
        <v>0</v>
      </c>
      <c r="K673" s="4">
        <v>0</v>
      </c>
      <c r="L673" s="4">
        <v>0</v>
      </c>
      <c r="M673" s="4">
        <v>0</v>
      </c>
      <c r="N673" s="4">
        <v>0</v>
      </c>
      <c r="O673" s="4">
        <v>0</v>
      </c>
      <c r="P673" s="4">
        <v>0</v>
      </c>
      <c r="Q673" s="4">
        <v>0</v>
      </c>
      <c r="R673" s="4">
        <v>0</v>
      </c>
      <c r="S673" s="4">
        <v>0</v>
      </c>
      <c r="T673" s="4">
        <v>0</v>
      </c>
      <c r="U673" s="4">
        <v>0</v>
      </c>
      <c r="V673" s="4">
        <v>0</v>
      </c>
      <c r="W673" s="4">
        <v>0</v>
      </c>
      <c r="X673" s="4">
        <v>0</v>
      </c>
      <c r="Y673" s="4">
        <v>0</v>
      </c>
      <c r="Z673" s="4">
        <v>0</v>
      </c>
      <c r="AA673" s="4">
        <v>0</v>
      </c>
      <c r="AB673" s="4">
        <v>0</v>
      </c>
      <c r="AC673" s="4">
        <v>0</v>
      </c>
      <c r="AD673" s="4">
        <v>0</v>
      </c>
      <c r="AE673" s="4">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row>
    <row r="674" spans="1:92" x14ac:dyDescent="0.25">
      <c r="A674" s="99" t="s">
        <v>1</v>
      </c>
      <c r="B674" s="4">
        <v>0</v>
      </c>
      <c r="C674" s="4">
        <v>0</v>
      </c>
      <c r="D674" s="4">
        <v>0</v>
      </c>
      <c r="E674" s="4">
        <v>0</v>
      </c>
      <c r="F674" s="4">
        <v>0</v>
      </c>
      <c r="G674" s="4">
        <v>0</v>
      </c>
      <c r="H674" s="4">
        <v>0</v>
      </c>
      <c r="I674" s="4">
        <v>0</v>
      </c>
      <c r="J674" s="4">
        <v>0</v>
      </c>
      <c r="K674" s="4">
        <v>0</v>
      </c>
      <c r="L674" s="4">
        <v>0</v>
      </c>
      <c r="M674" s="4">
        <v>0</v>
      </c>
      <c r="N674" s="4">
        <v>0</v>
      </c>
      <c r="O674" s="4">
        <v>0</v>
      </c>
      <c r="P674" s="4">
        <v>0</v>
      </c>
      <c r="Q674" s="4">
        <v>0</v>
      </c>
      <c r="R674" s="4">
        <v>0</v>
      </c>
      <c r="S674" s="4">
        <v>0</v>
      </c>
      <c r="T674" s="4">
        <v>0</v>
      </c>
      <c r="U674" s="4">
        <v>0</v>
      </c>
      <c r="V674" s="4">
        <v>0</v>
      </c>
      <c r="W674" s="4">
        <v>0</v>
      </c>
      <c r="X674" s="4">
        <v>0</v>
      </c>
      <c r="Y674" s="4">
        <v>0</v>
      </c>
      <c r="Z674" s="4">
        <v>0</v>
      </c>
      <c r="AA674" s="4">
        <v>0</v>
      </c>
      <c r="AB674" s="4">
        <v>0</v>
      </c>
      <c r="AC674" s="4">
        <v>0</v>
      </c>
      <c r="AD674" s="4">
        <v>0</v>
      </c>
      <c r="AE674" s="4">
        <v>0</v>
      </c>
      <c r="AF674">
        <v>29427.397333333269</v>
      </c>
      <c r="AG674">
        <v>28929.876666666591</v>
      </c>
      <c r="AH674">
        <v>28432.355999999912</v>
      </c>
      <c r="AI674">
        <v>27934.835333333351</v>
      </c>
      <c r="AJ674">
        <v>27437.314666666673</v>
      </c>
      <c r="AK674">
        <v>26939.793999999994</v>
      </c>
      <c r="AL674">
        <v>26442.273333333316</v>
      </c>
      <c r="AM674">
        <v>25944.752666666638</v>
      </c>
      <c r="AN674">
        <v>25447.23199999996</v>
      </c>
      <c r="AO674">
        <v>24949.711333333282</v>
      </c>
      <c r="AP674">
        <v>24452.190666666604</v>
      </c>
      <c r="AQ674">
        <v>23954.669999999925</v>
      </c>
      <c r="AR674">
        <v>23457.149333333247</v>
      </c>
      <c r="AS674">
        <v>22959.628666666686</v>
      </c>
      <c r="AT674">
        <v>22462.108000000007</v>
      </c>
      <c r="AU674">
        <v>21964.587333333329</v>
      </c>
      <c r="AV674">
        <v>21467.066666666651</v>
      </c>
      <c r="AW674">
        <v>20969.545999999973</v>
      </c>
      <c r="AX674">
        <v>20472.025333333295</v>
      </c>
      <c r="AY674">
        <v>19974.504666666617</v>
      </c>
      <c r="AZ674">
        <v>19476.983999999939</v>
      </c>
      <c r="BA674">
        <v>18979.46333333326</v>
      </c>
      <c r="BB674">
        <v>18481.942666666582</v>
      </c>
      <c r="BC674">
        <v>17984.42200000002</v>
      </c>
      <c r="BD674">
        <v>17486.901333333342</v>
      </c>
      <c r="BE674">
        <v>16989.380666666664</v>
      </c>
      <c r="BF674">
        <v>16491.859999999986</v>
      </c>
      <c r="BG674">
        <v>15994.339333333308</v>
      </c>
      <c r="BH674">
        <v>15496.81866666663</v>
      </c>
      <c r="BI674">
        <v>14999.297999999952</v>
      </c>
      <c r="BJ674">
        <v>14501.777333333273</v>
      </c>
      <c r="BK674">
        <v>14004.256666666595</v>
      </c>
      <c r="BL674">
        <v>13506.735999999917</v>
      </c>
      <c r="BM674">
        <v>13009.215333333355</v>
      </c>
      <c r="BN674">
        <v>12511.694666666677</v>
      </c>
      <c r="BO674">
        <v>12014.173999999999</v>
      </c>
      <c r="BP674">
        <v>11516.653333333321</v>
      </c>
      <c r="BQ674">
        <v>11019.132666666643</v>
      </c>
      <c r="BR674">
        <v>10521.611999999965</v>
      </c>
      <c r="BS674">
        <v>10024.091333333286</v>
      </c>
      <c r="BT674">
        <v>9526.5706666666083</v>
      </c>
      <c r="BU674">
        <v>9029.0499999999302</v>
      </c>
      <c r="BV674">
        <v>8531.529333333252</v>
      </c>
      <c r="BW674">
        <v>8034.0086666666903</v>
      </c>
      <c r="BX674">
        <v>7536.4880000000121</v>
      </c>
      <c r="BY674">
        <v>7038.967333333334</v>
      </c>
      <c r="BZ674">
        <v>6541.4466666666558</v>
      </c>
      <c r="CA674">
        <v>6043.9259999999776</v>
      </c>
      <c r="CB674">
        <v>5546.4053333332995</v>
      </c>
      <c r="CC674">
        <v>5048.8846666666213</v>
      </c>
      <c r="CD674">
        <v>4551.3639999999432</v>
      </c>
      <c r="CE674">
        <v>4053.843333333265</v>
      </c>
      <c r="CF674">
        <v>3556.3226666665869</v>
      </c>
      <c r="CG674">
        <v>3058.8020000000251</v>
      </c>
      <c r="CH674">
        <v>2561.281333333347</v>
      </c>
      <c r="CI674">
        <v>2063.7606666666688</v>
      </c>
      <c r="CJ674">
        <v>1566.2399999999907</v>
      </c>
      <c r="CK674">
        <v>1068.7193333333125</v>
      </c>
      <c r="CL674">
        <v>571.19866666663438</v>
      </c>
      <c r="CM674">
        <v>73.677999999956228</v>
      </c>
      <c r="CN674">
        <v>-423.84266666672193</v>
      </c>
    </row>
    <row r="675" spans="1:92" x14ac:dyDescent="0.25">
      <c r="A675" s="99" t="s">
        <v>1</v>
      </c>
      <c r="B675" s="4">
        <v>0</v>
      </c>
      <c r="C675" s="4">
        <v>0</v>
      </c>
      <c r="D675" s="4">
        <v>0</v>
      </c>
      <c r="E675" s="4">
        <v>0</v>
      </c>
      <c r="F675" s="4">
        <v>0</v>
      </c>
      <c r="G675" s="4">
        <v>0</v>
      </c>
      <c r="H675" s="4">
        <v>0</v>
      </c>
      <c r="I675" s="4">
        <v>0</v>
      </c>
      <c r="J675" s="4">
        <v>0</v>
      </c>
      <c r="K675" s="4">
        <v>0</v>
      </c>
      <c r="L675" s="4">
        <v>0</v>
      </c>
      <c r="M675" s="4">
        <v>0</v>
      </c>
      <c r="N675" s="4">
        <v>0</v>
      </c>
      <c r="O675" s="4">
        <v>0</v>
      </c>
      <c r="P675" s="4">
        <v>0</v>
      </c>
      <c r="Q675" s="4">
        <v>0</v>
      </c>
      <c r="R675" s="4">
        <v>0</v>
      </c>
      <c r="S675" s="4">
        <v>0</v>
      </c>
      <c r="T675" s="4">
        <v>0</v>
      </c>
      <c r="U675" s="4">
        <v>0</v>
      </c>
      <c r="V675" s="4">
        <v>0</v>
      </c>
      <c r="W675" s="4">
        <v>0</v>
      </c>
      <c r="X675" s="4">
        <v>0</v>
      </c>
      <c r="Y675" s="4">
        <v>0</v>
      </c>
      <c r="Z675" s="4">
        <v>0</v>
      </c>
      <c r="AA675" s="4">
        <v>0</v>
      </c>
      <c r="AB675" s="4">
        <v>0</v>
      </c>
      <c r="AC675" s="4">
        <v>0</v>
      </c>
      <c r="AD675" s="4">
        <v>0</v>
      </c>
      <c r="AE675" s="4">
        <v>0</v>
      </c>
      <c r="AF675">
        <v>1590.7373333333344</v>
      </c>
      <c r="AG675">
        <v>1599.8224999999984</v>
      </c>
      <c r="AH675">
        <v>1608.907666666666</v>
      </c>
      <c r="AI675">
        <v>1617.9928333333337</v>
      </c>
      <c r="AJ675">
        <v>1627.0780000000013</v>
      </c>
      <c r="AK675">
        <v>1636.1631666666653</v>
      </c>
      <c r="AL675">
        <v>1645.248333333333</v>
      </c>
      <c r="AM675">
        <v>1654.3335000000006</v>
      </c>
      <c r="AN675">
        <v>1663.4186666666683</v>
      </c>
      <c r="AO675">
        <v>1672.5038333333323</v>
      </c>
      <c r="AP675">
        <v>1681.5889999999999</v>
      </c>
      <c r="AQ675">
        <v>1690.6741666666676</v>
      </c>
      <c r="AR675">
        <v>1699.7593333333316</v>
      </c>
      <c r="AS675">
        <v>1708.8444999999992</v>
      </c>
      <c r="AT675">
        <v>1717.9296666666669</v>
      </c>
      <c r="AU675">
        <v>1727.0148333333345</v>
      </c>
      <c r="AV675">
        <v>1736.0999999999985</v>
      </c>
      <c r="AW675">
        <v>1745.1851666666662</v>
      </c>
      <c r="AX675">
        <v>1754.2703333333338</v>
      </c>
      <c r="AY675">
        <v>1763.3555000000015</v>
      </c>
      <c r="AZ675">
        <v>1772.4406666666655</v>
      </c>
      <c r="BA675">
        <v>1781.5258333333331</v>
      </c>
      <c r="BB675">
        <v>1790.6110000000008</v>
      </c>
      <c r="BC675">
        <v>1799.6961666666648</v>
      </c>
      <c r="BD675">
        <v>1808.7813333333324</v>
      </c>
      <c r="BE675">
        <v>1817.8665000000001</v>
      </c>
      <c r="BF675">
        <v>1826.9516666666677</v>
      </c>
      <c r="BG675">
        <v>1836.0368333333317</v>
      </c>
      <c r="BH675">
        <v>1845.1219999999994</v>
      </c>
      <c r="BI675">
        <v>1854.207166666667</v>
      </c>
      <c r="BJ675">
        <v>1863.2923333333347</v>
      </c>
      <c r="BK675">
        <v>1872.3774999999987</v>
      </c>
      <c r="BL675">
        <v>1881.4626666666663</v>
      </c>
      <c r="BM675">
        <v>1890.547833333334</v>
      </c>
      <c r="BN675">
        <v>1899.6330000000016</v>
      </c>
      <c r="BO675">
        <v>1908.7181666666656</v>
      </c>
      <c r="BP675">
        <v>1917.8033333333333</v>
      </c>
      <c r="BQ675">
        <v>1926.8885000000009</v>
      </c>
      <c r="BR675">
        <v>1935.9736666666649</v>
      </c>
      <c r="BS675">
        <v>1945.0588333333326</v>
      </c>
      <c r="BT675">
        <v>1954.1440000000002</v>
      </c>
      <c r="BU675">
        <v>1963.2291666666679</v>
      </c>
      <c r="BV675">
        <v>1972.3143333333319</v>
      </c>
      <c r="BW675">
        <v>1981.3994999999995</v>
      </c>
      <c r="BX675">
        <v>1990.4846666666672</v>
      </c>
      <c r="BY675">
        <v>1999.5698333333348</v>
      </c>
      <c r="BZ675">
        <v>2008.6549999999988</v>
      </c>
      <c r="CA675">
        <v>2017.7401666666665</v>
      </c>
      <c r="CB675">
        <v>2026.8253333333341</v>
      </c>
      <c r="CC675">
        <v>2035.9104999999981</v>
      </c>
      <c r="CD675">
        <v>2044.9956666666658</v>
      </c>
      <c r="CE675">
        <v>2054.0808333333334</v>
      </c>
      <c r="CF675">
        <v>2063.1660000000011</v>
      </c>
      <c r="CG675">
        <v>2072.2511666666651</v>
      </c>
      <c r="CH675">
        <v>2081.3363333333327</v>
      </c>
      <c r="CI675">
        <v>2090.4215000000004</v>
      </c>
      <c r="CJ675">
        <v>2099.506666666668</v>
      </c>
      <c r="CK675">
        <v>2108.591833333332</v>
      </c>
      <c r="CL675">
        <v>2117.6769999999997</v>
      </c>
      <c r="CM675">
        <v>2126.7621666666673</v>
      </c>
      <c r="CN675">
        <v>2135.8473333333313</v>
      </c>
    </row>
    <row r="676" spans="1:92" x14ac:dyDescent="0.25">
      <c r="A676" s="99"/>
    </row>
    <row r="677" spans="1:92" x14ac:dyDescent="0.25">
      <c r="A677" s="99" t="s">
        <v>275</v>
      </c>
      <c r="B677" s="4">
        <v>0</v>
      </c>
      <c r="C677" s="4">
        <v>0</v>
      </c>
      <c r="D677" s="4">
        <v>0</v>
      </c>
      <c r="E677" s="4">
        <v>0</v>
      </c>
      <c r="F677" s="4">
        <v>0</v>
      </c>
      <c r="G677" s="4">
        <v>0</v>
      </c>
      <c r="H677" s="4">
        <v>0</v>
      </c>
      <c r="I677" s="4">
        <v>0</v>
      </c>
      <c r="J677" s="4">
        <v>0</v>
      </c>
      <c r="K677" s="4">
        <v>0</v>
      </c>
      <c r="L677" s="4">
        <v>0</v>
      </c>
      <c r="M677" s="4">
        <v>0</v>
      </c>
      <c r="N677" s="4">
        <v>0</v>
      </c>
      <c r="O677" s="4">
        <v>0</v>
      </c>
      <c r="P677" s="4">
        <v>0</v>
      </c>
      <c r="Q677" s="4">
        <v>0</v>
      </c>
      <c r="R677" s="4">
        <v>0</v>
      </c>
      <c r="S677" s="4">
        <v>0</v>
      </c>
      <c r="T677" s="4">
        <v>0</v>
      </c>
      <c r="U677" s="4">
        <v>0</v>
      </c>
      <c r="V677" s="4">
        <v>0</v>
      </c>
      <c r="W677" s="4">
        <v>0</v>
      </c>
      <c r="X677" s="4">
        <v>0</v>
      </c>
      <c r="Y677" s="4">
        <v>0</v>
      </c>
      <c r="Z677" s="4">
        <v>0</v>
      </c>
      <c r="AA677" s="4">
        <v>0</v>
      </c>
      <c r="AB677" s="4">
        <v>0</v>
      </c>
      <c r="AC677" s="4">
        <v>0</v>
      </c>
      <c r="AD677" s="4">
        <v>0</v>
      </c>
      <c r="AE677" s="4">
        <v>0</v>
      </c>
      <c r="AF677">
        <v>2195.6106666667038</v>
      </c>
      <c r="AG677">
        <v>2427.126666666707</v>
      </c>
      <c r="AH677">
        <v>2658.6426666667103</v>
      </c>
      <c r="AI677">
        <v>2890.1586666667135</v>
      </c>
      <c r="AJ677">
        <v>3121.6746666667168</v>
      </c>
      <c r="AK677">
        <v>3353.1906666667201</v>
      </c>
      <c r="AL677">
        <v>3584.7066666667233</v>
      </c>
      <c r="AM677">
        <v>3816.2226666667266</v>
      </c>
      <c r="AN677">
        <v>4047.7386666667298</v>
      </c>
      <c r="AO677">
        <v>4279.2546666667331</v>
      </c>
      <c r="AP677">
        <v>4510.7706666667364</v>
      </c>
      <c r="AQ677">
        <v>4742.2866666667396</v>
      </c>
      <c r="AR677">
        <v>4973.8026666667429</v>
      </c>
      <c r="AS677">
        <v>5205.3186666666879</v>
      </c>
      <c r="AT677">
        <v>5436.8346666666912</v>
      </c>
      <c r="AU677">
        <v>5668.3506666666945</v>
      </c>
      <c r="AV677">
        <v>5899.8666666666977</v>
      </c>
      <c r="AW677">
        <v>6131.382666666701</v>
      </c>
      <c r="AX677">
        <v>6362.8986666667042</v>
      </c>
      <c r="AY677">
        <v>6594.4146666667075</v>
      </c>
      <c r="AZ677">
        <v>6825.9306666667107</v>
      </c>
      <c r="BA677">
        <v>7057.446666666714</v>
      </c>
      <c r="BB677">
        <v>7288.9626666667173</v>
      </c>
      <c r="BC677">
        <v>7520.4786666667205</v>
      </c>
      <c r="BD677">
        <v>7751.9946666667238</v>
      </c>
      <c r="BE677">
        <v>7983.510666666727</v>
      </c>
      <c r="BF677">
        <v>8215.0266666667303</v>
      </c>
      <c r="BG677">
        <v>8446.5426666667336</v>
      </c>
      <c r="BH677">
        <v>8678.0586666667368</v>
      </c>
      <c r="BI677">
        <v>8909.5746666667401</v>
      </c>
      <c r="BJ677">
        <v>9141.0906666667433</v>
      </c>
      <c r="BK677">
        <v>9372.6066666666884</v>
      </c>
      <c r="BL677">
        <v>9604.1226666666917</v>
      </c>
      <c r="BM677">
        <v>9835.6386666666949</v>
      </c>
      <c r="BN677">
        <v>10067.154666666698</v>
      </c>
      <c r="BO677">
        <v>10298.670666666701</v>
      </c>
      <c r="BP677">
        <v>10530.186666666705</v>
      </c>
      <c r="BQ677">
        <v>10761.702666666708</v>
      </c>
      <c r="BR677">
        <v>10993.218666666711</v>
      </c>
      <c r="BS677">
        <v>11224.734666666714</v>
      </c>
      <c r="BT677">
        <v>11456.250666666718</v>
      </c>
      <c r="BU677">
        <v>11687.766666666721</v>
      </c>
      <c r="BV677">
        <v>11919.282666666724</v>
      </c>
      <c r="BW677">
        <v>12150.798666666728</v>
      </c>
      <c r="BX677">
        <v>12382.314666666731</v>
      </c>
      <c r="BY677">
        <v>12613.830666666734</v>
      </c>
      <c r="BZ677">
        <v>12845.346666666737</v>
      </c>
      <c r="CA677">
        <v>13076.862666666741</v>
      </c>
      <c r="CB677">
        <v>13308.378666666744</v>
      </c>
      <c r="CC677">
        <v>13539.894666666689</v>
      </c>
      <c r="CD677">
        <v>13771.410666666692</v>
      </c>
      <c r="CE677">
        <v>14002.926666666695</v>
      </c>
      <c r="CF677">
        <v>14234.442666666699</v>
      </c>
      <c r="CG677">
        <v>14465.958666666702</v>
      </c>
      <c r="CH677">
        <v>14697.474666666705</v>
      </c>
      <c r="CI677">
        <v>14928.990666666708</v>
      </c>
      <c r="CJ677">
        <v>15160.506666666712</v>
      </c>
      <c r="CK677">
        <v>15392.022666666715</v>
      </c>
      <c r="CL677">
        <v>15623.538666666718</v>
      </c>
      <c r="CM677">
        <v>15855.054666666721</v>
      </c>
      <c r="CN677">
        <v>16086.570666666725</v>
      </c>
    </row>
    <row r="678" spans="1:92" x14ac:dyDescent="0.25">
      <c r="A678" s="99"/>
    </row>
    <row r="679" spans="1:92" s="50" customFormat="1" x14ac:dyDescent="0.25">
      <c r="A679" s="99" t="s">
        <v>271</v>
      </c>
      <c r="B679" s="4">
        <v>0</v>
      </c>
      <c r="C679" s="4">
        <v>0</v>
      </c>
      <c r="D679" s="4">
        <v>0</v>
      </c>
      <c r="E679" s="4">
        <v>0</v>
      </c>
      <c r="F679" s="4">
        <v>0</v>
      </c>
      <c r="G679" s="4">
        <v>0</v>
      </c>
      <c r="H679" s="4">
        <v>0</v>
      </c>
      <c r="I679" s="4">
        <v>0</v>
      </c>
      <c r="J679" s="4">
        <v>0</v>
      </c>
      <c r="K679" s="4">
        <v>0</v>
      </c>
      <c r="L679" s="4">
        <v>0</v>
      </c>
      <c r="M679" s="4">
        <v>0</v>
      </c>
      <c r="N679" s="4">
        <v>0</v>
      </c>
      <c r="O679" s="4">
        <v>0</v>
      </c>
      <c r="P679" s="4">
        <v>0</v>
      </c>
      <c r="Q679" s="4">
        <v>0</v>
      </c>
      <c r="R679" s="4">
        <v>0</v>
      </c>
      <c r="S679" s="4">
        <v>0</v>
      </c>
      <c r="T679" s="4">
        <v>0</v>
      </c>
      <c r="U679" s="4">
        <v>0</v>
      </c>
      <c r="V679" s="4">
        <v>0</v>
      </c>
      <c r="W679" s="4">
        <v>0</v>
      </c>
      <c r="X679" s="4">
        <v>0</v>
      </c>
      <c r="Y679" s="4">
        <v>0</v>
      </c>
      <c r="Z679" s="4">
        <v>0</v>
      </c>
      <c r="AA679" s="4">
        <v>0</v>
      </c>
      <c r="AB679" s="4">
        <v>0</v>
      </c>
      <c r="AC679" s="4">
        <v>0</v>
      </c>
      <c r="AD679" s="4">
        <v>0</v>
      </c>
      <c r="AE679" s="4">
        <v>0</v>
      </c>
      <c r="AF679" s="50">
        <v>2029.4721263459724</v>
      </c>
      <c r="AG679" s="50">
        <v>2056.1601278766175</v>
      </c>
      <c r="AH679" s="50">
        <v>2082.8481294072626</v>
      </c>
      <c r="AI679" s="50">
        <v>2109.5361309379077</v>
      </c>
      <c r="AJ679" s="50">
        <v>2136.2241324685529</v>
      </c>
      <c r="AK679" s="50">
        <v>2162.912133999198</v>
      </c>
      <c r="AL679" s="50">
        <v>2189.6001355298431</v>
      </c>
      <c r="AM679" s="50">
        <v>2216.2881370604882</v>
      </c>
      <c r="AN679" s="50">
        <v>2242.9761385911333</v>
      </c>
      <c r="AO679" s="50">
        <v>2269.6641401217785</v>
      </c>
      <c r="AP679" s="50">
        <v>2296.3521416524236</v>
      </c>
      <c r="AQ679" s="50">
        <v>2323.0401431830687</v>
      </c>
      <c r="AR679" s="50">
        <v>2349.7281447137066</v>
      </c>
      <c r="AS679" s="50">
        <v>2376.4161462443517</v>
      </c>
      <c r="AT679" s="50">
        <v>2403.1041477749968</v>
      </c>
      <c r="AU679" s="50">
        <v>2429.7921493056419</v>
      </c>
      <c r="AV679" s="50">
        <v>2456.4801508362871</v>
      </c>
      <c r="AW679" s="50">
        <v>2483.1681523669322</v>
      </c>
      <c r="AX679" s="50">
        <v>2509.8561538975773</v>
      </c>
      <c r="AY679" s="50">
        <v>2536.5441554282224</v>
      </c>
      <c r="AZ679" s="50">
        <v>2563.2321569588676</v>
      </c>
      <c r="BA679" s="50">
        <v>2589.9201584895127</v>
      </c>
      <c r="BB679" s="50">
        <v>2616.6081600201578</v>
      </c>
      <c r="BC679" s="50">
        <v>2643.2961615508029</v>
      </c>
      <c r="BD679" s="50">
        <v>2669.9841630814481</v>
      </c>
      <c r="BE679" s="50">
        <v>2696.6721646120932</v>
      </c>
      <c r="BF679" s="50">
        <v>2723.3601661427383</v>
      </c>
      <c r="BG679" s="50">
        <v>2750.0481676733834</v>
      </c>
      <c r="BH679" s="50">
        <v>2776.7361692040286</v>
      </c>
      <c r="BI679" s="50">
        <v>2803.4241707346737</v>
      </c>
      <c r="BJ679" s="50">
        <v>2830.1121722653188</v>
      </c>
      <c r="BK679" s="50">
        <v>2856.8001737959639</v>
      </c>
      <c r="BL679" s="50">
        <v>2883.4881753266091</v>
      </c>
      <c r="BM679" s="50">
        <v>2910.1761768572542</v>
      </c>
      <c r="BN679" s="50">
        <v>2936.8641783878993</v>
      </c>
      <c r="BO679" s="50">
        <v>2963.5521799185444</v>
      </c>
      <c r="BP679" s="50">
        <v>2990.2401814491895</v>
      </c>
      <c r="BQ679" s="50">
        <v>3016.9281829798347</v>
      </c>
      <c r="BR679" s="50">
        <v>3043.6161845104798</v>
      </c>
      <c r="BS679" s="50">
        <v>3070.3041860411249</v>
      </c>
      <c r="BT679" s="50">
        <v>3096.99218757177</v>
      </c>
      <c r="BU679" s="50">
        <v>3123.6801891024152</v>
      </c>
      <c r="BV679" s="50">
        <v>3150.3681906330603</v>
      </c>
      <c r="BW679" s="50">
        <v>3177.0561921637054</v>
      </c>
      <c r="BX679" s="50">
        <v>3203.7441936943505</v>
      </c>
      <c r="BY679" s="50">
        <v>3230.4321952249957</v>
      </c>
      <c r="BZ679" s="50">
        <v>3257.1201967556408</v>
      </c>
      <c r="CA679" s="50">
        <v>3283.8081982862859</v>
      </c>
      <c r="CB679" s="50">
        <v>3310.496199816931</v>
      </c>
      <c r="CC679" s="50">
        <v>3337.1842013475762</v>
      </c>
      <c r="CD679" s="50">
        <v>3363.8722028782213</v>
      </c>
      <c r="CE679" s="50">
        <v>3390.5602044088664</v>
      </c>
      <c r="CF679" s="50">
        <v>3417.2482059395115</v>
      </c>
      <c r="CG679" s="50">
        <v>3443.9362074701567</v>
      </c>
      <c r="CH679" s="50">
        <v>3470.6242090008018</v>
      </c>
      <c r="CI679" s="50">
        <v>3497.3122105314469</v>
      </c>
      <c r="CJ679" s="50">
        <v>3524.000212062092</v>
      </c>
      <c r="CK679" s="50">
        <v>3550.6882135927372</v>
      </c>
      <c r="CL679" s="50">
        <v>3577.3762151233823</v>
      </c>
      <c r="CM679" s="50">
        <v>3604.0642166540274</v>
      </c>
      <c r="CN679" s="50">
        <v>3630.7522181846725</v>
      </c>
    </row>
    <row r="680" spans="1:92" s="50" customFormat="1" x14ac:dyDescent="0.25">
      <c r="A680" s="9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92" x14ac:dyDescent="0.25">
      <c r="A681" s="99" t="s">
        <v>276</v>
      </c>
      <c r="B681" s="4">
        <v>0</v>
      </c>
      <c r="C681" s="4">
        <v>0</v>
      </c>
      <c r="D681" s="4">
        <v>0</v>
      </c>
      <c r="E681" s="4">
        <v>0</v>
      </c>
      <c r="F681" s="4">
        <v>0</v>
      </c>
      <c r="G681" s="4">
        <v>0</v>
      </c>
      <c r="H681" s="4">
        <v>0</v>
      </c>
      <c r="I681" s="4">
        <v>0</v>
      </c>
      <c r="J681" s="4">
        <v>0</v>
      </c>
      <c r="K681" s="4">
        <v>0</v>
      </c>
      <c r="L681" s="4">
        <v>0</v>
      </c>
      <c r="M681" s="4">
        <v>0</v>
      </c>
      <c r="N681" s="4">
        <v>0</v>
      </c>
      <c r="O681" s="4">
        <v>0</v>
      </c>
      <c r="P681" s="4">
        <v>0</v>
      </c>
      <c r="Q681" s="4">
        <v>0</v>
      </c>
      <c r="R681" s="4">
        <v>0</v>
      </c>
      <c r="S681" s="4">
        <v>0</v>
      </c>
      <c r="T681" s="4">
        <v>0</v>
      </c>
      <c r="U681" s="4">
        <v>0</v>
      </c>
      <c r="V681" s="4">
        <v>0</v>
      </c>
      <c r="W681" s="4">
        <v>0</v>
      </c>
      <c r="X681" s="4">
        <v>0</v>
      </c>
      <c r="Y681" s="4">
        <v>0</v>
      </c>
      <c r="Z681" s="4">
        <v>0</v>
      </c>
      <c r="AA681" s="4">
        <v>0</v>
      </c>
      <c r="AB681" s="4">
        <v>0</v>
      </c>
      <c r="AC681" s="4">
        <v>0</v>
      </c>
      <c r="AD681" s="4">
        <v>0</v>
      </c>
      <c r="AE681" s="4">
        <v>0</v>
      </c>
      <c r="AF681">
        <v>26119.814666666556</v>
      </c>
      <c r="AG681">
        <v>27286.074166666716</v>
      </c>
      <c r="AH681">
        <v>28452.333666666411</v>
      </c>
      <c r="AI681">
        <v>29618.593166666571</v>
      </c>
      <c r="AJ681">
        <v>30784.852666666731</v>
      </c>
      <c r="AK681">
        <v>31951.112166666426</v>
      </c>
      <c r="AL681">
        <v>33117.371666666586</v>
      </c>
      <c r="AM681">
        <v>34283.631166666746</v>
      </c>
      <c r="AN681">
        <v>35449.890666666441</v>
      </c>
      <c r="AO681">
        <v>36616.150166666601</v>
      </c>
      <c r="AP681">
        <v>37782.409666666295</v>
      </c>
      <c r="AQ681">
        <v>38948.669166666456</v>
      </c>
      <c r="AR681">
        <v>40114.928666666616</v>
      </c>
      <c r="AS681">
        <v>41281.18816666631</v>
      </c>
      <c r="AT681">
        <v>42447.44766666647</v>
      </c>
      <c r="AU681">
        <v>43613.707166666631</v>
      </c>
      <c r="AV681">
        <v>44779.966666666325</v>
      </c>
      <c r="AW681">
        <v>45946.226166666485</v>
      </c>
      <c r="AX681">
        <v>47112.485666666646</v>
      </c>
      <c r="AY681">
        <v>48278.74516666634</v>
      </c>
      <c r="AZ681">
        <v>49445.0046666665</v>
      </c>
      <c r="BA681">
        <v>50611.26416666666</v>
      </c>
      <c r="BB681">
        <v>51777.523666666355</v>
      </c>
      <c r="BC681">
        <v>52943.783166666515</v>
      </c>
      <c r="BD681">
        <v>54110.042666666675</v>
      </c>
      <c r="BE681">
        <v>55276.30216666637</v>
      </c>
      <c r="BF681">
        <v>56442.56166666653</v>
      </c>
      <c r="BG681">
        <v>57608.82116666669</v>
      </c>
      <c r="BH681">
        <v>58775.080666666385</v>
      </c>
      <c r="BI681">
        <v>59941.340166666545</v>
      </c>
      <c r="BJ681">
        <v>61107.599666666705</v>
      </c>
      <c r="BK681">
        <v>62273.8591666664</v>
      </c>
      <c r="BL681">
        <v>63440.11866666656</v>
      </c>
      <c r="BM681">
        <v>64606.37816666672</v>
      </c>
      <c r="BN681">
        <v>65772.637666666415</v>
      </c>
      <c r="BO681">
        <v>66938.897166666575</v>
      </c>
      <c r="BP681">
        <v>68105.156666666735</v>
      </c>
      <c r="BQ681">
        <v>69271.416166666429</v>
      </c>
      <c r="BR681">
        <v>70437.67566666659</v>
      </c>
      <c r="BS681">
        <v>71603.93516666675</v>
      </c>
      <c r="BT681">
        <v>72770.194666666444</v>
      </c>
      <c r="BU681">
        <v>73936.454166666605</v>
      </c>
      <c r="BV681">
        <v>75102.713666666765</v>
      </c>
      <c r="BW681">
        <v>76268.973166666459</v>
      </c>
      <c r="BX681">
        <v>77435.232666666619</v>
      </c>
      <c r="BY681">
        <v>78601.492166666314</v>
      </c>
      <c r="BZ681">
        <v>79767.751666666474</v>
      </c>
      <c r="CA681">
        <v>80934.011166666634</v>
      </c>
      <c r="CB681">
        <v>82100.270666666329</v>
      </c>
      <c r="CC681">
        <v>83266.530166666489</v>
      </c>
      <c r="CD681">
        <v>84432.789666666649</v>
      </c>
      <c r="CE681">
        <v>85599.049166666344</v>
      </c>
      <c r="CF681">
        <v>86765.308666666504</v>
      </c>
      <c r="CG681">
        <v>87931.568166666664</v>
      </c>
      <c r="CH681">
        <v>89097.827666666359</v>
      </c>
      <c r="CI681">
        <v>90264.087166666519</v>
      </c>
      <c r="CJ681">
        <v>91430.346666666679</v>
      </c>
      <c r="CK681">
        <v>92596.606166666374</v>
      </c>
      <c r="CL681">
        <v>93762.865666666534</v>
      </c>
      <c r="CM681">
        <v>94929.125166666694</v>
      </c>
      <c r="CN681">
        <v>96095.384666666389</v>
      </c>
    </row>
    <row r="682" spans="1:92" x14ac:dyDescent="0.25">
      <c r="A682" s="99"/>
    </row>
    <row r="683" spans="1:92" s="50" customFormat="1" x14ac:dyDescent="0.25">
      <c r="A683" s="99" t="s">
        <v>277</v>
      </c>
      <c r="B683" s="4">
        <v>0</v>
      </c>
      <c r="C683" s="4">
        <v>0</v>
      </c>
      <c r="D683" s="4">
        <v>0</v>
      </c>
      <c r="E683" s="4">
        <v>0</v>
      </c>
      <c r="F683" s="4">
        <v>0</v>
      </c>
      <c r="G683" s="4">
        <v>0</v>
      </c>
      <c r="H683" s="4">
        <v>0</v>
      </c>
      <c r="I683" s="4">
        <v>0</v>
      </c>
      <c r="J683" s="4">
        <v>0</v>
      </c>
      <c r="K683" s="4">
        <v>0</v>
      </c>
      <c r="L683" s="4">
        <v>0</v>
      </c>
      <c r="M683" s="4">
        <v>0</v>
      </c>
      <c r="N683" s="4">
        <v>0</v>
      </c>
      <c r="O683" s="4">
        <v>0</v>
      </c>
      <c r="P683" s="4">
        <v>0</v>
      </c>
      <c r="Q683" s="4">
        <v>0</v>
      </c>
      <c r="R683" s="4">
        <v>0</v>
      </c>
      <c r="S683" s="4">
        <v>0</v>
      </c>
      <c r="T683" s="4">
        <v>0</v>
      </c>
      <c r="U683" s="4">
        <v>0</v>
      </c>
      <c r="V683" s="4">
        <v>0</v>
      </c>
      <c r="W683" s="4">
        <v>0</v>
      </c>
      <c r="X683" s="4">
        <v>0</v>
      </c>
      <c r="Y683" s="4">
        <v>0</v>
      </c>
      <c r="Z683" s="4">
        <v>0</v>
      </c>
      <c r="AA683" s="4">
        <v>0</v>
      </c>
      <c r="AB683" s="4">
        <v>0</v>
      </c>
      <c r="AC683" s="4">
        <v>0</v>
      </c>
      <c r="AD683" s="4">
        <v>0</v>
      </c>
      <c r="AE683" s="4">
        <v>0</v>
      </c>
      <c r="AF683" s="50">
        <v>1843.175873654036</v>
      </c>
      <c r="AG683" s="50">
        <v>1867.4140387900625</v>
      </c>
      <c r="AH683" s="50">
        <v>1891.6522039260817</v>
      </c>
      <c r="AI683" s="50">
        <v>1915.8903690621082</v>
      </c>
      <c r="AJ683" s="50">
        <v>1940.1285341981275</v>
      </c>
      <c r="AK683" s="50">
        <v>1964.3666993341467</v>
      </c>
      <c r="AL683" s="50">
        <v>1988.6048644701732</v>
      </c>
      <c r="AM683" s="50">
        <v>2012.8430296061924</v>
      </c>
      <c r="AN683" s="50">
        <v>2037.0811947422117</v>
      </c>
      <c r="AO683" s="50">
        <v>2061.3193598782382</v>
      </c>
      <c r="AP683" s="50">
        <v>2085.5575250142574</v>
      </c>
      <c r="AQ683" s="50">
        <v>2109.7956901502766</v>
      </c>
      <c r="AR683" s="50">
        <v>2134.0338552863032</v>
      </c>
      <c r="AS683" s="50">
        <v>2158.2720204223224</v>
      </c>
      <c r="AT683" s="50">
        <v>2182.5101855583416</v>
      </c>
      <c r="AU683" s="50">
        <v>2206.7483506943681</v>
      </c>
      <c r="AV683" s="50">
        <v>2230.9865158303874</v>
      </c>
      <c r="AW683" s="50">
        <v>2255.2246809664066</v>
      </c>
      <c r="AX683" s="50">
        <v>2279.4628461024331</v>
      </c>
      <c r="AY683" s="50">
        <v>2303.7010112384523</v>
      </c>
      <c r="AZ683" s="50">
        <v>2327.9391763744788</v>
      </c>
      <c r="BA683" s="50">
        <v>2352.1773415104981</v>
      </c>
      <c r="BB683" s="50">
        <v>2376.4155066465173</v>
      </c>
      <c r="BC683" s="50">
        <v>2400.6536717825438</v>
      </c>
      <c r="BD683" s="50">
        <v>2424.8918369185631</v>
      </c>
      <c r="BE683" s="50">
        <v>2449.1300020545823</v>
      </c>
      <c r="BF683" s="50">
        <v>2473.3681671906088</v>
      </c>
      <c r="BG683" s="50">
        <v>2497.606332326628</v>
      </c>
      <c r="BH683" s="50">
        <v>2521.8444974626473</v>
      </c>
      <c r="BI683" s="50">
        <v>2546.0826625986738</v>
      </c>
      <c r="BJ683" s="50">
        <v>2570.320827734693</v>
      </c>
      <c r="BK683" s="50">
        <v>2594.5589928707122</v>
      </c>
      <c r="BL683" s="50">
        <v>2618.7971580067388</v>
      </c>
      <c r="BM683" s="50">
        <v>2643.035323142758</v>
      </c>
      <c r="BN683" s="50">
        <v>2667.2734882787845</v>
      </c>
      <c r="BO683" s="50">
        <v>2691.5116534148037</v>
      </c>
      <c r="BP683" s="50">
        <v>2715.749818550823</v>
      </c>
      <c r="BQ683" s="50">
        <v>2739.9879836868495</v>
      </c>
      <c r="BR683" s="50">
        <v>2764.2261488228687</v>
      </c>
      <c r="BS683" s="50">
        <v>2788.4643139588879</v>
      </c>
      <c r="BT683" s="50">
        <v>2812.7024790949145</v>
      </c>
      <c r="BU683" s="50">
        <v>2836.9406442309337</v>
      </c>
      <c r="BV683" s="50">
        <v>2861.1788093669529</v>
      </c>
      <c r="BW683" s="50">
        <v>2885.4169745029794</v>
      </c>
      <c r="BX683" s="50">
        <v>2909.6551396389987</v>
      </c>
      <c r="BY683" s="50">
        <v>2933.8933047750179</v>
      </c>
      <c r="BZ683" s="50">
        <v>2958.1314699110444</v>
      </c>
      <c r="CA683" s="50">
        <v>2982.3696350470636</v>
      </c>
      <c r="CB683" s="50">
        <v>3006.6078001830829</v>
      </c>
      <c r="CC683" s="50">
        <v>3030.8459653191094</v>
      </c>
      <c r="CD683" s="50">
        <v>3055.0841304551286</v>
      </c>
      <c r="CE683" s="50">
        <v>3079.3222955911551</v>
      </c>
      <c r="CF683" s="50">
        <v>3103.5604607271744</v>
      </c>
      <c r="CG683" s="50">
        <v>3127.7986258631936</v>
      </c>
      <c r="CH683" s="50">
        <v>3152.0367909992201</v>
      </c>
      <c r="CI683" s="50">
        <v>3176.2749561352393</v>
      </c>
      <c r="CJ683" s="50">
        <v>3200.5131212712586</v>
      </c>
      <c r="CK683" s="50">
        <v>3224.7512864072851</v>
      </c>
      <c r="CL683" s="50">
        <v>3248.9894515433043</v>
      </c>
      <c r="CM683" s="50">
        <v>3273.2276166793235</v>
      </c>
      <c r="CN683" s="50">
        <v>3297.4657818153501</v>
      </c>
    </row>
    <row r="684" spans="1:92" s="50" customFormat="1" x14ac:dyDescent="0.25">
      <c r="A684" s="9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92" x14ac:dyDescent="0.25">
      <c r="A685" s="99" t="s">
        <v>278</v>
      </c>
      <c r="B685" s="4">
        <v>0</v>
      </c>
      <c r="C685" s="4">
        <v>0</v>
      </c>
      <c r="D685" s="4">
        <v>0</v>
      </c>
      <c r="E685" s="4">
        <v>0</v>
      </c>
      <c r="F685" s="4">
        <v>0</v>
      </c>
      <c r="G685" s="4">
        <v>0</v>
      </c>
      <c r="H685" s="4">
        <v>0</v>
      </c>
      <c r="I685" s="4">
        <v>0</v>
      </c>
      <c r="J685" s="4">
        <v>0</v>
      </c>
      <c r="K685" s="4">
        <v>0</v>
      </c>
      <c r="L685" s="4">
        <v>0</v>
      </c>
      <c r="M685" s="4">
        <v>0</v>
      </c>
      <c r="N685" s="4">
        <v>0</v>
      </c>
      <c r="O685" s="4">
        <v>0</v>
      </c>
      <c r="P685" s="4">
        <v>0</v>
      </c>
      <c r="Q685" s="4">
        <v>0</v>
      </c>
      <c r="R685" s="4">
        <v>0</v>
      </c>
      <c r="S685" s="4">
        <v>0</v>
      </c>
      <c r="T685" s="4">
        <v>0</v>
      </c>
      <c r="U685" s="4">
        <v>0</v>
      </c>
      <c r="V685" s="4">
        <v>0</v>
      </c>
      <c r="W685" s="4">
        <v>0</v>
      </c>
      <c r="X685" s="4">
        <v>0</v>
      </c>
      <c r="Y685" s="4">
        <v>0</v>
      </c>
      <c r="Z685" s="4">
        <v>0</v>
      </c>
      <c r="AA685" s="4">
        <v>0</v>
      </c>
      <c r="AB685" s="4">
        <v>0</v>
      </c>
      <c r="AC685" s="4">
        <v>0</v>
      </c>
      <c r="AD685" s="4">
        <v>0</v>
      </c>
      <c r="AE685" s="4">
        <v>0</v>
      </c>
      <c r="AF685">
        <v>29770.270666666649</v>
      </c>
      <c r="AG685">
        <v>29725.50999999998</v>
      </c>
      <c r="AH685">
        <v>29680.749333333326</v>
      </c>
      <c r="AI685">
        <v>29635.988666666657</v>
      </c>
      <c r="AJ685">
        <v>29591.227999999988</v>
      </c>
      <c r="AK685">
        <v>29546.467333333319</v>
      </c>
      <c r="AL685">
        <v>29501.706666666651</v>
      </c>
      <c r="AM685">
        <v>29456.945999999982</v>
      </c>
      <c r="AN685">
        <v>29412.185333333327</v>
      </c>
      <c r="AO685">
        <v>29367.424666666659</v>
      </c>
      <c r="AP685">
        <v>29322.66399999999</v>
      </c>
      <c r="AQ685">
        <v>29277.903333333321</v>
      </c>
      <c r="AR685">
        <v>29233.142666666652</v>
      </c>
      <c r="AS685">
        <v>29188.381999999983</v>
      </c>
      <c r="AT685">
        <v>29143.621333333329</v>
      </c>
      <c r="AU685">
        <v>29098.86066666666</v>
      </c>
      <c r="AV685">
        <v>29054.099999999991</v>
      </c>
      <c r="AW685">
        <v>29009.339333333322</v>
      </c>
      <c r="AX685">
        <v>28964.578666666654</v>
      </c>
      <c r="AY685">
        <v>28919.817999999985</v>
      </c>
      <c r="AZ685">
        <v>28875.05733333333</v>
      </c>
      <c r="BA685">
        <v>28830.296666666662</v>
      </c>
      <c r="BB685">
        <v>28785.535999999993</v>
      </c>
      <c r="BC685">
        <v>28740.775333333324</v>
      </c>
      <c r="BD685">
        <v>28696.014666666655</v>
      </c>
      <c r="BE685">
        <v>28651.253999999986</v>
      </c>
      <c r="BF685">
        <v>28606.493333333332</v>
      </c>
      <c r="BG685">
        <v>28561.732666666663</v>
      </c>
      <c r="BH685">
        <v>28516.971999999994</v>
      </c>
      <c r="BI685">
        <v>28472.211333333325</v>
      </c>
      <c r="BJ685">
        <v>28427.450666666657</v>
      </c>
      <c r="BK685">
        <v>28382.689999999988</v>
      </c>
      <c r="BL685">
        <v>28337.929333333333</v>
      </c>
      <c r="BM685">
        <v>28293.168666666665</v>
      </c>
      <c r="BN685">
        <v>28248.407999999996</v>
      </c>
      <c r="BO685">
        <v>28203.647333333327</v>
      </c>
      <c r="BP685">
        <v>28158.886666666658</v>
      </c>
      <c r="BQ685">
        <v>28114.125999999989</v>
      </c>
      <c r="BR685">
        <v>28069.365333333335</v>
      </c>
      <c r="BS685">
        <v>28024.604666666666</v>
      </c>
      <c r="BT685">
        <v>27979.843999999997</v>
      </c>
      <c r="BU685">
        <v>27935.083333333328</v>
      </c>
      <c r="BV685">
        <v>27890.32266666666</v>
      </c>
      <c r="BW685">
        <v>27845.561999999991</v>
      </c>
      <c r="BX685">
        <v>27800.801333333337</v>
      </c>
      <c r="BY685">
        <v>27756.040666666668</v>
      </c>
      <c r="BZ685">
        <v>27711.279999999999</v>
      </c>
      <c r="CA685">
        <v>27666.51933333333</v>
      </c>
      <c r="CB685">
        <v>27621.758666666661</v>
      </c>
      <c r="CC685">
        <v>27576.997999999992</v>
      </c>
      <c r="CD685">
        <v>27532.237333333338</v>
      </c>
      <c r="CE685">
        <v>27487.476666666669</v>
      </c>
      <c r="CF685">
        <v>27442.716</v>
      </c>
      <c r="CG685">
        <v>27397.955333333332</v>
      </c>
      <c r="CH685">
        <v>27353.194666666663</v>
      </c>
      <c r="CI685">
        <v>27308.433999999994</v>
      </c>
      <c r="CJ685">
        <v>27263.67333333334</v>
      </c>
      <c r="CK685">
        <v>27218.912666666671</v>
      </c>
      <c r="CL685">
        <v>27174.152000000002</v>
      </c>
      <c r="CM685">
        <v>27129.391333333333</v>
      </c>
      <c r="CN685">
        <v>27084.630666666664</v>
      </c>
    </row>
    <row r="686" spans="1:92" x14ac:dyDescent="0.25">
      <c r="A686" s="99" t="s">
        <v>1</v>
      </c>
      <c r="B686" s="4">
        <v>0</v>
      </c>
      <c r="C686" s="4">
        <v>0</v>
      </c>
      <c r="D686" s="4">
        <v>0</v>
      </c>
      <c r="E686" s="4">
        <v>0</v>
      </c>
      <c r="F686" s="4">
        <v>0</v>
      </c>
      <c r="G686" s="4">
        <v>0</v>
      </c>
      <c r="H686" s="4">
        <v>0</v>
      </c>
      <c r="I686" s="4">
        <v>0</v>
      </c>
      <c r="J686" s="4">
        <v>0</v>
      </c>
      <c r="K686" s="4">
        <v>0</v>
      </c>
      <c r="L686" s="4">
        <v>0</v>
      </c>
      <c r="M686" s="4">
        <v>0</v>
      </c>
      <c r="N686" s="4">
        <v>0</v>
      </c>
      <c r="O686" s="4">
        <v>0</v>
      </c>
      <c r="P686" s="4">
        <v>0</v>
      </c>
      <c r="Q686" s="4">
        <v>0</v>
      </c>
      <c r="R686" s="4">
        <v>0</v>
      </c>
      <c r="S686" s="4">
        <v>0</v>
      </c>
      <c r="T686" s="4">
        <v>0</v>
      </c>
      <c r="U686" s="4">
        <v>0</v>
      </c>
      <c r="V686" s="4">
        <v>0</v>
      </c>
      <c r="W686" s="4">
        <v>0</v>
      </c>
      <c r="X686" s="4">
        <v>0</v>
      </c>
      <c r="Y686" s="4">
        <v>0</v>
      </c>
      <c r="Z686" s="4">
        <v>0</v>
      </c>
      <c r="AA686" s="4">
        <v>0</v>
      </c>
      <c r="AB686" s="4">
        <v>0</v>
      </c>
      <c r="AC686" s="4">
        <v>0</v>
      </c>
      <c r="AD686" s="4">
        <v>0</v>
      </c>
      <c r="AE686" s="4">
        <v>0</v>
      </c>
      <c r="AF686">
        <v>22746.193333333358</v>
      </c>
      <c r="AG686">
        <v>23045.050000000047</v>
      </c>
      <c r="AH686">
        <v>23343.906666666619</v>
      </c>
      <c r="AI686">
        <v>23642.763333333307</v>
      </c>
      <c r="AJ686">
        <v>23941.619999999995</v>
      </c>
      <c r="AK686">
        <v>24240.476666666684</v>
      </c>
      <c r="AL686">
        <v>24539.333333333372</v>
      </c>
      <c r="AM686">
        <v>24838.190000000061</v>
      </c>
      <c r="AN686">
        <v>25137.046666666633</v>
      </c>
      <c r="AO686">
        <v>25435.903333333321</v>
      </c>
      <c r="AP686">
        <v>25734.760000000009</v>
      </c>
      <c r="AQ686">
        <v>26033.616666666698</v>
      </c>
      <c r="AR686">
        <v>26332.473333333386</v>
      </c>
      <c r="AS686">
        <v>26631.329999999958</v>
      </c>
      <c r="AT686">
        <v>26930.186666666646</v>
      </c>
      <c r="AU686">
        <v>27229.043333333335</v>
      </c>
      <c r="AV686">
        <v>27527.900000000023</v>
      </c>
      <c r="AW686">
        <v>27826.756666666712</v>
      </c>
      <c r="AX686">
        <v>28125.6133333334</v>
      </c>
      <c r="AY686">
        <v>28424.469999999972</v>
      </c>
      <c r="AZ686">
        <v>28723.32666666666</v>
      </c>
      <c r="BA686">
        <v>29022.183333333349</v>
      </c>
      <c r="BB686">
        <v>29321.040000000037</v>
      </c>
      <c r="BC686">
        <v>29619.896666666726</v>
      </c>
      <c r="BD686">
        <v>29918.753333333298</v>
      </c>
      <c r="BE686">
        <v>30217.609999999986</v>
      </c>
      <c r="BF686">
        <v>30516.466666666674</v>
      </c>
      <c r="BG686">
        <v>30815.323333333363</v>
      </c>
      <c r="BH686">
        <v>31114.180000000051</v>
      </c>
      <c r="BI686">
        <v>31413.036666666623</v>
      </c>
      <c r="BJ686">
        <v>31711.893333333312</v>
      </c>
      <c r="BK686">
        <v>32010.75</v>
      </c>
      <c r="BL686">
        <v>32309.606666666688</v>
      </c>
      <c r="BM686">
        <v>32608.463333333377</v>
      </c>
      <c r="BN686">
        <v>32907.319999999949</v>
      </c>
      <c r="BO686">
        <v>33206.176666666637</v>
      </c>
      <c r="BP686">
        <v>33505.033333333326</v>
      </c>
      <c r="BQ686">
        <v>33803.890000000014</v>
      </c>
      <c r="BR686">
        <v>34102.746666666702</v>
      </c>
      <c r="BS686">
        <v>34401.603333333391</v>
      </c>
      <c r="BT686">
        <v>34700.459999999963</v>
      </c>
      <c r="BU686">
        <v>34999.316666666651</v>
      </c>
      <c r="BV686">
        <v>35298.17333333334</v>
      </c>
      <c r="BW686">
        <v>35597.030000000028</v>
      </c>
      <c r="BX686">
        <v>35895.886666666716</v>
      </c>
      <c r="BY686">
        <v>36194.743333333288</v>
      </c>
      <c r="BZ686">
        <v>36493.599999999977</v>
      </c>
      <c r="CA686">
        <v>36792.456666666665</v>
      </c>
      <c r="CB686">
        <v>37091.313333333354</v>
      </c>
      <c r="CC686">
        <v>37390.170000000042</v>
      </c>
      <c r="CD686">
        <v>37689.02666666673</v>
      </c>
      <c r="CE686">
        <v>37987.883333333302</v>
      </c>
      <c r="CF686">
        <v>38286.739999999991</v>
      </c>
      <c r="CG686">
        <v>38585.596666666679</v>
      </c>
      <c r="CH686">
        <v>38884.453333333367</v>
      </c>
      <c r="CI686">
        <v>39183.310000000056</v>
      </c>
      <c r="CJ686">
        <v>39482.166666666628</v>
      </c>
      <c r="CK686">
        <v>39781.023333333316</v>
      </c>
      <c r="CL686">
        <v>40079.880000000005</v>
      </c>
      <c r="CM686">
        <v>40378.736666666693</v>
      </c>
      <c r="CN686">
        <v>40677.593333333381</v>
      </c>
    </row>
    <row r="687" spans="1:92" x14ac:dyDescent="0.25">
      <c r="A687" s="99" t="s">
        <v>1</v>
      </c>
      <c r="B687" s="4">
        <v>0</v>
      </c>
      <c r="C687" s="4">
        <v>0</v>
      </c>
      <c r="D687" s="4">
        <v>0</v>
      </c>
      <c r="E687" s="4">
        <v>0</v>
      </c>
      <c r="F687" s="4">
        <v>0</v>
      </c>
      <c r="G687" s="4">
        <v>0</v>
      </c>
      <c r="H687" s="4">
        <v>0</v>
      </c>
      <c r="I687" s="4">
        <v>0</v>
      </c>
      <c r="J687" s="4">
        <v>0</v>
      </c>
      <c r="K687" s="4">
        <v>0</v>
      </c>
      <c r="L687" s="4">
        <v>0</v>
      </c>
      <c r="M687" s="4">
        <v>0</v>
      </c>
      <c r="N687" s="4">
        <v>0</v>
      </c>
      <c r="O687" s="4">
        <v>0</v>
      </c>
      <c r="P687" s="4">
        <v>0</v>
      </c>
      <c r="Q687" s="4">
        <v>0</v>
      </c>
      <c r="R687" s="4">
        <v>0</v>
      </c>
      <c r="S687" s="4">
        <v>0</v>
      </c>
      <c r="T687" s="4">
        <v>0</v>
      </c>
      <c r="U687" s="4">
        <v>0</v>
      </c>
      <c r="V687" s="4">
        <v>0</v>
      </c>
      <c r="W687" s="4">
        <v>0</v>
      </c>
      <c r="X687" s="4">
        <v>0</v>
      </c>
      <c r="Y687" s="4">
        <v>0</v>
      </c>
      <c r="Z687" s="4">
        <v>0</v>
      </c>
      <c r="AA687" s="4">
        <v>0</v>
      </c>
      <c r="AB687" s="4">
        <v>0</v>
      </c>
      <c r="AC687" s="4">
        <v>0</v>
      </c>
      <c r="AD687" s="4">
        <v>0</v>
      </c>
      <c r="AE687" s="4">
        <v>0</v>
      </c>
      <c r="AF687">
        <v>44064.16399999999</v>
      </c>
      <c r="AG687">
        <v>44012.79333333332</v>
      </c>
      <c r="AH687">
        <v>43961.422666666665</v>
      </c>
      <c r="AI687">
        <v>43910.051999999996</v>
      </c>
      <c r="AJ687">
        <v>43858.681333333327</v>
      </c>
      <c r="AK687">
        <v>43807.310666666657</v>
      </c>
      <c r="AL687">
        <v>43755.939999999988</v>
      </c>
      <c r="AM687">
        <v>43704.569333333318</v>
      </c>
      <c r="AN687">
        <v>43653.198666666663</v>
      </c>
      <c r="AO687">
        <v>43601.827999999994</v>
      </c>
      <c r="AP687">
        <v>43550.457333333325</v>
      </c>
      <c r="AQ687">
        <v>43499.086666666655</v>
      </c>
      <c r="AR687">
        <v>43447.715999999986</v>
      </c>
      <c r="AS687">
        <v>43396.345333333316</v>
      </c>
      <c r="AT687">
        <v>43344.974666666662</v>
      </c>
      <c r="AU687">
        <v>43293.603999999992</v>
      </c>
      <c r="AV687">
        <v>43242.233333333323</v>
      </c>
      <c r="AW687">
        <v>43190.862666666653</v>
      </c>
      <c r="AX687">
        <v>43139.491999999984</v>
      </c>
      <c r="AY687">
        <v>43088.121333333314</v>
      </c>
      <c r="AZ687">
        <v>43036.75066666666</v>
      </c>
      <c r="BA687">
        <v>42985.37999999999</v>
      </c>
      <c r="BB687">
        <v>42934.009333333321</v>
      </c>
      <c r="BC687">
        <v>42882.638666666651</v>
      </c>
      <c r="BD687">
        <v>42831.267999999982</v>
      </c>
      <c r="BE687">
        <v>42779.897333333312</v>
      </c>
      <c r="BF687">
        <v>42728.526666666658</v>
      </c>
      <c r="BG687">
        <v>42677.155999999988</v>
      </c>
      <c r="BH687">
        <v>42625.785333333319</v>
      </c>
      <c r="BI687">
        <v>42574.414666666649</v>
      </c>
      <c r="BJ687">
        <v>42523.04399999998</v>
      </c>
      <c r="BK687">
        <v>42471.67333333331</v>
      </c>
      <c r="BL687">
        <v>42420.302666666656</v>
      </c>
      <c r="BM687">
        <v>42368.931999999986</v>
      </c>
      <c r="BN687">
        <v>42317.561333333317</v>
      </c>
      <c r="BO687">
        <v>42266.190666666647</v>
      </c>
      <c r="BP687">
        <v>42214.819999999978</v>
      </c>
      <c r="BQ687">
        <v>42163.449333333308</v>
      </c>
      <c r="BR687">
        <v>42112.078666666654</v>
      </c>
      <c r="BS687">
        <v>42060.707999999984</v>
      </c>
      <c r="BT687">
        <v>42009.337333333315</v>
      </c>
      <c r="BU687">
        <v>41957.966666666645</v>
      </c>
      <c r="BV687">
        <v>41906.595999999976</v>
      </c>
      <c r="BW687">
        <v>41855.225333333306</v>
      </c>
      <c r="BX687">
        <v>41803.854666666652</v>
      </c>
      <c r="BY687">
        <v>41752.483999999982</v>
      </c>
      <c r="BZ687">
        <v>41701.113333333313</v>
      </c>
      <c r="CA687">
        <v>41649.742666666643</v>
      </c>
      <c r="CB687">
        <v>41598.371999999974</v>
      </c>
      <c r="CC687">
        <v>41547.001333333305</v>
      </c>
      <c r="CD687">
        <v>41495.63066666665</v>
      </c>
      <c r="CE687">
        <v>41444.25999999998</v>
      </c>
      <c r="CF687">
        <v>41392.889333333311</v>
      </c>
      <c r="CG687">
        <v>41341.518666666641</v>
      </c>
      <c r="CH687">
        <v>41290.147999999972</v>
      </c>
      <c r="CI687">
        <v>41238.777333333303</v>
      </c>
      <c r="CJ687">
        <v>41187.406666666648</v>
      </c>
      <c r="CK687">
        <v>41136.035999999978</v>
      </c>
      <c r="CL687">
        <v>41084.665333333309</v>
      </c>
      <c r="CM687">
        <v>41033.294666666639</v>
      </c>
      <c r="CN687">
        <v>40981.92399999997</v>
      </c>
    </row>
    <row r="688" spans="1:92" x14ac:dyDescent="0.25">
      <c r="A688" s="99" t="s">
        <v>1</v>
      </c>
      <c r="B688" s="4">
        <v>0</v>
      </c>
      <c r="C688" s="4">
        <v>0</v>
      </c>
      <c r="D688" s="4">
        <v>0</v>
      </c>
      <c r="E688" s="4">
        <v>0</v>
      </c>
      <c r="F688" s="4">
        <v>0</v>
      </c>
      <c r="G688" s="4">
        <v>0</v>
      </c>
      <c r="H688" s="4">
        <v>0</v>
      </c>
      <c r="I688" s="4">
        <v>0</v>
      </c>
      <c r="J688" s="4">
        <v>0</v>
      </c>
      <c r="K688" s="4">
        <v>0</v>
      </c>
      <c r="L688" s="4">
        <v>0</v>
      </c>
      <c r="M688" s="4">
        <v>0</v>
      </c>
      <c r="N688" s="4">
        <v>0</v>
      </c>
      <c r="O688" s="4">
        <v>0</v>
      </c>
      <c r="P688" s="4">
        <v>0</v>
      </c>
      <c r="Q688" s="4">
        <v>0</v>
      </c>
      <c r="R688" s="4">
        <v>0</v>
      </c>
      <c r="S688" s="4">
        <v>0</v>
      </c>
      <c r="T688" s="4">
        <v>0</v>
      </c>
      <c r="U688" s="4">
        <v>0</v>
      </c>
      <c r="V688" s="4">
        <v>0</v>
      </c>
      <c r="W688" s="4">
        <v>0</v>
      </c>
      <c r="X688" s="4">
        <v>0</v>
      </c>
      <c r="Y688" s="4">
        <v>0</v>
      </c>
      <c r="Z688" s="4">
        <v>0</v>
      </c>
      <c r="AA688" s="4">
        <v>0</v>
      </c>
      <c r="AB688" s="4">
        <v>0</v>
      </c>
      <c r="AC688" s="4">
        <v>0</v>
      </c>
      <c r="AD688" s="4">
        <v>0</v>
      </c>
      <c r="AE688" s="4">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0</v>
      </c>
      <c r="CJ688">
        <v>0</v>
      </c>
      <c r="CK688">
        <v>0</v>
      </c>
      <c r="CL688">
        <v>0</v>
      </c>
      <c r="CM688">
        <v>0</v>
      </c>
      <c r="CN688">
        <v>0</v>
      </c>
    </row>
    <row r="689" spans="1:92" x14ac:dyDescent="0.25">
      <c r="A689" s="99" t="s">
        <v>1</v>
      </c>
      <c r="B689" s="4">
        <v>0</v>
      </c>
      <c r="C689" s="4">
        <v>0</v>
      </c>
      <c r="D689" s="4">
        <v>0</v>
      </c>
      <c r="E689" s="4">
        <v>0</v>
      </c>
      <c r="F689" s="4">
        <v>0</v>
      </c>
      <c r="G689" s="4">
        <v>0</v>
      </c>
      <c r="H689" s="4">
        <v>0</v>
      </c>
      <c r="I689" s="4">
        <v>0</v>
      </c>
      <c r="J689" s="4">
        <v>0</v>
      </c>
      <c r="K689" s="4">
        <v>0</v>
      </c>
      <c r="L689" s="4">
        <v>0</v>
      </c>
      <c r="M689" s="4">
        <v>0</v>
      </c>
      <c r="N689" s="4">
        <v>0</v>
      </c>
      <c r="O689" s="4">
        <v>0</v>
      </c>
      <c r="P689" s="4">
        <v>0</v>
      </c>
      <c r="Q689" s="4">
        <v>0</v>
      </c>
      <c r="R689" s="4">
        <v>0</v>
      </c>
      <c r="S689" s="4">
        <v>0</v>
      </c>
      <c r="T689" s="4">
        <v>0</v>
      </c>
      <c r="U689" s="4">
        <v>0</v>
      </c>
      <c r="V689" s="4">
        <v>0</v>
      </c>
      <c r="W689" s="4">
        <v>0</v>
      </c>
      <c r="X689" s="4">
        <v>0</v>
      </c>
      <c r="Y689" s="4">
        <v>0</v>
      </c>
      <c r="Z689" s="4">
        <v>0</v>
      </c>
      <c r="AA689" s="4">
        <v>0</v>
      </c>
      <c r="AB689" s="4">
        <v>0</v>
      </c>
      <c r="AC689" s="4">
        <v>0</v>
      </c>
      <c r="AD689" s="4">
        <v>0</v>
      </c>
      <c r="AE689" s="4">
        <v>0</v>
      </c>
      <c r="AF689">
        <v>17870.448000000091</v>
      </c>
      <c r="AG689">
        <v>18562.511666666716</v>
      </c>
      <c r="AH689">
        <v>19254.575333333341</v>
      </c>
      <c r="AI689">
        <v>19946.638999999966</v>
      </c>
      <c r="AJ689">
        <v>20638.702666666592</v>
      </c>
      <c r="AK689">
        <v>21330.766333333217</v>
      </c>
      <c r="AL689">
        <v>22022.830000000075</v>
      </c>
      <c r="AM689">
        <v>22714.8936666667</v>
      </c>
      <c r="AN689">
        <v>23406.957333333325</v>
      </c>
      <c r="AO689">
        <v>24099.02099999995</v>
      </c>
      <c r="AP689">
        <v>24791.084666666575</v>
      </c>
      <c r="AQ689">
        <v>25483.148333333433</v>
      </c>
      <c r="AR689">
        <v>26175.212000000058</v>
      </c>
      <c r="AS689">
        <v>26867.275666666683</v>
      </c>
      <c r="AT689">
        <v>27559.339333333308</v>
      </c>
      <c r="AU689">
        <v>28251.402999999933</v>
      </c>
      <c r="AV689">
        <v>28943.466666666558</v>
      </c>
      <c r="AW689">
        <v>29635.530333333416</v>
      </c>
      <c r="AX689">
        <v>30327.594000000041</v>
      </c>
      <c r="AY689">
        <v>31019.657666666666</v>
      </c>
      <c r="AZ689">
        <v>31711.721333333291</v>
      </c>
      <c r="BA689">
        <v>32403.784999999916</v>
      </c>
      <c r="BB689">
        <v>33095.848666666774</v>
      </c>
      <c r="BC689">
        <v>33787.912333333399</v>
      </c>
      <c r="BD689">
        <v>34479.976000000024</v>
      </c>
      <c r="BE689">
        <v>35172.039666666649</v>
      </c>
      <c r="BF689">
        <v>35864.103333333274</v>
      </c>
      <c r="BG689">
        <v>36556.166999999899</v>
      </c>
      <c r="BH689">
        <v>37248.230666666757</v>
      </c>
      <c r="BI689">
        <v>37940.294333333382</v>
      </c>
      <c r="BJ689">
        <v>38632.358000000007</v>
      </c>
      <c r="BK689">
        <v>39324.421666666633</v>
      </c>
      <c r="BL689">
        <v>40016.485333333258</v>
      </c>
      <c r="BM689">
        <v>40708.549000000115</v>
      </c>
      <c r="BN689">
        <v>41400.612666666741</v>
      </c>
      <c r="BO689">
        <v>42092.676333333366</v>
      </c>
      <c r="BP689">
        <v>42784.739999999991</v>
      </c>
      <c r="BQ689">
        <v>43476.803666666616</v>
      </c>
      <c r="BR689">
        <v>44168.867333333241</v>
      </c>
      <c r="BS689">
        <v>44860.931000000099</v>
      </c>
      <c r="BT689">
        <v>45552.994666666724</v>
      </c>
      <c r="BU689">
        <v>46245.058333333349</v>
      </c>
      <c r="BV689">
        <v>46937.121999999974</v>
      </c>
      <c r="BW689">
        <v>47629.185666666599</v>
      </c>
      <c r="BX689">
        <v>48321.249333333224</v>
      </c>
      <c r="BY689">
        <v>49013.313000000082</v>
      </c>
      <c r="BZ689">
        <v>49705.376666666707</v>
      </c>
      <c r="CA689">
        <v>50397.440333333332</v>
      </c>
      <c r="CB689">
        <v>51089.503999999957</v>
      </c>
      <c r="CC689">
        <v>51781.567666666582</v>
      </c>
      <c r="CD689">
        <v>52473.63133333344</v>
      </c>
      <c r="CE689">
        <v>53165.695000000065</v>
      </c>
      <c r="CF689">
        <v>53857.75866666669</v>
      </c>
      <c r="CG689">
        <v>54549.822333333315</v>
      </c>
      <c r="CH689">
        <v>55241.88599999994</v>
      </c>
      <c r="CI689">
        <v>55933.949666666565</v>
      </c>
      <c r="CJ689">
        <v>56626.013333333423</v>
      </c>
      <c r="CK689">
        <v>57318.077000000048</v>
      </c>
      <c r="CL689">
        <v>58010.140666666673</v>
      </c>
      <c r="CM689">
        <v>58702.204333333299</v>
      </c>
      <c r="CN689">
        <v>59394.267999999924</v>
      </c>
    </row>
    <row r="690" spans="1:92" x14ac:dyDescent="0.25">
      <c r="A690" s="99" t="s">
        <v>1</v>
      </c>
      <c r="B690" s="4">
        <v>0</v>
      </c>
      <c r="C690" s="4">
        <v>0</v>
      </c>
      <c r="D690" s="4">
        <v>0</v>
      </c>
      <c r="E690" s="4">
        <v>0</v>
      </c>
      <c r="F690" s="4">
        <v>0</v>
      </c>
      <c r="G690" s="4">
        <v>0</v>
      </c>
      <c r="H690" s="4">
        <v>0</v>
      </c>
      <c r="I690" s="4">
        <v>0</v>
      </c>
      <c r="J690" s="4">
        <v>0</v>
      </c>
      <c r="K690" s="4">
        <v>0</v>
      </c>
      <c r="L690" s="4">
        <v>0</v>
      </c>
      <c r="M690" s="4">
        <v>0</v>
      </c>
      <c r="N690" s="4">
        <v>0</v>
      </c>
      <c r="O690" s="4">
        <v>0</v>
      </c>
      <c r="P690" s="4">
        <v>0</v>
      </c>
      <c r="Q690" s="4">
        <v>0</v>
      </c>
      <c r="R690" s="4">
        <v>0</v>
      </c>
      <c r="S690" s="4">
        <v>0</v>
      </c>
      <c r="T690" s="4">
        <v>0</v>
      </c>
      <c r="U690" s="4">
        <v>0</v>
      </c>
      <c r="V690" s="4">
        <v>0</v>
      </c>
      <c r="W690" s="4">
        <v>0</v>
      </c>
      <c r="X690" s="4">
        <v>0</v>
      </c>
      <c r="Y690" s="4">
        <v>0</v>
      </c>
      <c r="Z690" s="4">
        <v>0</v>
      </c>
      <c r="AA690" s="4">
        <v>0</v>
      </c>
      <c r="AB690" s="4">
        <v>0</v>
      </c>
      <c r="AC690" s="4">
        <v>0</v>
      </c>
      <c r="AD690" s="4">
        <v>0</v>
      </c>
      <c r="AE690" s="4">
        <v>0</v>
      </c>
      <c r="AF690">
        <v>2368.3146666666726</v>
      </c>
      <c r="AG690">
        <v>2516.9283333333442</v>
      </c>
      <c r="AH690">
        <v>2665.5420000000158</v>
      </c>
      <c r="AI690">
        <v>2814.1556666666875</v>
      </c>
      <c r="AJ690">
        <v>2962.7693333333591</v>
      </c>
      <c r="AK690">
        <v>3111.3830000000307</v>
      </c>
      <c r="AL690">
        <v>3259.9966666666442</v>
      </c>
      <c r="AM690">
        <v>3408.6103333333158</v>
      </c>
      <c r="AN690">
        <v>3557.2239999999874</v>
      </c>
      <c r="AO690">
        <v>3705.8376666666591</v>
      </c>
      <c r="AP690">
        <v>3854.4513333333307</v>
      </c>
      <c r="AQ690">
        <v>4003.0650000000023</v>
      </c>
      <c r="AR690">
        <v>4151.678666666674</v>
      </c>
      <c r="AS690">
        <v>4300.2923333333456</v>
      </c>
      <c r="AT690">
        <v>4448.9060000000172</v>
      </c>
      <c r="AU690">
        <v>4597.5196666666889</v>
      </c>
      <c r="AV690">
        <v>4746.1333333333605</v>
      </c>
      <c r="AW690">
        <v>4894.7470000000321</v>
      </c>
      <c r="AX690">
        <v>5043.3606666666456</v>
      </c>
      <c r="AY690">
        <v>5191.9743333333172</v>
      </c>
      <c r="AZ690">
        <v>5340.5879999999888</v>
      </c>
      <c r="BA690">
        <v>5489.2016666666605</v>
      </c>
      <c r="BB690">
        <v>5637.8153333333321</v>
      </c>
      <c r="BC690">
        <v>5786.4290000000037</v>
      </c>
      <c r="BD690">
        <v>5935.0426666666754</v>
      </c>
      <c r="BE690">
        <v>6083.656333333347</v>
      </c>
      <c r="BF690">
        <v>6232.2700000000186</v>
      </c>
      <c r="BG690">
        <v>6380.8836666666903</v>
      </c>
      <c r="BH690">
        <v>6529.4973333333619</v>
      </c>
      <c r="BI690">
        <v>6678.1109999999753</v>
      </c>
      <c r="BJ690">
        <v>6826.724666666647</v>
      </c>
      <c r="BK690">
        <v>6975.3383333333186</v>
      </c>
      <c r="BL690">
        <v>7123.9519999999902</v>
      </c>
      <c r="BM690">
        <v>7272.5656666666619</v>
      </c>
      <c r="BN690">
        <v>7421.1793333333335</v>
      </c>
      <c r="BO690">
        <v>7569.7930000000051</v>
      </c>
      <c r="BP690">
        <v>7718.4066666666768</v>
      </c>
      <c r="BQ690">
        <v>7867.0203333333484</v>
      </c>
      <c r="BR690">
        <v>8015.63400000002</v>
      </c>
      <c r="BS690">
        <v>8164.2476666666917</v>
      </c>
      <c r="BT690">
        <v>8312.8613333333633</v>
      </c>
      <c r="BU690">
        <v>8461.4749999999767</v>
      </c>
      <c r="BV690">
        <v>8610.0886666666484</v>
      </c>
      <c r="BW690">
        <v>8758.70233333332</v>
      </c>
      <c r="BX690">
        <v>8907.3159999999916</v>
      </c>
      <c r="BY690">
        <v>9055.9296666666633</v>
      </c>
      <c r="BZ690">
        <v>9204.5433333333349</v>
      </c>
      <c r="CA690">
        <v>9353.1570000000065</v>
      </c>
      <c r="CB690">
        <v>9501.7706666666782</v>
      </c>
      <c r="CC690">
        <v>9650.3843333333498</v>
      </c>
      <c r="CD690">
        <v>9798.9980000000214</v>
      </c>
      <c r="CE690">
        <v>9947.6116666666931</v>
      </c>
      <c r="CF690">
        <v>10096.225333333365</v>
      </c>
      <c r="CG690">
        <v>10244.838999999978</v>
      </c>
      <c r="CH690">
        <v>10393.45266666665</v>
      </c>
      <c r="CI690">
        <v>10542.066333333321</v>
      </c>
      <c r="CJ690">
        <v>10690.679999999993</v>
      </c>
      <c r="CK690">
        <v>10839.293666666665</v>
      </c>
      <c r="CL690">
        <v>10987.907333333336</v>
      </c>
      <c r="CM690">
        <v>11136.521000000008</v>
      </c>
      <c r="CN690">
        <v>11285.13466666668</v>
      </c>
    </row>
    <row r="691" spans="1:92" x14ac:dyDescent="0.25">
      <c r="A691" s="44"/>
    </row>
    <row r="692" spans="1:92" x14ac:dyDescent="0.25">
      <c r="A692" s="99" t="s">
        <v>279</v>
      </c>
      <c r="B692" s="4">
        <v>0</v>
      </c>
      <c r="C692" s="4">
        <v>0</v>
      </c>
      <c r="D692" s="4">
        <v>0</v>
      </c>
      <c r="E692" s="4">
        <v>0</v>
      </c>
      <c r="F692" s="4">
        <v>0</v>
      </c>
      <c r="G692" s="4">
        <v>0</v>
      </c>
      <c r="H692" s="4">
        <v>0</v>
      </c>
      <c r="I692" s="4">
        <v>0</v>
      </c>
      <c r="J692" s="4">
        <v>0</v>
      </c>
      <c r="K692" s="4">
        <v>0</v>
      </c>
      <c r="L692" s="4">
        <v>0</v>
      </c>
      <c r="M692" s="4">
        <v>0</v>
      </c>
      <c r="N692" s="4">
        <v>0</v>
      </c>
      <c r="O692" s="4">
        <v>0</v>
      </c>
      <c r="P692" s="4">
        <v>0</v>
      </c>
      <c r="Q692" s="4">
        <v>0</v>
      </c>
      <c r="R692" s="4">
        <v>0</v>
      </c>
      <c r="S692" s="4">
        <v>0</v>
      </c>
      <c r="T692" s="4">
        <v>0</v>
      </c>
      <c r="U692" s="4">
        <v>0</v>
      </c>
      <c r="V692" s="4">
        <v>0</v>
      </c>
      <c r="W692" s="4">
        <v>0</v>
      </c>
      <c r="X692" s="4">
        <v>0</v>
      </c>
      <c r="Y692" s="4">
        <v>0</v>
      </c>
      <c r="Z692" s="4">
        <v>0</v>
      </c>
      <c r="AA692" s="4">
        <v>0</v>
      </c>
      <c r="AB692" s="4">
        <v>0</v>
      </c>
      <c r="AC692" s="4">
        <v>0</v>
      </c>
      <c r="AD692" s="4">
        <v>0</v>
      </c>
      <c r="AE692" s="4">
        <v>0</v>
      </c>
      <c r="AF692">
        <v>4490.3546666667098</v>
      </c>
      <c r="AG692">
        <v>4844.1450000000186</v>
      </c>
      <c r="AH692">
        <v>5197.9353333333274</v>
      </c>
      <c r="AI692">
        <v>5551.7256666666362</v>
      </c>
      <c r="AJ692">
        <v>5905.5160000000615</v>
      </c>
      <c r="AK692">
        <v>6259.3063333333703</v>
      </c>
      <c r="AL692">
        <v>6613.0966666666791</v>
      </c>
      <c r="AM692">
        <v>6966.8869999999879</v>
      </c>
      <c r="AN692">
        <v>7320.6773333332967</v>
      </c>
      <c r="AO692">
        <v>7674.4676666667219</v>
      </c>
      <c r="AP692">
        <v>8028.2580000000307</v>
      </c>
      <c r="AQ692">
        <v>8382.0483333333395</v>
      </c>
      <c r="AR692">
        <v>8735.8386666666484</v>
      </c>
      <c r="AS692">
        <v>9089.6290000000736</v>
      </c>
      <c r="AT692">
        <v>9443.4193333333824</v>
      </c>
      <c r="AU692">
        <v>9797.2096666666912</v>
      </c>
      <c r="AV692">
        <v>10151</v>
      </c>
      <c r="AW692">
        <v>10504.790333333309</v>
      </c>
      <c r="AX692">
        <v>10858.580666666734</v>
      </c>
      <c r="AY692">
        <v>11212.371000000043</v>
      </c>
      <c r="AZ692">
        <v>11566.161333333352</v>
      </c>
      <c r="BA692">
        <v>11919.95166666666</v>
      </c>
      <c r="BB692">
        <v>12273.741999999969</v>
      </c>
      <c r="BC692">
        <v>12627.532333333394</v>
      </c>
      <c r="BD692">
        <v>12981.322666666703</v>
      </c>
      <c r="BE692">
        <v>13335.113000000012</v>
      </c>
      <c r="BF692">
        <v>13688.903333333321</v>
      </c>
      <c r="BG692">
        <v>14042.69366666663</v>
      </c>
      <c r="BH692">
        <v>14396.484000000055</v>
      </c>
      <c r="BI692">
        <v>14750.274333333364</v>
      </c>
      <c r="BJ692">
        <v>15104.064666666673</v>
      </c>
      <c r="BK692">
        <v>15457.854999999981</v>
      </c>
      <c r="BL692">
        <v>15811.645333333407</v>
      </c>
      <c r="BM692">
        <v>16165.435666666715</v>
      </c>
      <c r="BN692">
        <v>16519.226000000024</v>
      </c>
      <c r="BO692">
        <v>16873.016333333333</v>
      </c>
      <c r="BP692">
        <v>17226.806666666642</v>
      </c>
      <c r="BQ692">
        <v>17580.597000000067</v>
      </c>
      <c r="BR692">
        <v>17934.387333333376</v>
      </c>
      <c r="BS692">
        <v>18288.177666666685</v>
      </c>
      <c r="BT692">
        <v>18641.967999999993</v>
      </c>
      <c r="BU692">
        <v>18995.758333333302</v>
      </c>
      <c r="BV692">
        <v>19349.548666666728</v>
      </c>
      <c r="BW692">
        <v>19703.339000000036</v>
      </c>
      <c r="BX692">
        <v>20057.129333333345</v>
      </c>
      <c r="BY692">
        <v>20410.919666666654</v>
      </c>
      <c r="BZ692">
        <v>20764.709999999963</v>
      </c>
      <c r="CA692">
        <v>21118.500333333388</v>
      </c>
      <c r="CB692">
        <v>21472.290666666697</v>
      </c>
      <c r="CC692">
        <v>21826.081000000006</v>
      </c>
      <c r="CD692">
        <v>22179.871333333314</v>
      </c>
      <c r="CE692">
        <v>22533.66166666674</v>
      </c>
      <c r="CF692">
        <v>22887.452000000048</v>
      </c>
      <c r="CG692">
        <v>23241.242333333357</v>
      </c>
      <c r="CH692">
        <v>23595.032666666666</v>
      </c>
      <c r="CI692">
        <v>23948.822999999975</v>
      </c>
      <c r="CJ692">
        <v>24302.6133333334</v>
      </c>
      <c r="CK692">
        <v>24656.403666666709</v>
      </c>
      <c r="CL692">
        <v>25010.194000000018</v>
      </c>
      <c r="CM692">
        <v>25363.984333333327</v>
      </c>
      <c r="CN692">
        <v>25717.774666666635</v>
      </c>
    </row>
    <row r="693" spans="1:92" x14ac:dyDescent="0.25">
      <c r="A693" s="99"/>
    </row>
    <row r="694" spans="1:92" s="50" customFormat="1" x14ac:dyDescent="0.25">
      <c r="A694" s="99" t="s">
        <v>280</v>
      </c>
      <c r="B694" s="4">
        <v>0</v>
      </c>
      <c r="C694" s="4">
        <v>0</v>
      </c>
      <c r="D694" s="4">
        <v>0</v>
      </c>
      <c r="E694" s="4">
        <v>0</v>
      </c>
      <c r="F694" s="4">
        <v>0</v>
      </c>
      <c r="G694" s="4">
        <v>0</v>
      </c>
      <c r="H694" s="4">
        <v>0</v>
      </c>
      <c r="I694" s="4">
        <v>0</v>
      </c>
      <c r="J694" s="4">
        <v>0</v>
      </c>
      <c r="K694" s="4">
        <v>0</v>
      </c>
      <c r="L694" s="4">
        <v>0</v>
      </c>
      <c r="M694" s="4">
        <v>0</v>
      </c>
      <c r="N694" s="4">
        <v>0</v>
      </c>
      <c r="O694" s="4">
        <v>0</v>
      </c>
      <c r="P694" s="4">
        <v>0</v>
      </c>
      <c r="Q694" s="4">
        <v>0</v>
      </c>
      <c r="R694" s="4">
        <v>0</v>
      </c>
      <c r="S694" s="4">
        <v>0</v>
      </c>
      <c r="T694" s="4">
        <v>0</v>
      </c>
      <c r="U694" s="4">
        <v>0</v>
      </c>
      <c r="V694" s="4">
        <v>0</v>
      </c>
      <c r="W694" s="4">
        <v>0</v>
      </c>
      <c r="X694" s="4">
        <v>0</v>
      </c>
      <c r="Y694" s="4">
        <v>0</v>
      </c>
      <c r="Z694" s="4">
        <v>0</v>
      </c>
      <c r="AA694" s="4">
        <v>0</v>
      </c>
      <c r="AB694" s="4">
        <v>0</v>
      </c>
      <c r="AC694" s="4">
        <v>0</v>
      </c>
      <c r="AD694" s="4">
        <v>0</v>
      </c>
      <c r="AE694" s="4">
        <v>0</v>
      </c>
      <c r="AF694" s="50">
        <v>3408.396257903205</v>
      </c>
      <c r="AG694" s="50">
        <v>3416.0158203312112</v>
      </c>
      <c r="AH694" s="50">
        <v>3423.6353827592175</v>
      </c>
      <c r="AI694" s="50">
        <v>3431.2549451872219</v>
      </c>
      <c r="AJ694" s="50">
        <v>3438.8745076152281</v>
      </c>
      <c r="AK694" s="50">
        <v>3446.4940700432344</v>
      </c>
      <c r="AL694" s="50">
        <v>3454.1136324712406</v>
      </c>
      <c r="AM694" s="50">
        <v>3461.7331948992469</v>
      </c>
      <c r="AN694" s="50">
        <v>3469.3527573272513</v>
      </c>
      <c r="AO694" s="50">
        <v>3476.9723197552576</v>
      </c>
      <c r="AP694" s="50">
        <v>3484.5918821832638</v>
      </c>
      <c r="AQ694" s="50">
        <v>3492.2114446112701</v>
      </c>
      <c r="AR694" s="50">
        <v>3499.8310070392763</v>
      </c>
      <c r="AS694" s="50">
        <v>3507.4505694672807</v>
      </c>
      <c r="AT694" s="50">
        <v>3515.070131895287</v>
      </c>
      <c r="AU694" s="50">
        <v>3522.6896943232932</v>
      </c>
      <c r="AV694" s="50">
        <v>3530.3092567512995</v>
      </c>
      <c r="AW694" s="50">
        <v>3537.9288191793057</v>
      </c>
      <c r="AX694" s="50">
        <v>3545.5483816073101</v>
      </c>
      <c r="AY694" s="50">
        <v>3553.1679440353164</v>
      </c>
      <c r="AZ694" s="50">
        <v>3560.7875064633226</v>
      </c>
      <c r="BA694" s="50">
        <v>3568.4070688913289</v>
      </c>
      <c r="BB694" s="50">
        <v>3576.0266313193351</v>
      </c>
      <c r="BC694" s="50">
        <v>3583.6461937473396</v>
      </c>
      <c r="BD694" s="50">
        <v>3591.2657561753458</v>
      </c>
      <c r="BE694" s="50">
        <v>3598.8853186033521</v>
      </c>
      <c r="BF694" s="50">
        <v>3606.5048810313583</v>
      </c>
      <c r="BG694" s="50">
        <v>3614.1244434593627</v>
      </c>
      <c r="BH694" s="50">
        <v>3621.744005887369</v>
      </c>
      <c r="BI694" s="50">
        <v>3629.3635683153752</v>
      </c>
      <c r="BJ694" s="50">
        <v>3636.9831307433815</v>
      </c>
      <c r="BK694" s="50">
        <v>3644.6026931713877</v>
      </c>
      <c r="BL694" s="50">
        <v>3652.2222555993922</v>
      </c>
      <c r="BM694" s="50">
        <v>3659.8418180273984</v>
      </c>
      <c r="BN694" s="50">
        <v>3667.4613804554047</v>
      </c>
      <c r="BO694" s="50">
        <v>3675.0809428834109</v>
      </c>
      <c r="BP694" s="50">
        <v>3682.7005053114171</v>
      </c>
      <c r="BQ694" s="50">
        <v>3690.3200677394216</v>
      </c>
      <c r="BR694" s="50">
        <v>3697.9396301674278</v>
      </c>
      <c r="BS694" s="50">
        <v>3705.5591925954341</v>
      </c>
      <c r="BT694" s="50">
        <v>3713.1787550234403</v>
      </c>
      <c r="BU694" s="50">
        <v>3720.7983174514466</v>
      </c>
      <c r="BV694" s="50">
        <v>3728.417879879451</v>
      </c>
      <c r="BW694" s="50">
        <v>3736.0374423074572</v>
      </c>
      <c r="BX694" s="50">
        <v>3743.6570047354635</v>
      </c>
      <c r="BY694" s="50">
        <v>3751.2765671634697</v>
      </c>
      <c r="BZ694" s="50">
        <v>3758.896129591476</v>
      </c>
      <c r="CA694" s="50">
        <v>3766.5156920194804</v>
      </c>
      <c r="CB694" s="50">
        <v>3774.1352544474867</v>
      </c>
      <c r="CC694" s="50">
        <v>3781.7548168754929</v>
      </c>
      <c r="CD694" s="50">
        <v>3789.3743793034992</v>
      </c>
      <c r="CE694" s="50">
        <v>3796.9939417315036</v>
      </c>
      <c r="CF694" s="50">
        <v>3804.6135041595098</v>
      </c>
      <c r="CG694" s="50">
        <v>3812.2330665875161</v>
      </c>
      <c r="CH694" s="50">
        <v>3819.8526290155223</v>
      </c>
      <c r="CI694" s="50">
        <v>3827.4721914435286</v>
      </c>
      <c r="CJ694" s="50">
        <v>3835.091753871533</v>
      </c>
      <c r="CK694" s="50">
        <v>3842.7113162995392</v>
      </c>
      <c r="CL694" s="50">
        <v>3850.3308787275455</v>
      </c>
      <c r="CM694" s="50">
        <v>3857.9504411555517</v>
      </c>
      <c r="CN694" s="50">
        <v>3865.570003583558</v>
      </c>
    </row>
    <row r="695" spans="1:92" s="50" customFormat="1" x14ac:dyDescent="0.25">
      <c r="A695" s="9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92" x14ac:dyDescent="0.25">
      <c r="A696" s="99" t="s">
        <v>281</v>
      </c>
      <c r="B696" s="4">
        <v>0</v>
      </c>
      <c r="C696" s="4">
        <v>0</v>
      </c>
      <c r="D696" s="4">
        <v>0</v>
      </c>
      <c r="E696" s="4">
        <v>0</v>
      </c>
      <c r="F696" s="4">
        <v>0</v>
      </c>
      <c r="G696" s="4">
        <v>0</v>
      </c>
      <c r="H696" s="4">
        <v>0</v>
      </c>
      <c r="I696" s="4">
        <v>0</v>
      </c>
      <c r="J696" s="4">
        <v>0</v>
      </c>
      <c r="K696" s="4">
        <v>0</v>
      </c>
      <c r="L696" s="4">
        <v>0</v>
      </c>
      <c r="M696" s="4">
        <v>0</v>
      </c>
      <c r="N696" s="4">
        <v>0</v>
      </c>
      <c r="O696" s="4">
        <v>0</v>
      </c>
      <c r="P696" s="4">
        <v>0</v>
      </c>
      <c r="Q696" s="4">
        <v>0</v>
      </c>
      <c r="R696" s="4">
        <v>0</v>
      </c>
      <c r="S696" s="4">
        <v>0</v>
      </c>
      <c r="T696" s="4">
        <v>0</v>
      </c>
      <c r="U696" s="4">
        <v>0</v>
      </c>
      <c r="V696" s="4">
        <v>0</v>
      </c>
      <c r="W696" s="4">
        <v>0</v>
      </c>
      <c r="X696" s="4">
        <v>0</v>
      </c>
      <c r="Y696" s="4">
        <v>0</v>
      </c>
      <c r="Z696" s="4">
        <v>0</v>
      </c>
      <c r="AA696" s="4">
        <v>0</v>
      </c>
      <c r="AB696" s="4">
        <v>0</v>
      </c>
      <c r="AC696" s="4">
        <v>0</v>
      </c>
      <c r="AD696" s="4">
        <v>0</v>
      </c>
      <c r="AE696" s="4">
        <v>0</v>
      </c>
      <c r="AF696">
        <v>17096.16533333296</v>
      </c>
      <c r="AG696">
        <v>18451.354999999981</v>
      </c>
      <c r="AH696">
        <v>19806.544666666538</v>
      </c>
      <c r="AI696">
        <v>21161.734333333094</v>
      </c>
      <c r="AJ696">
        <v>22516.92399999965</v>
      </c>
      <c r="AK696">
        <v>23872.113666666672</v>
      </c>
      <c r="AL696">
        <v>25227.303333333228</v>
      </c>
      <c r="AM696">
        <v>26582.492999999784</v>
      </c>
      <c r="AN696">
        <v>27937.68266666634</v>
      </c>
      <c r="AO696">
        <v>29292.872333332896</v>
      </c>
      <c r="AP696">
        <v>30648.061999999918</v>
      </c>
      <c r="AQ696">
        <v>32003.251666666474</v>
      </c>
      <c r="AR696">
        <v>33358.44133333303</v>
      </c>
      <c r="AS696">
        <v>34713.630999999586</v>
      </c>
      <c r="AT696">
        <v>36068.820666666608</v>
      </c>
      <c r="AU696">
        <v>37424.010333333164</v>
      </c>
      <c r="AV696">
        <v>38779.199999999721</v>
      </c>
      <c r="AW696">
        <v>40134.389666666277</v>
      </c>
      <c r="AX696">
        <v>41489.579333333299</v>
      </c>
      <c r="AY696">
        <v>42844.768999999855</v>
      </c>
      <c r="AZ696">
        <v>44199.958666666411</v>
      </c>
      <c r="BA696">
        <v>45555.148333332967</v>
      </c>
      <c r="BB696">
        <v>46910.337999999989</v>
      </c>
      <c r="BC696">
        <v>48265.527666666545</v>
      </c>
      <c r="BD696">
        <v>49620.717333333101</v>
      </c>
      <c r="BE696">
        <v>50975.906999999657</v>
      </c>
      <c r="BF696">
        <v>52331.096666666213</v>
      </c>
      <c r="BG696">
        <v>53686.286333333235</v>
      </c>
      <c r="BH696">
        <v>55041.475999999791</v>
      </c>
      <c r="BI696">
        <v>56396.665666666348</v>
      </c>
      <c r="BJ696">
        <v>57751.855333332904</v>
      </c>
      <c r="BK696">
        <v>59107.044999999925</v>
      </c>
      <c r="BL696">
        <v>60462.234666666482</v>
      </c>
      <c r="BM696">
        <v>61817.424333333038</v>
      </c>
      <c r="BN696">
        <v>63172.613999999594</v>
      </c>
      <c r="BO696">
        <v>64527.803666666616</v>
      </c>
      <c r="BP696">
        <v>65882.993333333172</v>
      </c>
      <c r="BQ696">
        <v>67238.182999999728</v>
      </c>
      <c r="BR696">
        <v>68593.372666666284</v>
      </c>
      <c r="BS696">
        <v>69948.562333333306</v>
      </c>
      <c r="BT696">
        <v>71303.751999999862</v>
      </c>
      <c r="BU696">
        <v>72658.941666666418</v>
      </c>
      <c r="BV696">
        <v>74014.131333332974</v>
      </c>
      <c r="BW696">
        <v>75369.320999999531</v>
      </c>
      <c r="BX696">
        <v>76724.510666666552</v>
      </c>
      <c r="BY696">
        <v>78079.700333333109</v>
      </c>
      <c r="BZ696">
        <v>79434.889999999665</v>
      </c>
      <c r="CA696">
        <v>80790.079666666221</v>
      </c>
      <c r="CB696">
        <v>82145.269333333243</v>
      </c>
      <c r="CC696">
        <v>83500.458999999799</v>
      </c>
      <c r="CD696">
        <v>84855.648666666355</v>
      </c>
      <c r="CE696">
        <v>86210.838333332911</v>
      </c>
      <c r="CF696">
        <v>87566.027999999933</v>
      </c>
      <c r="CG696">
        <v>88921.217666666489</v>
      </c>
      <c r="CH696">
        <v>90276.407333333045</v>
      </c>
      <c r="CI696">
        <v>91631.596999999601</v>
      </c>
      <c r="CJ696">
        <v>92986.786666666623</v>
      </c>
      <c r="CK696">
        <v>94341.976333333179</v>
      </c>
      <c r="CL696">
        <v>95697.165999999736</v>
      </c>
      <c r="CM696">
        <v>97052.355666666292</v>
      </c>
      <c r="CN696">
        <v>98407.545333332848</v>
      </c>
    </row>
    <row r="697" spans="1:92" s="44" customFormat="1" x14ac:dyDescent="0.25">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92" s="50" customFormat="1" x14ac:dyDescent="0.25">
      <c r="A698" s="99" t="s">
        <v>282</v>
      </c>
      <c r="B698" s="4">
        <v>0</v>
      </c>
      <c r="C698" s="4">
        <v>0</v>
      </c>
      <c r="D698" s="4">
        <v>0</v>
      </c>
      <c r="E698" s="4">
        <v>0</v>
      </c>
      <c r="F698" s="4">
        <v>0</v>
      </c>
      <c r="G698" s="4">
        <v>0</v>
      </c>
      <c r="H698" s="4">
        <v>0</v>
      </c>
      <c r="I698" s="4">
        <v>0</v>
      </c>
      <c r="J698" s="4">
        <v>0</v>
      </c>
      <c r="K698" s="4">
        <v>0</v>
      </c>
      <c r="L698" s="4">
        <v>0</v>
      </c>
      <c r="M698" s="4">
        <v>0</v>
      </c>
      <c r="N698" s="4">
        <v>0</v>
      </c>
      <c r="O698" s="4">
        <v>0</v>
      </c>
      <c r="P698" s="4">
        <v>0</v>
      </c>
      <c r="Q698" s="4">
        <v>0</v>
      </c>
      <c r="R698" s="4">
        <v>0</v>
      </c>
      <c r="S698" s="4">
        <v>0</v>
      </c>
      <c r="T698" s="4">
        <v>0</v>
      </c>
      <c r="U698" s="4">
        <v>0</v>
      </c>
      <c r="V698" s="4">
        <v>0</v>
      </c>
      <c r="W698" s="4">
        <v>0</v>
      </c>
      <c r="X698" s="4">
        <v>0</v>
      </c>
      <c r="Y698" s="4">
        <v>0</v>
      </c>
      <c r="Z698" s="4">
        <v>0</v>
      </c>
      <c r="AA698" s="4">
        <v>0</v>
      </c>
      <c r="AB698" s="4">
        <v>0</v>
      </c>
      <c r="AC698" s="4">
        <v>0</v>
      </c>
      <c r="AD698" s="4">
        <v>0</v>
      </c>
      <c r="AE698" s="4">
        <v>0</v>
      </c>
      <c r="AF698" s="50">
        <v>8318.5170754301289</v>
      </c>
      <c r="AG698" s="50">
        <v>8337.1133463354563</v>
      </c>
      <c r="AH698" s="50">
        <v>8355.7096172407837</v>
      </c>
      <c r="AI698" s="50">
        <v>8374.3058881461111</v>
      </c>
      <c r="AJ698" s="50">
        <v>8392.9021590514385</v>
      </c>
      <c r="AK698" s="50">
        <v>8411.4984299567659</v>
      </c>
      <c r="AL698" s="50">
        <v>8430.0947008620933</v>
      </c>
      <c r="AM698" s="50">
        <v>8448.6909717674207</v>
      </c>
      <c r="AN698" s="50">
        <v>8467.2872426727481</v>
      </c>
      <c r="AO698" s="50">
        <v>8485.8835135780755</v>
      </c>
      <c r="AP698" s="50">
        <v>8504.4797844834029</v>
      </c>
      <c r="AQ698" s="50">
        <v>8523.0760553887303</v>
      </c>
      <c r="AR698" s="50">
        <v>8541.6723262940577</v>
      </c>
      <c r="AS698" s="50">
        <v>8560.2685971993851</v>
      </c>
      <c r="AT698" s="50">
        <v>8578.8648681047125</v>
      </c>
      <c r="AU698" s="50">
        <v>8597.4611390100399</v>
      </c>
      <c r="AV698" s="50">
        <v>8616.0574099153673</v>
      </c>
      <c r="AW698" s="50">
        <v>8634.6536808206947</v>
      </c>
      <c r="AX698" s="50">
        <v>8653.2499517260221</v>
      </c>
      <c r="AY698" s="50">
        <v>8671.8462226313495</v>
      </c>
      <c r="AZ698" s="50">
        <v>8690.4424935366769</v>
      </c>
      <c r="BA698" s="50">
        <v>8709.0387644420043</v>
      </c>
      <c r="BB698" s="50">
        <v>8727.6350353473317</v>
      </c>
      <c r="BC698" s="50">
        <v>8746.2313062526591</v>
      </c>
      <c r="BD698" s="50">
        <v>8764.8275771579865</v>
      </c>
      <c r="BE698" s="50">
        <v>8783.4238480633139</v>
      </c>
      <c r="BF698" s="50">
        <v>8802.0201189686413</v>
      </c>
      <c r="BG698" s="50">
        <v>8820.6163898739687</v>
      </c>
      <c r="BH698" s="50">
        <v>8839.2126607792961</v>
      </c>
      <c r="BI698" s="50">
        <v>8857.8089316846235</v>
      </c>
      <c r="BJ698" s="50">
        <v>8876.4052025899509</v>
      </c>
      <c r="BK698" s="50">
        <v>8895.0014734952783</v>
      </c>
      <c r="BL698" s="50">
        <v>8913.5977444006057</v>
      </c>
      <c r="BM698" s="50">
        <v>8932.1940153059331</v>
      </c>
      <c r="BN698" s="50">
        <v>8950.7902862112605</v>
      </c>
      <c r="BO698" s="50">
        <v>8969.3865571165879</v>
      </c>
      <c r="BP698" s="50">
        <v>8987.9828280219153</v>
      </c>
      <c r="BQ698" s="50">
        <v>9006.5790989272427</v>
      </c>
      <c r="BR698" s="50">
        <v>9025.1753698325701</v>
      </c>
      <c r="BS698" s="50">
        <v>9043.7716407378975</v>
      </c>
      <c r="BT698" s="50">
        <v>9062.3679116432249</v>
      </c>
      <c r="BU698" s="50">
        <v>9080.9641825485523</v>
      </c>
      <c r="BV698" s="50">
        <v>9099.5604534538797</v>
      </c>
      <c r="BW698" s="50">
        <v>9118.1567243592071</v>
      </c>
      <c r="BX698" s="50">
        <v>9136.7529952645345</v>
      </c>
      <c r="BY698" s="50">
        <v>9155.3492661698619</v>
      </c>
      <c r="BZ698" s="50">
        <v>9173.9455370751893</v>
      </c>
      <c r="CA698" s="50">
        <v>9192.5418079805168</v>
      </c>
      <c r="CB698" s="50">
        <v>9211.1380788858442</v>
      </c>
      <c r="CC698" s="50">
        <v>9229.7343497911716</v>
      </c>
      <c r="CD698" s="50">
        <v>9248.330620696499</v>
      </c>
      <c r="CE698" s="50">
        <v>9266.9268916018264</v>
      </c>
      <c r="CF698" s="50">
        <v>9285.5231625071538</v>
      </c>
      <c r="CG698" s="50">
        <v>9304.1194334124812</v>
      </c>
      <c r="CH698" s="50">
        <v>9322.7157043178086</v>
      </c>
      <c r="CI698" s="50">
        <v>9341.311975223136</v>
      </c>
      <c r="CJ698" s="50">
        <v>9359.9082461284634</v>
      </c>
      <c r="CK698" s="50">
        <v>9378.5045170337908</v>
      </c>
      <c r="CL698" s="50">
        <v>9397.1007879391182</v>
      </c>
      <c r="CM698" s="50">
        <v>9415.6970588444456</v>
      </c>
      <c r="CN698" s="50">
        <v>9434.293329749773</v>
      </c>
    </row>
    <row r="699" spans="1:92" s="44" customFormat="1" x14ac:dyDescent="0.25">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92" x14ac:dyDescent="0.25">
      <c r="A700" s="99" t="s">
        <v>283</v>
      </c>
      <c r="B700" s="4">
        <v>0</v>
      </c>
      <c r="C700" s="4">
        <v>0</v>
      </c>
      <c r="D700" s="4">
        <v>0</v>
      </c>
      <c r="E700" s="4">
        <v>0</v>
      </c>
      <c r="F700" s="4">
        <v>0</v>
      </c>
      <c r="G700" s="4">
        <v>0</v>
      </c>
      <c r="H700" s="4">
        <v>0</v>
      </c>
      <c r="I700" s="4">
        <v>0</v>
      </c>
      <c r="J700" s="4">
        <v>0</v>
      </c>
      <c r="K700" s="4">
        <v>0</v>
      </c>
      <c r="L700" s="4">
        <v>0</v>
      </c>
      <c r="M700" s="4">
        <v>0</v>
      </c>
      <c r="N700" s="4">
        <v>0</v>
      </c>
      <c r="O700" s="4">
        <v>0</v>
      </c>
      <c r="P700" s="4">
        <v>0</v>
      </c>
      <c r="Q700" s="4">
        <v>0</v>
      </c>
      <c r="R700" s="4">
        <v>0</v>
      </c>
      <c r="S700" s="4">
        <v>0</v>
      </c>
      <c r="T700" s="4">
        <v>0</v>
      </c>
      <c r="U700" s="4">
        <v>0</v>
      </c>
      <c r="V700" s="4">
        <v>0</v>
      </c>
      <c r="W700" s="4">
        <v>0</v>
      </c>
      <c r="X700" s="4">
        <v>0</v>
      </c>
      <c r="Y700" s="4">
        <v>0</v>
      </c>
      <c r="Z700" s="4">
        <v>0</v>
      </c>
      <c r="AA700" s="4">
        <v>0</v>
      </c>
      <c r="AB700" s="4">
        <v>0</v>
      </c>
      <c r="AC700" s="4">
        <v>0</v>
      </c>
      <c r="AD700" s="4">
        <v>0</v>
      </c>
      <c r="AE700" s="4">
        <v>0</v>
      </c>
      <c r="AF700">
        <v>14329.244000000006</v>
      </c>
      <c r="AG700">
        <v>14188.535000000033</v>
      </c>
      <c r="AH700">
        <v>14047.826000000001</v>
      </c>
      <c r="AI700">
        <v>13907.117000000027</v>
      </c>
      <c r="AJ700">
        <v>13766.407999999996</v>
      </c>
      <c r="AK700">
        <v>13625.699000000022</v>
      </c>
      <c r="AL700">
        <v>13484.990000000049</v>
      </c>
      <c r="AM700">
        <v>13344.281000000017</v>
      </c>
      <c r="AN700">
        <v>13203.572000000044</v>
      </c>
      <c r="AO700">
        <v>13062.863000000012</v>
      </c>
      <c r="AP700">
        <v>12922.154000000039</v>
      </c>
      <c r="AQ700">
        <v>12781.445000000007</v>
      </c>
      <c r="AR700">
        <v>12640.736000000034</v>
      </c>
      <c r="AS700">
        <v>12500.027000000002</v>
      </c>
      <c r="AT700">
        <v>12359.318000000028</v>
      </c>
      <c r="AU700">
        <v>12218.608999999997</v>
      </c>
      <c r="AV700">
        <v>12077.900000000023</v>
      </c>
      <c r="AW700">
        <v>11937.19100000005</v>
      </c>
      <c r="AX700">
        <v>11796.482000000018</v>
      </c>
      <c r="AY700">
        <v>11655.773000000045</v>
      </c>
      <c r="AZ700">
        <v>11515.064000000013</v>
      </c>
      <c r="BA700">
        <v>11374.35500000004</v>
      </c>
      <c r="BB700">
        <v>11233.646000000008</v>
      </c>
      <c r="BC700">
        <v>11092.937000000034</v>
      </c>
      <c r="BD700">
        <v>10952.228000000003</v>
      </c>
      <c r="BE700">
        <v>10811.519000000029</v>
      </c>
      <c r="BF700">
        <v>10670.809999999998</v>
      </c>
      <c r="BG700">
        <v>10530.101000000024</v>
      </c>
      <c r="BH700">
        <v>10389.392000000051</v>
      </c>
      <c r="BI700">
        <v>10248.683000000019</v>
      </c>
      <c r="BJ700">
        <v>10107.974000000046</v>
      </c>
      <c r="BK700">
        <v>9967.265000000014</v>
      </c>
      <c r="BL700">
        <v>9826.5560000000405</v>
      </c>
      <c r="BM700">
        <v>9685.8470000000088</v>
      </c>
      <c r="BN700">
        <v>9545.1380000000354</v>
      </c>
      <c r="BO700">
        <v>9404.4290000000037</v>
      </c>
      <c r="BP700">
        <v>9263.7200000000303</v>
      </c>
      <c r="BQ700">
        <v>9123.0110000000568</v>
      </c>
      <c r="BR700">
        <v>8982.3020000000251</v>
      </c>
      <c r="BS700">
        <v>8841.5930000000517</v>
      </c>
      <c r="BT700">
        <v>8700.88400000002</v>
      </c>
      <c r="BU700">
        <v>8560.1750000000466</v>
      </c>
      <c r="BV700">
        <v>8419.4660000000149</v>
      </c>
      <c r="BW700">
        <v>8278.7570000000414</v>
      </c>
      <c r="BX700">
        <v>8138.0480000000098</v>
      </c>
      <c r="BY700">
        <v>7997.3390000000363</v>
      </c>
      <c r="BZ700">
        <v>7856.6300000000047</v>
      </c>
      <c r="CA700">
        <v>7715.9210000000312</v>
      </c>
      <c r="CB700">
        <v>7575.2120000000577</v>
      </c>
      <c r="CC700">
        <v>7434.5030000000261</v>
      </c>
      <c r="CD700">
        <v>7293.7940000000526</v>
      </c>
      <c r="CE700">
        <v>7153.085000000021</v>
      </c>
      <c r="CF700">
        <v>7012.3760000000475</v>
      </c>
      <c r="CG700">
        <v>6871.6670000000158</v>
      </c>
      <c r="CH700">
        <v>6730.9580000000424</v>
      </c>
      <c r="CI700">
        <v>6590.2490000000107</v>
      </c>
      <c r="CJ700">
        <v>6449.5400000000373</v>
      </c>
      <c r="CK700">
        <v>6308.8310000000056</v>
      </c>
      <c r="CL700">
        <v>6168.1220000000321</v>
      </c>
      <c r="CM700">
        <v>6027.4130000000587</v>
      </c>
      <c r="CN700">
        <v>5886.704000000027</v>
      </c>
    </row>
    <row r="701" spans="1:92" x14ac:dyDescent="0.25">
      <c r="A701" s="99" t="s">
        <v>1</v>
      </c>
      <c r="B701" s="4">
        <v>0</v>
      </c>
      <c r="C701" s="4">
        <v>0</v>
      </c>
      <c r="D701" s="4">
        <v>0</v>
      </c>
      <c r="E701" s="4">
        <v>0</v>
      </c>
      <c r="F701" s="4">
        <v>0</v>
      </c>
      <c r="G701" s="4">
        <v>0</v>
      </c>
      <c r="H701" s="4">
        <v>0</v>
      </c>
      <c r="I701" s="4">
        <v>0</v>
      </c>
      <c r="J701" s="4">
        <v>0</v>
      </c>
      <c r="K701" s="4">
        <v>0</v>
      </c>
      <c r="L701" s="4">
        <v>0</v>
      </c>
      <c r="M701" s="4">
        <v>0</v>
      </c>
      <c r="N701" s="4">
        <v>0</v>
      </c>
      <c r="O701" s="4">
        <v>0</v>
      </c>
      <c r="P701" s="4">
        <v>0</v>
      </c>
      <c r="Q701" s="4">
        <v>0</v>
      </c>
      <c r="R701" s="4">
        <v>0</v>
      </c>
      <c r="S701" s="4">
        <v>0</v>
      </c>
      <c r="T701" s="4">
        <v>0</v>
      </c>
      <c r="U701" s="4">
        <v>0</v>
      </c>
      <c r="V701" s="4">
        <v>0</v>
      </c>
      <c r="W701" s="4">
        <v>0</v>
      </c>
      <c r="X701" s="4">
        <v>0</v>
      </c>
      <c r="Y701" s="4">
        <v>0</v>
      </c>
      <c r="Z701" s="4">
        <v>0</v>
      </c>
      <c r="AA701" s="4">
        <v>0</v>
      </c>
      <c r="AB701" s="4">
        <v>0</v>
      </c>
      <c r="AC701" s="4">
        <v>0</v>
      </c>
      <c r="AD701" s="4">
        <v>0</v>
      </c>
      <c r="AE701" s="4">
        <v>0</v>
      </c>
      <c r="AF701">
        <v>683.54133333333266</v>
      </c>
      <c r="AG701">
        <v>680.66999999999916</v>
      </c>
      <c r="AH701">
        <v>677.79866666666658</v>
      </c>
      <c r="AI701">
        <v>674.92733333333308</v>
      </c>
      <c r="AJ701">
        <v>672.05599999999959</v>
      </c>
      <c r="AK701">
        <v>669.18466666666609</v>
      </c>
      <c r="AL701">
        <v>666.31333333333259</v>
      </c>
      <c r="AM701">
        <v>663.4419999999991</v>
      </c>
      <c r="AN701">
        <v>660.57066666666651</v>
      </c>
      <c r="AO701">
        <v>657.69933333333302</v>
      </c>
      <c r="AP701">
        <v>654.82799999999952</v>
      </c>
      <c r="AQ701">
        <v>651.95666666666602</v>
      </c>
      <c r="AR701">
        <v>649.08533333333253</v>
      </c>
      <c r="AS701">
        <v>646.21399999999994</v>
      </c>
      <c r="AT701">
        <v>643.34266666666645</v>
      </c>
      <c r="AU701">
        <v>640.47133333333295</v>
      </c>
      <c r="AV701">
        <v>637.59999999999945</v>
      </c>
      <c r="AW701">
        <v>634.72866666666596</v>
      </c>
      <c r="AX701">
        <v>631.85733333333246</v>
      </c>
      <c r="AY701">
        <v>628.98599999999988</v>
      </c>
      <c r="AZ701">
        <v>626.11466666666638</v>
      </c>
      <c r="BA701">
        <v>623.24333333333288</v>
      </c>
      <c r="BB701">
        <v>620.37199999999939</v>
      </c>
      <c r="BC701">
        <v>617.50066666666589</v>
      </c>
      <c r="BD701">
        <v>614.62933333333331</v>
      </c>
      <c r="BE701">
        <v>611.75799999999981</v>
      </c>
      <c r="BF701">
        <v>608.88666666666631</v>
      </c>
      <c r="BG701">
        <v>606.01533333333282</v>
      </c>
      <c r="BH701">
        <v>603.14399999999932</v>
      </c>
      <c r="BI701">
        <v>600.27266666666674</v>
      </c>
      <c r="BJ701">
        <v>597.40133333333324</v>
      </c>
      <c r="BK701">
        <v>594.52999999999975</v>
      </c>
      <c r="BL701">
        <v>591.65866666666625</v>
      </c>
      <c r="BM701">
        <v>588.78733333333275</v>
      </c>
      <c r="BN701">
        <v>585.91600000000017</v>
      </c>
      <c r="BO701">
        <v>583.04466666666667</v>
      </c>
      <c r="BP701">
        <v>580.17333333333318</v>
      </c>
      <c r="BQ701">
        <v>577.30199999999968</v>
      </c>
      <c r="BR701">
        <v>574.43066666666618</v>
      </c>
      <c r="BS701">
        <v>571.55933333333269</v>
      </c>
      <c r="BT701">
        <v>568.6880000000001</v>
      </c>
      <c r="BU701">
        <v>565.81666666666661</v>
      </c>
      <c r="BV701">
        <v>562.94533333333311</v>
      </c>
      <c r="BW701">
        <v>560.07399999999961</v>
      </c>
      <c r="BX701">
        <v>557.20266666666612</v>
      </c>
      <c r="BY701">
        <v>554.33133333333353</v>
      </c>
      <c r="BZ701">
        <v>551.46</v>
      </c>
      <c r="CA701">
        <v>548.58866666666654</v>
      </c>
      <c r="CB701">
        <v>545.71733333333304</v>
      </c>
      <c r="CC701">
        <v>542.84599999999955</v>
      </c>
      <c r="CD701">
        <v>539.97466666666605</v>
      </c>
      <c r="CE701">
        <v>537.10333333333347</v>
      </c>
      <c r="CF701">
        <v>534.23199999999997</v>
      </c>
      <c r="CG701">
        <v>531.36066666666648</v>
      </c>
      <c r="CH701">
        <v>528.48933333333298</v>
      </c>
      <c r="CI701">
        <v>525.61799999999948</v>
      </c>
      <c r="CJ701">
        <v>522.7466666666669</v>
      </c>
      <c r="CK701">
        <v>519.8753333333334</v>
      </c>
      <c r="CL701">
        <v>517.00399999999991</v>
      </c>
      <c r="CM701">
        <v>514.13266666666641</v>
      </c>
      <c r="CN701">
        <v>511.26133333333291</v>
      </c>
    </row>
    <row r="702" spans="1:92" x14ac:dyDescent="0.25">
      <c r="A702" s="99" t="s">
        <v>1</v>
      </c>
      <c r="B702" s="4">
        <v>0</v>
      </c>
      <c r="C702" s="4">
        <v>0</v>
      </c>
      <c r="D702" s="4">
        <v>0</v>
      </c>
      <c r="E702" s="4">
        <v>0</v>
      </c>
      <c r="F702" s="4">
        <v>0</v>
      </c>
      <c r="G702" s="4">
        <v>0</v>
      </c>
      <c r="H702" s="4">
        <v>0</v>
      </c>
      <c r="I702" s="4">
        <v>0</v>
      </c>
      <c r="J702" s="4">
        <v>0</v>
      </c>
      <c r="K702" s="4">
        <v>0</v>
      </c>
      <c r="L702" s="4">
        <v>0</v>
      </c>
      <c r="M702" s="4">
        <v>0</v>
      </c>
      <c r="N702" s="4">
        <v>0</v>
      </c>
      <c r="O702" s="4">
        <v>0</v>
      </c>
      <c r="P702" s="4">
        <v>0</v>
      </c>
      <c r="Q702" s="4">
        <v>0</v>
      </c>
      <c r="R702" s="4">
        <v>0</v>
      </c>
      <c r="S702" s="4">
        <v>0</v>
      </c>
      <c r="T702" s="4">
        <v>0</v>
      </c>
      <c r="U702" s="4">
        <v>0</v>
      </c>
      <c r="V702" s="4">
        <v>0</v>
      </c>
      <c r="W702" s="4">
        <v>0</v>
      </c>
      <c r="X702" s="4">
        <v>0</v>
      </c>
      <c r="Y702" s="4">
        <v>0</v>
      </c>
      <c r="Z702" s="4">
        <v>0</v>
      </c>
      <c r="AA702" s="4">
        <v>0</v>
      </c>
      <c r="AB702" s="4">
        <v>0</v>
      </c>
      <c r="AC702" s="4">
        <v>0</v>
      </c>
      <c r="AD702" s="4">
        <v>0</v>
      </c>
      <c r="AE702" s="4">
        <v>0</v>
      </c>
      <c r="AF702">
        <v>1097.9986666666737</v>
      </c>
      <c r="AG702">
        <v>1071.5591666666733</v>
      </c>
      <c r="AH702">
        <v>1045.1196666666729</v>
      </c>
      <c r="AI702">
        <v>1018.6801666666724</v>
      </c>
      <c r="AJ702">
        <v>992.24066666667204</v>
      </c>
      <c r="AK702">
        <v>965.80116666667163</v>
      </c>
      <c r="AL702">
        <v>939.36166666667123</v>
      </c>
      <c r="AM702">
        <v>912.92216666667082</v>
      </c>
      <c r="AN702">
        <v>886.48266666667041</v>
      </c>
      <c r="AO702">
        <v>860.04316666667</v>
      </c>
      <c r="AP702">
        <v>833.6036666666696</v>
      </c>
      <c r="AQ702">
        <v>807.16416666666919</v>
      </c>
      <c r="AR702">
        <v>780.72466666666878</v>
      </c>
      <c r="AS702">
        <v>754.28516666666837</v>
      </c>
      <c r="AT702">
        <v>727.84566666666797</v>
      </c>
      <c r="AU702">
        <v>701.40616666667484</v>
      </c>
      <c r="AV702">
        <v>674.96666666667443</v>
      </c>
      <c r="AW702">
        <v>648.52716666667402</v>
      </c>
      <c r="AX702">
        <v>622.08766666667361</v>
      </c>
      <c r="AY702">
        <v>595.64816666667321</v>
      </c>
      <c r="AZ702">
        <v>569.2086666666728</v>
      </c>
      <c r="BA702">
        <v>542.76916666667239</v>
      </c>
      <c r="BB702">
        <v>516.32966666667198</v>
      </c>
      <c r="BC702">
        <v>489.89016666667158</v>
      </c>
      <c r="BD702">
        <v>463.45066666667117</v>
      </c>
      <c r="BE702">
        <v>437.01116666667076</v>
      </c>
      <c r="BF702">
        <v>410.57166666667035</v>
      </c>
      <c r="BG702">
        <v>384.13216666666995</v>
      </c>
      <c r="BH702">
        <v>357.69266666666954</v>
      </c>
      <c r="BI702">
        <v>331.25316666666913</v>
      </c>
      <c r="BJ702">
        <v>304.81366666666872</v>
      </c>
      <c r="BK702">
        <v>278.37416666666832</v>
      </c>
      <c r="BL702">
        <v>251.93466666667518</v>
      </c>
      <c r="BM702">
        <v>225.49516666667478</v>
      </c>
      <c r="BN702">
        <v>199.05566666667437</v>
      </c>
      <c r="BO702">
        <v>172.61616666667396</v>
      </c>
      <c r="BP702">
        <v>146.17666666667355</v>
      </c>
      <c r="BQ702">
        <v>119.73716666667315</v>
      </c>
      <c r="BR702">
        <v>93.29766666667274</v>
      </c>
      <c r="BS702">
        <v>66.858166666672332</v>
      </c>
      <c r="BT702">
        <v>40.418666666671925</v>
      </c>
      <c r="BU702">
        <v>13.979166666671517</v>
      </c>
      <c r="BV702">
        <v>53.638416666672128</v>
      </c>
      <c r="BW702">
        <v>27.198916666671721</v>
      </c>
      <c r="BX702">
        <v>33.808791666671823</v>
      </c>
      <c r="BY702">
        <v>40.418666666671925</v>
      </c>
      <c r="BZ702">
        <v>30.503854166671772</v>
      </c>
      <c r="CA702">
        <v>37.113729166671874</v>
      </c>
      <c r="CB702">
        <v>35.461260416671848</v>
      </c>
      <c r="CC702">
        <v>33.808791666671823</v>
      </c>
      <c r="CD702">
        <v>36.287494791671861</v>
      </c>
      <c r="CE702">
        <v>34.635026041671836</v>
      </c>
      <c r="CF702">
        <v>35.048143229171842</v>
      </c>
      <c r="CG702">
        <v>35.461260416671848</v>
      </c>
      <c r="CH702">
        <v>34.841584635421839</v>
      </c>
      <c r="CI702">
        <v>35.254701822921845</v>
      </c>
      <c r="CJ702">
        <v>35.151422526046844</v>
      </c>
      <c r="CK702">
        <v>35.048143229171842</v>
      </c>
      <c r="CL702">
        <v>35.203062174484344</v>
      </c>
      <c r="CM702">
        <v>35.099782877609343</v>
      </c>
      <c r="CN702">
        <v>35.125602701828093</v>
      </c>
    </row>
    <row r="703" spans="1:92" x14ac:dyDescent="0.25">
      <c r="A703" s="99" t="s">
        <v>1</v>
      </c>
      <c r="B703" s="4">
        <v>0</v>
      </c>
      <c r="C703" s="4">
        <v>0</v>
      </c>
      <c r="D703" s="4">
        <v>0</v>
      </c>
      <c r="E703" s="4">
        <v>0</v>
      </c>
      <c r="F703" s="4">
        <v>0</v>
      </c>
      <c r="G703" s="4">
        <v>0</v>
      </c>
      <c r="H703" s="4">
        <v>0</v>
      </c>
      <c r="I703" s="4">
        <v>0</v>
      </c>
      <c r="J703" s="4">
        <v>0</v>
      </c>
      <c r="K703" s="4">
        <v>0</v>
      </c>
      <c r="L703" s="4">
        <v>0</v>
      </c>
      <c r="M703" s="4">
        <v>0</v>
      </c>
      <c r="N703" s="4">
        <v>0</v>
      </c>
      <c r="O703" s="4">
        <v>0</v>
      </c>
      <c r="P703" s="4">
        <v>0</v>
      </c>
      <c r="Q703" s="4">
        <v>0</v>
      </c>
      <c r="R703" s="4">
        <v>0</v>
      </c>
      <c r="S703" s="4">
        <v>0</v>
      </c>
      <c r="T703" s="4">
        <v>0</v>
      </c>
      <c r="U703" s="4">
        <v>0</v>
      </c>
      <c r="V703" s="4">
        <v>0</v>
      </c>
      <c r="W703" s="4">
        <v>0</v>
      </c>
      <c r="X703" s="4">
        <v>0</v>
      </c>
      <c r="Y703" s="4">
        <v>0</v>
      </c>
      <c r="Z703" s="4">
        <v>0</v>
      </c>
      <c r="AA703" s="4">
        <v>0</v>
      </c>
      <c r="AB703" s="4">
        <v>0</v>
      </c>
      <c r="AC703" s="4">
        <v>0</v>
      </c>
      <c r="AD703" s="4">
        <v>0</v>
      </c>
      <c r="AE703" s="4">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0</v>
      </c>
      <c r="CM703">
        <v>0</v>
      </c>
      <c r="CN703">
        <v>0</v>
      </c>
    </row>
    <row r="704" spans="1:92" x14ac:dyDescent="0.25">
      <c r="A704" s="99" t="s">
        <v>1</v>
      </c>
      <c r="B704" s="4">
        <v>0</v>
      </c>
      <c r="C704" s="4">
        <v>0</v>
      </c>
      <c r="D704" s="4">
        <v>0</v>
      </c>
      <c r="E704" s="4">
        <v>0</v>
      </c>
      <c r="F704" s="4">
        <v>0</v>
      </c>
      <c r="G704" s="4">
        <v>0</v>
      </c>
      <c r="H704" s="4">
        <v>0</v>
      </c>
      <c r="I704" s="4">
        <v>0</v>
      </c>
      <c r="J704" s="4">
        <v>0</v>
      </c>
      <c r="K704" s="4">
        <v>0</v>
      </c>
      <c r="L704" s="4">
        <v>0</v>
      </c>
      <c r="M704" s="4">
        <v>0</v>
      </c>
      <c r="N704" s="4">
        <v>0</v>
      </c>
      <c r="O704" s="4">
        <v>0</v>
      </c>
      <c r="P704" s="4">
        <v>0</v>
      </c>
      <c r="Q704" s="4">
        <v>0</v>
      </c>
      <c r="R704" s="4">
        <v>0</v>
      </c>
      <c r="S704" s="4">
        <v>0</v>
      </c>
      <c r="T704" s="4">
        <v>0</v>
      </c>
      <c r="U704" s="4">
        <v>0</v>
      </c>
      <c r="V704" s="4">
        <v>0</v>
      </c>
      <c r="W704" s="4">
        <v>0</v>
      </c>
      <c r="X704" s="4">
        <v>0</v>
      </c>
      <c r="Y704" s="4">
        <v>0</v>
      </c>
      <c r="Z704" s="4">
        <v>0</v>
      </c>
      <c r="AA704" s="4">
        <v>0</v>
      </c>
      <c r="AB704" s="4">
        <v>0</v>
      </c>
      <c r="AC704" s="4">
        <v>0</v>
      </c>
      <c r="AD704" s="4">
        <v>0</v>
      </c>
      <c r="AE704" s="4">
        <v>0</v>
      </c>
      <c r="AF704">
        <v>980.9226666666666</v>
      </c>
      <c r="AG704">
        <v>980.9608333333332</v>
      </c>
      <c r="AH704">
        <v>980.99899999999991</v>
      </c>
      <c r="AI704">
        <v>981.03716666666662</v>
      </c>
      <c r="AJ704">
        <v>981.07533333333322</v>
      </c>
      <c r="AK704">
        <v>981.11349999999993</v>
      </c>
      <c r="AL704">
        <v>981.15166666666664</v>
      </c>
      <c r="AM704">
        <v>981.18983333333324</v>
      </c>
      <c r="AN704">
        <v>981.22799999999995</v>
      </c>
      <c r="AO704">
        <v>981.26616666666666</v>
      </c>
      <c r="AP704">
        <v>981.30433333333326</v>
      </c>
      <c r="AQ704">
        <v>981.34249999999997</v>
      </c>
      <c r="AR704">
        <v>981.38066666666668</v>
      </c>
      <c r="AS704">
        <v>981.41883333333328</v>
      </c>
      <c r="AT704">
        <v>981.45699999999999</v>
      </c>
      <c r="AU704">
        <v>981.49516666666671</v>
      </c>
      <c r="AV704">
        <v>981.5333333333333</v>
      </c>
      <c r="AW704">
        <v>981.57150000000001</v>
      </c>
      <c r="AX704">
        <v>981.60966666666673</v>
      </c>
      <c r="AY704">
        <v>981.64783333333332</v>
      </c>
      <c r="AZ704">
        <v>981.68600000000004</v>
      </c>
      <c r="BA704">
        <v>981.72416666666675</v>
      </c>
      <c r="BB704">
        <v>981.76233333333334</v>
      </c>
      <c r="BC704">
        <v>981.80050000000006</v>
      </c>
      <c r="BD704">
        <v>981.83866666666677</v>
      </c>
      <c r="BE704">
        <v>981.87683333333337</v>
      </c>
      <c r="BF704">
        <v>981.91500000000008</v>
      </c>
      <c r="BG704">
        <v>981.95316666666679</v>
      </c>
      <c r="BH704">
        <v>981.99133333333339</v>
      </c>
      <c r="BI704">
        <v>982.0295000000001</v>
      </c>
      <c r="BJ704">
        <v>982.06766666666681</v>
      </c>
      <c r="BK704">
        <v>982.10583333333341</v>
      </c>
      <c r="BL704">
        <v>982.14400000000012</v>
      </c>
      <c r="BM704">
        <v>982.18216666666683</v>
      </c>
      <c r="BN704">
        <v>982.22033333333343</v>
      </c>
      <c r="BO704">
        <v>982.25850000000014</v>
      </c>
      <c r="BP704">
        <v>982.29666666666685</v>
      </c>
      <c r="BQ704">
        <v>982.33483333333345</v>
      </c>
      <c r="BR704">
        <v>982.37300000000016</v>
      </c>
      <c r="BS704">
        <v>982.41116666666687</v>
      </c>
      <c r="BT704">
        <v>982.44933333333347</v>
      </c>
      <c r="BU704">
        <v>982.48750000000018</v>
      </c>
      <c r="BV704">
        <v>982.52566666666689</v>
      </c>
      <c r="BW704">
        <v>982.56383333333349</v>
      </c>
      <c r="BX704">
        <v>982.6020000000002</v>
      </c>
      <c r="BY704">
        <v>982.64016666666691</v>
      </c>
      <c r="BZ704">
        <v>982.67833333333351</v>
      </c>
      <c r="CA704">
        <v>982.71650000000022</v>
      </c>
      <c r="CB704">
        <v>982.75466666666694</v>
      </c>
      <c r="CC704">
        <v>982.79283333333353</v>
      </c>
      <c r="CD704">
        <v>982.83100000000024</v>
      </c>
      <c r="CE704">
        <v>982.86916666666696</v>
      </c>
      <c r="CF704">
        <v>982.90733333333355</v>
      </c>
      <c r="CG704">
        <v>982.94550000000027</v>
      </c>
      <c r="CH704">
        <v>982.98366666666698</v>
      </c>
      <c r="CI704">
        <v>983.02183333333357</v>
      </c>
      <c r="CJ704">
        <v>983.06000000000029</v>
      </c>
      <c r="CK704">
        <v>983.098166666667</v>
      </c>
      <c r="CL704">
        <v>983.1363333333336</v>
      </c>
      <c r="CM704">
        <v>983.17450000000031</v>
      </c>
      <c r="CN704">
        <v>983.21266666666702</v>
      </c>
    </row>
    <row r="705" spans="1:92" x14ac:dyDescent="0.25">
      <c r="A705" s="99" t="s">
        <v>1</v>
      </c>
      <c r="B705" s="4">
        <v>0</v>
      </c>
      <c r="C705" s="4">
        <v>0</v>
      </c>
      <c r="D705" s="4">
        <v>0</v>
      </c>
      <c r="E705" s="4">
        <v>0</v>
      </c>
      <c r="F705" s="4">
        <v>0</v>
      </c>
      <c r="G705" s="4">
        <v>0</v>
      </c>
      <c r="H705" s="4">
        <v>0</v>
      </c>
      <c r="I705" s="4">
        <v>0</v>
      </c>
      <c r="J705" s="4">
        <v>0</v>
      </c>
      <c r="K705" s="4">
        <v>0</v>
      </c>
      <c r="L705" s="4">
        <v>0</v>
      </c>
      <c r="M705" s="4">
        <v>0</v>
      </c>
      <c r="N705" s="4">
        <v>0</v>
      </c>
      <c r="O705" s="4">
        <v>0</v>
      </c>
      <c r="P705" s="4">
        <v>0</v>
      </c>
      <c r="Q705" s="4">
        <v>0</v>
      </c>
      <c r="R705" s="4">
        <v>0</v>
      </c>
      <c r="S705" s="4">
        <v>0</v>
      </c>
      <c r="T705" s="4">
        <v>0</v>
      </c>
      <c r="U705" s="4">
        <v>0</v>
      </c>
      <c r="V705" s="4">
        <v>0</v>
      </c>
      <c r="W705" s="4">
        <v>0</v>
      </c>
      <c r="X705" s="4">
        <v>0</v>
      </c>
      <c r="Y705" s="4">
        <v>0</v>
      </c>
      <c r="Z705" s="4">
        <v>0</v>
      </c>
      <c r="AA705" s="4">
        <v>0</v>
      </c>
      <c r="AB705" s="4">
        <v>0</v>
      </c>
      <c r="AC705" s="4">
        <v>0</v>
      </c>
      <c r="AD705" s="4">
        <v>0</v>
      </c>
      <c r="AE705" s="4">
        <v>0</v>
      </c>
      <c r="AF705">
        <v>4135.8853333333391</v>
      </c>
      <c r="AG705">
        <v>3986.2383333333419</v>
      </c>
      <c r="AH705">
        <v>3836.5913333333447</v>
      </c>
      <c r="AI705">
        <v>3686.9443333333475</v>
      </c>
      <c r="AJ705">
        <v>3537.2973333333503</v>
      </c>
      <c r="AK705">
        <v>3387.650333333353</v>
      </c>
      <c r="AL705">
        <v>3238.0033333332976</v>
      </c>
      <c r="AM705">
        <v>3088.3563333333004</v>
      </c>
      <c r="AN705">
        <v>2938.7093333333032</v>
      </c>
      <c r="AO705">
        <v>2789.062333333306</v>
      </c>
      <c r="AP705">
        <v>2639.4153333333088</v>
      </c>
      <c r="AQ705">
        <v>2489.7683333333116</v>
      </c>
      <c r="AR705">
        <v>2340.1213333333144</v>
      </c>
      <c r="AS705">
        <v>2190.4743333333172</v>
      </c>
      <c r="AT705">
        <v>2040.82733333332</v>
      </c>
      <c r="AU705">
        <v>1891.1803333333228</v>
      </c>
      <c r="AV705">
        <v>1741.5333333333256</v>
      </c>
      <c r="AW705">
        <v>1591.8863333333284</v>
      </c>
      <c r="AX705">
        <v>1442.2393333333312</v>
      </c>
      <c r="AY705">
        <v>1292.592333333334</v>
      </c>
      <c r="AZ705">
        <v>1142.9453333333367</v>
      </c>
      <c r="BA705">
        <v>993.29833333333954</v>
      </c>
      <c r="BB705">
        <v>843.65133333334234</v>
      </c>
      <c r="BC705">
        <v>694.00433333334513</v>
      </c>
      <c r="BD705">
        <v>544.35733333334792</v>
      </c>
      <c r="BE705">
        <v>394.71033333335072</v>
      </c>
      <c r="BF705">
        <v>245.06333333335351</v>
      </c>
      <c r="BG705">
        <v>95.416333333298098</v>
      </c>
      <c r="BH705">
        <v>245.0633333333341</v>
      </c>
      <c r="BI705">
        <v>195.18099999999524</v>
      </c>
      <c r="BJ705">
        <v>178.55355555554249</v>
      </c>
      <c r="BK705">
        <v>206.26596296295727</v>
      </c>
      <c r="BL705">
        <v>193.33350617283168</v>
      </c>
      <c r="BM705">
        <v>192.71767489711047</v>
      </c>
      <c r="BN705">
        <v>197.43904801096645</v>
      </c>
      <c r="BO705">
        <v>194.49674302696951</v>
      </c>
      <c r="BP705">
        <v>194.88448864501547</v>
      </c>
      <c r="BQ705">
        <v>195.60675989431715</v>
      </c>
      <c r="BR705">
        <v>194.9959971887674</v>
      </c>
      <c r="BS705">
        <v>195.16241524270001</v>
      </c>
      <c r="BT705">
        <v>195.25505744192819</v>
      </c>
      <c r="BU705">
        <v>195.13782329113187</v>
      </c>
      <c r="BV705">
        <v>195.18509865858667</v>
      </c>
      <c r="BW705">
        <v>195.19265979721558</v>
      </c>
      <c r="BX705">
        <v>195.17186058231138</v>
      </c>
      <c r="BY705">
        <v>195.18320634603788</v>
      </c>
      <c r="BZ705">
        <v>195.18257557518828</v>
      </c>
      <c r="CA705">
        <v>195.17921416784586</v>
      </c>
      <c r="CB705">
        <v>195.181665363024</v>
      </c>
      <c r="CC705">
        <v>195.18115170201938</v>
      </c>
      <c r="CD705">
        <v>195.18067707762975</v>
      </c>
      <c r="CE705">
        <v>195.18116471422437</v>
      </c>
      <c r="CF705">
        <v>195.18099783129117</v>
      </c>
      <c r="CG705">
        <v>195.18094654104843</v>
      </c>
      <c r="CH705">
        <v>195.181036362188</v>
      </c>
      <c r="CI705">
        <v>195.18099357817587</v>
      </c>
      <c r="CJ705">
        <v>195.18099216047077</v>
      </c>
      <c r="CK705">
        <v>195.18100736694487</v>
      </c>
      <c r="CL705">
        <v>195.18099770186382</v>
      </c>
      <c r="CM705">
        <v>195.18099907642647</v>
      </c>
      <c r="CN705">
        <v>195.18100138174506</v>
      </c>
    </row>
    <row r="706" spans="1:92" x14ac:dyDescent="0.25">
      <c r="A706" s="99"/>
    </row>
    <row r="707" spans="1:92" x14ac:dyDescent="0.25">
      <c r="A707" s="99" t="s">
        <v>284</v>
      </c>
      <c r="B707" s="4">
        <v>0</v>
      </c>
      <c r="C707" s="4">
        <v>0</v>
      </c>
      <c r="D707" s="4">
        <v>0</v>
      </c>
      <c r="E707" s="4">
        <v>0</v>
      </c>
      <c r="F707" s="4">
        <v>0</v>
      </c>
      <c r="G707" s="4">
        <v>0</v>
      </c>
      <c r="H707" s="4">
        <v>0</v>
      </c>
      <c r="I707" s="4">
        <v>0</v>
      </c>
      <c r="J707" s="4">
        <v>0</v>
      </c>
      <c r="K707" s="4">
        <v>0</v>
      </c>
      <c r="L707" s="4">
        <v>0</v>
      </c>
      <c r="M707" s="4">
        <v>0</v>
      </c>
      <c r="N707" s="4">
        <v>0</v>
      </c>
      <c r="O707" s="4">
        <v>0</v>
      </c>
      <c r="P707" s="4">
        <v>0</v>
      </c>
      <c r="Q707" s="4">
        <v>0</v>
      </c>
      <c r="R707" s="4">
        <v>0</v>
      </c>
      <c r="S707" s="4">
        <v>0</v>
      </c>
      <c r="T707" s="4">
        <v>0</v>
      </c>
      <c r="U707" s="4">
        <v>0</v>
      </c>
      <c r="V707" s="4">
        <v>0</v>
      </c>
      <c r="W707" s="4">
        <v>0</v>
      </c>
      <c r="X707" s="4">
        <v>0</v>
      </c>
      <c r="Y707" s="4">
        <v>0</v>
      </c>
      <c r="Z707" s="4">
        <v>0</v>
      </c>
      <c r="AA707" s="4">
        <v>0</v>
      </c>
      <c r="AB707" s="4">
        <v>0</v>
      </c>
      <c r="AC707" s="4">
        <v>0</v>
      </c>
      <c r="AD707" s="4">
        <v>0</v>
      </c>
      <c r="AE707" s="4">
        <v>0</v>
      </c>
      <c r="AF707">
        <v>193.09466666666663</v>
      </c>
      <c r="AG707">
        <v>192.23250000000007</v>
      </c>
      <c r="AH707">
        <v>191.37033333333329</v>
      </c>
      <c r="AI707">
        <v>190.50816666666651</v>
      </c>
      <c r="AJ707">
        <v>189.64599999999996</v>
      </c>
      <c r="AK707">
        <v>188.7838333333334</v>
      </c>
      <c r="AL707">
        <v>187.92166666666662</v>
      </c>
      <c r="AM707">
        <v>187.05949999999984</v>
      </c>
      <c r="AN707">
        <v>186.19733333333329</v>
      </c>
      <c r="AO707">
        <v>185.33516666666674</v>
      </c>
      <c r="AP707">
        <v>184.47299999999996</v>
      </c>
      <c r="AQ707">
        <v>183.61083333333318</v>
      </c>
      <c r="AR707">
        <v>182.74866666666662</v>
      </c>
      <c r="AS707">
        <v>181.88650000000007</v>
      </c>
      <c r="AT707">
        <v>181.02433333333329</v>
      </c>
      <c r="AU707">
        <v>180.16216666666651</v>
      </c>
      <c r="AV707">
        <v>179.29999999999995</v>
      </c>
      <c r="AW707">
        <v>178.4378333333334</v>
      </c>
      <c r="AX707">
        <v>177.57566666666662</v>
      </c>
      <c r="AY707">
        <v>176.71349999999984</v>
      </c>
      <c r="AZ707">
        <v>175.85133333333329</v>
      </c>
      <c r="BA707">
        <v>174.98916666666673</v>
      </c>
      <c r="BB707">
        <v>174.12699999999995</v>
      </c>
      <c r="BC707">
        <v>173.26483333333317</v>
      </c>
      <c r="BD707">
        <v>172.40266666666662</v>
      </c>
      <c r="BE707">
        <v>171.54050000000007</v>
      </c>
      <c r="BF707">
        <v>170.67833333333328</v>
      </c>
      <c r="BG707">
        <v>169.8161666666665</v>
      </c>
      <c r="BH707">
        <v>168.95399999999995</v>
      </c>
      <c r="BI707">
        <v>168.0918333333334</v>
      </c>
      <c r="BJ707">
        <v>167.22966666666662</v>
      </c>
      <c r="BK707">
        <v>166.36749999999984</v>
      </c>
      <c r="BL707">
        <v>165.50533333333328</v>
      </c>
      <c r="BM707">
        <v>164.64316666666673</v>
      </c>
      <c r="BN707">
        <v>163.78099999999995</v>
      </c>
      <c r="BO707">
        <v>162.91883333333317</v>
      </c>
      <c r="BP707">
        <v>162.05666666666662</v>
      </c>
      <c r="BQ707">
        <v>161.19450000000006</v>
      </c>
      <c r="BR707">
        <v>160.33233333333328</v>
      </c>
      <c r="BS707">
        <v>159.4701666666665</v>
      </c>
      <c r="BT707">
        <v>158.60799999999995</v>
      </c>
      <c r="BU707">
        <v>157.74583333333339</v>
      </c>
      <c r="BV707">
        <v>156.88366666666661</v>
      </c>
      <c r="BW707">
        <v>156.02149999999983</v>
      </c>
      <c r="BX707">
        <v>155.15933333333328</v>
      </c>
      <c r="BY707">
        <v>154.29716666666673</v>
      </c>
      <c r="BZ707">
        <v>153.43499999999995</v>
      </c>
      <c r="CA707">
        <v>152.57283333333316</v>
      </c>
      <c r="CB707">
        <v>151.71066666666661</v>
      </c>
      <c r="CC707">
        <v>150.84850000000006</v>
      </c>
      <c r="CD707">
        <v>149.98633333333328</v>
      </c>
      <c r="CE707">
        <v>149.1241666666665</v>
      </c>
      <c r="CF707">
        <v>148.26199999999994</v>
      </c>
      <c r="CG707">
        <v>147.39983333333339</v>
      </c>
      <c r="CH707">
        <v>146.53766666666661</v>
      </c>
      <c r="CI707">
        <v>145.67549999999983</v>
      </c>
      <c r="CJ707">
        <v>144.81333333333328</v>
      </c>
      <c r="CK707">
        <v>143.95116666666672</v>
      </c>
      <c r="CL707">
        <v>143.08899999999994</v>
      </c>
      <c r="CM707">
        <v>142.22683333333316</v>
      </c>
      <c r="CN707">
        <v>141.36466666666661</v>
      </c>
    </row>
    <row r="708" spans="1:92" x14ac:dyDescent="0.25">
      <c r="A708" s="99"/>
    </row>
    <row r="709" spans="1:92" s="50" customFormat="1" x14ac:dyDescent="0.25">
      <c r="A709" s="99" t="s">
        <v>285</v>
      </c>
      <c r="B709" s="4">
        <v>0</v>
      </c>
      <c r="C709" s="4">
        <v>0</v>
      </c>
      <c r="D709" s="4">
        <v>0</v>
      </c>
      <c r="E709" s="4">
        <v>0</v>
      </c>
      <c r="F709" s="4">
        <v>0</v>
      </c>
      <c r="G709" s="4">
        <v>0</v>
      </c>
      <c r="H709" s="4">
        <v>0</v>
      </c>
      <c r="I709" s="4">
        <v>0</v>
      </c>
      <c r="J709" s="4">
        <v>0</v>
      </c>
      <c r="K709" s="4">
        <v>0</v>
      </c>
      <c r="L709" s="4">
        <v>0</v>
      </c>
      <c r="M709" s="4">
        <v>0</v>
      </c>
      <c r="N709" s="4">
        <v>0</v>
      </c>
      <c r="O709" s="4">
        <v>0</v>
      </c>
      <c r="P709" s="4">
        <v>0</v>
      </c>
      <c r="Q709" s="4">
        <v>0</v>
      </c>
      <c r="R709" s="4">
        <v>0</v>
      </c>
      <c r="S709" s="4">
        <v>0</v>
      </c>
      <c r="T709" s="4">
        <v>0</v>
      </c>
      <c r="U709" s="4">
        <v>0</v>
      </c>
      <c r="V709" s="4">
        <v>0</v>
      </c>
      <c r="W709" s="4">
        <v>0</v>
      </c>
      <c r="X709" s="4">
        <v>0</v>
      </c>
      <c r="Y709" s="4">
        <v>0</v>
      </c>
      <c r="Z709" s="4">
        <v>0</v>
      </c>
      <c r="AA709" s="4">
        <v>0</v>
      </c>
      <c r="AB709" s="4">
        <v>0</v>
      </c>
      <c r="AC709" s="4">
        <v>0</v>
      </c>
      <c r="AD709" s="4">
        <v>0</v>
      </c>
      <c r="AE709" s="4">
        <v>0</v>
      </c>
      <c r="AF709" s="50">
        <v>2653.0418573469942</v>
      </c>
      <c r="AG709" s="50">
        <v>2638.2799993867629</v>
      </c>
      <c r="AH709" s="50">
        <v>2623.5181414265317</v>
      </c>
      <c r="AI709" s="50">
        <v>2608.7562834663004</v>
      </c>
      <c r="AJ709" s="50">
        <v>2593.9944255060691</v>
      </c>
      <c r="AK709" s="50">
        <v>2579.2325675458414</v>
      </c>
      <c r="AL709" s="50">
        <v>2564.4707095856102</v>
      </c>
      <c r="AM709" s="50">
        <v>2549.7088516253789</v>
      </c>
      <c r="AN709" s="50">
        <v>2534.9469936651476</v>
      </c>
      <c r="AO709" s="50">
        <v>2520.1851357049163</v>
      </c>
      <c r="AP709" s="50">
        <v>2505.423277744685</v>
      </c>
      <c r="AQ709" s="50">
        <v>2490.6614197844538</v>
      </c>
      <c r="AR709" s="50">
        <v>2475.8995618242225</v>
      </c>
      <c r="AS709" s="50">
        <v>2461.1377038639912</v>
      </c>
      <c r="AT709" s="50">
        <v>2446.3758459037599</v>
      </c>
      <c r="AU709" s="50">
        <v>2431.6139879435286</v>
      </c>
      <c r="AV709" s="50">
        <v>2416.8521299832973</v>
      </c>
      <c r="AW709" s="50">
        <v>2402.0902720230697</v>
      </c>
      <c r="AX709" s="50">
        <v>2387.3284140628384</v>
      </c>
      <c r="AY709" s="50">
        <v>2372.5665561026071</v>
      </c>
      <c r="AZ709" s="50">
        <v>2357.8046981423759</v>
      </c>
      <c r="BA709" s="50">
        <v>2343.0428401821446</v>
      </c>
      <c r="BB709" s="50">
        <v>2328.2809822219133</v>
      </c>
      <c r="BC709" s="50">
        <v>2313.519124261682</v>
      </c>
      <c r="BD709" s="50">
        <v>2298.7572663014507</v>
      </c>
      <c r="BE709" s="50">
        <v>2283.9954083412194</v>
      </c>
      <c r="BF709" s="50">
        <v>2269.2335503809882</v>
      </c>
      <c r="BG709" s="50">
        <v>2254.4716924207569</v>
      </c>
      <c r="BH709" s="50">
        <v>2239.7098344605256</v>
      </c>
      <c r="BI709" s="50">
        <v>2224.947976500298</v>
      </c>
      <c r="BJ709" s="50">
        <v>2210.1861185400667</v>
      </c>
      <c r="BK709" s="50">
        <v>2195.4242605798354</v>
      </c>
      <c r="BL709" s="50">
        <v>2180.6624026196041</v>
      </c>
      <c r="BM709" s="50">
        <v>2165.9005446593728</v>
      </c>
      <c r="BN709" s="50">
        <v>2151.1386866991415</v>
      </c>
      <c r="BO709" s="50">
        <v>2136.3768287389103</v>
      </c>
      <c r="BP709" s="50">
        <v>2121.614970778679</v>
      </c>
      <c r="BQ709" s="50">
        <v>2106.8531128184477</v>
      </c>
      <c r="BR709" s="50">
        <v>2092.0912548582164</v>
      </c>
      <c r="BS709" s="50">
        <v>2077.3293968979851</v>
      </c>
      <c r="BT709" s="50">
        <v>2062.5675389377539</v>
      </c>
      <c r="BU709" s="50">
        <v>2047.8056809775262</v>
      </c>
      <c r="BV709" s="50">
        <v>2033.0438230172949</v>
      </c>
      <c r="BW709" s="50">
        <v>2018.2819650570636</v>
      </c>
      <c r="BX709" s="50">
        <v>2003.5201070968324</v>
      </c>
      <c r="BY709" s="50">
        <v>1988.7582491366011</v>
      </c>
      <c r="BZ709" s="50">
        <v>1973.9963911763698</v>
      </c>
      <c r="CA709" s="50">
        <v>1959.2345332161385</v>
      </c>
      <c r="CB709" s="50">
        <v>1944.4726752559072</v>
      </c>
      <c r="CC709" s="50">
        <v>1929.710817295676</v>
      </c>
      <c r="CD709" s="50">
        <v>1914.9489593354447</v>
      </c>
      <c r="CE709" s="50">
        <v>1900.1871013752134</v>
      </c>
      <c r="CF709" s="50">
        <v>1885.4252434149821</v>
      </c>
      <c r="CG709" s="50">
        <v>1870.6633854547545</v>
      </c>
      <c r="CH709" s="50">
        <v>1855.9015274945232</v>
      </c>
      <c r="CI709" s="50">
        <v>1841.1396695342919</v>
      </c>
      <c r="CJ709" s="50">
        <v>1826.3778115740606</v>
      </c>
      <c r="CK709" s="50">
        <v>1811.6159536138293</v>
      </c>
      <c r="CL709" s="50">
        <v>1796.8540956535981</v>
      </c>
      <c r="CM709" s="50">
        <v>1782.0922376933668</v>
      </c>
      <c r="CN709" s="50">
        <v>1767.3303797331355</v>
      </c>
    </row>
    <row r="710" spans="1:92" s="50" customFormat="1" x14ac:dyDescent="0.25">
      <c r="A710" s="9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92" x14ac:dyDescent="0.25">
      <c r="A711" s="99" t="s">
        <v>286</v>
      </c>
      <c r="B711" s="4">
        <v>0</v>
      </c>
      <c r="C711" s="4">
        <v>0</v>
      </c>
      <c r="D711" s="4">
        <v>0</v>
      </c>
      <c r="E711" s="4">
        <v>0</v>
      </c>
      <c r="F711" s="4">
        <v>0</v>
      </c>
      <c r="G711" s="4">
        <v>0</v>
      </c>
      <c r="H711" s="4">
        <v>0</v>
      </c>
      <c r="I711" s="4">
        <v>0</v>
      </c>
      <c r="J711" s="4">
        <v>0</v>
      </c>
      <c r="K711" s="4">
        <v>0</v>
      </c>
      <c r="L711" s="4">
        <v>0</v>
      </c>
      <c r="M711" s="4">
        <v>0</v>
      </c>
      <c r="N711" s="4">
        <v>0</v>
      </c>
      <c r="O711" s="4">
        <v>0</v>
      </c>
      <c r="P711" s="4">
        <v>0</v>
      </c>
      <c r="Q711" s="4">
        <v>0</v>
      </c>
      <c r="R711" s="4">
        <v>0</v>
      </c>
      <c r="S711" s="4">
        <v>0</v>
      </c>
      <c r="T711" s="4">
        <v>0</v>
      </c>
      <c r="U711" s="4">
        <v>0</v>
      </c>
      <c r="V711" s="4">
        <v>0</v>
      </c>
      <c r="W711" s="4">
        <v>0</v>
      </c>
      <c r="X711" s="4">
        <v>0</v>
      </c>
      <c r="Y711" s="4">
        <v>0</v>
      </c>
      <c r="Z711" s="4">
        <v>0</v>
      </c>
      <c r="AA711" s="4">
        <v>0</v>
      </c>
      <c r="AB711" s="4">
        <v>0</v>
      </c>
      <c r="AC711" s="4">
        <v>0</v>
      </c>
      <c r="AD711" s="4">
        <v>0</v>
      </c>
      <c r="AE711" s="4">
        <v>0</v>
      </c>
      <c r="AF711">
        <v>5877.8093333333381</v>
      </c>
      <c r="AG711">
        <v>5916.569166666668</v>
      </c>
      <c r="AH711">
        <v>5955.3289999999979</v>
      </c>
      <c r="AI711">
        <v>5994.0888333333278</v>
      </c>
      <c r="AJ711">
        <v>6032.8486666666722</v>
      </c>
      <c r="AK711">
        <v>6071.6085000000021</v>
      </c>
      <c r="AL711">
        <v>6110.368333333332</v>
      </c>
      <c r="AM711">
        <v>6149.1281666666619</v>
      </c>
      <c r="AN711">
        <v>6187.8880000000063</v>
      </c>
      <c r="AO711">
        <v>6226.6478333333362</v>
      </c>
      <c r="AP711">
        <v>6265.407666666666</v>
      </c>
      <c r="AQ711">
        <v>6304.1674999999959</v>
      </c>
      <c r="AR711">
        <v>6342.9273333333258</v>
      </c>
      <c r="AS711">
        <v>6381.6871666666702</v>
      </c>
      <c r="AT711">
        <v>6420.4470000000001</v>
      </c>
      <c r="AU711">
        <v>6459.20683333333</v>
      </c>
      <c r="AV711">
        <v>6497.9666666666599</v>
      </c>
      <c r="AW711">
        <v>6536.7265000000043</v>
      </c>
      <c r="AX711">
        <v>6575.4863333333342</v>
      </c>
      <c r="AY711">
        <v>6614.2461666666641</v>
      </c>
      <c r="AZ711">
        <v>6653.0059999999939</v>
      </c>
      <c r="BA711">
        <v>6691.7658333333384</v>
      </c>
      <c r="BB711">
        <v>6730.5256666666683</v>
      </c>
      <c r="BC711">
        <v>6769.2854999999981</v>
      </c>
      <c r="BD711">
        <v>6808.045333333328</v>
      </c>
      <c r="BE711">
        <v>6846.8051666666579</v>
      </c>
      <c r="BF711">
        <v>6885.5650000000023</v>
      </c>
      <c r="BG711">
        <v>6924.3248333333322</v>
      </c>
      <c r="BH711">
        <v>6963.0846666666621</v>
      </c>
      <c r="BI711">
        <v>7001.844499999992</v>
      </c>
      <c r="BJ711">
        <v>7040.6043333333364</v>
      </c>
      <c r="BK711">
        <v>7079.3641666666663</v>
      </c>
      <c r="BL711">
        <v>7118.1239999999962</v>
      </c>
      <c r="BM711">
        <v>7156.883833333326</v>
      </c>
      <c r="BN711">
        <v>7195.6436666666705</v>
      </c>
      <c r="BO711">
        <v>7234.4035000000003</v>
      </c>
      <c r="BP711">
        <v>7273.1633333333302</v>
      </c>
      <c r="BQ711">
        <v>7311.9231666666601</v>
      </c>
      <c r="BR711">
        <v>7350.68299999999</v>
      </c>
      <c r="BS711">
        <v>7389.4428333333344</v>
      </c>
      <c r="BT711">
        <v>7428.2026666666643</v>
      </c>
      <c r="BU711">
        <v>7466.9624999999942</v>
      </c>
      <c r="BV711">
        <v>7505.7223333333241</v>
      </c>
      <c r="BW711">
        <v>7544.4821666666685</v>
      </c>
      <c r="BX711">
        <v>7583.2419999999984</v>
      </c>
      <c r="BY711">
        <v>7622.0018333333282</v>
      </c>
      <c r="BZ711">
        <v>7660.7616666666581</v>
      </c>
      <c r="CA711">
        <v>7699.521499999988</v>
      </c>
      <c r="CB711">
        <v>7738.2813333333324</v>
      </c>
      <c r="CC711">
        <v>7777.0411666666623</v>
      </c>
      <c r="CD711">
        <v>7815.8009999999922</v>
      </c>
      <c r="CE711">
        <v>7854.5608333333221</v>
      </c>
      <c r="CF711">
        <v>7893.3206666666665</v>
      </c>
      <c r="CG711">
        <v>7932.0804999999964</v>
      </c>
      <c r="CH711">
        <v>7970.8403333333263</v>
      </c>
      <c r="CI711">
        <v>8009.6001666666562</v>
      </c>
      <c r="CJ711">
        <v>8048.3600000000006</v>
      </c>
      <c r="CK711">
        <v>8087.1198333333305</v>
      </c>
      <c r="CL711">
        <v>8125.8796666666603</v>
      </c>
      <c r="CM711">
        <v>8164.6394999999902</v>
      </c>
      <c r="CN711">
        <v>8203.3993333333201</v>
      </c>
    </row>
    <row r="712" spans="1:92" x14ac:dyDescent="0.25">
      <c r="A712" s="99"/>
    </row>
    <row r="713" spans="1:92" s="50" customFormat="1" x14ac:dyDescent="0.25">
      <c r="A713" s="99" t="s">
        <v>287</v>
      </c>
      <c r="B713" s="4">
        <v>0</v>
      </c>
      <c r="C713" s="4">
        <v>0</v>
      </c>
      <c r="D713" s="4">
        <v>0</v>
      </c>
      <c r="E713" s="4">
        <v>0</v>
      </c>
      <c r="F713" s="4">
        <v>0</v>
      </c>
      <c r="G713" s="4">
        <v>0</v>
      </c>
      <c r="H713" s="4">
        <v>0</v>
      </c>
      <c r="I713" s="4">
        <v>0</v>
      </c>
      <c r="J713" s="4">
        <v>0</v>
      </c>
      <c r="K713" s="4">
        <v>0</v>
      </c>
      <c r="L713" s="4">
        <v>0</v>
      </c>
      <c r="M713" s="4">
        <v>0</v>
      </c>
      <c r="N713" s="4">
        <v>0</v>
      </c>
      <c r="O713" s="4">
        <v>0</v>
      </c>
      <c r="P713" s="4">
        <v>0</v>
      </c>
      <c r="Q713" s="4">
        <v>0</v>
      </c>
      <c r="R713" s="4">
        <v>0</v>
      </c>
      <c r="S713" s="4">
        <v>0</v>
      </c>
      <c r="T713" s="4">
        <v>0</v>
      </c>
      <c r="U713" s="4">
        <v>0</v>
      </c>
      <c r="V713" s="4">
        <v>0</v>
      </c>
      <c r="W713" s="4">
        <v>0</v>
      </c>
      <c r="X713" s="4">
        <v>0</v>
      </c>
      <c r="Y713" s="4">
        <v>0</v>
      </c>
      <c r="Z713" s="4">
        <v>0</v>
      </c>
      <c r="AA713" s="4">
        <v>0</v>
      </c>
      <c r="AB713" s="4">
        <v>0</v>
      </c>
      <c r="AC713" s="4">
        <v>0</v>
      </c>
      <c r="AD713" s="4">
        <v>0</v>
      </c>
      <c r="AE713" s="4">
        <v>0</v>
      </c>
      <c r="AF713" s="50">
        <v>864.40214265300892</v>
      </c>
      <c r="AG713" s="50">
        <v>859.59250061323837</v>
      </c>
      <c r="AH713" s="50">
        <v>854.78285857346964</v>
      </c>
      <c r="AI713" s="50">
        <v>849.97321653370091</v>
      </c>
      <c r="AJ713" s="50">
        <v>845.16357449393217</v>
      </c>
      <c r="AK713" s="50">
        <v>840.35393245416344</v>
      </c>
      <c r="AL713" s="50">
        <v>835.54429041439471</v>
      </c>
      <c r="AM713" s="50">
        <v>830.73464837462416</v>
      </c>
      <c r="AN713" s="50">
        <v>825.92500633485542</v>
      </c>
      <c r="AO713" s="50">
        <v>821.11536429508669</v>
      </c>
      <c r="AP713" s="50">
        <v>816.30572225531796</v>
      </c>
      <c r="AQ713" s="50">
        <v>811.49608021554923</v>
      </c>
      <c r="AR713" s="50">
        <v>806.68643817578049</v>
      </c>
      <c r="AS713" s="50">
        <v>801.87679613600994</v>
      </c>
      <c r="AT713" s="50">
        <v>797.06715409624121</v>
      </c>
      <c r="AU713" s="50">
        <v>792.25751205647248</v>
      </c>
      <c r="AV713" s="50">
        <v>787.44787001670375</v>
      </c>
      <c r="AW713" s="50">
        <v>782.63822797693501</v>
      </c>
      <c r="AX713" s="50">
        <v>777.82858593716628</v>
      </c>
      <c r="AY713" s="50">
        <v>773.01894389739573</v>
      </c>
      <c r="AZ713" s="50">
        <v>768.209301857627</v>
      </c>
      <c r="BA713" s="50">
        <v>763.39965981785826</v>
      </c>
      <c r="BB713" s="50">
        <v>758.59001777808953</v>
      </c>
      <c r="BC713" s="50">
        <v>753.7803757383208</v>
      </c>
      <c r="BD713" s="50">
        <v>748.97073369855207</v>
      </c>
      <c r="BE713" s="50">
        <v>744.16109165878152</v>
      </c>
      <c r="BF713" s="50">
        <v>739.35144961901278</v>
      </c>
      <c r="BG713" s="50">
        <v>734.54180757924405</v>
      </c>
      <c r="BH713" s="50">
        <v>729.73216553947532</v>
      </c>
      <c r="BI713" s="50">
        <v>724.92252349970659</v>
      </c>
      <c r="BJ713" s="50">
        <v>720.11288145993785</v>
      </c>
      <c r="BK713" s="50">
        <v>715.3032394201673</v>
      </c>
      <c r="BL713" s="50">
        <v>710.49359738039857</v>
      </c>
      <c r="BM713" s="50">
        <v>705.68395534062984</v>
      </c>
      <c r="BN713" s="50">
        <v>700.8743133008611</v>
      </c>
      <c r="BO713" s="50">
        <v>696.06467126109237</v>
      </c>
      <c r="BP713" s="50">
        <v>691.25502922132364</v>
      </c>
      <c r="BQ713" s="50">
        <v>686.44538718155309</v>
      </c>
      <c r="BR713" s="50">
        <v>681.63574514178435</v>
      </c>
      <c r="BS713" s="50">
        <v>676.82610310201562</v>
      </c>
      <c r="BT713" s="50">
        <v>672.01646106224689</v>
      </c>
      <c r="BU713" s="50">
        <v>667.20681902247816</v>
      </c>
      <c r="BV713" s="50">
        <v>662.39717698270942</v>
      </c>
      <c r="BW713" s="50">
        <v>657.58753494293887</v>
      </c>
      <c r="BX713" s="50">
        <v>652.77789290317014</v>
      </c>
      <c r="BY713" s="50">
        <v>647.96825086340141</v>
      </c>
      <c r="BZ713" s="50">
        <v>643.15860882363268</v>
      </c>
      <c r="CA713" s="50">
        <v>638.34896678386394</v>
      </c>
      <c r="CB713" s="50">
        <v>633.53932474409521</v>
      </c>
      <c r="CC713" s="50">
        <v>628.72968270432466</v>
      </c>
      <c r="CD713" s="50">
        <v>623.92004066455593</v>
      </c>
      <c r="CE713" s="50">
        <v>619.11039862478719</v>
      </c>
      <c r="CF713" s="50">
        <v>614.30075658501846</v>
      </c>
      <c r="CG713" s="50">
        <v>609.49111454524973</v>
      </c>
      <c r="CH713" s="50">
        <v>604.681472505481</v>
      </c>
      <c r="CI713" s="50">
        <v>599.87183046571045</v>
      </c>
      <c r="CJ713" s="50">
        <v>595.06218842594171</v>
      </c>
      <c r="CK713" s="50">
        <v>590.25254638617298</v>
      </c>
      <c r="CL713" s="50">
        <v>585.44290434640425</v>
      </c>
      <c r="CM713" s="50">
        <v>580.63326230663552</v>
      </c>
      <c r="CN713" s="50">
        <v>575.82362026686678</v>
      </c>
    </row>
    <row r="714" spans="1:92" s="50" customFormat="1" x14ac:dyDescent="0.25">
      <c r="A714" s="9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92" x14ac:dyDescent="0.25">
      <c r="A715" s="99" t="s">
        <v>288</v>
      </c>
      <c r="B715" s="4">
        <v>0</v>
      </c>
      <c r="C715" s="4">
        <v>0</v>
      </c>
      <c r="D715" s="4">
        <v>0</v>
      </c>
      <c r="E715" s="4">
        <v>0</v>
      </c>
      <c r="F715" s="4">
        <v>0</v>
      </c>
      <c r="G715" s="4">
        <v>0</v>
      </c>
      <c r="H715" s="4">
        <v>0</v>
      </c>
      <c r="I715" s="4">
        <v>0</v>
      </c>
      <c r="J715" s="4">
        <v>0</v>
      </c>
      <c r="K715" s="4">
        <v>0</v>
      </c>
      <c r="L715" s="4">
        <v>0</v>
      </c>
      <c r="M715" s="4">
        <v>0</v>
      </c>
      <c r="N715" s="4">
        <v>0</v>
      </c>
      <c r="O715" s="4">
        <v>0</v>
      </c>
      <c r="P715" s="4">
        <v>0</v>
      </c>
      <c r="Q715" s="4">
        <v>0</v>
      </c>
      <c r="R715" s="4">
        <v>0</v>
      </c>
      <c r="S715" s="4">
        <v>0</v>
      </c>
      <c r="T715" s="4">
        <v>0</v>
      </c>
      <c r="U715" s="4">
        <v>0</v>
      </c>
      <c r="V715" s="4">
        <v>0</v>
      </c>
      <c r="W715" s="4">
        <v>0</v>
      </c>
      <c r="X715" s="4">
        <v>0</v>
      </c>
      <c r="Y715" s="4">
        <v>0</v>
      </c>
      <c r="Z715" s="4">
        <v>0</v>
      </c>
      <c r="AA715" s="4">
        <v>0</v>
      </c>
      <c r="AB715" s="4">
        <v>0</v>
      </c>
      <c r="AC715" s="4">
        <v>0</v>
      </c>
      <c r="AD715" s="4">
        <v>0</v>
      </c>
      <c r="AE715" s="4">
        <v>0</v>
      </c>
      <c r="AF715">
        <v>5467.5719999999274</v>
      </c>
      <c r="AG715">
        <v>5649.3674999999348</v>
      </c>
      <c r="AH715">
        <v>5831.1629999999423</v>
      </c>
      <c r="AI715">
        <v>6012.9584999999497</v>
      </c>
      <c r="AJ715">
        <v>6194.7539999999572</v>
      </c>
      <c r="AK715">
        <v>6376.5494999999646</v>
      </c>
      <c r="AL715">
        <v>6558.3449999999721</v>
      </c>
      <c r="AM715">
        <v>6740.1404999999795</v>
      </c>
      <c r="AN715">
        <v>6921.9359999999288</v>
      </c>
      <c r="AO715">
        <v>7103.7314999999362</v>
      </c>
      <c r="AP715">
        <v>7285.5269999999437</v>
      </c>
      <c r="AQ715">
        <v>7467.3224999999511</v>
      </c>
      <c r="AR715">
        <v>7649.1179999999586</v>
      </c>
      <c r="AS715">
        <v>7830.913499999966</v>
      </c>
      <c r="AT715">
        <v>8012.7089999999735</v>
      </c>
      <c r="AU715">
        <v>8194.5044999999809</v>
      </c>
      <c r="AV715">
        <v>8376.2999999999302</v>
      </c>
      <c r="AW715">
        <v>8558.0954999999376</v>
      </c>
      <c r="AX715">
        <v>8739.8909999999451</v>
      </c>
      <c r="AY715">
        <v>8921.6864999999525</v>
      </c>
      <c r="AZ715">
        <v>9103.48199999996</v>
      </c>
      <c r="BA715">
        <v>9285.2774999999674</v>
      </c>
      <c r="BB715">
        <v>9467.0729999999749</v>
      </c>
      <c r="BC715">
        <v>9648.8684999999241</v>
      </c>
      <c r="BD715">
        <v>9830.6639999999315</v>
      </c>
      <c r="BE715">
        <v>10012.459499999939</v>
      </c>
      <c r="BF715">
        <v>10194.254999999946</v>
      </c>
      <c r="BG715">
        <v>10376.050499999954</v>
      </c>
      <c r="BH715">
        <v>10557.845999999961</v>
      </c>
      <c r="BI715">
        <v>10739.641499999969</v>
      </c>
      <c r="BJ715">
        <v>10921.436999999976</v>
      </c>
      <c r="BK715">
        <v>11103.232499999925</v>
      </c>
      <c r="BL715">
        <v>11285.027999999933</v>
      </c>
      <c r="BM715">
        <v>11466.82349999994</v>
      </c>
      <c r="BN715">
        <v>11648.618999999948</v>
      </c>
      <c r="BO715">
        <v>11830.414499999955</v>
      </c>
      <c r="BP715">
        <v>12012.209999999963</v>
      </c>
      <c r="BQ715">
        <v>12194.00549999997</v>
      </c>
      <c r="BR715">
        <v>12375.800999999978</v>
      </c>
      <c r="BS715">
        <v>12557.596499999927</v>
      </c>
      <c r="BT715">
        <v>12739.391999999934</v>
      </c>
      <c r="BU715">
        <v>12921.187499999942</v>
      </c>
      <c r="BV715">
        <v>13102.982999999949</v>
      </c>
      <c r="BW715">
        <v>13284.778499999957</v>
      </c>
      <c r="BX715">
        <v>13466.573999999964</v>
      </c>
      <c r="BY715">
        <v>13648.369499999972</v>
      </c>
      <c r="BZ715">
        <v>13830.164999999979</v>
      </c>
      <c r="CA715">
        <v>14011.960499999928</v>
      </c>
      <c r="CB715">
        <v>14193.755999999936</v>
      </c>
      <c r="CC715">
        <v>14375.551499999943</v>
      </c>
      <c r="CD715">
        <v>14557.346999999951</v>
      </c>
      <c r="CE715">
        <v>14739.142499999958</v>
      </c>
      <c r="CF715">
        <v>14920.937999999966</v>
      </c>
      <c r="CG715">
        <v>15102.733499999973</v>
      </c>
      <c r="CH715">
        <v>15284.52899999998</v>
      </c>
      <c r="CI715">
        <v>15466.32449999993</v>
      </c>
      <c r="CJ715">
        <v>15648.119999999937</v>
      </c>
      <c r="CK715">
        <v>15829.915499999945</v>
      </c>
      <c r="CL715">
        <v>16011.710999999952</v>
      </c>
      <c r="CM715">
        <v>16193.506499999959</v>
      </c>
      <c r="CN715">
        <v>16375.301999999967</v>
      </c>
    </row>
    <row r="716" spans="1:92" x14ac:dyDescent="0.25">
      <c r="A716" s="99" t="s">
        <v>1</v>
      </c>
      <c r="B716" s="4">
        <v>0</v>
      </c>
      <c r="C716" s="4">
        <v>0</v>
      </c>
      <c r="D716" s="4">
        <v>0</v>
      </c>
      <c r="E716" s="4">
        <v>0</v>
      </c>
      <c r="F716" s="4">
        <v>0</v>
      </c>
      <c r="G716" s="4">
        <v>0</v>
      </c>
      <c r="H716" s="4">
        <v>0</v>
      </c>
      <c r="I716" s="4">
        <v>0</v>
      </c>
      <c r="J716" s="4">
        <v>0</v>
      </c>
      <c r="K716" s="4">
        <v>0</v>
      </c>
      <c r="L716" s="4">
        <v>0</v>
      </c>
      <c r="M716" s="4">
        <v>0</v>
      </c>
      <c r="N716" s="4">
        <v>0</v>
      </c>
      <c r="O716" s="4">
        <v>0</v>
      </c>
      <c r="P716" s="4">
        <v>0</v>
      </c>
      <c r="Q716" s="4">
        <v>0</v>
      </c>
      <c r="R716" s="4">
        <v>0</v>
      </c>
      <c r="S716" s="4">
        <v>0</v>
      </c>
      <c r="T716" s="4">
        <v>0</v>
      </c>
      <c r="U716" s="4">
        <v>0</v>
      </c>
      <c r="V716" s="4">
        <v>0</v>
      </c>
      <c r="W716" s="4">
        <v>0</v>
      </c>
      <c r="X716" s="4">
        <v>0</v>
      </c>
      <c r="Y716" s="4">
        <v>0</v>
      </c>
      <c r="Z716" s="4">
        <v>0</v>
      </c>
      <c r="AA716" s="4">
        <v>0</v>
      </c>
      <c r="AB716" s="4">
        <v>0</v>
      </c>
      <c r="AC716" s="4">
        <v>0</v>
      </c>
      <c r="AD716" s="4">
        <v>0</v>
      </c>
      <c r="AE716" s="4">
        <v>0</v>
      </c>
      <c r="AF716">
        <v>7508.509333333328</v>
      </c>
      <c r="AG716">
        <v>7483.423333333325</v>
      </c>
      <c r="AH716">
        <v>7458.3373333333293</v>
      </c>
      <c r="AI716">
        <v>7433.2513333333263</v>
      </c>
      <c r="AJ716">
        <v>7408.1653333333306</v>
      </c>
      <c r="AK716">
        <v>7383.0793333333277</v>
      </c>
      <c r="AL716">
        <v>7357.9933333333247</v>
      </c>
      <c r="AM716">
        <v>7332.907333333329</v>
      </c>
      <c r="AN716">
        <v>7307.821333333326</v>
      </c>
      <c r="AO716">
        <v>7282.7353333333303</v>
      </c>
      <c r="AP716">
        <v>7257.6493333333274</v>
      </c>
      <c r="AQ716">
        <v>7232.5633333333244</v>
      </c>
      <c r="AR716">
        <v>7207.4773333333287</v>
      </c>
      <c r="AS716">
        <v>7182.3913333333257</v>
      </c>
      <c r="AT716">
        <v>7157.3053333333301</v>
      </c>
      <c r="AU716">
        <v>7132.2193333333271</v>
      </c>
      <c r="AV716">
        <v>7107.1333333333241</v>
      </c>
      <c r="AW716">
        <v>7082.0473333333284</v>
      </c>
      <c r="AX716">
        <v>7056.9613333333255</v>
      </c>
      <c r="AY716">
        <v>7031.8753333333298</v>
      </c>
      <c r="AZ716">
        <v>7006.7893333333268</v>
      </c>
      <c r="BA716">
        <v>6981.7033333333238</v>
      </c>
      <c r="BB716">
        <v>6956.6173333333281</v>
      </c>
      <c r="BC716">
        <v>6931.5313333333252</v>
      </c>
      <c r="BD716">
        <v>6906.4453333333295</v>
      </c>
      <c r="BE716">
        <v>6881.3593333333265</v>
      </c>
      <c r="BF716">
        <v>6856.2733333333235</v>
      </c>
      <c r="BG716">
        <v>6831.1873333333278</v>
      </c>
      <c r="BH716">
        <v>6806.1013333333249</v>
      </c>
      <c r="BI716">
        <v>6781.0153333333292</v>
      </c>
      <c r="BJ716">
        <v>6755.9293333333262</v>
      </c>
      <c r="BK716">
        <v>6730.8433333333232</v>
      </c>
      <c r="BL716">
        <v>6705.7573333333276</v>
      </c>
      <c r="BM716">
        <v>6680.6713333333246</v>
      </c>
      <c r="BN716">
        <v>6655.5853333333216</v>
      </c>
      <c r="BO716">
        <v>6630.4993333333259</v>
      </c>
      <c r="BP716">
        <v>6605.413333333323</v>
      </c>
      <c r="BQ716">
        <v>6580.3273333333273</v>
      </c>
      <c r="BR716">
        <v>6555.2413333333243</v>
      </c>
      <c r="BS716">
        <v>6530.1553333333213</v>
      </c>
      <c r="BT716">
        <v>6505.0693333333256</v>
      </c>
      <c r="BU716">
        <v>6479.9833333333227</v>
      </c>
      <c r="BV716">
        <v>6454.897333333327</v>
      </c>
      <c r="BW716">
        <v>6429.811333333324</v>
      </c>
      <c r="BX716">
        <v>6404.725333333321</v>
      </c>
      <c r="BY716">
        <v>6379.6393333333253</v>
      </c>
      <c r="BZ716">
        <v>6354.5533333333224</v>
      </c>
      <c r="CA716">
        <v>6329.4673333333267</v>
      </c>
      <c r="CB716">
        <v>6304.3813333333237</v>
      </c>
      <c r="CC716">
        <v>6279.2953333333207</v>
      </c>
      <c r="CD716">
        <v>6254.209333333325</v>
      </c>
      <c r="CE716">
        <v>6229.1233333333221</v>
      </c>
      <c r="CF716">
        <v>6204.0373333333264</v>
      </c>
      <c r="CG716">
        <v>6178.9513333333234</v>
      </c>
      <c r="CH716">
        <v>6153.8653333333205</v>
      </c>
      <c r="CI716">
        <v>6128.7793333333248</v>
      </c>
      <c r="CJ716">
        <v>6103.6933333333218</v>
      </c>
      <c r="CK716">
        <v>6078.6073333333261</v>
      </c>
      <c r="CL716">
        <v>6053.5213333333231</v>
      </c>
      <c r="CM716">
        <v>6028.4353333333202</v>
      </c>
      <c r="CN716">
        <v>6003.3493333333245</v>
      </c>
    </row>
    <row r="717" spans="1:92" x14ac:dyDescent="0.25">
      <c r="A717" s="99" t="s">
        <v>1</v>
      </c>
      <c r="B717" s="4">
        <v>0</v>
      </c>
      <c r="C717" s="4">
        <v>0</v>
      </c>
      <c r="D717" s="4">
        <v>0</v>
      </c>
      <c r="E717" s="4">
        <v>0</v>
      </c>
      <c r="F717" s="4">
        <v>0</v>
      </c>
      <c r="G717" s="4">
        <v>0</v>
      </c>
      <c r="H717" s="4">
        <v>0</v>
      </c>
      <c r="I717" s="4">
        <v>0</v>
      </c>
      <c r="J717" s="4">
        <v>0</v>
      </c>
      <c r="K717" s="4">
        <v>0</v>
      </c>
      <c r="L717" s="4">
        <v>0</v>
      </c>
      <c r="M717" s="4">
        <v>0</v>
      </c>
      <c r="N717" s="4">
        <v>0</v>
      </c>
      <c r="O717" s="4">
        <v>0</v>
      </c>
      <c r="P717" s="4">
        <v>0</v>
      </c>
      <c r="Q717" s="4">
        <v>0</v>
      </c>
      <c r="R717" s="4">
        <v>0</v>
      </c>
      <c r="S717" s="4">
        <v>0</v>
      </c>
      <c r="T717" s="4">
        <v>0</v>
      </c>
      <c r="U717" s="4">
        <v>0</v>
      </c>
      <c r="V717" s="4">
        <v>0</v>
      </c>
      <c r="W717" s="4">
        <v>0</v>
      </c>
      <c r="X717" s="4">
        <v>0</v>
      </c>
      <c r="Y717" s="4">
        <v>0</v>
      </c>
      <c r="Z717" s="4">
        <v>0</v>
      </c>
      <c r="AA717" s="4">
        <v>0</v>
      </c>
      <c r="AB717" s="4">
        <v>0</v>
      </c>
      <c r="AC717" s="4">
        <v>0</v>
      </c>
      <c r="AD717" s="4">
        <v>0</v>
      </c>
      <c r="AE717" s="4">
        <v>0</v>
      </c>
      <c r="AF717">
        <v>1989.0826666666653</v>
      </c>
      <c r="AG717">
        <v>1993.5483333333323</v>
      </c>
      <c r="AH717">
        <v>1998.0139999999992</v>
      </c>
      <c r="AI717">
        <v>2002.4796666666662</v>
      </c>
      <c r="AJ717">
        <v>2006.9453333333331</v>
      </c>
      <c r="AK717">
        <v>2011.4110000000001</v>
      </c>
      <c r="AL717">
        <v>2015.8766666666652</v>
      </c>
      <c r="AM717">
        <v>2020.3423333333321</v>
      </c>
      <c r="AN717">
        <v>2024.8079999999991</v>
      </c>
      <c r="AO717">
        <v>2029.273666666666</v>
      </c>
      <c r="AP717">
        <v>2033.739333333333</v>
      </c>
      <c r="AQ717">
        <v>2038.2049999999999</v>
      </c>
      <c r="AR717">
        <v>2042.6706666666669</v>
      </c>
      <c r="AS717">
        <v>2047.1363333333338</v>
      </c>
      <c r="AT717">
        <v>2051.6020000000008</v>
      </c>
      <c r="AU717">
        <v>2056.0676666666659</v>
      </c>
      <c r="AV717">
        <v>2060.5333333333328</v>
      </c>
      <c r="AW717">
        <v>2064.9989999999998</v>
      </c>
      <c r="AX717">
        <v>2069.4646666666667</v>
      </c>
      <c r="AY717">
        <v>2073.9303333333337</v>
      </c>
      <c r="AZ717">
        <v>2078.3960000000006</v>
      </c>
      <c r="BA717">
        <v>2082.8616666666676</v>
      </c>
      <c r="BB717">
        <v>2087.3273333333327</v>
      </c>
      <c r="BC717">
        <v>2091.7929999999997</v>
      </c>
      <c r="BD717">
        <v>2096.2586666666666</v>
      </c>
      <c r="BE717">
        <v>2100.7243333333336</v>
      </c>
      <c r="BF717">
        <v>2105.1900000000005</v>
      </c>
      <c r="BG717">
        <v>2109.6556666666675</v>
      </c>
      <c r="BH717">
        <v>2114.1213333333344</v>
      </c>
      <c r="BI717">
        <v>2118.5870000000014</v>
      </c>
      <c r="BJ717">
        <v>2123.0526666666683</v>
      </c>
      <c r="BK717">
        <v>2127.5183333333334</v>
      </c>
      <c r="BL717">
        <v>2131.9840000000004</v>
      </c>
      <c r="BM717">
        <v>2136.4496666666673</v>
      </c>
      <c r="BN717">
        <v>2140.9153333333343</v>
      </c>
      <c r="BO717">
        <v>2145.3810000000012</v>
      </c>
      <c r="BP717">
        <v>2149.8466666666682</v>
      </c>
      <c r="BQ717">
        <v>2154.3123333333351</v>
      </c>
      <c r="BR717">
        <v>2158.7780000000002</v>
      </c>
      <c r="BS717">
        <v>2163.2436666666672</v>
      </c>
      <c r="BT717">
        <v>2167.7093333333341</v>
      </c>
      <c r="BU717">
        <v>2172.1750000000011</v>
      </c>
      <c r="BV717">
        <v>2176.640666666668</v>
      </c>
      <c r="BW717">
        <v>2181.106333333335</v>
      </c>
      <c r="BX717">
        <v>2185.5720000000019</v>
      </c>
      <c r="BY717">
        <v>2190.0376666666689</v>
      </c>
      <c r="BZ717">
        <v>2194.5033333333358</v>
      </c>
      <c r="CA717">
        <v>2198.969000000001</v>
      </c>
      <c r="CB717">
        <v>2203.4346666666679</v>
      </c>
      <c r="CC717">
        <v>2207.9003333333349</v>
      </c>
      <c r="CD717">
        <v>2212.3660000000018</v>
      </c>
      <c r="CE717">
        <v>2216.8316666666688</v>
      </c>
      <c r="CF717">
        <v>2221.2973333333357</v>
      </c>
      <c r="CG717">
        <v>2225.7630000000026</v>
      </c>
      <c r="CH717">
        <v>2230.2286666666678</v>
      </c>
      <c r="CI717">
        <v>2234.6943333333347</v>
      </c>
      <c r="CJ717">
        <v>2239.1600000000017</v>
      </c>
      <c r="CK717">
        <v>2243.6256666666686</v>
      </c>
      <c r="CL717">
        <v>2248.0913333333356</v>
      </c>
      <c r="CM717">
        <v>2252.5570000000025</v>
      </c>
      <c r="CN717">
        <v>2257.0226666666695</v>
      </c>
    </row>
    <row r="718" spans="1:92" x14ac:dyDescent="0.25">
      <c r="A718" s="99" t="s">
        <v>1</v>
      </c>
      <c r="B718" s="4">
        <v>0</v>
      </c>
      <c r="C718" s="4">
        <v>0</v>
      </c>
      <c r="D718" s="4">
        <v>0</v>
      </c>
      <c r="E718" s="4">
        <v>0</v>
      </c>
      <c r="F718" s="4">
        <v>0</v>
      </c>
      <c r="G718" s="4">
        <v>0</v>
      </c>
      <c r="H718" s="4">
        <v>0</v>
      </c>
      <c r="I718" s="4">
        <v>0</v>
      </c>
      <c r="J718" s="4">
        <v>0</v>
      </c>
      <c r="K718" s="4">
        <v>0</v>
      </c>
      <c r="L718" s="4">
        <v>0</v>
      </c>
      <c r="M718" s="4">
        <v>0</v>
      </c>
      <c r="N718" s="4">
        <v>0</v>
      </c>
      <c r="O718" s="4">
        <v>0</v>
      </c>
      <c r="P718" s="4">
        <v>0</v>
      </c>
      <c r="Q718" s="4">
        <v>0</v>
      </c>
      <c r="R718" s="4">
        <v>0</v>
      </c>
      <c r="S718" s="4">
        <v>0</v>
      </c>
      <c r="T718" s="4">
        <v>0</v>
      </c>
      <c r="U718" s="4">
        <v>0</v>
      </c>
      <c r="V718" s="4">
        <v>0</v>
      </c>
      <c r="W718" s="4">
        <v>0</v>
      </c>
      <c r="X718" s="4">
        <v>0</v>
      </c>
      <c r="Y718" s="4">
        <v>0</v>
      </c>
      <c r="Z718" s="4">
        <v>0</v>
      </c>
      <c r="AA718" s="4">
        <v>0</v>
      </c>
      <c r="AB718" s="4">
        <v>0</v>
      </c>
      <c r="AC718" s="4">
        <v>0</v>
      </c>
      <c r="AD718" s="4">
        <v>0</v>
      </c>
      <c r="AE718" s="4">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row>
    <row r="719" spans="1:92" x14ac:dyDescent="0.25">
      <c r="A719" s="99" t="s">
        <v>1</v>
      </c>
      <c r="B719" s="4">
        <v>0</v>
      </c>
      <c r="C719" s="4">
        <v>0</v>
      </c>
      <c r="D719" s="4">
        <v>0</v>
      </c>
      <c r="E719" s="4">
        <v>0</v>
      </c>
      <c r="F719" s="4">
        <v>0</v>
      </c>
      <c r="G719" s="4">
        <v>0</v>
      </c>
      <c r="H719" s="4">
        <v>0</v>
      </c>
      <c r="I719" s="4">
        <v>0</v>
      </c>
      <c r="J719" s="4">
        <v>0</v>
      </c>
      <c r="K719" s="4">
        <v>0</v>
      </c>
      <c r="L719" s="4">
        <v>0</v>
      </c>
      <c r="M719" s="4">
        <v>0</v>
      </c>
      <c r="N719" s="4">
        <v>0</v>
      </c>
      <c r="O719" s="4">
        <v>0</v>
      </c>
      <c r="P719" s="4">
        <v>0</v>
      </c>
      <c r="Q719" s="4">
        <v>0</v>
      </c>
      <c r="R719" s="4">
        <v>0</v>
      </c>
      <c r="S719" s="4">
        <v>0</v>
      </c>
      <c r="T719" s="4">
        <v>0</v>
      </c>
      <c r="U719" s="4">
        <v>0</v>
      </c>
      <c r="V719" s="4">
        <v>0</v>
      </c>
      <c r="W719" s="4">
        <v>0</v>
      </c>
      <c r="X719" s="4">
        <v>0</v>
      </c>
      <c r="Y719" s="4">
        <v>0</v>
      </c>
      <c r="Z719" s="4">
        <v>0</v>
      </c>
      <c r="AA719" s="4">
        <v>0</v>
      </c>
      <c r="AB719" s="4">
        <v>0</v>
      </c>
      <c r="AC719" s="4">
        <v>0</v>
      </c>
      <c r="AD719" s="4">
        <v>0</v>
      </c>
      <c r="AE719" s="4">
        <v>0</v>
      </c>
      <c r="AF719">
        <v>-256.72133333282545</v>
      </c>
      <c r="AG719">
        <v>1153.8091666670516</v>
      </c>
      <c r="AH719">
        <v>2564.3396666669287</v>
      </c>
      <c r="AI719">
        <v>3974.8701666668057</v>
      </c>
      <c r="AJ719">
        <v>5385.4006666671485</v>
      </c>
      <c r="AK719">
        <v>6795.9311666670255</v>
      </c>
      <c r="AL719">
        <v>8206.4616666669026</v>
      </c>
      <c r="AM719">
        <v>9616.9921666672453</v>
      </c>
      <c r="AN719">
        <v>11027.522666667122</v>
      </c>
      <c r="AO719">
        <v>12438.053166666999</v>
      </c>
      <c r="AP719">
        <v>13848.583666666877</v>
      </c>
      <c r="AQ719">
        <v>15259.114166667219</v>
      </c>
      <c r="AR719">
        <v>16669.644666667096</v>
      </c>
      <c r="AS719">
        <v>18080.175166666973</v>
      </c>
      <c r="AT719">
        <v>19490.70566666685</v>
      </c>
      <c r="AU719">
        <v>20901.236166667193</v>
      </c>
      <c r="AV719">
        <v>22311.76666666707</v>
      </c>
      <c r="AW719">
        <v>23722.297166666947</v>
      </c>
      <c r="AX719">
        <v>25132.827666666824</v>
      </c>
      <c r="AY719">
        <v>26543.358166667167</v>
      </c>
      <c r="AZ719">
        <v>27953.888666667044</v>
      </c>
      <c r="BA719">
        <v>29364.419166666921</v>
      </c>
      <c r="BB719">
        <v>30774.949666666798</v>
      </c>
      <c r="BC719">
        <v>32185.480166667141</v>
      </c>
      <c r="BD719">
        <v>33596.010666667018</v>
      </c>
      <c r="BE719">
        <v>35006.541166666895</v>
      </c>
      <c r="BF719">
        <v>36417.071666667238</v>
      </c>
      <c r="BG719">
        <v>37827.602166667115</v>
      </c>
      <c r="BH719">
        <v>39238.132666666992</v>
      </c>
      <c r="BI719">
        <v>40648.663166666869</v>
      </c>
      <c r="BJ719">
        <v>42059.193666667212</v>
      </c>
      <c r="BK719">
        <v>43469.724166667089</v>
      </c>
      <c r="BL719">
        <v>44880.254666666966</v>
      </c>
      <c r="BM719">
        <v>46290.785166666843</v>
      </c>
      <c r="BN719">
        <v>47701.315666667186</v>
      </c>
      <c r="BO719">
        <v>49111.846166667063</v>
      </c>
      <c r="BP719">
        <v>50522.37666666694</v>
      </c>
      <c r="BQ719">
        <v>51932.907166666817</v>
      </c>
      <c r="BR719">
        <v>53343.43766666716</v>
      </c>
      <c r="BS719">
        <v>54753.968166667037</v>
      </c>
      <c r="BT719">
        <v>56164.498666666914</v>
      </c>
      <c r="BU719">
        <v>57575.029166667257</v>
      </c>
      <c r="BV719">
        <v>58985.559666667134</v>
      </c>
      <c r="BW719">
        <v>60396.090166667011</v>
      </c>
      <c r="BX719">
        <v>61806.620666666888</v>
      </c>
      <c r="BY719">
        <v>63217.15116666723</v>
      </c>
      <c r="BZ719">
        <v>64627.681666667107</v>
      </c>
      <c r="CA719">
        <v>66038.212166666985</v>
      </c>
      <c r="CB719">
        <v>67448.742666666862</v>
      </c>
      <c r="CC719">
        <v>68859.273166667204</v>
      </c>
      <c r="CD719">
        <v>70269.803666667081</v>
      </c>
      <c r="CE719">
        <v>71680.334166666958</v>
      </c>
      <c r="CF719">
        <v>73090.864666666836</v>
      </c>
      <c r="CG719">
        <v>74501.395166667178</v>
      </c>
      <c r="CH719">
        <v>75911.925666667055</v>
      </c>
      <c r="CI719">
        <v>77322.456166666932</v>
      </c>
      <c r="CJ719">
        <v>78732.986666666809</v>
      </c>
      <c r="CK719">
        <v>80143.517166667152</v>
      </c>
      <c r="CL719">
        <v>81554.047666667029</v>
      </c>
      <c r="CM719">
        <v>82964.578166666906</v>
      </c>
      <c r="CN719">
        <v>84375.108666667249</v>
      </c>
    </row>
    <row r="720" spans="1:92" x14ac:dyDescent="0.25">
      <c r="A720" s="99" t="s">
        <v>1</v>
      </c>
      <c r="B720" s="4">
        <v>0</v>
      </c>
      <c r="C720" s="4">
        <v>0</v>
      </c>
      <c r="D720" s="4">
        <v>0</v>
      </c>
      <c r="E720" s="4">
        <v>0</v>
      </c>
      <c r="F720" s="4">
        <v>0</v>
      </c>
      <c r="G720" s="4">
        <v>0</v>
      </c>
      <c r="H720" s="4">
        <v>0</v>
      </c>
      <c r="I720" s="4">
        <v>0</v>
      </c>
      <c r="J720" s="4">
        <v>0</v>
      </c>
      <c r="K720" s="4">
        <v>0</v>
      </c>
      <c r="L720" s="4">
        <v>0</v>
      </c>
      <c r="M720" s="4">
        <v>0</v>
      </c>
      <c r="N720" s="4">
        <v>0</v>
      </c>
      <c r="O720" s="4">
        <v>0</v>
      </c>
      <c r="P720" s="4">
        <v>0</v>
      </c>
      <c r="Q720" s="4">
        <v>0</v>
      </c>
      <c r="R720" s="4">
        <v>0</v>
      </c>
      <c r="S720" s="4">
        <v>0</v>
      </c>
      <c r="T720" s="4">
        <v>0</v>
      </c>
      <c r="U720" s="4">
        <v>0</v>
      </c>
      <c r="V720" s="4">
        <v>0</v>
      </c>
      <c r="W720" s="4">
        <v>0</v>
      </c>
      <c r="X720" s="4">
        <v>0</v>
      </c>
      <c r="Y720" s="4">
        <v>0</v>
      </c>
      <c r="Z720" s="4">
        <v>0</v>
      </c>
      <c r="AA720" s="4">
        <v>0</v>
      </c>
      <c r="AB720" s="4">
        <v>0</v>
      </c>
      <c r="AC720" s="4">
        <v>0</v>
      </c>
      <c r="AD720" s="4">
        <v>0</v>
      </c>
      <c r="AE720" s="4">
        <v>0</v>
      </c>
      <c r="AF720">
        <v>765.94533333333675</v>
      </c>
      <c r="AG720">
        <v>799.39666666666744</v>
      </c>
      <c r="AH720">
        <v>832.84799999999814</v>
      </c>
      <c r="AI720">
        <v>866.29933333332883</v>
      </c>
      <c r="AJ720">
        <v>899.75066666665953</v>
      </c>
      <c r="AK720">
        <v>933.20199999999022</v>
      </c>
      <c r="AL720">
        <v>966.65333333333547</v>
      </c>
      <c r="AM720">
        <v>1000.1046666666662</v>
      </c>
      <c r="AN720">
        <v>1033.5559999999969</v>
      </c>
      <c r="AO720">
        <v>1067.0073333333276</v>
      </c>
      <c r="AP720">
        <v>1100.4586666666582</v>
      </c>
      <c r="AQ720">
        <v>1133.9100000000035</v>
      </c>
      <c r="AR720">
        <v>1167.3613333333342</v>
      </c>
      <c r="AS720">
        <v>1200.8126666666649</v>
      </c>
      <c r="AT720">
        <v>1234.2639999999956</v>
      </c>
      <c r="AU720">
        <v>1267.7153333333263</v>
      </c>
      <c r="AV720">
        <v>1301.166666666657</v>
      </c>
      <c r="AW720">
        <v>1334.6180000000022</v>
      </c>
      <c r="AX720">
        <v>1368.0693333333329</v>
      </c>
      <c r="AY720">
        <v>1401.5206666666636</v>
      </c>
      <c r="AZ720">
        <v>1434.9719999999943</v>
      </c>
      <c r="BA720">
        <v>1468.423333333325</v>
      </c>
      <c r="BB720">
        <v>1501.8746666666702</v>
      </c>
      <c r="BC720">
        <v>1535.3260000000009</v>
      </c>
      <c r="BD720">
        <v>1568.7773333333316</v>
      </c>
      <c r="BE720">
        <v>1602.2286666666623</v>
      </c>
      <c r="BF720">
        <v>1635.679999999993</v>
      </c>
      <c r="BG720">
        <v>1669.1313333333237</v>
      </c>
      <c r="BH720">
        <v>1702.582666666669</v>
      </c>
      <c r="BI720">
        <v>1736.0339999999997</v>
      </c>
      <c r="BJ720">
        <v>1769.4853333333303</v>
      </c>
      <c r="BK720">
        <v>1802.936666666661</v>
      </c>
      <c r="BL720">
        <v>1836.3879999999917</v>
      </c>
      <c r="BM720">
        <v>1869.839333333337</v>
      </c>
      <c r="BN720">
        <v>1903.2906666666677</v>
      </c>
      <c r="BO720">
        <v>1936.7419999999984</v>
      </c>
      <c r="BP720">
        <v>1970.1933333333291</v>
      </c>
      <c r="BQ720">
        <v>2003.6446666666598</v>
      </c>
      <c r="BR720">
        <v>2037.0959999999905</v>
      </c>
      <c r="BS720">
        <v>2070.5473333333357</v>
      </c>
      <c r="BT720">
        <v>2103.9986666666664</v>
      </c>
      <c r="BU720">
        <v>2137.4499999999971</v>
      </c>
      <c r="BV720">
        <v>2170.9013333333278</v>
      </c>
      <c r="BW720">
        <v>2204.3526666666585</v>
      </c>
      <c r="BX720">
        <v>2237.8039999999892</v>
      </c>
      <c r="BY720">
        <v>2271.2553333333344</v>
      </c>
      <c r="BZ720">
        <v>2304.7066666666651</v>
      </c>
      <c r="CA720">
        <v>2338.1579999999958</v>
      </c>
      <c r="CB720">
        <v>2371.6093333333265</v>
      </c>
      <c r="CC720">
        <v>2405.0606666666572</v>
      </c>
      <c r="CD720">
        <v>2438.5120000000024</v>
      </c>
      <c r="CE720">
        <v>2471.9633333333331</v>
      </c>
      <c r="CF720">
        <v>2505.4146666666638</v>
      </c>
      <c r="CG720">
        <v>2538.8659999999945</v>
      </c>
      <c r="CH720">
        <v>2572.3173333333252</v>
      </c>
      <c r="CI720">
        <v>2605.7686666666559</v>
      </c>
      <c r="CJ720">
        <v>2639.2200000000012</v>
      </c>
      <c r="CK720">
        <v>2672.6713333333319</v>
      </c>
      <c r="CL720">
        <v>2706.1226666666626</v>
      </c>
      <c r="CM720">
        <v>2739.5739999999932</v>
      </c>
      <c r="CN720">
        <v>2773.0253333333239</v>
      </c>
    </row>
    <row r="721" spans="1:92" x14ac:dyDescent="0.25">
      <c r="A721" s="44"/>
    </row>
    <row r="722" spans="1:92" x14ac:dyDescent="0.25">
      <c r="A722" s="99" t="s">
        <v>289</v>
      </c>
      <c r="B722" s="4">
        <v>0</v>
      </c>
      <c r="C722" s="4">
        <v>0</v>
      </c>
      <c r="D722" s="4">
        <v>0</v>
      </c>
      <c r="E722" s="4">
        <v>0</v>
      </c>
      <c r="F722" s="4">
        <v>0</v>
      </c>
      <c r="G722" s="4">
        <v>0</v>
      </c>
      <c r="H722" s="4">
        <v>0</v>
      </c>
      <c r="I722" s="4">
        <v>0</v>
      </c>
      <c r="J722" s="4">
        <v>0</v>
      </c>
      <c r="K722" s="4">
        <v>0</v>
      </c>
      <c r="L722" s="4">
        <v>0</v>
      </c>
      <c r="M722" s="4">
        <v>0</v>
      </c>
      <c r="N722" s="4">
        <v>0</v>
      </c>
      <c r="O722" s="4">
        <v>0</v>
      </c>
      <c r="P722" s="4">
        <v>0</v>
      </c>
      <c r="Q722" s="4">
        <v>0</v>
      </c>
      <c r="R722" s="4">
        <v>0</v>
      </c>
      <c r="S722" s="4">
        <v>0</v>
      </c>
      <c r="T722" s="4">
        <v>0</v>
      </c>
      <c r="U722" s="4">
        <v>0</v>
      </c>
      <c r="V722" s="4">
        <v>0</v>
      </c>
      <c r="W722" s="4">
        <v>0</v>
      </c>
      <c r="X722" s="4">
        <v>0</v>
      </c>
      <c r="Y722" s="4">
        <v>0</v>
      </c>
      <c r="Z722" s="4">
        <v>0</v>
      </c>
      <c r="AA722" s="4">
        <v>0</v>
      </c>
      <c r="AB722" s="4">
        <v>0</v>
      </c>
      <c r="AC722" s="4">
        <v>0</v>
      </c>
      <c r="AD722" s="4">
        <v>0</v>
      </c>
      <c r="AE722" s="4">
        <v>0</v>
      </c>
      <c r="AF722">
        <v>857.74666666666644</v>
      </c>
      <c r="AG722">
        <v>857.99999999999977</v>
      </c>
      <c r="AH722">
        <v>858.2533333333331</v>
      </c>
      <c r="AI722">
        <v>858.50666666666655</v>
      </c>
      <c r="AJ722">
        <v>858.75999999999988</v>
      </c>
      <c r="AK722">
        <v>859.01333333333321</v>
      </c>
      <c r="AL722">
        <v>859.26666666666665</v>
      </c>
      <c r="AM722">
        <v>859.52</v>
      </c>
      <c r="AN722">
        <v>859.77333333333331</v>
      </c>
      <c r="AO722">
        <v>860.02666666666664</v>
      </c>
      <c r="AP722">
        <v>860.28</v>
      </c>
      <c r="AQ722">
        <v>860.5333333333333</v>
      </c>
      <c r="AR722">
        <v>860.78666666666663</v>
      </c>
      <c r="AS722">
        <v>861.04</v>
      </c>
      <c r="AT722">
        <v>861.29333333333329</v>
      </c>
      <c r="AU722">
        <v>861.54666666666674</v>
      </c>
      <c r="AV722">
        <v>861.80000000000007</v>
      </c>
      <c r="AW722">
        <v>862.0533333333334</v>
      </c>
      <c r="AX722">
        <v>862.30666666666684</v>
      </c>
      <c r="AY722">
        <v>862.56000000000017</v>
      </c>
      <c r="AZ722">
        <v>862.8133333333335</v>
      </c>
      <c r="BA722">
        <v>863.06666666666683</v>
      </c>
      <c r="BB722">
        <v>863.32000000000016</v>
      </c>
      <c r="BC722">
        <v>863.57333333333349</v>
      </c>
      <c r="BD722">
        <v>863.82666666666682</v>
      </c>
      <c r="BE722">
        <v>864.08000000000015</v>
      </c>
      <c r="BF722">
        <v>864.33333333333348</v>
      </c>
      <c r="BG722">
        <v>864.58666666666693</v>
      </c>
      <c r="BH722">
        <v>864.84000000000026</v>
      </c>
      <c r="BI722">
        <v>865.09333333333359</v>
      </c>
      <c r="BJ722">
        <v>865.34666666666703</v>
      </c>
      <c r="BK722">
        <v>865.60000000000036</v>
      </c>
      <c r="BL722">
        <v>865.85333333333369</v>
      </c>
      <c r="BM722">
        <v>866.10666666666702</v>
      </c>
      <c r="BN722">
        <v>866.36000000000035</v>
      </c>
      <c r="BO722">
        <v>866.61333333333369</v>
      </c>
      <c r="BP722">
        <v>866.86666666666702</v>
      </c>
      <c r="BQ722">
        <v>867.12000000000046</v>
      </c>
      <c r="BR722">
        <v>867.37333333333379</v>
      </c>
      <c r="BS722">
        <v>867.62666666666712</v>
      </c>
      <c r="BT722">
        <v>867.88000000000045</v>
      </c>
      <c r="BU722">
        <v>868.13333333333378</v>
      </c>
      <c r="BV722">
        <v>868.38666666666711</v>
      </c>
      <c r="BW722">
        <v>868.64000000000055</v>
      </c>
      <c r="BX722">
        <v>868.89333333333389</v>
      </c>
      <c r="BY722">
        <v>869.14666666666722</v>
      </c>
      <c r="BZ722">
        <v>869.40000000000055</v>
      </c>
      <c r="CA722">
        <v>869.65333333333388</v>
      </c>
      <c r="CB722">
        <v>869.90666666666721</v>
      </c>
      <c r="CC722">
        <v>870.16000000000065</v>
      </c>
      <c r="CD722">
        <v>870.41333333333398</v>
      </c>
      <c r="CE722">
        <v>870.66666666666731</v>
      </c>
      <c r="CF722">
        <v>870.92000000000064</v>
      </c>
      <c r="CG722">
        <v>871.17333333333397</v>
      </c>
      <c r="CH722">
        <v>871.4266666666673</v>
      </c>
      <c r="CI722">
        <v>871.68000000000075</v>
      </c>
      <c r="CJ722">
        <v>871.93333333333408</v>
      </c>
      <c r="CK722">
        <v>872.18666666666741</v>
      </c>
      <c r="CL722">
        <v>872.44000000000074</v>
      </c>
      <c r="CM722">
        <v>872.69333333333407</v>
      </c>
      <c r="CN722">
        <v>872.9466666666674</v>
      </c>
    </row>
    <row r="723" spans="1:92" x14ac:dyDescent="0.25">
      <c r="A723" s="99"/>
    </row>
    <row r="724" spans="1:92" s="50" customFormat="1" x14ac:dyDescent="0.25">
      <c r="A724" s="99" t="s">
        <v>289</v>
      </c>
      <c r="B724" s="4">
        <v>0</v>
      </c>
      <c r="C724" s="4">
        <v>0</v>
      </c>
      <c r="D724" s="4">
        <v>0</v>
      </c>
      <c r="E724" s="4">
        <v>0</v>
      </c>
      <c r="F724" s="4">
        <v>0</v>
      </c>
      <c r="G724" s="4">
        <v>0</v>
      </c>
      <c r="H724" s="4">
        <v>0</v>
      </c>
      <c r="I724" s="4">
        <v>0</v>
      </c>
      <c r="J724" s="4">
        <v>0</v>
      </c>
      <c r="K724" s="4">
        <v>0</v>
      </c>
      <c r="L724" s="4">
        <v>0</v>
      </c>
      <c r="M724" s="4">
        <v>0</v>
      </c>
      <c r="N724" s="4">
        <v>0</v>
      </c>
      <c r="O724" s="4">
        <v>0</v>
      </c>
      <c r="P724" s="4">
        <v>0</v>
      </c>
      <c r="Q724" s="4">
        <v>0</v>
      </c>
      <c r="R724" s="4">
        <v>0</v>
      </c>
      <c r="S724" s="4">
        <v>0</v>
      </c>
      <c r="T724" s="4">
        <v>0</v>
      </c>
      <c r="U724" s="4">
        <v>0</v>
      </c>
      <c r="V724" s="4">
        <v>0</v>
      </c>
      <c r="W724" s="4">
        <v>0</v>
      </c>
      <c r="X724" s="4">
        <v>0</v>
      </c>
      <c r="Y724" s="4">
        <v>0</v>
      </c>
      <c r="Z724" s="4">
        <v>0</v>
      </c>
      <c r="AA724" s="4">
        <v>0</v>
      </c>
      <c r="AB724" s="4">
        <v>0</v>
      </c>
      <c r="AC724" s="4">
        <v>0</v>
      </c>
      <c r="AD724" s="4">
        <v>0</v>
      </c>
      <c r="AE724" s="4">
        <v>0</v>
      </c>
      <c r="AF724" s="50">
        <v>2257.8221190356853</v>
      </c>
      <c r="AG724" s="50">
        <v>2265.1747102525042</v>
      </c>
      <c r="AH724" s="50">
        <v>2272.5273014693212</v>
      </c>
      <c r="AI724" s="50">
        <v>2279.8798926861382</v>
      </c>
      <c r="AJ724" s="50">
        <v>2287.2324839029552</v>
      </c>
      <c r="AK724" s="50">
        <v>2294.5850751197722</v>
      </c>
      <c r="AL724" s="50">
        <v>2301.9376663365892</v>
      </c>
      <c r="AM724" s="50">
        <v>2309.2902575534081</v>
      </c>
      <c r="AN724" s="50">
        <v>2316.6428487702251</v>
      </c>
      <c r="AO724" s="50">
        <v>2323.9954399870421</v>
      </c>
      <c r="AP724" s="50">
        <v>2331.3480312038591</v>
      </c>
      <c r="AQ724" s="50">
        <v>2338.7006224206762</v>
      </c>
      <c r="AR724" s="50">
        <v>2346.0532136374932</v>
      </c>
      <c r="AS724" s="50">
        <v>2353.405804854312</v>
      </c>
      <c r="AT724" s="50">
        <v>2360.758396071129</v>
      </c>
      <c r="AU724" s="50">
        <v>2368.110987287946</v>
      </c>
      <c r="AV724" s="50">
        <v>2375.4635785047631</v>
      </c>
      <c r="AW724" s="50">
        <v>2382.8161697215801</v>
      </c>
      <c r="AX724" s="50">
        <v>2390.1687609383971</v>
      </c>
      <c r="AY724" s="50">
        <v>2397.5213521552159</v>
      </c>
      <c r="AZ724" s="50">
        <v>2404.873943372033</v>
      </c>
      <c r="BA724" s="50">
        <v>2412.22653458885</v>
      </c>
      <c r="BB724" s="50">
        <v>2419.579125805667</v>
      </c>
      <c r="BC724" s="50">
        <v>2426.931717022484</v>
      </c>
      <c r="BD724" s="50">
        <v>2434.284308239301</v>
      </c>
      <c r="BE724" s="50">
        <v>2441.6368994561199</v>
      </c>
      <c r="BF724" s="50">
        <v>2448.9894906729369</v>
      </c>
      <c r="BG724" s="50">
        <v>2456.3420818897539</v>
      </c>
      <c r="BH724" s="50">
        <v>2463.6946731065709</v>
      </c>
      <c r="BI724" s="50">
        <v>2471.0472643233879</v>
      </c>
      <c r="BJ724" s="50">
        <v>2478.399855540205</v>
      </c>
      <c r="BK724" s="50">
        <v>2485.7524467570238</v>
      </c>
      <c r="BL724" s="50">
        <v>2493.1050379738408</v>
      </c>
      <c r="BM724" s="50">
        <v>2500.4576291906578</v>
      </c>
      <c r="BN724" s="50">
        <v>2507.8102204074748</v>
      </c>
      <c r="BO724" s="50">
        <v>2515.1628116242919</v>
      </c>
      <c r="BP724" s="50">
        <v>2522.5154028411089</v>
      </c>
      <c r="BQ724" s="50">
        <v>2529.8679940579277</v>
      </c>
      <c r="BR724" s="50">
        <v>2537.2205852747447</v>
      </c>
      <c r="BS724" s="50">
        <v>2544.5731764915618</v>
      </c>
      <c r="BT724" s="50">
        <v>2551.9257677083788</v>
      </c>
      <c r="BU724" s="50">
        <v>2559.2783589251958</v>
      </c>
      <c r="BV724" s="50">
        <v>2566.6309501420128</v>
      </c>
      <c r="BW724" s="50">
        <v>2573.9835413588316</v>
      </c>
      <c r="BX724" s="50">
        <v>2581.3361325756487</v>
      </c>
      <c r="BY724" s="50">
        <v>2588.6887237924657</v>
      </c>
      <c r="BZ724" s="50">
        <v>2596.0413150092827</v>
      </c>
      <c r="CA724" s="50">
        <v>2603.3939062260997</v>
      </c>
      <c r="CB724" s="50">
        <v>2610.7464974429167</v>
      </c>
      <c r="CC724" s="50">
        <v>2618.0990886597356</v>
      </c>
      <c r="CD724" s="50">
        <v>2625.4516798765526</v>
      </c>
      <c r="CE724" s="50">
        <v>2632.8042710933696</v>
      </c>
      <c r="CF724" s="50">
        <v>2640.1568623101866</v>
      </c>
      <c r="CG724" s="50">
        <v>2647.5094535270036</v>
      </c>
      <c r="CH724" s="50">
        <v>2654.8620447438207</v>
      </c>
      <c r="CI724" s="50">
        <v>2662.2146359606395</v>
      </c>
      <c r="CJ724" s="50">
        <v>2669.5672271774565</v>
      </c>
      <c r="CK724" s="50">
        <v>2676.9198183942735</v>
      </c>
      <c r="CL724" s="50">
        <v>2684.2724096110906</v>
      </c>
      <c r="CM724" s="50">
        <v>2691.6250008279076</v>
      </c>
      <c r="CN724" s="50">
        <v>2698.9775920447246</v>
      </c>
    </row>
    <row r="725" spans="1:92" s="50" customFormat="1" x14ac:dyDescent="0.25">
      <c r="A725" s="9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92" x14ac:dyDescent="0.25">
      <c r="A726" s="99" t="s">
        <v>290</v>
      </c>
      <c r="B726" s="4">
        <v>0</v>
      </c>
      <c r="C726" s="4">
        <v>0</v>
      </c>
      <c r="D726" s="4">
        <v>0</v>
      </c>
      <c r="E726" s="4">
        <v>0</v>
      </c>
      <c r="F726" s="4">
        <v>0</v>
      </c>
      <c r="G726" s="4">
        <v>0</v>
      </c>
      <c r="H726" s="4">
        <v>0</v>
      </c>
      <c r="I726" s="4">
        <v>0</v>
      </c>
      <c r="J726" s="4">
        <v>0</v>
      </c>
      <c r="K726" s="4">
        <v>0</v>
      </c>
      <c r="L726" s="4">
        <v>0</v>
      </c>
      <c r="M726" s="4">
        <v>0</v>
      </c>
      <c r="N726" s="4">
        <v>0</v>
      </c>
      <c r="O726" s="4">
        <v>0</v>
      </c>
      <c r="P726" s="4">
        <v>0</v>
      </c>
      <c r="Q726" s="4">
        <v>0</v>
      </c>
      <c r="R726" s="4">
        <v>0</v>
      </c>
      <c r="S726" s="4">
        <v>0</v>
      </c>
      <c r="T726" s="4">
        <v>0</v>
      </c>
      <c r="U726" s="4">
        <v>0</v>
      </c>
      <c r="V726" s="4">
        <v>0</v>
      </c>
      <c r="W726" s="4">
        <v>0</v>
      </c>
      <c r="X726" s="4">
        <v>0</v>
      </c>
      <c r="Y726" s="4">
        <v>0</v>
      </c>
      <c r="Z726" s="4">
        <v>0</v>
      </c>
      <c r="AA726" s="4">
        <v>0</v>
      </c>
      <c r="AB726" s="4">
        <v>0</v>
      </c>
      <c r="AC726" s="4">
        <v>0</v>
      </c>
      <c r="AD726" s="4">
        <v>0</v>
      </c>
      <c r="AE726" s="4">
        <v>0</v>
      </c>
      <c r="AF726">
        <v>1312.4520000000484</v>
      </c>
      <c r="AG726">
        <v>1583.2800000000279</v>
      </c>
      <c r="AH726">
        <v>1854.1080000000075</v>
      </c>
      <c r="AI726">
        <v>2124.935999999987</v>
      </c>
      <c r="AJ726">
        <v>2395.7640000000829</v>
      </c>
      <c r="AK726">
        <v>2666.5920000000624</v>
      </c>
      <c r="AL726">
        <v>2937.4200000000419</v>
      </c>
      <c r="AM726">
        <v>3208.2480000000214</v>
      </c>
      <c r="AN726">
        <v>3479.0760000000009</v>
      </c>
      <c r="AO726">
        <v>3749.9039999999804</v>
      </c>
      <c r="AP726">
        <v>4020.7320000000764</v>
      </c>
      <c r="AQ726">
        <v>4291.5600000000559</v>
      </c>
      <c r="AR726">
        <v>4562.3880000000354</v>
      </c>
      <c r="AS726">
        <v>4833.2160000000149</v>
      </c>
      <c r="AT726">
        <v>5104.0439999999944</v>
      </c>
      <c r="AU726">
        <v>5374.8719999999739</v>
      </c>
      <c r="AV726">
        <v>5645.7000000000698</v>
      </c>
      <c r="AW726">
        <v>5916.5280000000494</v>
      </c>
      <c r="AX726">
        <v>6187.3560000000289</v>
      </c>
      <c r="AY726">
        <v>6458.1840000000084</v>
      </c>
      <c r="AZ726">
        <v>6729.0119999999879</v>
      </c>
      <c r="BA726">
        <v>6999.8399999999674</v>
      </c>
      <c r="BB726">
        <v>7270.6680000000633</v>
      </c>
      <c r="BC726">
        <v>7541.4960000000428</v>
      </c>
      <c r="BD726">
        <v>7812.3240000000224</v>
      </c>
      <c r="BE726">
        <v>8083.1520000000019</v>
      </c>
      <c r="BF726">
        <v>8353.9799999999814</v>
      </c>
      <c r="BG726">
        <v>8624.8080000000773</v>
      </c>
      <c r="BH726">
        <v>8895.6360000000568</v>
      </c>
      <c r="BI726">
        <v>9166.4640000000363</v>
      </c>
      <c r="BJ726">
        <v>9437.2920000000158</v>
      </c>
      <c r="BK726">
        <v>9708.1199999999953</v>
      </c>
      <c r="BL726">
        <v>9978.9479999999749</v>
      </c>
      <c r="BM726">
        <v>10249.776000000071</v>
      </c>
      <c r="BN726">
        <v>10520.60400000005</v>
      </c>
      <c r="BO726">
        <v>10791.43200000003</v>
      </c>
      <c r="BP726">
        <v>11062.260000000009</v>
      </c>
      <c r="BQ726">
        <v>11333.087999999989</v>
      </c>
      <c r="BR726">
        <v>11603.915999999968</v>
      </c>
      <c r="BS726">
        <v>11874.744000000064</v>
      </c>
      <c r="BT726">
        <v>12145.572000000044</v>
      </c>
      <c r="BU726">
        <v>12416.400000000023</v>
      </c>
      <c r="BV726">
        <v>12687.228000000003</v>
      </c>
      <c r="BW726">
        <v>12958.055999999982</v>
      </c>
      <c r="BX726">
        <v>13228.884000000078</v>
      </c>
      <c r="BY726">
        <v>13499.712000000058</v>
      </c>
      <c r="BZ726">
        <v>13770.540000000037</v>
      </c>
      <c r="CA726">
        <v>14041.368000000017</v>
      </c>
      <c r="CB726">
        <v>14312.195999999996</v>
      </c>
      <c r="CC726">
        <v>14583.023999999976</v>
      </c>
      <c r="CD726">
        <v>14853.852000000072</v>
      </c>
      <c r="CE726">
        <v>15124.680000000051</v>
      </c>
      <c r="CF726">
        <v>15395.508000000031</v>
      </c>
      <c r="CG726">
        <v>15666.33600000001</v>
      </c>
      <c r="CH726">
        <v>15937.16399999999</v>
      </c>
      <c r="CI726">
        <v>16207.991999999969</v>
      </c>
      <c r="CJ726">
        <v>16478.820000000065</v>
      </c>
      <c r="CK726">
        <v>16749.648000000045</v>
      </c>
      <c r="CL726">
        <v>17020.476000000024</v>
      </c>
      <c r="CM726">
        <v>17291.304000000004</v>
      </c>
      <c r="CN726">
        <v>17562.131999999983</v>
      </c>
    </row>
    <row r="727" spans="1:92" s="44" customFormat="1" x14ac:dyDescent="0.25">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92" s="50" customFormat="1" x14ac:dyDescent="0.25">
      <c r="A728" s="99" t="s">
        <v>291</v>
      </c>
      <c r="B728" s="4">
        <v>0</v>
      </c>
      <c r="C728" s="4">
        <v>0</v>
      </c>
      <c r="D728" s="4">
        <v>0</v>
      </c>
      <c r="E728" s="4">
        <v>0</v>
      </c>
      <c r="F728" s="4">
        <v>0</v>
      </c>
      <c r="G728" s="4">
        <v>0</v>
      </c>
      <c r="H728" s="4">
        <v>0</v>
      </c>
      <c r="I728" s="4">
        <v>0</v>
      </c>
      <c r="J728" s="4">
        <v>0</v>
      </c>
      <c r="K728" s="4">
        <v>0</v>
      </c>
      <c r="L728" s="4">
        <v>0</v>
      </c>
      <c r="M728" s="4">
        <v>0</v>
      </c>
      <c r="N728" s="4">
        <v>0</v>
      </c>
      <c r="O728" s="4">
        <v>0</v>
      </c>
      <c r="P728" s="4">
        <v>0</v>
      </c>
      <c r="Q728" s="4">
        <v>0</v>
      </c>
      <c r="R728" s="4">
        <v>0</v>
      </c>
      <c r="S728" s="4">
        <v>0</v>
      </c>
      <c r="T728" s="4">
        <v>0</v>
      </c>
      <c r="U728" s="4">
        <v>0</v>
      </c>
      <c r="V728" s="4">
        <v>0</v>
      </c>
      <c r="W728" s="4">
        <v>0</v>
      </c>
      <c r="X728" s="4">
        <v>0</v>
      </c>
      <c r="Y728" s="4">
        <v>0</v>
      </c>
      <c r="Z728" s="4">
        <v>0</v>
      </c>
      <c r="AA728" s="4">
        <v>0</v>
      </c>
      <c r="AB728" s="4">
        <v>0</v>
      </c>
      <c r="AC728" s="4">
        <v>0</v>
      </c>
      <c r="AD728" s="4">
        <v>0</v>
      </c>
      <c r="AE728" s="4">
        <v>0</v>
      </c>
      <c r="AF728" s="50">
        <v>8238.0672142976473</v>
      </c>
      <c r="AG728" s="50">
        <v>8264.8944564141639</v>
      </c>
      <c r="AH728" s="50">
        <v>8291.7216985306804</v>
      </c>
      <c r="AI728" s="50">
        <v>8318.548940647197</v>
      </c>
      <c r="AJ728" s="50">
        <v>8345.3761827637136</v>
      </c>
      <c r="AK728" s="50">
        <v>8372.2034248802229</v>
      </c>
      <c r="AL728" s="50">
        <v>8399.0306669967395</v>
      </c>
      <c r="AM728" s="50">
        <v>8425.857909113256</v>
      </c>
      <c r="AN728" s="50">
        <v>8452.6851512297726</v>
      </c>
      <c r="AO728" s="50">
        <v>8479.5123933462892</v>
      </c>
      <c r="AP728" s="50">
        <v>8506.3396354628057</v>
      </c>
      <c r="AQ728" s="50">
        <v>8533.1668775793223</v>
      </c>
      <c r="AR728" s="50">
        <v>8559.9941196958389</v>
      </c>
      <c r="AS728" s="50">
        <v>8586.8213618123555</v>
      </c>
      <c r="AT728" s="50">
        <v>8613.648603928872</v>
      </c>
      <c r="AU728" s="50">
        <v>8640.4758460453886</v>
      </c>
      <c r="AV728" s="50">
        <v>8667.3030881619052</v>
      </c>
      <c r="AW728" s="50">
        <v>8694.1303302784145</v>
      </c>
      <c r="AX728" s="50">
        <v>8720.957572394931</v>
      </c>
      <c r="AY728" s="50">
        <v>8747.7848145114476</v>
      </c>
      <c r="AZ728" s="50">
        <v>8774.6120566279642</v>
      </c>
      <c r="BA728" s="50">
        <v>8801.4392987444808</v>
      </c>
      <c r="BB728" s="50">
        <v>8828.2665408609973</v>
      </c>
      <c r="BC728" s="50">
        <v>8855.0937829775139</v>
      </c>
      <c r="BD728" s="50">
        <v>8881.9210250940305</v>
      </c>
      <c r="BE728" s="50">
        <v>8908.7482672105471</v>
      </c>
      <c r="BF728" s="50">
        <v>8935.5755093270636</v>
      </c>
      <c r="BG728" s="50">
        <v>8962.4027514435802</v>
      </c>
      <c r="BH728" s="50">
        <v>8989.2299935600968</v>
      </c>
      <c r="BI728" s="50">
        <v>9016.0572356766061</v>
      </c>
      <c r="BJ728" s="50">
        <v>9042.8844777931226</v>
      </c>
      <c r="BK728" s="50">
        <v>9069.7117199096392</v>
      </c>
      <c r="BL728" s="50">
        <v>9096.5389620261558</v>
      </c>
      <c r="BM728" s="50">
        <v>9123.3662041426724</v>
      </c>
      <c r="BN728" s="50">
        <v>9150.1934462591889</v>
      </c>
      <c r="BO728" s="50">
        <v>9177.0206883757055</v>
      </c>
      <c r="BP728" s="50">
        <v>9203.8479304922221</v>
      </c>
      <c r="BQ728" s="50">
        <v>9230.6751726087386</v>
      </c>
      <c r="BR728" s="50">
        <v>9257.5024147252552</v>
      </c>
      <c r="BS728" s="50">
        <v>9284.3296568417718</v>
      </c>
      <c r="BT728" s="50">
        <v>9311.1568989582884</v>
      </c>
      <c r="BU728" s="50">
        <v>9337.9841410747977</v>
      </c>
      <c r="BV728" s="50">
        <v>9364.8113831913142</v>
      </c>
      <c r="BW728" s="50">
        <v>9391.6386253078308</v>
      </c>
      <c r="BX728" s="50">
        <v>9418.4658674243474</v>
      </c>
      <c r="BY728" s="50">
        <v>9445.293109540864</v>
      </c>
      <c r="BZ728" s="50">
        <v>9472.1203516573805</v>
      </c>
      <c r="CA728" s="50">
        <v>9498.9475937738971</v>
      </c>
      <c r="CB728" s="50">
        <v>9525.7748358904137</v>
      </c>
      <c r="CC728" s="50">
        <v>9552.6020780069302</v>
      </c>
      <c r="CD728" s="50">
        <v>9579.4293201234468</v>
      </c>
      <c r="CE728" s="50">
        <v>9606.2565622399634</v>
      </c>
      <c r="CF728" s="50">
        <v>9633.08380435648</v>
      </c>
      <c r="CG728" s="50">
        <v>9659.9110464729893</v>
      </c>
      <c r="CH728" s="50">
        <v>9686.7382885895058</v>
      </c>
      <c r="CI728" s="50">
        <v>9713.5655307060224</v>
      </c>
      <c r="CJ728" s="50">
        <v>9740.392772822539</v>
      </c>
      <c r="CK728" s="50">
        <v>9767.2200149390555</v>
      </c>
      <c r="CL728" s="50">
        <v>9794.0472570555721</v>
      </c>
      <c r="CM728" s="50">
        <v>9820.8744991720887</v>
      </c>
      <c r="CN728" s="50">
        <v>9847.7017412886053</v>
      </c>
    </row>
    <row r="729" spans="1:92" s="44" customFormat="1" x14ac:dyDescent="0.25">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92" x14ac:dyDescent="0.25">
      <c r="A730" s="99" t="s">
        <v>292</v>
      </c>
      <c r="B730" s="4">
        <v>0</v>
      </c>
      <c r="C730" s="4">
        <v>0</v>
      </c>
      <c r="D730" s="4">
        <v>0</v>
      </c>
      <c r="E730" s="4">
        <v>0</v>
      </c>
      <c r="F730" s="4">
        <v>0</v>
      </c>
      <c r="G730" s="4">
        <v>0</v>
      </c>
      <c r="H730" s="4">
        <v>0</v>
      </c>
      <c r="I730" s="4">
        <v>0</v>
      </c>
      <c r="J730" s="4">
        <v>0</v>
      </c>
      <c r="K730" s="4">
        <v>0</v>
      </c>
      <c r="L730" s="4">
        <v>0</v>
      </c>
      <c r="M730" s="4">
        <v>0</v>
      </c>
      <c r="N730" s="4">
        <v>0</v>
      </c>
      <c r="O730" s="4">
        <v>0</v>
      </c>
      <c r="P730" s="4">
        <v>0</v>
      </c>
      <c r="Q730" s="4">
        <v>0</v>
      </c>
      <c r="R730" s="4">
        <v>0</v>
      </c>
      <c r="S730" s="4">
        <v>0</v>
      </c>
      <c r="T730" s="4">
        <v>0</v>
      </c>
      <c r="U730" s="4">
        <v>0</v>
      </c>
      <c r="V730" s="4">
        <v>0</v>
      </c>
      <c r="W730" s="4">
        <v>0</v>
      </c>
      <c r="X730" s="4">
        <v>0</v>
      </c>
      <c r="Y730" s="4">
        <v>0</v>
      </c>
      <c r="Z730" s="4">
        <v>0</v>
      </c>
      <c r="AA730" s="4">
        <v>0</v>
      </c>
      <c r="AB730" s="4">
        <v>0</v>
      </c>
      <c r="AC730" s="4">
        <v>0</v>
      </c>
      <c r="AD730" s="4">
        <v>0</v>
      </c>
      <c r="AE730" s="4">
        <v>0</v>
      </c>
      <c r="AF730">
        <v>889.56133333333491</v>
      </c>
      <c r="AG730">
        <v>877.94916666666904</v>
      </c>
      <c r="AH730">
        <v>866.33700000000317</v>
      </c>
      <c r="AI730">
        <v>854.7248333333373</v>
      </c>
      <c r="AJ730">
        <v>843.11266666667143</v>
      </c>
      <c r="AK730">
        <v>831.50050000000192</v>
      </c>
      <c r="AL730">
        <v>819.88833333333605</v>
      </c>
      <c r="AM730">
        <v>808.27616666667018</v>
      </c>
      <c r="AN730">
        <v>796.66400000000431</v>
      </c>
      <c r="AO730">
        <v>785.0518333333348</v>
      </c>
      <c r="AP730">
        <v>773.43966666666893</v>
      </c>
      <c r="AQ730">
        <v>761.82750000000306</v>
      </c>
      <c r="AR730">
        <v>750.21533333333718</v>
      </c>
      <c r="AS730">
        <v>738.60316666667131</v>
      </c>
      <c r="AT730">
        <v>726.9910000000018</v>
      </c>
      <c r="AU730">
        <v>715.37883333333593</v>
      </c>
      <c r="AV730">
        <v>703.76666666667006</v>
      </c>
      <c r="AW730">
        <v>692.15450000000419</v>
      </c>
      <c r="AX730">
        <v>680.54233333333832</v>
      </c>
      <c r="AY730">
        <v>668.93016666666881</v>
      </c>
      <c r="AZ730">
        <v>657.31800000000294</v>
      </c>
      <c r="BA730">
        <v>645.70583333333707</v>
      </c>
      <c r="BB730">
        <v>634.0936666666712</v>
      </c>
      <c r="BC730">
        <v>622.48150000000169</v>
      </c>
      <c r="BD730">
        <v>610.86933333333582</v>
      </c>
      <c r="BE730">
        <v>599.25716666666995</v>
      </c>
      <c r="BF730">
        <v>587.64500000000407</v>
      </c>
      <c r="BG730">
        <v>576.0328333333382</v>
      </c>
      <c r="BH730">
        <v>564.42066666666869</v>
      </c>
      <c r="BI730">
        <v>552.80850000000282</v>
      </c>
      <c r="BJ730">
        <v>541.19633333333695</v>
      </c>
      <c r="BK730">
        <v>529.58416666667108</v>
      </c>
      <c r="BL730">
        <v>517.97200000000521</v>
      </c>
      <c r="BM730">
        <v>506.3598333333357</v>
      </c>
      <c r="BN730">
        <v>494.74766666666983</v>
      </c>
      <c r="BO730">
        <v>483.13550000000396</v>
      </c>
      <c r="BP730">
        <v>471.52333333333809</v>
      </c>
      <c r="BQ730">
        <v>459.91116666666858</v>
      </c>
      <c r="BR730">
        <v>448.29900000000271</v>
      </c>
      <c r="BS730">
        <v>436.68683333333684</v>
      </c>
      <c r="BT730">
        <v>425.07466666667096</v>
      </c>
      <c r="BU730">
        <v>413.46250000000509</v>
      </c>
      <c r="BV730">
        <v>401.85033333333558</v>
      </c>
      <c r="BW730">
        <v>390.23816666666971</v>
      </c>
      <c r="BX730">
        <v>378.62600000000384</v>
      </c>
      <c r="BY730">
        <v>367.01383333333797</v>
      </c>
      <c r="BZ730">
        <v>355.4016666666721</v>
      </c>
      <c r="CA730">
        <v>343.78950000000259</v>
      </c>
      <c r="CB730">
        <v>332.17733333333672</v>
      </c>
      <c r="CC730">
        <v>320.56516666667085</v>
      </c>
      <c r="CD730">
        <v>308.95300000000498</v>
      </c>
      <c r="CE730">
        <v>297.34083333333547</v>
      </c>
      <c r="CF730">
        <v>285.7286666666696</v>
      </c>
      <c r="CG730">
        <v>274.11650000000373</v>
      </c>
      <c r="CH730">
        <v>262.50433333333785</v>
      </c>
      <c r="CI730">
        <v>250.89216666667198</v>
      </c>
      <c r="CJ730">
        <v>239.28000000000247</v>
      </c>
      <c r="CK730">
        <v>227.6678333333366</v>
      </c>
      <c r="CL730">
        <v>216.05566666667073</v>
      </c>
      <c r="CM730">
        <v>204.44350000000486</v>
      </c>
      <c r="CN730">
        <v>192.83133333333899</v>
      </c>
    </row>
    <row r="731" spans="1:92" x14ac:dyDescent="0.25">
      <c r="A731" s="99" t="s">
        <v>1</v>
      </c>
      <c r="B731" s="4">
        <v>0</v>
      </c>
      <c r="C731" s="4">
        <v>0</v>
      </c>
      <c r="D731" s="4">
        <v>0</v>
      </c>
      <c r="E731" s="4">
        <v>0</v>
      </c>
      <c r="F731" s="4">
        <v>0</v>
      </c>
      <c r="G731" s="4">
        <v>0</v>
      </c>
      <c r="H731" s="4">
        <v>0</v>
      </c>
      <c r="I731" s="4">
        <v>0</v>
      </c>
      <c r="J731" s="4">
        <v>0</v>
      </c>
      <c r="K731" s="4">
        <v>0</v>
      </c>
      <c r="L731" s="4">
        <v>0</v>
      </c>
      <c r="M731" s="4">
        <v>0</v>
      </c>
      <c r="N731" s="4">
        <v>0</v>
      </c>
      <c r="O731" s="4">
        <v>0</v>
      </c>
      <c r="P731" s="4">
        <v>0</v>
      </c>
      <c r="Q731" s="4">
        <v>0</v>
      </c>
      <c r="R731" s="4">
        <v>0</v>
      </c>
      <c r="S731" s="4">
        <v>0</v>
      </c>
      <c r="T731" s="4">
        <v>0</v>
      </c>
      <c r="U731" s="4">
        <v>0</v>
      </c>
      <c r="V731" s="4">
        <v>0</v>
      </c>
      <c r="W731" s="4">
        <v>0</v>
      </c>
      <c r="X731" s="4">
        <v>0</v>
      </c>
      <c r="Y731" s="4">
        <v>0</v>
      </c>
      <c r="Z731" s="4">
        <v>0</v>
      </c>
      <c r="AA731" s="4">
        <v>0</v>
      </c>
      <c r="AB731" s="4">
        <v>0</v>
      </c>
      <c r="AC731" s="4">
        <v>0</v>
      </c>
      <c r="AD731" s="4">
        <v>0</v>
      </c>
      <c r="AE731" s="4">
        <v>0</v>
      </c>
      <c r="AF731">
        <v>441.32800000000134</v>
      </c>
      <c r="AG731">
        <v>427.05750000000262</v>
      </c>
      <c r="AH731">
        <v>412.7870000000039</v>
      </c>
      <c r="AI731">
        <v>398.51650000000154</v>
      </c>
      <c r="AJ731">
        <v>384.24600000000282</v>
      </c>
      <c r="AK731">
        <v>369.9755000000041</v>
      </c>
      <c r="AL731">
        <v>355.70500000000175</v>
      </c>
      <c r="AM731">
        <v>341.43450000000303</v>
      </c>
      <c r="AN731">
        <v>327.16400000000431</v>
      </c>
      <c r="AO731">
        <v>312.89350000000195</v>
      </c>
      <c r="AP731">
        <v>298.62300000000323</v>
      </c>
      <c r="AQ731">
        <v>284.35250000000451</v>
      </c>
      <c r="AR731">
        <v>270.08200000000215</v>
      </c>
      <c r="AS731">
        <v>255.81150000000343</v>
      </c>
      <c r="AT731">
        <v>241.54100000000108</v>
      </c>
      <c r="AU731">
        <v>227.27050000000236</v>
      </c>
      <c r="AV731">
        <v>213.00000000000364</v>
      </c>
      <c r="AW731">
        <v>198.72950000000128</v>
      </c>
      <c r="AX731">
        <v>184.45900000000256</v>
      </c>
      <c r="AY731">
        <v>170.18850000000384</v>
      </c>
      <c r="AZ731">
        <v>155.91800000000148</v>
      </c>
      <c r="BA731">
        <v>141.64750000000276</v>
      </c>
      <c r="BB731">
        <v>127.37700000000405</v>
      </c>
      <c r="BC731">
        <v>113.10650000000169</v>
      </c>
      <c r="BD731">
        <v>98.836000000002969</v>
      </c>
      <c r="BE731">
        <v>84.565500000004249</v>
      </c>
      <c r="BF731">
        <v>70.295000000001892</v>
      </c>
      <c r="BG731">
        <v>56.024500000003172</v>
      </c>
      <c r="BH731">
        <v>41.754000000004453</v>
      </c>
      <c r="BI731">
        <v>27.483500000002095</v>
      </c>
      <c r="BJ731">
        <v>41.754000000003238</v>
      </c>
      <c r="BK731">
        <v>36.997166666669926</v>
      </c>
      <c r="BL731">
        <v>35.411555555558415</v>
      </c>
      <c r="BM731">
        <v>38.054240740743857</v>
      </c>
      <c r="BN731">
        <v>36.820987654324064</v>
      </c>
      <c r="BO731">
        <v>36.762261316875446</v>
      </c>
      <c r="BP731">
        <v>37.212496570647794</v>
      </c>
      <c r="BQ731">
        <v>36.931915180615768</v>
      </c>
      <c r="BR731">
        <v>36.968891022713002</v>
      </c>
      <c r="BS731">
        <v>37.037767591325519</v>
      </c>
      <c r="BT731">
        <v>36.979524598218099</v>
      </c>
      <c r="BU731">
        <v>36.995394404085538</v>
      </c>
      <c r="BV731">
        <v>37.004228864543052</v>
      </c>
      <c r="BW731">
        <v>36.993049288948896</v>
      </c>
      <c r="BX731">
        <v>36.997557519192497</v>
      </c>
      <c r="BY731">
        <v>36.998278557561484</v>
      </c>
      <c r="BZ731">
        <v>36.996295121900964</v>
      </c>
      <c r="CA731">
        <v>36.99737706621832</v>
      </c>
      <c r="CB731">
        <v>36.997316915226925</v>
      </c>
      <c r="CC731">
        <v>36.996996367782067</v>
      </c>
      <c r="CD731">
        <v>36.997230116409099</v>
      </c>
      <c r="CE731">
        <v>36.997181133139364</v>
      </c>
      <c r="CF731">
        <v>36.997135872443508</v>
      </c>
      <c r="CG731">
        <v>36.997182373997326</v>
      </c>
      <c r="CH731">
        <v>36.997166459860068</v>
      </c>
      <c r="CI731">
        <v>36.997161568766963</v>
      </c>
      <c r="CJ731">
        <v>36.997170134208119</v>
      </c>
      <c r="CK731">
        <v>36.997166054278381</v>
      </c>
      <c r="CL731">
        <v>36.997165919084487</v>
      </c>
      <c r="CM731">
        <v>36.997167369190329</v>
      </c>
      <c r="CN731">
        <v>36.997166447517735</v>
      </c>
    </row>
    <row r="732" spans="1:92" x14ac:dyDescent="0.25">
      <c r="A732" s="99" t="s">
        <v>1</v>
      </c>
      <c r="B732" s="4">
        <v>0</v>
      </c>
      <c r="C732" s="4">
        <v>0</v>
      </c>
      <c r="D732" s="4">
        <v>0</v>
      </c>
      <c r="E732" s="4">
        <v>0</v>
      </c>
      <c r="F732" s="4">
        <v>0</v>
      </c>
      <c r="G732" s="4">
        <v>0</v>
      </c>
      <c r="H732" s="4">
        <v>0</v>
      </c>
      <c r="I732" s="4">
        <v>0</v>
      </c>
      <c r="J732" s="4">
        <v>0</v>
      </c>
      <c r="K732" s="4">
        <v>0</v>
      </c>
      <c r="L732" s="4">
        <v>0</v>
      </c>
      <c r="M732" s="4">
        <v>0</v>
      </c>
      <c r="N732" s="4">
        <v>0</v>
      </c>
      <c r="O732" s="4">
        <v>0</v>
      </c>
      <c r="P732" s="4">
        <v>0</v>
      </c>
      <c r="Q732" s="4">
        <v>0</v>
      </c>
      <c r="R732" s="4">
        <v>0</v>
      </c>
      <c r="S732" s="4">
        <v>0</v>
      </c>
      <c r="T732" s="4">
        <v>0</v>
      </c>
      <c r="U732" s="4">
        <v>0</v>
      </c>
      <c r="V732" s="4">
        <v>0</v>
      </c>
      <c r="W732" s="4">
        <v>0</v>
      </c>
      <c r="X732" s="4">
        <v>0</v>
      </c>
      <c r="Y732" s="4">
        <v>0</v>
      </c>
      <c r="Z732" s="4">
        <v>0</v>
      </c>
      <c r="AA732" s="4">
        <v>0</v>
      </c>
      <c r="AB732" s="4">
        <v>0</v>
      </c>
      <c r="AC732" s="4">
        <v>0</v>
      </c>
      <c r="AD732" s="4">
        <v>0</v>
      </c>
      <c r="AE732" s="4">
        <v>0</v>
      </c>
      <c r="AF732">
        <v>2015.1039999999994</v>
      </c>
      <c r="AG732">
        <v>1986.0683333333363</v>
      </c>
      <c r="AH732">
        <v>1957.032666666666</v>
      </c>
      <c r="AI732">
        <v>1927.997000000003</v>
      </c>
      <c r="AJ732">
        <v>1898.9613333333327</v>
      </c>
      <c r="AK732">
        <v>1869.9256666666697</v>
      </c>
      <c r="AL732">
        <v>1840.8899999999994</v>
      </c>
      <c r="AM732">
        <v>1811.8543333333364</v>
      </c>
      <c r="AN732">
        <v>1782.8186666666661</v>
      </c>
      <c r="AO732">
        <v>1753.7830000000031</v>
      </c>
      <c r="AP732">
        <v>1724.7473333333328</v>
      </c>
      <c r="AQ732">
        <v>1695.7116666666698</v>
      </c>
      <c r="AR732">
        <v>1666.6759999999995</v>
      </c>
      <c r="AS732">
        <v>1637.6403333333365</v>
      </c>
      <c r="AT732">
        <v>1608.6046666666662</v>
      </c>
      <c r="AU732">
        <v>1579.5690000000031</v>
      </c>
      <c r="AV732">
        <v>1550.5333333333328</v>
      </c>
      <c r="AW732">
        <v>1521.4976666666698</v>
      </c>
      <c r="AX732">
        <v>1492.4619999999995</v>
      </c>
      <c r="AY732">
        <v>1463.4263333333365</v>
      </c>
      <c r="AZ732">
        <v>1434.3906666666662</v>
      </c>
      <c r="BA732">
        <v>1405.3550000000032</v>
      </c>
      <c r="BB732">
        <v>1376.3193333333329</v>
      </c>
      <c r="BC732">
        <v>1347.2836666666699</v>
      </c>
      <c r="BD732">
        <v>1318.2479999999996</v>
      </c>
      <c r="BE732">
        <v>1289.2123333333366</v>
      </c>
      <c r="BF732">
        <v>1260.1766666666663</v>
      </c>
      <c r="BG732">
        <v>1231.1410000000033</v>
      </c>
      <c r="BH732">
        <v>1202.105333333333</v>
      </c>
      <c r="BI732">
        <v>1173.0696666666699</v>
      </c>
      <c r="BJ732">
        <v>1144.0339999999997</v>
      </c>
      <c r="BK732">
        <v>1114.9983333333366</v>
      </c>
      <c r="BL732">
        <v>1085.9626666666663</v>
      </c>
      <c r="BM732">
        <v>1056.9270000000033</v>
      </c>
      <c r="BN732">
        <v>1027.891333333333</v>
      </c>
      <c r="BO732">
        <v>998.85566666667</v>
      </c>
      <c r="BP732">
        <v>969.81999999999971</v>
      </c>
      <c r="BQ732">
        <v>940.78433333333669</v>
      </c>
      <c r="BR732">
        <v>911.7486666666664</v>
      </c>
      <c r="BS732">
        <v>882.71300000000338</v>
      </c>
      <c r="BT732">
        <v>853.67733333333308</v>
      </c>
      <c r="BU732">
        <v>824.64166666667006</v>
      </c>
      <c r="BV732">
        <v>795.60599999999977</v>
      </c>
      <c r="BW732">
        <v>766.57033333333675</v>
      </c>
      <c r="BX732">
        <v>737.53466666666645</v>
      </c>
      <c r="BY732">
        <v>708.49900000000343</v>
      </c>
      <c r="BZ732">
        <v>679.46333333333314</v>
      </c>
      <c r="CA732">
        <v>650.42766666667012</v>
      </c>
      <c r="CB732">
        <v>621.39199999999983</v>
      </c>
      <c r="CC732">
        <v>592.35633333333681</v>
      </c>
      <c r="CD732">
        <v>563.32066666666651</v>
      </c>
      <c r="CE732">
        <v>534.28500000000349</v>
      </c>
      <c r="CF732">
        <v>505.2493333333332</v>
      </c>
      <c r="CG732">
        <v>476.21366666667018</v>
      </c>
      <c r="CH732">
        <v>447.17799999999988</v>
      </c>
      <c r="CI732">
        <v>418.14233333333686</v>
      </c>
      <c r="CJ732">
        <v>389.10666666666657</v>
      </c>
      <c r="CK732">
        <v>360.07100000000355</v>
      </c>
      <c r="CL732">
        <v>331.03533333333326</v>
      </c>
      <c r="CM732">
        <v>301.99966666666296</v>
      </c>
      <c r="CN732">
        <v>272.96399999999994</v>
      </c>
    </row>
    <row r="733" spans="1:92" x14ac:dyDescent="0.25">
      <c r="A733" s="99" t="s">
        <v>1</v>
      </c>
      <c r="B733" s="4">
        <v>0</v>
      </c>
      <c r="C733" s="4">
        <v>0</v>
      </c>
      <c r="D733" s="4">
        <v>0</v>
      </c>
      <c r="E733" s="4">
        <v>0</v>
      </c>
      <c r="F733" s="4">
        <v>0</v>
      </c>
      <c r="G733" s="4">
        <v>0</v>
      </c>
      <c r="H733" s="4">
        <v>0</v>
      </c>
      <c r="I733" s="4">
        <v>0</v>
      </c>
      <c r="J733" s="4">
        <v>0</v>
      </c>
      <c r="K733" s="4">
        <v>0</v>
      </c>
      <c r="L733" s="4">
        <v>0</v>
      </c>
      <c r="M733" s="4">
        <v>0</v>
      </c>
      <c r="N733" s="4">
        <v>0</v>
      </c>
      <c r="O733" s="4">
        <v>0</v>
      </c>
      <c r="P733" s="4">
        <v>0</v>
      </c>
      <c r="Q733" s="4">
        <v>0</v>
      </c>
      <c r="R733" s="4">
        <v>0</v>
      </c>
      <c r="S733" s="4">
        <v>0</v>
      </c>
      <c r="T733" s="4">
        <v>0</v>
      </c>
      <c r="U733" s="4">
        <v>0</v>
      </c>
      <c r="V733" s="4">
        <v>0</v>
      </c>
      <c r="W733" s="4">
        <v>0</v>
      </c>
      <c r="X733" s="4">
        <v>0</v>
      </c>
      <c r="Y733" s="4">
        <v>0</v>
      </c>
      <c r="Z733" s="4">
        <v>0</v>
      </c>
      <c r="AA733" s="4">
        <v>0</v>
      </c>
      <c r="AB733" s="4">
        <v>0</v>
      </c>
      <c r="AC733" s="4">
        <v>0</v>
      </c>
      <c r="AD733" s="4">
        <v>0</v>
      </c>
      <c r="AE733" s="4">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0</v>
      </c>
      <c r="CA733">
        <v>0</v>
      </c>
      <c r="CB733">
        <v>0</v>
      </c>
      <c r="CC733">
        <v>0</v>
      </c>
      <c r="CD733">
        <v>0</v>
      </c>
      <c r="CE733">
        <v>0</v>
      </c>
      <c r="CF733">
        <v>0</v>
      </c>
      <c r="CG733">
        <v>0</v>
      </c>
      <c r="CH733">
        <v>0</v>
      </c>
      <c r="CI733">
        <v>0</v>
      </c>
      <c r="CJ733">
        <v>0</v>
      </c>
      <c r="CK733">
        <v>0</v>
      </c>
      <c r="CL733">
        <v>0</v>
      </c>
      <c r="CM733">
        <v>0</v>
      </c>
      <c r="CN733">
        <v>0</v>
      </c>
    </row>
    <row r="734" spans="1:92" x14ac:dyDescent="0.25">
      <c r="A734" s="99" t="s">
        <v>1</v>
      </c>
      <c r="B734" s="4">
        <v>0</v>
      </c>
      <c r="C734" s="4">
        <v>0</v>
      </c>
      <c r="D734" s="4">
        <v>0</v>
      </c>
      <c r="E734" s="4">
        <v>0</v>
      </c>
      <c r="F734" s="4">
        <v>0</v>
      </c>
      <c r="G734" s="4">
        <v>0</v>
      </c>
      <c r="H734" s="4">
        <v>0</v>
      </c>
      <c r="I734" s="4">
        <v>0</v>
      </c>
      <c r="J734" s="4">
        <v>0</v>
      </c>
      <c r="K734" s="4">
        <v>0</v>
      </c>
      <c r="L734" s="4">
        <v>0</v>
      </c>
      <c r="M734" s="4">
        <v>0</v>
      </c>
      <c r="N734" s="4">
        <v>0</v>
      </c>
      <c r="O734" s="4">
        <v>0</v>
      </c>
      <c r="P734" s="4">
        <v>0</v>
      </c>
      <c r="Q734" s="4">
        <v>0</v>
      </c>
      <c r="R734" s="4">
        <v>0</v>
      </c>
      <c r="S734" s="4">
        <v>0</v>
      </c>
      <c r="T734" s="4">
        <v>0</v>
      </c>
      <c r="U734" s="4">
        <v>0</v>
      </c>
      <c r="V734" s="4">
        <v>0</v>
      </c>
      <c r="W734" s="4">
        <v>0</v>
      </c>
      <c r="X734" s="4">
        <v>0</v>
      </c>
      <c r="Y734" s="4">
        <v>0</v>
      </c>
      <c r="Z734" s="4">
        <v>0</v>
      </c>
      <c r="AA734" s="4">
        <v>0</v>
      </c>
      <c r="AB734" s="4">
        <v>0</v>
      </c>
      <c r="AC734" s="4">
        <v>0</v>
      </c>
      <c r="AD734" s="4">
        <v>0</v>
      </c>
      <c r="AE734" s="4">
        <v>0</v>
      </c>
      <c r="AF734">
        <v>552.57200000000012</v>
      </c>
      <c r="AG734">
        <v>545.61333333333278</v>
      </c>
      <c r="AH734">
        <v>538.65466666666543</v>
      </c>
      <c r="AI734">
        <v>531.69599999999991</v>
      </c>
      <c r="AJ734">
        <v>524.73733333333257</v>
      </c>
      <c r="AK734">
        <v>517.77866666666523</v>
      </c>
      <c r="AL734">
        <v>510.81999999999971</v>
      </c>
      <c r="AM734">
        <v>503.86133333333237</v>
      </c>
      <c r="AN734">
        <v>496.90266666666503</v>
      </c>
      <c r="AO734">
        <v>489.94399999999951</v>
      </c>
      <c r="AP734">
        <v>482.98533333333216</v>
      </c>
      <c r="AQ734">
        <v>476.02666666666664</v>
      </c>
      <c r="AR734">
        <v>469.0679999999993</v>
      </c>
      <c r="AS734">
        <v>462.10933333333196</v>
      </c>
      <c r="AT734">
        <v>455.15066666666644</v>
      </c>
      <c r="AU734">
        <v>448.1919999999991</v>
      </c>
      <c r="AV734">
        <v>441.23333333333176</v>
      </c>
      <c r="AW734">
        <v>434.27466666666623</v>
      </c>
      <c r="AX734">
        <v>427.31599999999889</v>
      </c>
      <c r="AY734">
        <v>420.35733333333337</v>
      </c>
      <c r="AZ734">
        <v>413.39866666666603</v>
      </c>
      <c r="BA734">
        <v>406.43999999999869</v>
      </c>
      <c r="BB734">
        <v>399.48133333333317</v>
      </c>
      <c r="BC734">
        <v>392.52266666666583</v>
      </c>
      <c r="BD734">
        <v>385.56399999999849</v>
      </c>
      <c r="BE734">
        <v>378.60533333333296</v>
      </c>
      <c r="BF734">
        <v>371.64666666666562</v>
      </c>
      <c r="BG734">
        <v>364.6880000000001</v>
      </c>
      <c r="BH734">
        <v>357.72933333333276</v>
      </c>
      <c r="BI734">
        <v>350.77066666666542</v>
      </c>
      <c r="BJ734">
        <v>343.8119999999999</v>
      </c>
      <c r="BK734">
        <v>336.85333333333256</v>
      </c>
      <c r="BL734">
        <v>329.89466666666522</v>
      </c>
      <c r="BM734">
        <v>322.93599999999969</v>
      </c>
      <c r="BN734">
        <v>315.97733333333235</v>
      </c>
      <c r="BO734">
        <v>309.01866666666501</v>
      </c>
      <c r="BP734">
        <v>302.05999999999949</v>
      </c>
      <c r="BQ734">
        <v>295.10133333333215</v>
      </c>
      <c r="BR734">
        <v>288.14266666666663</v>
      </c>
      <c r="BS734">
        <v>281.18399999999929</v>
      </c>
      <c r="BT734">
        <v>274.22533333333195</v>
      </c>
      <c r="BU734">
        <v>267.26666666666642</v>
      </c>
      <c r="BV734">
        <v>260.30799999999908</v>
      </c>
      <c r="BW734">
        <v>253.34933333333174</v>
      </c>
      <c r="BX734">
        <v>246.39066666666622</v>
      </c>
      <c r="BY734">
        <v>239.43199999999888</v>
      </c>
      <c r="BZ734">
        <v>232.47333333333336</v>
      </c>
      <c r="CA734">
        <v>225.51466666666602</v>
      </c>
      <c r="CB734">
        <v>218.55599999999868</v>
      </c>
      <c r="CC734">
        <v>211.59733333333315</v>
      </c>
      <c r="CD734">
        <v>204.63866666666581</v>
      </c>
      <c r="CE734">
        <v>197.67999999999847</v>
      </c>
      <c r="CF734">
        <v>190.72133333333295</v>
      </c>
      <c r="CG734">
        <v>183.76266666666561</v>
      </c>
      <c r="CH734">
        <v>176.80400000000009</v>
      </c>
      <c r="CI734">
        <v>169.84533333333275</v>
      </c>
      <c r="CJ734">
        <v>162.88666666666541</v>
      </c>
      <c r="CK734">
        <v>155.92799999999988</v>
      </c>
      <c r="CL734">
        <v>148.96933333333254</v>
      </c>
      <c r="CM734">
        <v>142.0106666666652</v>
      </c>
      <c r="CN734">
        <v>135.05199999999968</v>
      </c>
    </row>
    <row r="735" spans="1:92" x14ac:dyDescent="0.25">
      <c r="A735" s="99" t="s">
        <v>1</v>
      </c>
      <c r="B735" s="4">
        <v>0</v>
      </c>
      <c r="C735" s="4">
        <v>0</v>
      </c>
      <c r="D735" s="4">
        <v>0</v>
      </c>
      <c r="E735" s="4">
        <v>0</v>
      </c>
      <c r="F735" s="4">
        <v>0</v>
      </c>
      <c r="G735" s="4">
        <v>0</v>
      </c>
      <c r="H735" s="4">
        <v>0</v>
      </c>
      <c r="I735" s="4">
        <v>0</v>
      </c>
      <c r="J735" s="4">
        <v>0</v>
      </c>
      <c r="K735" s="4">
        <v>0</v>
      </c>
      <c r="L735" s="4">
        <v>0</v>
      </c>
      <c r="M735" s="4">
        <v>0</v>
      </c>
      <c r="N735" s="4">
        <v>0</v>
      </c>
      <c r="O735" s="4">
        <v>0</v>
      </c>
      <c r="P735" s="4">
        <v>0</v>
      </c>
      <c r="Q735" s="4">
        <v>0</v>
      </c>
      <c r="R735" s="4">
        <v>0</v>
      </c>
      <c r="S735" s="4">
        <v>0</v>
      </c>
      <c r="T735" s="4">
        <v>0</v>
      </c>
      <c r="U735" s="4">
        <v>0</v>
      </c>
      <c r="V735" s="4">
        <v>0</v>
      </c>
      <c r="W735" s="4">
        <v>0</v>
      </c>
      <c r="X735" s="4">
        <v>0</v>
      </c>
      <c r="Y735" s="4">
        <v>0</v>
      </c>
      <c r="Z735" s="4">
        <v>0</v>
      </c>
      <c r="AA735" s="4">
        <v>0</v>
      </c>
      <c r="AB735" s="4">
        <v>0</v>
      </c>
      <c r="AC735" s="4">
        <v>0</v>
      </c>
      <c r="AD735" s="4">
        <v>0</v>
      </c>
      <c r="AE735" s="4">
        <v>0</v>
      </c>
      <c r="AF735">
        <v>0.55466666666666242</v>
      </c>
      <c r="AG735">
        <v>0.51999999999999602</v>
      </c>
      <c r="AH735">
        <v>0.48533333333332962</v>
      </c>
      <c r="AI735">
        <v>0.45066666666666322</v>
      </c>
      <c r="AJ735">
        <v>0.41599999999999682</v>
      </c>
      <c r="AK735">
        <v>0.38133333333333042</v>
      </c>
      <c r="AL735">
        <v>0.34666666666666401</v>
      </c>
      <c r="AM735">
        <v>0.31199999999999761</v>
      </c>
      <c r="AN735">
        <v>0.27733333333333121</v>
      </c>
      <c r="AO735">
        <v>0.24266666666666481</v>
      </c>
      <c r="AP735">
        <v>0.20799999999999841</v>
      </c>
      <c r="AQ735">
        <v>0.17333333333333201</v>
      </c>
      <c r="AR735">
        <v>0.13866666666666561</v>
      </c>
      <c r="AS735">
        <v>0.19066666666666521</v>
      </c>
      <c r="AT735">
        <v>0.17766666666666531</v>
      </c>
      <c r="AU735">
        <v>0.17008333333333203</v>
      </c>
      <c r="AV735">
        <v>0.16927083333333204</v>
      </c>
      <c r="AW735">
        <v>0.17692187499999865</v>
      </c>
      <c r="AX735">
        <v>0.17348567708333201</v>
      </c>
      <c r="AY735">
        <v>0.17244042968749868</v>
      </c>
      <c r="AZ735">
        <v>0.17302970377604032</v>
      </c>
      <c r="BA735">
        <v>0.17396942138671742</v>
      </c>
      <c r="BB735">
        <v>0.17323130798339711</v>
      </c>
      <c r="BC735">
        <v>0.17316771570841338</v>
      </c>
      <c r="BD735">
        <v>0.17334953721364207</v>
      </c>
      <c r="BE735">
        <v>0.17342949557304252</v>
      </c>
      <c r="BF735">
        <v>0.17329451411962379</v>
      </c>
      <c r="BG735">
        <v>0.17331031565368046</v>
      </c>
      <c r="BH735">
        <v>0.17334596563999721</v>
      </c>
      <c r="BI735">
        <v>0.173345072746586</v>
      </c>
      <c r="BJ735">
        <v>0.17332396703997188</v>
      </c>
      <c r="BK735">
        <v>0.1733313302700589</v>
      </c>
      <c r="BL735">
        <v>0.17333658392415349</v>
      </c>
      <c r="BM735">
        <v>0.17333423849519258</v>
      </c>
      <c r="BN735">
        <v>0.17333152993234421</v>
      </c>
      <c r="BO735">
        <v>0.1733334206554373</v>
      </c>
      <c r="BP735">
        <v>0.17333394325178192</v>
      </c>
      <c r="BQ735">
        <v>0.173333283083689</v>
      </c>
      <c r="BR735">
        <v>0.17333304423081311</v>
      </c>
      <c r="BS735">
        <v>0.17333342280543032</v>
      </c>
      <c r="BT735">
        <v>0.17333342334292859</v>
      </c>
      <c r="BU735">
        <v>0.17333329336571524</v>
      </c>
      <c r="BV735">
        <v>0.17333329593622182</v>
      </c>
      <c r="BW735">
        <v>0.17333335886257398</v>
      </c>
      <c r="BX735">
        <v>0.17333334287685989</v>
      </c>
      <c r="BY735">
        <v>0.17333332276034272</v>
      </c>
      <c r="BZ735">
        <v>0.17333333010899959</v>
      </c>
      <c r="CA735">
        <v>0.17333333865219402</v>
      </c>
      <c r="CB735">
        <v>0.17333333359959907</v>
      </c>
      <c r="CC735">
        <v>0.17333333128028383</v>
      </c>
      <c r="CD735">
        <v>0.17333333341026913</v>
      </c>
      <c r="CE735">
        <v>0.1733333342355865</v>
      </c>
      <c r="CF735">
        <v>0.17333333313143462</v>
      </c>
      <c r="CG735">
        <v>0.17333333301439352</v>
      </c>
      <c r="CH735">
        <v>0.17333333344792096</v>
      </c>
      <c r="CI735">
        <v>0.17333333345733393</v>
      </c>
      <c r="CJ735">
        <v>0.17333333326277076</v>
      </c>
      <c r="CK735">
        <v>0.1733333332956048</v>
      </c>
      <c r="CL735">
        <v>0.17333333336590762</v>
      </c>
      <c r="CM735">
        <v>0.17333333334540427</v>
      </c>
      <c r="CN735">
        <v>0.17333333331742184</v>
      </c>
    </row>
    <row r="736" spans="1:92" x14ac:dyDescent="0.25">
      <c r="A736" s="99"/>
    </row>
    <row r="737" spans="1:92" x14ac:dyDescent="0.25">
      <c r="A737" s="99" t="s">
        <v>293</v>
      </c>
      <c r="B737" s="4">
        <v>0</v>
      </c>
      <c r="C737" s="4">
        <v>0</v>
      </c>
      <c r="D737" s="4">
        <v>0</v>
      </c>
      <c r="E737" s="4">
        <v>0</v>
      </c>
      <c r="F737" s="4">
        <v>0</v>
      </c>
      <c r="G737" s="4">
        <v>0</v>
      </c>
      <c r="H737" s="4">
        <v>0</v>
      </c>
      <c r="I737" s="4">
        <v>0</v>
      </c>
      <c r="J737" s="4">
        <v>0</v>
      </c>
      <c r="K737" s="4">
        <v>0</v>
      </c>
      <c r="L737" s="4">
        <v>0</v>
      </c>
      <c r="M737" s="4">
        <v>0</v>
      </c>
      <c r="N737" s="4">
        <v>0</v>
      </c>
      <c r="O737" s="4">
        <v>0</v>
      </c>
      <c r="P737" s="4">
        <v>0</v>
      </c>
      <c r="Q737" s="4">
        <v>0</v>
      </c>
      <c r="R737" s="4">
        <v>0</v>
      </c>
      <c r="S737" s="4">
        <v>0</v>
      </c>
      <c r="T737" s="4">
        <v>0</v>
      </c>
      <c r="U737" s="4">
        <v>0</v>
      </c>
      <c r="V737" s="4">
        <v>0</v>
      </c>
      <c r="W737" s="4">
        <v>0</v>
      </c>
      <c r="X737" s="4">
        <v>0</v>
      </c>
      <c r="Y737" s="4">
        <v>0</v>
      </c>
      <c r="Z737" s="4">
        <v>0</v>
      </c>
      <c r="AA737" s="4">
        <v>0</v>
      </c>
      <c r="AB737" s="4">
        <v>0</v>
      </c>
      <c r="AC737" s="4">
        <v>0</v>
      </c>
      <c r="AD737" s="4">
        <v>0</v>
      </c>
      <c r="AE737" s="4">
        <v>0</v>
      </c>
      <c r="AF737">
        <v>21.282666666666501</v>
      </c>
      <c r="AG737">
        <v>22.327499999999873</v>
      </c>
      <c r="AH737">
        <v>23.372333333333245</v>
      </c>
      <c r="AI737">
        <v>24.417166666666617</v>
      </c>
      <c r="AJ737">
        <v>25.461999999999989</v>
      </c>
      <c r="AK737">
        <v>26.506833333333361</v>
      </c>
      <c r="AL737">
        <v>27.551666666666279</v>
      </c>
      <c r="AM737">
        <v>28.596499999999651</v>
      </c>
      <c r="AN737">
        <v>29.641333333333023</v>
      </c>
      <c r="AO737">
        <v>30.686166666666395</v>
      </c>
      <c r="AP737">
        <v>31.730999999999767</v>
      </c>
      <c r="AQ737">
        <v>32.775833333333139</v>
      </c>
      <c r="AR737">
        <v>33.820666666666511</v>
      </c>
      <c r="AS737">
        <v>34.865499999999884</v>
      </c>
      <c r="AT737">
        <v>35.910333333333256</v>
      </c>
      <c r="AU737">
        <v>36.955166666666628</v>
      </c>
      <c r="AV737">
        <v>38</v>
      </c>
      <c r="AW737">
        <v>39.044833333333372</v>
      </c>
      <c r="AX737">
        <v>40.08966666666629</v>
      </c>
      <c r="AY737">
        <v>41.134499999999662</v>
      </c>
      <c r="AZ737">
        <v>42.179333333333034</v>
      </c>
      <c r="BA737">
        <v>43.224166666666406</v>
      </c>
      <c r="BB737">
        <v>44.268999999999778</v>
      </c>
      <c r="BC737">
        <v>45.31383333333315</v>
      </c>
      <c r="BD737">
        <v>46.358666666666522</v>
      </c>
      <c r="BE737">
        <v>47.403499999999894</v>
      </c>
      <c r="BF737">
        <v>48.448333333333267</v>
      </c>
      <c r="BG737">
        <v>49.493166666666639</v>
      </c>
      <c r="BH737">
        <v>50.538000000000011</v>
      </c>
      <c r="BI737">
        <v>51.582833333332928</v>
      </c>
      <c r="BJ737">
        <v>52.6276666666663</v>
      </c>
      <c r="BK737">
        <v>53.672499999999673</v>
      </c>
      <c r="BL737">
        <v>54.717333333333045</v>
      </c>
      <c r="BM737">
        <v>55.762166666666417</v>
      </c>
      <c r="BN737">
        <v>56.806999999999789</v>
      </c>
      <c r="BO737">
        <v>57.851833333333161</v>
      </c>
      <c r="BP737">
        <v>58.896666666666533</v>
      </c>
      <c r="BQ737">
        <v>59.941499999999905</v>
      </c>
      <c r="BR737">
        <v>60.986333333333278</v>
      </c>
      <c r="BS737">
        <v>62.03116666666665</v>
      </c>
      <c r="BT737">
        <v>63.076000000000022</v>
      </c>
      <c r="BU737">
        <v>64.120833333332939</v>
      </c>
      <c r="BV737">
        <v>65.165666666666311</v>
      </c>
      <c r="BW737">
        <v>66.210499999999683</v>
      </c>
      <c r="BX737">
        <v>67.255333333333056</v>
      </c>
      <c r="BY737">
        <v>68.300166666666428</v>
      </c>
      <c r="BZ737">
        <v>69.3449999999998</v>
      </c>
      <c r="CA737">
        <v>70.389833333333172</v>
      </c>
      <c r="CB737">
        <v>71.434666666666544</v>
      </c>
      <c r="CC737">
        <v>72.479499999999916</v>
      </c>
      <c r="CD737">
        <v>73.524333333333288</v>
      </c>
      <c r="CE737">
        <v>74.569166666666661</v>
      </c>
      <c r="CF737">
        <v>75.614000000000033</v>
      </c>
      <c r="CG737">
        <v>76.65883333333295</v>
      </c>
      <c r="CH737">
        <v>77.703666666666322</v>
      </c>
      <c r="CI737">
        <v>78.748499999999694</v>
      </c>
      <c r="CJ737">
        <v>79.793333333333067</v>
      </c>
      <c r="CK737">
        <v>80.838166666666439</v>
      </c>
      <c r="CL737">
        <v>81.882999999999811</v>
      </c>
      <c r="CM737">
        <v>82.927833333333183</v>
      </c>
      <c r="CN737">
        <v>83.972666666666555</v>
      </c>
    </row>
    <row r="738" spans="1:92" x14ac:dyDescent="0.25">
      <c r="A738" s="99"/>
    </row>
    <row r="739" spans="1:92" s="50" customFormat="1" x14ac:dyDescent="0.25">
      <c r="A739" s="99" t="s">
        <v>294</v>
      </c>
      <c r="B739" s="4">
        <v>0</v>
      </c>
      <c r="C739" s="4">
        <v>0</v>
      </c>
      <c r="D739" s="4">
        <v>0</v>
      </c>
      <c r="E739" s="4">
        <v>0</v>
      </c>
      <c r="F739" s="4">
        <v>0</v>
      </c>
      <c r="G739" s="4">
        <v>0</v>
      </c>
      <c r="H739" s="4">
        <v>0</v>
      </c>
      <c r="I739" s="4">
        <v>0</v>
      </c>
      <c r="J739" s="4">
        <v>0</v>
      </c>
      <c r="K739" s="4">
        <v>0</v>
      </c>
      <c r="L739" s="4">
        <v>0</v>
      </c>
      <c r="M739" s="4">
        <v>0</v>
      </c>
      <c r="N739" s="4">
        <v>0</v>
      </c>
      <c r="O739" s="4">
        <v>0</v>
      </c>
      <c r="P739" s="4">
        <v>0</v>
      </c>
      <c r="Q739" s="4">
        <v>0</v>
      </c>
      <c r="R739" s="4">
        <v>0</v>
      </c>
      <c r="S739" s="4">
        <v>0</v>
      </c>
      <c r="T739" s="4">
        <v>0</v>
      </c>
      <c r="U739" s="4">
        <v>0</v>
      </c>
      <c r="V739" s="4">
        <v>0</v>
      </c>
      <c r="W739" s="4">
        <v>0</v>
      </c>
      <c r="X739" s="4">
        <v>0</v>
      </c>
      <c r="Y739" s="4">
        <v>0</v>
      </c>
      <c r="Z739" s="4">
        <v>0</v>
      </c>
      <c r="AA739" s="4">
        <v>0</v>
      </c>
      <c r="AB739" s="4">
        <v>0</v>
      </c>
      <c r="AC739" s="4">
        <v>0</v>
      </c>
      <c r="AD739" s="4">
        <v>0</v>
      </c>
      <c r="AE739" s="4">
        <v>0</v>
      </c>
      <c r="AF739" s="50">
        <v>72.489003251754184</v>
      </c>
      <c r="AG739" s="50">
        <v>72.044930686291309</v>
      </c>
      <c r="AH739" s="50">
        <v>71.60085812082832</v>
      </c>
      <c r="AI739" s="50">
        <v>71.156785555365332</v>
      </c>
      <c r="AJ739" s="50">
        <v>70.712712989902457</v>
      </c>
      <c r="AK739" s="50">
        <v>70.268640424439468</v>
      </c>
      <c r="AL739" s="50">
        <v>69.824567858976479</v>
      </c>
      <c r="AM739" s="50">
        <v>69.380495293513604</v>
      </c>
      <c r="AN739" s="50">
        <v>68.936422728050616</v>
      </c>
      <c r="AO739" s="50">
        <v>68.492350162587741</v>
      </c>
      <c r="AP739" s="50">
        <v>68.048277597124752</v>
      </c>
      <c r="AQ739" s="50">
        <v>67.604205031661763</v>
      </c>
      <c r="AR739" s="50">
        <v>67.160132466198888</v>
      </c>
      <c r="AS739" s="50">
        <v>66.7160599007359</v>
      </c>
      <c r="AT739" s="50">
        <v>66.271987335273025</v>
      </c>
      <c r="AU739" s="50">
        <v>65.827914769810036</v>
      </c>
      <c r="AV739" s="50">
        <v>65.383842204347047</v>
      </c>
      <c r="AW739" s="50">
        <v>64.939769638884172</v>
      </c>
      <c r="AX739" s="50">
        <v>64.495697073421184</v>
      </c>
      <c r="AY739" s="50">
        <v>64.051624507958195</v>
      </c>
      <c r="AZ739" s="50">
        <v>63.60755194249532</v>
      </c>
      <c r="BA739" s="50">
        <v>63.163479377032331</v>
      </c>
      <c r="BB739" s="50">
        <v>62.719406811569343</v>
      </c>
      <c r="BC739" s="50">
        <v>62.275334246106468</v>
      </c>
      <c r="BD739" s="50">
        <v>61.831261680643479</v>
      </c>
      <c r="BE739" s="50">
        <v>61.387189115180604</v>
      </c>
      <c r="BF739" s="50">
        <v>60.943116549717615</v>
      </c>
      <c r="BG739" s="50">
        <v>60.499043984254627</v>
      </c>
      <c r="BH739" s="50">
        <v>60.054971418791752</v>
      </c>
      <c r="BI739" s="50">
        <v>59.610898853328763</v>
      </c>
      <c r="BJ739" s="50">
        <v>59.166826287865888</v>
      </c>
      <c r="BK739" s="50">
        <v>58.722753722402899</v>
      </c>
      <c r="BL739" s="50">
        <v>58.278681156939911</v>
      </c>
      <c r="BM739" s="50">
        <v>57.834608591477036</v>
      </c>
      <c r="BN739" s="50">
        <v>57.390536026014047</v>
      </c>
      <c r="BO739" s="50">
        <v>56.946463460551058</v>
      </c>
      <c r="BP739" s="50">
        <v>56.502390895088183</v>
      </c>
      <c r="BQ739" s="50">
        <v>56.058318329625195</v>
      </c>
      <c r="BR739" s="50">
        <v>55.614245764162206</v>
      </c>
      <c r="BS739" s="50">
        <v>55.170173198699331</v>
      </c>
      <c r="BT739" s="50">
        <v>54.726100633236342</v>
      </c>
      <c r="BU739" s="50">
        <v>54.282028067773467</v>
      </c>
      <c r="BV739" s="50">
        <v>53.837955502310479</v>
      </c>
      <c r="BW739" s="50">
        <v>53.39388293684749</v>
      </c>
      <c r="BX739" s="50">
        <v>52.949810371384615</v>
      </c>
      <c r="BY739" s="50">
        <v>52.505737805921626</v>
      </c>
      <c r="BZ739" s="50">
        <v>52.061665240458751</v>
      </c>
      <c r="CA739" s="50">
        <v>51.617592674995763</v>
      </c>
      <c r="CB739" s="50">
        <v>51.173520109532774</v>
      </c>
      <c r="CC739" s="50">
        <v>50.729447544069899</v>
      </c>
      <c r="CD739" s="50">
        <v>50.28537497860691</v>
      </c>
      <c r="CE739" s="50">
        <v>49.841302413143922</v>
      </c>
      <c r="CF739" s="50">
        <v>49.397229847681047</v>
      </c>
      <c r="CG739" s="50">
        <v>48.953157282218058</v>
      </c>
      <c r="CH739" s="50">
        <v>48.509084716755069</v>
      </c>
      <c r="CI739" s="50">
        <v>48.065012151292194</v>
      </c>
      <c r="CJ739" s="50">
        <v>47.620939585829205</v>
      </c>
      <c r="CK739" s="50">
        <v>47.176867020366331</v>
      </c>
      <c r="CL739" s="50">
        <v>46.732794454903342</v>
      </c>
      <c r="CM739" s="50">
        <v>46.288721889440353</v>
      </c>
      <c r="CN739" s="50">
        <v>45.844649323977478</v>
      </c>
    </row>
    <row r="740" spans="1:92" s="50" customFormat="1" x14ac:dyDescent="0.25">
      <c r="A740" s="9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92" x14ac:dyDescent="0.25">
      <c r="A741" s="99" t="s">
        <v>295</v>
      </c>
      <c r="B741" s="4">
        <v>0</v>
      </c>
      <c r="C741" s="4">
        <v>0</v>
      </c>
      <c r="D741" s="4">
        <v>0</v>
      </c>
      <c r="E741" s="4">
        <v>0</v>
      </c>
      <c r="F741" s="4">
        <v>0</v>
      </c>
      <c r="G741" s="4">
        <v>0</v>
      </c>
      <c r="H741" s="4">
        <v>0</v>
      </c>
      <c r="I741" s="4">
        <v>0</v>
      </c>
      <c r="J741" s="4">
        <v>0</v>
      </c>
      <c r="K741" s="4">
        <v>0</v>
      </c>
      <c r="L741" s="4">
        <v>0</v>
      </c>
      <c r="M741" s="4">
        <v>0</v>
      </c>
      <c r="N741" s="4">
        <v>0</v>
      </c>
      <c r="O741" s="4">
        <v>0</v>
      </c>
      <c r="P741" s="4">
        <v>0</v>
      </c>
      <c r="Q741" s="4">
        <v>0</v>
      </c>
      <c r="R741" s="4">
        <v>0</v>
      </c>
      <c r="S741" s="4">
        <v>0</v>
      </c>
      <c r="T741" s="4">
        <v>0</v>
      </c>
      <c r="U741" s="4">
        <v>0</v>
      </c>
      <c r="V741" s="4">
        <v>0</v>
      </c>
      <c r="W741" s="4">
        <v>0</v>
      </c>
      <c r="X741" s="4">
        <v>0</v>
      </c>
      <c r="Y741" s="4">
        <v>0</v>
      </c>
      <c r="Z741" s="4">
        <v>0</v>
      </c>
      <c r="AA741" s="4">
        <v>0</v>
      </c>
      <c r="AB741" s="4">
        <v>0</v>
      </c>
      <c r="AC741" s="4">
        <v>0</v>
      </c>
      <c r="AD741" s="4">
        <v>0</v>
      </c>
      <c r="AE741" s="4">
        <v>0</v>
      </c>
      <c r="AF741">
        <v>1839.1906666666655</v>
      </c>
      <c r="AG741">
        <v>1823.8641666666626</v>
      </c>
      <c r="AH741">
        <v>1808.5376666666634</v>
      </c>
      <c r="AI741">
        <v>1793.2111666666642</v>
      </c>
      <c r="AJ741">
        <v>1777.884666666665</v>
      </c>
      <c r="AK741">
        <v>1762.5581666666658</v>
      </c>
      <c r="AL741">
        <v>1747.2316666666629</v>
      </c>
      <c r="AM741">
        <v>1731.9051666666637</v>
      </c>
      <c r="AN741">
        <v>1716.5786666666645</v>
      </c>
      <c r="AO741">
        <v>1701.2521666666653</v>
      </c>
      <c r="AP741">
        <v>1685.9256666666624</v>
      </c>
      <c r="AQ741">
        <v>1670.5991666666632</v>
      </c>
      <c r="AR741">
        <v>1655.272666666664</v>
      </c>
      <c r="AS741">
        <v>1639.9461666666648</v>
      </c>
      <c r="AT741">
        <v>1624.6196666666656</v>
      </c>
      <c r="AU741">
        <v>1609.2931666666627</v>
      </c>
      <c r="AV741">
        <v>1593.9666666666635</v>
      </c>
      <c r="AW741">
        <v>1578.6401666666643</v>
      </c>
      <c r="AX741">
        <v>1563.3136666666651</v>
      </c>
      <c r="AY741">
        <v>1547.9871666666659</v>
      </c>
      <c r="AZ741">
        <v>1532.660666666663</v>
      </c>
      <c r="BA741">
        <v>1517.3341666666638</v>
      </c>
      <c r="BB741">
        <v>1502.0076666666646</v>
      </c>
      <c r="BC741">
        <v>1486.6811666666654</v>
      </c>
      <c r="BD741">
        <v>1471.3546666666625</v>
      </c>
      <c r="BE741">
        <v>1456.0281666666633</v>
      </c>
      <c r="BF741">
        <v>1440.7016666666641</v>
      </c>
      <c r="BG741">
        <v>1425.3751666666649</v>
      </c>
      <c r="BH741">
        <v>1410.0486666666657</v>
      </c>
      <c r="BI741">
        <v>1394.7221666666628</v>
      </c>
      <c r="BJ741">
        <v>1379.3956666666636</v>
      </c>
      <c r="BK741">
        <v>1364.0691666666644</v>
      </c>
      <c r="BL741">
        <v>1348.7426666666652</v>
      </c>
      <c r="BM741">
        <v>1333.4161666666623</v>
      </c>
      <c r="BN741">
        <v>1318.0896666666631</v>
      </c>
      <c r="BO741">
        <v>1302.7631666666639</v>
      </c>
      <c r="BP741">
        <v>1287.4366666666647</v>
      </c>
      <c r="BQ741">
        <v>1272.1101666666655</v>
      </c>
      <c r="BR741">
        <v>1256.7836666666626</v>
      </c>
      <c r="BS741">
        <v>1241.4571666666634</v>
      </c>
      <c r="BT741">
        <v>1226.1306666666642</v>
      </c>
      <c r="BU741">
        <v>1210.804166666665</v>
      </c>
      <c r="BV741">
        <v>1195.4776666666658</v>
      </c>
      <c r="BW741">
        <v>1180.1511666666629</v>
      </c>
      <c r="BX741">
        <v>1164.8246666666637</v>
      </c>
      <c r="BY741">
        <v>1149.4981666666645</v>
      </c>
      <c r="BZ741">
        <v>1134.1716666666653</v>
      </c>
      <c r="CA741">
        <v>1118.8451666666624</v>
      </c>
      <c r="CB741">
        <v>1103.5186666666632</v>
      </c>
      <c r="CC741">
        <v>1088.192166666664</v>
      </c>
      <c r="CD741">
        <v>1072.8656666666648</v>
      </c>
      <c r="CE741">
        <v>1057.5391666666656</v>
      </c>
      <c r="CF741">
        <v>1042.2126666666627</v>
      </c>
      <c r="CG741">
        <v>1026.8861666666635</v>
      </c>
      <c r="CH741">
        <v>1011.5596666666643</v>
      </c>
      <c r="CI741">
        <v>996.23316666666506</v>
      </c>
      <c r="CJ741">
        <v>980.9066666666622</v>
      </c>
      <c r="CK741">
        <v>965.58016666666299</v>
      </c>
      <c r="CL741">
        <v>950.25366666666378</v>
      </c>
      <c r="CM741">
        <v>934.92716666666456</v>
      </c>
      <c r="CN741">
        <v>919.60066666666535</v>
      </c>
    </row>
    <row r="742" spans="1:92" x14ac:dyDescent="0.25">
      <c r="A742" s="99"/>
    </row>
    <row r="743" spans="1:92" s="50" customFormat="1" x14ac:dyDescent="0.25">
      <c r="A743" s="99" t="s">
        <v>296</v>
      </c>
      <c r="B743" s="4">
        <v>0</v>
      </c>
      <c r="C743" s="4">
        <v>0</v>
      </c>
      <c r="D743" s="4">
        <v>0</v>
      </c>
      <c r="E743" s="4">
        <v>0</v>
      </c>
      <c r="F743" s="4">
        <v>0</v>
      </c>
      <c r="G743" s="4">
        <v>0</v>
      </c>
      <c r="H743" s="4">
        <v>0</v>
      </c>
      <c r="I743" s="4">
        <v>0</v>
      </c>
      <c r="J743" s="4">
        <v>0</v>
      </c>
      <c r="K743" s="4">
        <v>0</v>
      </c>
      <c r="L743" s="4">
        <v>0</v>
      </c>
      <c r="M743" s="4">
        <v>0</v>
      </c>
      <c r="N743" s="4">
        <v>0</v>
      </c>
      <c r="O743" s="4">
        <v>0</v>
      </c>
      <c r="P743" s="4">
        <v>0</v>
      </c>
      <c r="Q743" s="4">
        <v>0</v>
      </c>
      <c r="R743" s="4">
        <v>0</v>
      </c>
      <c r="S743" s="4">
        <v>0</v>
      </c>
      <c r="T743" s="4">
        <v>0</v>
      </c>
      <c r="U743" s="4">
        <v>0</v>
      </c>
      <c r="V743" s="4">
        <v>0</v>
      </c>
      <c r="W743" s="4">
        <v>0</v>
      </c>
      <c r="X743" s="4">
        <v>0</v>
      </c>
      <c r="Y743" s="4">
        <v>0</v>
      </c>
      <c r="Z743" s="4">
        <v>0</v>
      </c>
      <c r="AA743" s="4">
        <v>0</v>
      </c>
      <c r="AB743" s="4">
        <v>0</v>
      </c>
      <c r="AC743" s="4">
        <v>0</v>
      </c>
      <c r="AD743" s="4">
        <v>0</v>
      </c>
      <c r="AE743" s="4">
        <v>0</v>
      </c>
      <c r="AF743" s="50">
        <v>51.570996748245761</v>
      </c>
      <c r="AG743" s="50">
        <v>51.255069313708759</v>
      </c>
      <c r="AH743" s="50">
        <v>50.939141879171643</v>
      </c>
      <c r="AI743" s="50">
        <v>50.623214444634641</v>
      </c>
      <c r="AJ743" s="50">
        <v>50.307287010097639</v>
      </c>
      <c r="AK743" s="50">
        <v>49.991359575560523</v>
      </c>
      <c r="AL743" s="50">
        <v>49.675432141023521</v>
      </c>
      <c r="AM743" s="50">
        <v>49.359504706486405</v>
      </c>
      <c r="AN743" s="50">
        <v>49.043577271949403</v>
      </c>
      <c r="AO743" s="50">
        <v>48.727649837412287</v>
      </c>
      <c r="AP743" s="50">
        <v>48.411722402875284</v>
      </c>
      <c r="AQ743" s="50">
        <v>48.095794968338282</v>
      </c>
      <c r="AR743" s="50">
        <v>47.779867533801166</v>
      </c>
      <c r="AS743" s="50">
        <v>47.463940099264164</v>
      </c>
      <c r="AT743" s="50">
        <v>47.148012664727048</v>
      </c>
      <c r="AU743" s="50">
        <v>46.832085230190046</v>
      </c>
      <c r="AV743" s="50">
        <v>46.51615779565293</v>
      </c>
      <c r="AW743" s="50">
        <v>46.200230361115928</v>
      </c>
      <c r="AX743" s="50">
        <v>45.884302926578926</v>
      </c>
      <c r="AY743" s="50">
        <v>45.56837549204181</v>
      </c>
      <c r="AZ743" s="50">
        <v>45.252448057504807</v>
      </c>
      <c r="BA743" s="50">
        <v>44.936520622967691</v>
      </c>
      <c r="BB743" s="50">
        <v>44.620593188430689</v>
      </c>
      <c r="BC743" s="50">
        <v>44.304665753893573</v>
      </c>
      <c r="BD743" s="50">
        <v>43.988738319356571</v>
      </c>
      <c r="BE743" s="50">
        <v>43.672810884819455</v>
      </c>
      <c r="BF743" s="50">
        <v>43.356883450282453</v>
      </c>
      <c r="BG743" s="50">
        <v>43.040956015745451</v>
      </c>
      <c r="BH743" s="50">
        <v>42.725028581208335</v>
      </c>
      <c r="BI743" s="50">
        <v>42.409101146671333</v>
      </c>
      <c r="BJ743" s="50">
        <v>42.093173712134217</v>
      </c>
      <c r="BK743" s="50">
        <v>41.777246277597214</v>
      </c>
      <c r="BL743" s="50">
        <v>41.461318843060099</v>
      </c>
      <c r="BM743" s="50">
        <v>41.145391408523096</v>
      </c>
      <c r="BN743" s="50">
        <v>40.82946397398598</v>
      </c>
      <c r="BO743" s="50">
        <v>40.513536539448978</v>
      </c>
      <c r="BP743" s="50">
        <v>40.197609104911976</v>
      </c>
      <c r="BQ743" s="50">
        <v>39.88168167037486</v>
      </c>
      <c r="BR743" s="50">
        <v>39.565754235837858</v>
      </c>
      <c r="BS743" s="50">
        <v>39.249826801300742</v>
      </c>
      <c r="BT743" s="50">
        <v>38.93389936676374</v>
      </c>
      <c r="BU743" s="50">
        <v>38.617971932226624</v>
      </c>
      <c r="BV743" s="50">
        <v>38.302044497689621</v>
      </c>
      <c r="BW743" s="50">
        <v>37.986117063152619</v>
      </c>
      <c r="BX743" s="50">
        <v>37.670189628615503</v>
      </c>
      <c r="BY743" s="50">
        <v>37.354262194078501</v>
      </c>
      <c r="BZ743" s="50">
        <v>37.038334759541385</v>
      </c>
      <c r="CA743" s="50">
        <v>36.722407325004383</v>
      </c>
      <c r="CB743" s="50">
        <v>36.406479890467267</v>
      </c>
      <c r="CC743" s="50">
        <v>36.090552455930265</v>
      </c>
      <c r="CD743" s="50">
        <v>35.774625021393263</v>
      </c>
      <c r="CE743" s="50">
        <v>35.458697586856147</v>
      </c>
      <c r="CF743" s="50">
        <v>35.142770152319144</v>
      </c>
      <c r="CG743" s="50">
        <v>34.826842717782029</v>
      </c>
      <c r="CH743" s="50">
        <v>34.510915283245026</v>
      </c>
      <c r="CI743" s="50">
        <v>34.19498784870791</v>
      </c>
      <c r="CJ743" s="50">
        <v>33.879060414170908</v>
      </c>
      <c r="CK743" s="50">
        <v>33.563132979633792</v>
      </c>
      <c r="CL743" s="50">
        <v>33.24720554509679</v>
      </c>
      <c r="CM743" s="50">
        <v>32.931278110559788</v>
      </c>
      <c r="CN743" s="50">
        <v>32.615350676022672</v>
      </c>
    </row>
    <row r="744" spans="1:92" s="50" customFormat="1" x14ac:dyDescent="0.25">
      <c r="A744" s="9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92" x14ac:dyDescent="0.25">
      <c r="A745" s="99" t="s">
        <v>297</v>
      </c>
      <c r="B745" s="4">
        <v>0</v>
      </c>
      <c r="C745" s="4">
        <v>0</v>
      </c>
      <c r="D745" s="4">
        <v>0</v>
      </c>
      <c r="E745" s="4">
        <v>0</v>
      </c>
      <c r="F745" s="4">
        <v>0</v>
      </c>
      <c r="G745" s="4">
        <v>0</v>
      </c>
      <c r="H745" s="4">
        <v>0</v>
      </c>
      <c r="I745" s="4">
        <v>0</v>
      </c>
      <c r="J745" s="4">
        <v>0</v>
      </c>
      <c r="K745" s="4">
        <v>0</v>
      </c>
      <c r="L745" s="4">
        <v>0</v>
      </c>
      <c r="M745" s="4">
        <v>0</v>
      </c>
      <c r="N745" s="4">
        <v>0</v>
      </c>
      <c r="O745" s="4">
        <v>0</v>
      </c>
      <c r="P745" s="4">
        <v>0</v>
      </c>
      <c r="Q745" s="4">
        <v>0</v>
      </c>
      <c r="R745" s="4">
        <v>0</v>
      </c>
      <c r="S745" s="4">
        <v>0</v>
      </c>
      <c r="T745" s="4">
        <v>0</v>
      </c>
      <c r="U745" s="4">
        <v>0</v>
      </c>
      <c r="V745" s="4">
        <v>0</v>
      </c>
      <c r="W745" s="4">
        <v>0</v>
      </c>
      <c r="X745" s="4">
        <v>0</v>
      </c>
      <c r="Y745" s="4">
        <v>0</v>
      </c>
      <c r="Z745" s="4">
        <v>0</v>
      </c>
      <c r="AA745" s="4">
        <v>0</v>
      </c>
      <c r="AB745" s="4">
        <v>0</v>
      </c>
      <c r="AC745" s="4">
        <v>0</v>
      </c>
      <c r="AD745" s="4">
        <v>0</v>
      </c>
      <c r="AE745" s="4">
        <v>0</v>
      </c>
      <c r="AF745">
        <v>2287.9079999999958</v>
      </c>
      <c r="AG745">
        <v>2366.8866666666581</v>
      </c>
      <c r="AH745">
        <v>2445.8653333333496</v>
      </c>
      <c r="AI745">
        <v>2524.8440000000119</v>
      </c>
      <c r="AJ745">
        <v>2603.8226666666742</v>
      </c>
      <c r="AK745">
        <v>2682.8013333333365</v>
      </c>
      <c r="AL745">
        <v>2761.7799999999988</v>
      </c>
      <c r="AM745">
        <v>2840.7586666666612</v>
      </c>
      <c r="AN745">
        <v>2919.7373333333235</v>
      </c>
      <c r="AO745">
        <v>2998.7160000000149</v>
      </c>
      <c r="AP745">
        <v>3077.6946666666772</v>
      </c>
      <c r="AQ745">
        <v>3156.6733333333395</v>
      </c>
      <c r="AR745">
        <v>3235.6520000000019</v>
      </c>
      <c r="AS745">
        <v>3314.6306666666642</v>
      </c>
      <c r="AT745">
        <v>3393.6093333333265</v>
      </c>
      <c r="AU745">
        <v>3472.5880000000179</v>
      </c>
      <c r="AV745">
        <v>3551.5666666666802</v>
      </c>
      <c r="AW745">
        <v>3630.5453333333426</v>
      </c>
      <c r="AX745">
        <v>3709.5240000000049</v>
      </c>
      <c r="AY745">
        <v>3788.5026666666672</v>
      </c>
      <c r="AZ745">
        <v>3867.4813333333295</v>
      </c>
      <c r="BA745">
        <v>3946.4599999999919</v>
      </c>
      <c r="BB745">
        <v>4025.4386666666833</v>
      </c>
      <c r="BC745">
        <v>4104.4173333333456</v>
      </c>
      <c r="BD745">
        <v>4183.3960000000079</v>
      </c>
      <c r="BE745">
        <v>4262.3746666666702</v>
      </c>
      <c r="BF745">
        <v>4341.3533333333326</v>
      </c>
      <c r="BG745">
        <v>4420.3319999999949</v>
      </c>
      <c r="BH745">
        <v>4499.3106666666572</v>
      </c>
      <c r="BI745">
        <v>4578.2893333333486</v>
      </c>
      <c r="BJ745">
        <v>4657.2680000000109</v>
      </c>
      <c r="BK745">
        <v>4736.2466666666733</v>
      </c>
      <c r="BL745">
        <v>4815.2253333333356</v>
      </c>
      <c r="BM745">
        <v>4894.2039999999979</v>
      </c>
      <c r="BN745">
        <v>4973.1826666666602</v>
      </c>
      <c r="BO745">
        <v>5052.1613333333516</v>
      </c>
      <c r="BP745">
        <v>5131.140000000014</v>
      </c>
      <c r="BQ745">
        <v>5210.1186666666763</v>
      </c>
      <c r="BR745">
        <v>5289.0973333333386</v>
      </c>
      <c r="BS745">
        <v>5368.0760000000009</v>
      </c>
      <c r="BT745">
        <v>5447.0546666666633</v>
      </c>
      <c r="BU745">
        <v>5526.0333333333256</v>
      </c>
      <c r="BV745">
        <v>5605.012000000017</v>
      </c>
      <c r="BW745">
        <v>5683.9906666666793</v>
      </c>
      <c r="BX745">
        <v>5762.9693333333416</v>
      </c>
      <c r="BY745">
        <v>5841.948000000004</v>
      </c>
      <c r="BZ745">
        <v>5920.9266666666663</v>
      </c>
      <c r="CA745">
        <v>5999.9053333333286</v>
      </c>
      <c r="CB745">
        <v>6078.8839999999909</v>
      </c>
      <c r="CC745">
        <v>6157.8626666666823</v>
      </c>
      <c r="CD745">
        <v>6236.8413333333447</v>
      </c>
      <c r="CE745">
        <v>6315.820000000007</v>
      </c>
      <c r="CF745">
        <v>6394.7986666666693</v>
      </c>
      <c r="CG745">
        <v>6473.7773333333316</v>
      </c>
      <c r="CH745">
        <v>6552.7559999999939</v>
      </c>
      <c r="CI745">
        <v>6631.7346666666854</v>
      </c>
      <c r="CJ745">
        <v>6710.7133333333477</v>
      </c>
      <c r="CK745">
        <v>6789.69200000001</v>
      </c>
      <c r="CL745">
        <v>6868.6706666666723</v>
      </c>
      <c r="CM745">
        <v>6947.6493333333347</v>
      </c>
      <c r="CN745">
        <v>7026.627999999997</v>
      </c>
    </row>
    <row r="746" spans="1:92" x14ac:dyDescent="0.25">
      <c r="A746" s="99" t="s">
        <v>1</v>
      </c>
      <c r="B746" s="4">
        <v>0</v>
      </c>
      <c r="C746" s="4">
        <v>0</v>
      </c>
      <c r="D746" s="4">
        <v>0</v>
      </c>
      <c r="E746" s="4">
        <v>0</v>
      </c>
      <c r="F746" s="4">
        <v>0</v>
      </c>
      <c r="G746" s="4">
        <v>0</v>
      </c>
      <c r="H746" s="4">
        <v>0</v>
      </c>
      <c r="I746" s="4">
        <v>0</v>
      </c>
      <c r="J746" s="4">
        <v>0</v>
      </c>
      <c r="K746" s="4">
        <v>0</v>
      </c>
      <c r="L746" s="4">
        <v>0</v>
      </c>
      <c r="M746" s="4">
        <v>0</v>
      </c>
      <c r="N746" s="4">
        <v>0</v>
      </c>
      <c r="O746" s="4">
        <v>0</v>
      </c>
      <c r="P746" s="4">
        <v>0</v>
      </c>
      <c r="Q746" s="4">
        <v>0</v>
      </c>
      <c r="R746" s="4">
        <v>0</v>
      </c>
      <c r="S746" s="4">
        <v>0</v>
      </c>
      <c r="T746" s="4">
        <v>0</v>
      </c>
      <c r="U746" s="4">
        <v>0</v>
      </c>
      <c r="V746" s="4">
        <v>0</v>
      </c>
      <c r="W746" s="4">
        <v>0</v>
      </c>
      <c r="X746" s="4">
        <v>0</v>
      </c>
      <c r="Y746" s="4">
        <v>0</v>
      </c>
      <c r="Z746" s="4">
        <v>0</v>
      </c>
      <c r="AA746" s="4">
        <v>0</v>
      </c>
      <c r="AB746" s="4">
        <v>0</v>
      </c>
      <c r="AC746" s="4">
        <v>0</v>
      </c>
      <c r="AD746" s="4">
        <v>0</v>
      </c>
      <c r="AE746" s="4">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c r="CH746">
        <v>0</v>
      </c>
      <c r="CI746">
        <v>0</v>
      </c>
      <c r="CJ746">
        <v>0</v>
      </c>
      <c r="CK746">
        <v>0</v>
      </c>
      <c r="CL746">
        <v>0</v>
      </c>
      <c r="CM746">
        <v>0</v>
      </c>
      <c r="CN746">
        <v>0</v>
      </c>
    </row>
    <row r="747" spans="1:92" x14ac:dyDescent="0.25">
      <c r="A747" s="99" t="s">
        <v>1</v>
      </c>
      <c r="B747" s="4">
        <v>0</v>
      </c>
      <c r="C747" s="4">
        <v>0</v>
      </c>
      <c r="D747" s="4">
        <v>0</v>
      </c>
      <c r="E747" s="4">
        <v>0</v>
      </c>
      <c r="F747" s="4">
        <v>0</v>
      </c>
      <c r="G747" s="4">
        <v>0</v>
      </c>
      <c r="H747" s="4">
        <v>0</v>
      </c>
      <c r="I747" s="4">
        <v>0</v>
      </c>
      <c r="J747" s="4">
        <v>0</v>
      </c>
      <c r="K747" s="4">
        <v>0</v>
      </c>
      <c r="L747" s="4">
        <v>0</v>
      </c>
      <c r="M747" s="4">
        <v>0</v>
      </c>
      <c r="N747" s="4">
        <v>0</v>
      </c>
      <c r="O747" s="4">
        <v>0</v>
      </c>
      <c r="P747" s="4">
        <v>0</v>
      </c>
      <c r="Q747" s="4">
        <v>0</v>
      </c>
      <c r="R747" s="4">
        <v>0</v>
      </c>
      <c r="S747" s="4">
        <v>0</v>
      </c>
      <c r="T747" s="4">
        <v>0</v>
      </c>
      <c r="U747" s="4">
        <v>0</v>
      </c>
      <c r="V747" s="4">
        <v>0</v>
      </c>
      <c r="W747" s="4">
        <v>0</v>
      </c>
      <c r="X747" s="4">
        <v>0</v>
      </c>
      <c r="Y747" s="4">
        <v>0</v>
      </c>
      <c r="Z747" s="4">
        <v>0</v>
      </c>
      <c r="AA747" s="4">
        <v>0</v>
      </c>
      <c r="AB747" s="4">
        <v>0</v>
      </c>
      <c r="AC747" s="4">
        <v>0</v>
      </c>
      <c r="AD747" s="4">
        <v>0</v>
      </c>
      <c r="AE747" s="4">
        <v>0</v>
      </c>
      <c r="AF747">
        <v>12225.004000000001</v>
      </c>
      <c r="AG747">
        <v>12257.718333333331</v>
      </c>
      <c r="AH747">
        <v>12290.432666666668</v>
      </c>
      <c r="AI747">
        <v>12323.146999999997</v>
      </c>
      <c r="AJ747">
        <v>12355.861333333334</v>
      </c>
      <c r="AK747">
        <v>12388.575666666664</v>
      </c>
      <c r="AL747">
        <v>12421.29</v>
      </c>
      <c r="AM747">
        <v>12454.004333333331</v>
      </c>
      <c r="AN747">
        <v>12486.718666666668</v>
      </c>
      <c r="AO747">
        <v>12519.432999999997</v>
      </c>
      <c r="AP747">
        <v>12552.147333333334</v>
      </c>
      <c r="AQ747">
        <v>12584.861666666671</v>
      </c>
      <c r="AR747">
        <v>12617.576000000001</v>
      </c>
      <c r="AS747">
        <v>12650.290333333338</v>
      </c>
      <c r="AT747">
        <v>12683.004666666668</v>
      </c>
      <c r="AU747">
        <v>12715.719000000005</v>
      </c>
      <c r="AV747">
        <v>12748.433333333342</v>
      </c>
      <c r="AW747">
        <v>12781.147666666664</v>
      </c>
      <c r="AX747">
        <v>12813.862000000001</v>
      </c>
      <c r="AY747">
        <v>12846.576333333338</v>
      </c>
      <c r="AZ747">
        <v>12879.290666666675</v>
      </c>
      <c r="BA747">
        <v>12912.004999999997</v>
      </c>
      <c r="BB747">
        <v>12944.719333333334</v>
      </c>
      <c r="BC747">
        <v>12977.433666666671</v>
      </c>
      <c r="BD747">
        <v>13010.148000000008</v>
      </c>
      <c r="BE747">
        <v>13042.862333333345</v>
      </c>
      <c r="BF747">
        <v>13075.576666666668</v>
      </c>
      <c r="BG747">
        <v>13108.291000000005</v>
      </c>
      <c r="BH747">
        <v>13141.005333333342</v>
      </c>
      <c r="BI747">
        <v>13173.719666666679</v>
      </c>
      <c r="BJ747">
        <v>13206.434000000001</v>
      </c>
      <c r="BK747">
        <v>13239.148333333338</v>
      </c>
      <c r="BL747">
        <v>13271.862666666675</v>
      </c>
      <c r="BM747">
        <v>13304.577000000012</v>
      </c>
      <c r="BN747">
        <v>13337.291333333349</v>
      </c>
      <c r="BO747">
        <v>13370.005666666671</v>
      </c>
      <c r="BP747">
        <v>13402.720000000008</v>
      </c>
      <c r="BQ747">
        <v>13435.434333333345</v>
      </c>
      <c r="BR747">
        <v>13468.148666666682</v>
      </c>
      <c r="BS747">
        <v>13500.863000000005</v>
      </c>
      <c r="BT747">
        <v>13533.577333333342</v>
      </c>
      <c r="BU747">
        <v>13566.291666666679</v>
      </c>
      <c r="BV747">
        <v>13599.006000000016</v>
      </c>
      <c r="BW747">
        <v>13631.720333333338</v>
      </c>
      <c r="BX747">
        <v>13664.434666666675</v>
      </c>
      <c r="BY747">
        <v>13697.149000000012</v>
      </c>
      <c r="BZ747">
        <v>13729.863333333349</v>
      </c>
      <c r="CA747">
        <v>13762.577666666686</v>
      </c>
      <c r="CB747">
        <v>13795.292000000009</v>
      </c>
      <c r="CC747">
        <v>13828.006333333346</v>
      </c>
      <c r="CD747">
        <v>13860.720666666683</v>
      </c>
      <c r="CE747">
        <v>13893.435000000019</v>
      </c>
      <c r="CF747">
        <v>13926.149333333342</v>
      </c>
      <c r="CG747">
        <v>13958.863666666679</v>
      </c>
      <c r="CH747">
        <v>13991.578000000016</v>
      </c>
      <c r="CI747">
        <v>14024.292333333353</v>
      </c>
      <c r="CJ747">
        <v>14057.006666666675</v>
      </c>
      <c r="CK747">
        <v>14089.721000000012</v>
      </c>
      <c r="CL747">
        <v>14122.435333333349</v>
      </c>
      <c r="CM747">
        <v>14155.149666666686</v>
      </c>
      <c r="CN747">
        <v>14187.864000000023</v>
      </c>
    </row>
    <row r="748" spans="1:92" x14ac:dyDescent="0.25">
      <c r="A748" s="99" t="s">
        <v>1</v>
      </c>
      <c r="B748" s="4">
        <v>0</v>
      </c>
      <c r="C748" s="4">
        <v>0</v>
      </c>
      <c r="D748" s="4">
        <v>0</v>
      </c>
      <c r="E748" s="4">
        <v>0</v>
      </c>
      <c r="F748" s="4">
        <v>0</v>
      </c>
      <c r="G748" s="4">
        <v>0</v>
      </c>
      <c r="H748" s="4">
        <v>0</v>
      </c>
      <c r="I748" s="4">
        <v>0</v>
      </c>
      <c r="J748" s="4">
        <v>0</v>
      </c>
      <c r="K748" s="4">
        <v>0</v>
      </c>
      <c r="L748" s="4">
        <v>0</v>
      </c>
      <c r="M748" s="4">
        <v>0</v>
      </c>
      <c r="N748" s="4">
        <v>0</v>
      </c>
      <c r="O748" s="4">
        <v>0</v>
      </c>
      <c r="P748" s="4">
        <v>0</v>
      </c>
      <c r="Q748" s="4">
        <v>0</v>
      </c>
      <c r="R748" s="4">
        <v>0</v>
      </c>
      <c r="S748" s="4">
        <v>0</v>
      </c>
      <c r="T748" s="4">
        <v>0</v>
      </c>
      <c r="U748" s="4">
        <v>0</v>
      </c>
      <c r="V748" s="4">
        <v>0</v>
      </c>
      <c r="W748" s="4">
        <v>0</v>
      </c>
      <c r="X748" s="4">
        <v>0</v>
      </c>
      <c r="Y748" s="4">
        <v>0</v>
      </c>
      <c r="Z748" s="4">
        <v>0</v>
      </c>
      <c r="AA748" s="4">
        <v>0</v>
      </c>
      <c r="AB748" s="4">
        <v>0</v>
      </c>
      <c r="AC748" s="4">
        <v>0</v>
      </c>
      <c r="AD748" s="4">
        <v>0</v>
      </c>
      <c r="AE748" s="4">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0</v>
      </c>
      <c r="CL748">
        <v>0</v>
      </c>
      <c r="CM748">
        <v>0</v>
      </c>
      <c r="CN748">
        <v>0</v>
      </c>
    </row>
    <row r="749" spans="1:92" x14ac:dyDescent="0.25">
      <c r="A749" s="99" t="s">
        <v>1</v>
      </c>
      <c r="B749" s="4">
        <v>0</v>
      </c>
      <c r="C749" s="4">
        <v>0</v>
      </c>
      <c r="D749" s="4">
        <v>0</v>
      </c>
      <c r="E749" s="4">
        <v>0</v>
      </c>
      <c r="F749" s="4">
        <v>0</v>
      </c>
      <c r="G749" s="4">
        <v>0</v>
      </c>
      <c r="H749" s="4">
        <v>0</v>
      </c>
      <c r="I749" s="4">
        <v>0</v>
      </c>
      <c r="J749" s="4">
        <v>0</v>
      </c>
      <c r="K749" s="4">
        <v>0</v>
      </c>
      <c r="L749" s="4">
        <v>0</v>
      </c>
      <c r="M749" s="4">
        <v>0</v>
      </c>
      <c r="N749" s="4">
        <v>0</v>
      </c>
      <c r="O749" s="4">
        <v>0</v>
      </c>
      <c r="P749" s="4">
        <v>0</v>
      </c>
      <c r="Q749" s="4">
        <v>0</v>
      </c>
      <c r="R749" s="4">
        <v>0</v>
      </c>
      <c r="S749" s="4">
        <v>0</v>
      </c>
      <c r="T749" s="4">
        <v>0</v>
      </c>
      <c r="U749" s="4">
        <v>0</v>
      </c>
      <c r="V749" s="4">
        <v>0</v>
      </c>
      <c r="W749" s="4">
        <v>0</v>
      </c>
      <c r="X749" s="4">
        <v>0</v>
      </c>
      <c r="Y749" s="4">
        <v>0</v>
      </c>
      <c r="Z749" s="4">
        <v>0</v>
      </c>
      <c r="AA749" s="4">
        <v>0</v>
      </c>
      <c r="AB749" s="4">
        <v>0</v>
      </c>
      <c r="AC749" s="4">
        <v>0</v>
      </c>
      <c r="AD749" s="4">
        <v>0</v>
      </c>
      <c r="AE749" s="4">
        <v>0</v>
      </c>
      <c r="AF749">
        <v>4875.091999999946</v>
      </c>
      <c r="AG749">
        <v>5325.0050000000047</v>
      </c>
      <c r="AH749">
        <v>5774.9179999999469</v>
      </c>
      <c r="AI749">
        <v>6224.8310000000056</v>
      </c>
      <c r="AJ749">
        <v>6674.7439999999478</v>
      </c>
      <c r="AK749">
        <v>7124.6570000000065</v>
      </c>
      <c r="AL749">
        <v>7574.5699999999488</v>
      </c>
      <c r="AM749">
        <v>8024.4830000000075</v>
      </c>
      <c r="AN749">
        <v>8474.3959999999497</v>
      </c>
      <c r="AO749">
        <v>8924.3090000000084</v>
      </c>
      <c r="AP749">
        <v>9374.2219999999506</v>
      </c>
      <c r="AQ749">
        <v>9824.1350000000093</v>
      </c>
      <c r="AR749">
        <v>10274.047999999952</v>
      </c>
      <c r="AS749">
        <v>10723.96100000001</v>
      </c>
      <c r="AT749">
        <v>11173.873999999953</v>
      </c>
      <c r="AU749">
        <v>11623.787000000011</v>
      </c>
      <c r="AV749">
        <v>12073.699999999953</v>
      </c>
      <c r="AW749">
        <v>12523.613000000012</v>
      </c>
      <c r="AX749">
        <v>12973.525999999954</v>
      </c>
      <c r="AY749">
        <v>13423.439000000013</v>
      </c>
      <c r="AZ749">
        <v>13873.351999999955</v>
      </c>
      <c r="BA749">
        <v>14323.265000000014</v>
      </c>
      <c r="BB749">
        <v>14773.177999999956</v>
      </c>
      <c r="BC749">
        <v>15223.091000000015</v>
      </c>
      <c r="BD749">
        <v>15673.003999999957</v>
      </c>
      <c r="BE749">
        <v>16122.917000000016</v>
      </c>
      <c r="BF749">
        <v>16572.829999999958</v>
      </c>
      <c r="BG749">
        <v>17022.743000000017</v>
      </c>
      <c r="BH749">
        <v>17472.655999999959</v>
      </c>
      <c r="BI749">
        <v>17922.569000000018</v>
      </c>
      <c r="BJ749">
        <v>18372.48199999996</v>
      </c>
      <c r="BK749">
        <v>18822.395000000019</v>
      </c>
      <c r="BL749">
        <v>19272.307999999961</v>
      </c>
      <c r="BM749">
        <v>19722.22100000002</v>
      </c>
      <c r="BN749">
        <v>20172.133999999962</v>
      </c>
      <c r="BO749">
        <v>20622.04700000002</v>
      </c>
      <c r="BP749">
        <v>21071.959999999963</v>
      </c>
      <c r="BQ749">
        <v>21521.873000000021</v>
      </c>
      <c r="BR749">
        <v>21971.785999999964</v>
      </c>
      <c r="BS749">
        <v>22421.699000000022</v>
      </c>
      <c r="BT749">
        <v>22871.611999999965</v>
      </c>
      <c r="BU749">
        <v>23321.525000000023</v>
      </c>
      <c r="BV749">
        <v>23771.437999999966</v>
      </c>
      <c r="BW749">
        <v>24221.351000000024</v>
      </c>
      <c r="BX749">
        <v>24671.263999999966</v>
      </c>
      <c r="BY749">
        <v>25121.177000000025</v>
      </c>
      <c r="BZ749">
        <v>25571.089999999967</v>
      </c>
      <c r="CA749">
        <v>26021.003000000026</v>
      </c>
      <c r="CB749">
        <v>26470.915999999968</v>
      </c>
      <c r="CC749">
        <v>26920.829000000027</v>
      </c>
      <c r="CD749">
        <v>27370.741999999969</v>
      </c>
      <c r="CE749">
        <v>27820.655000000028</v>
      </c>
      <c r="CF749">
        <v>28270.56799999997</v>
      </c>
      <c r="CG749">
        <v>28720.481000000029</v>
      </c>
      <c r="CH749">
        <v>29170.393999999971</v>
      </c>
      <c r="CI749">
        <v>29620.30700000003</v>
      </c>
      <c r="CJ749">
        <v>30070.219999999972</v>
      </c>
      <c r="CK749">
        <v>30520.133000000031</v>
      </c>
      <c r="CL749">
        <v>30970.045999999973</v>
      </c>
      <c r="CM749">
        <v>31419.958999999915</v>
      </c>
      <c r="CN749">
        <v>31869.871999999974</v>
      </c>
    </row>
    <row r="750" spans="1:92" x14ac:dyDescent="0.25">
      <c r="A750" s="99" t="s">
        <v>1</v>
      </c>
      <c r="B750" s="4">
        <v>0</v>
      </c>
      <c r="C750" s="4">
        <v>0</v>
      </c>
      <c r="D750" s="4">
        <v>0</v>
      </c>
      <c r="E750" s="4">
        <v>0</v>
      </c>
      <c r="F750" s="4">
        <v>0</v>
      </c>
      <c r="G750" s="4">
        <v>0</v>
      </c>
      <c r="H750" s="4">
        <v>0</v>
      </c>
      <c r="I750" s="4">
        <v>0</v>
      </c>
      <c r="J750" s="4">
        <v>0</v>
      </c>
      <c r="K750" s="4">
        <v>0</v>
      </c>
      <c r="L750" s="4">
        <v>0</v>
      </c>
      <c r="M750" s="4">
        <v>0</v>
      </c>
      <c r="N750" s="4">
        <v>0</v>
      </c>
      <c r="O750" s="4">
        <v>0</v>
      </c>
      <c r="P750" s="4">
        <v>0</v>
      </c>
      <c r="Q750" s="4">
        <v>0</v>
      </c>
      <c r="R750" s="4">
        <v>0</v>
      </c>
      <c r="S750" s="4">
        <v>0</v>
      </c>
      <c r="T750" s="4">
        <v>0</v>
      </c>
      <c r="U750" s="4">
        <v>0</v>
      </c>
      <c r="V750" s="4">
        <v>0</v>
      </c>
      <c r="W750" s="4">
        <v>0</v>
      </c>
      <c r="X750" s="4">
        <v>0</v>
      </c>
      <c r="Y750" s="4">
        <v>0</v>
      </c>
      <c r="Z750" s="4">
        <v>0</v>
      </c>
      <c r="AA750" s="4">
        <v>0</v>
      </c>
      <c r="AB750" s="4">
        <v>0</v>
      </c>
      <c r="AC750" s="4">
        <v>0</v>
      </c>
      <c r="AD750" s="4">
        <v>0</v>
      </c>
      <c r="AE750" s="4">
        <v>0</v>
      </c>
      <c r="AF750">
        <v>130.55999999999767</v>
      </c>
      <c r="AG750">
        <v>152.01666666666279</v>
      </c>
      <c r="AH750">
        <v>173.4733333333279</v>
      </c>
      <c r="AI750">
        <v>194.92999999999302</v>
      </c>
      <c r="AJ750">
        <v>216.38666666666541</v>
      </c>
      <c r="AK750">
        <v>237.84333333333052</v>
      </c>
      <c r="AL750">
        <v>259.29999999999563</v>
      </c>
      <c r="AM750">
        <v>280.75666666666075</v>
      </c>
      <c r="AN750">
        <v>302.21333333332586</v>
      </c>
      <c r="AO750">
        <v>323.66999999999825</v>
      </c>
      <c r="AP750">
        <v>345.12666666666337</v>
      </c>
      <c r="AQ750">
        <v>366.58333333332848</v>
      </c>
      <c r="AR750">
        <v>388.0399999999936</v>
      </c>
      <c r="AS750">
        <v>409.49666666665871</v>
      </c>
      <c r="AT750">
        <v>430.9533333333311</v>
      </c>
      <c r="AU750">
        <v>452.40999999999622</v>
      </c>
      <c r="AV750">
        <v>473.86666666666133</v>
      </c>
      <c r="AW750">
        <v>495.32333333332645</v>
      </c>
      <c r="AX750">
        <v>516.77999999999884</v>
      </c>
      <c r="AY750">
        <v>538.23666666666395</v>
      </c>
      <c r="AZ750">
        <v>559.69333333332906</v>
      </c>
      <c r="BA750">
        <v>581.14999999999418</v>
      </c>
      <c r="BB750">
        <v>602.60666666665929</v>
      </c>
      <c r="BC750">
        <v>624.06333333333168</v>
      </c>
      <c r="BD750">
        <v>645.5199999999968</v>
      </c>
      <c r="BE750">
        <v>666.97666666666191</v>
      </c>
      <c r="BF750">
        <v>688.43333333332703</v>
      </c>
      <c r="BG750">
        <v>709.88999999999214</v>
      </c>
      <c r="BH750">
        <v>731.34666666666453</v>
      </c>
      <c r="BI750">
        <v>752.80333333332965</v>
      </c>
      <c r="BJ750">
        <v>774.25999999999476</v>
      </c>
      <c r="BK750">
        <v>795.71666666665988</v>
      </c>
      <c r="BL750">
        <v>817.17333333332499</v>
      </c>
      <c r="BM750">
        <v>838.62999999999738</v>
      </c>
      <c r="BN750">
        <v>860.0866666666625</v>
      </c>
      <c r="BO750">
        <v>881.54333333332761</v>
      </c>
      <c r="BP750">
        <v>902.99999999999272</v>
      </c>
      <c r="BQ750">
        <v>924.45666666666511</v>
      </c>
      <c r="BR750">
        <v>945.91333333333023</v>
      </c>
      <c r="BS750">
        <v>967.36999999999534</v>
      </c>
      <c r="BT750">
        <v>988.82666666666046</v>
      </c>
      <c r="BU750">
        <v>1010.2833333333256</v>
      </c>
      <c r="BV750">
        <v>1031.739999999998</v>
      </c>
      <c r="BW750">
        <v>1053.1966666666631</v>
      </c>
      <c r="BX750">
        <v>1074.6533333333282</v>
      </c>
      <c r="BY750">
        <v>1096.1099999999933</v>
      </c>
      <c r="BZ750">
        <v>1117.5666666666584</v>
      </c>
      <c r="CA750">
        <v>1139.0233333333308</v>
      </c>
      <c r="CB750">
        <v>1160.4799999999959</v>
      </c>
      <c r="CC750">
        <v>1181.936666666661</v>
      </c>
      <c r="CD750">
        <v>1203.3933333333262</v>
      </c>
      <c r="CE750">
        <v>1224.8499999999985</v>
      </c>
      <c r="CF750">
        <v>1246.3066666666637</v>
      </c>
      <c r="CG750">
        <v>1267.7633333333288</v>
      </c>
      <c r="CH750">
        <v>1289.2199999999939</v>
      </c>
      <c r="CI750">
        <v>1310.676666666659</v>
      </c>
      <c r="CJ750">
        <v>1332.1333333333314</v>
      </c>
      <c r="CK750">
        <v>1353.5899999999965</v>
      </c>
      <c r="CL750">
        <v>1375.0466666666616</v>
      </c>
      <c r="CM750">
        <v>1396.5033333333267</v>
      </c>
      <c r="CN750">
        <v>1417.9599999999919</v>
      </c>
    </row>
    <row r="751" spans="1:92" x14ac:dyDescent="0.25">
      <c r="A751" s="44"/>
    </row>
    <row r="752" spans="1:92" x14ac:dyDescent="0.25">
      <c r="A752" s="99" t="s">
        <v>298</v>
      </c>
      <c r="B752" s="4">
        <v>0</v>
      </c>
      <c r="C752" s="4">
        <v>0</v>
      </c>
      <c r="D752" s="4">
        <v>0</v>
      </c>
      <c r="E752" s="4">
        <v>0</v>
      </c>
      <c r="F752" s="4">
        <v>0</v>
      </c>
      <c r="G752" s="4">
        <v>0</v>
      </c>
      <c r="H752" s="4">
        <v>0</v>
      </c>
      <c r="I752" s="4">
        <v>0</v>
      </c>
      <c r="J752" s="4">
        <v>0</v>
      </c>
      <c r="K752" s="4">
        <v>0</v>
      </c>
      <c r="L752" s="4">
        <v>0</v>
      </c>
      <c r="M752" s="4">
        <v>0</v>
      </c>
      <c r="N752" s="4">
        <v>0</v>
      </c>
      <c r="O752" s="4">
        <v>0</v>
      </c>
      <c r="P752" s="4">
        <v>0</v>
      </c>
      <c r="Q752" s="4">
        <v>0</v>
      </c>
      <c r="R752" s="4">
        <v>0</v>
      </c>
      <c r="S752" s="4">
        <v>0</v>
      </c>
      <c r="T752" s="4">
        <v>0</v>
      </c>
      <c r="U752" s="4">
        <v>0</v>
      </c>
      <c r="V752" s="4">
        <v>0</v>
      </c>
      <c r="W752" s="4">
        <v>0</v>
      </c>
      <c r="X752" s="4">
        <v>0</v>
      </c>
      <c r="Y752" s="4">
        <v>0</v>
      </c>
      <c r="Z752" s="4">
        <v>0</v>
      </c>
      <c r="AA752" s="4">
        <v>0</v>
      </c>
      <c r="AB752" s="4">
        <v>0</v>
      </c>
      <c r="AC752" s="4">
        <v>0</v>
      </c>
      <c r="AD752" s="4">
        <v>0</v>
      </c>
      <c r="AE752" s="4">
        <v>0</v>
      </c>
      <c r="AF752">
        <v>880.92933333333349</v>
      </c>
      <c r="AG752">
        <v>836.36500000000524</v>
      </c>
      <c r="AH752">
        <v>791.80066666667699</v>
      </c>
      <c r="AI752">
        <v>747.23633333333419</v>
      </c>
      <c r="AJ752">
        <v>702.67200000000594</v>
      </c>
      <c r="AK752">
        <v>658.10766666667769</v>
      </c>
      <c r="AL752">
        <v>613.54333333333489</v>
      </c>
      <c r="AM752">
        <v>568.97900000000664</v>
      </c>
      <c r="AN752">
        <v>524.41466666666383</v>
      </c>
      <c r="AO752">
        <v>479.85033333333558</v>
      </c>
      <c r="AP752">
        <v>435.28600000000733</v>
      </c>
      <c r="AQ752">
        <v>390.72166666666453</v>
      </c>
      <c r="AR752">
        <v>346.15733333333628</v>
      </c>
      <c r="AS752">
        <v>301.59300000000803</v>
      </c>
      <c r="AT752">
        <v>257.02866666666523</v>
      </c>
      <c r="AU752">
        <v>212.46433333333698</v>
      </c>
      <c r="AV752">
        <v>167.90000000000873</v>
      </c>
      <c r="AW752">
        <v>123.33566666666593</v>
      </c>
      <c r="AX752">
        <v>78.77133333333768</v>
      </c>
      <c r="AY752">
        <v>34.20700000000943</v>
      </c>
      <c r="AZ752">
        <v>123.33566666667078</v>
      </c>
      <c r="BA752">
        <v>78.77133333333768</v>
      </c>
      <c r="BB752">
        <v>78.771333333339285</v>
      </c>
      <c r="BC752">
        <v>78.771333333339285</v>
      </c>
      <c r="BD752">
        <v>93.626111111115904</v>
      </c>
      <c r="BE752">
        <v>78.771333333338745</v>
      </c>
      <c r="BF752">
        <v>83.722925925931492</v>
      </c>
      <c r="BG752">
        <v>83.722925925931307</v>
      </c>
      <c r="BH752">
        <v>85.373456790128714</v>
      </c>
      <c r="BI752">
        <v>82.072395061733843</v>
      </c>
      <c r="BJ752">
        <v>84.273102880663842</v>
      </c>
      <c r="BK752">
        <v>83.722925925931293</v>
      </c>
      <c r="BL752">
        <v>83.906318244175466</v>
      </c>
      <c r="BM752">
        <v>83.356141289442988</v>
      </c>
      <c r="BN752">
        <v>83.967449016923524</v>
      </c>
      <c r="BO752">
        <v>83.661795153183235</v>
      </c>
      <c r="BP752">
        <v>83.743302850180655</v>
      </c>
      <c r="BQ752">
        <v>83.661795153183235</v>
      </c>
      <c r="BR752">
        <v>83.790849006762471</v>
      </c>
      <c r="BS752">
        <v>83.688964385515703</v>
      </c>
      <c r="BT752">
        <v>83.731982336708782</v>
      </c>
      <c r="BU752">
        <v>83.713869515153803</v>
      </c>
      <c r="BV752">
        <v>83.737265242995647</v>
      </c>
      <c r="BW752">
        <v>83.711605412459434</v>
      </c>
      <c r="BX752">
        <v>83.727705698286073</v>
      </c>
      <c r="BY752">
        <v>83.720913390202966</v>
      </c>
      <c r="BZ752">
        <v>83.725525451247051</v>
      </c>
      <c r="CA752">
        <v>83.720074833649491</v>
      </c>
      <c r="CB752">
        <v>83.724714846578692</v>
      </c>
      <c r="CC752">
        <v>83.722171225033165</v>
      </c>
      <c r="CD752">
        <v>83.723438377158416</v>
      </c>
      <c r="CE752">
        <v>83.722320301753783</v>
      </c>
      <c r="CF752">
        <v>83.72344148292342</v>
      </c>
      <c r="CG752">
        <v>83.722643301315131</v>
      </c>
      <c r="CH752">
        <v>83.723066720611868</v>
      </c>
      <c r="CI752">
        <v>83.722801695330773</v>
      </c>
      <c r="CJ752">
        <v>83.723050501616811</v>
      </c>
      <c r="CK752">
        <v>83.722837239085933</v>
      </c>
      <c r="CL752">
        <v>83.722972972519813</v>
      </c>
      <c r="CM752">
        <v>83.722896478677839</v>
      </c>
      <c r="CN752">
        <v>83.722953571074186</v>
      </c>
    </row>
    <row r="753" spans="1:92" x14ac:dyDescent="0.25">
      <c r="A753" s="99"/>
    </row>
    <row r="754" spans="1:92" s="50" customFormat="1" x14ac:dyDescent="0.25">
      <c r="A754" s="99" t="s">
        <v>299</v>
      </c>
      <c r="B754" s="4">
        <v>0</v>
      </c>
      <c r="C754" s="4">
        <v>0</v>
      </c>
      <c r="D754" s="4">
        <v>0</v>
      </c>
      <c r="E754" s="4">
        <v>0</v>
      </c>
      <c r="F754" s="4">
        <v>0</v>
      </c>
      <c r="G754" s="4">
        <v>0</v>
      </c>
      <c r="H754" s="4">
        <v>0</v>
      </c>
      <c r="I754" s="4">
        <v>0</v>
      </c>
      <c r="J754" s="4">
        <v>0</v>
      </c>
      <c r="K754" s="4">
        <v>0</v>
      </c>
      <c r="L754" s="4">
        <v>0</v>
      </c>
      <c r="M754" s="4">
        <v>0</v>
      </c>
      <c r="N754" s="4">
        <v>0</v>
      </c>
      <c r="O754" s="4">
        <v>0</v>
      </c>
      <c r="P754" s="4">
        <v>0</v>
      </c>
      <c r="Q754" s="4">
        <v>0</v>
      </c>
      <c r="R754" s="4">
        <v>0</v>
      </c>
      <c r="S754" s="4">
        <v>0</v>
      </c>
      <c r="T754" s="4">
        <v>0</v>
      </c>
      <c r="U754" s="4">
        <v>0</v>
      </c>
      <c r="V754" s="4">
        <v>0</v>
      </c>
      <c r="W754" s="4">
        <v>0</v>
      </c>
      <c r="X754" s="4">
        <v>0</v>
      </c>
      <c r="Y754" s="4">
        <v>0</v>
      </c>
      <c r="Z754" s="4">
        <v>0</v>
      </c>
      <c r="AA754" s="4">
        <v>0</v>
      </c>
      <c r="AB754" s="4">
        <v>0</v>
      </c>
      <c r="AC754" s="4">
        <v>0</v>
      </c>
      <c r="AD754" s="4">
        <v>0</v>
      </c>
      <c r="AE754" s="4">
        <v>0</v>
      </c>
      <c r="AF754" s="50">
        <v>1374.448000000004</v>
      </c>
      <c r="AG754" s="50">
        <v>1483.3658333333442</v>
      </c>
      <c r="AH754" s="50">
        <v>1592.2836666666553</v>
      </c>
      <c r="AI754" s="50">
        <v>1701.2014999999956</v>
      </c>
      <c r="AJ754" s="50">
        <v>1810.1193333333358</v>
      </c>
      <c r="AK754" s="50">
        <v>1919.0371666666761</v>
      </c>
      <c r="AL754" s="50">
        <v>2027.9549999999872</v>
      </c>
      <c r="AM754" s="50">
        <v>2136.8728333333274</v>
      </c>
      <c r="AN754" s="50">
        <v>2245.7906666666677</v>
      </c>
      <c r="AO754" s="50">
        <v>2354.7085000000079</v>
      </c>
      <c r="AP754" s="50">
        <v>2463.6263333333482</v>
      </c>
      <c r="AQ754" s="50">
        <v>2572.5441666666593</v>
      </c>
      <c r="AR754" s="50">
        <v>2681.4619999999995</v>
      </c>
      <c r="AS754" s="50">
        <v>2790.3798333333398</v>
      </c>
      <c r="AT754" s="50">
        <v>2899.29766666668</v>
      </c>
      <c r="AU754" s="50">
        <v>3008.2154999999912</v>
      </c>
      <c r="AV754" s="50">
        <v>3117.1333333333314</v>
      </c>
      <c r="AW754" s="50">
        <v>3226.0511666666716</v>
      </c>
      <c r="AX754" s="50">
        <v>3334.9690000000119</v>
      </c>
      <c r="AY754" s="50">
        <v>3443.886833333323</v>
      </c>
      <c r="AZ754" s="50">
        <v>3552.8046666666633</v>
      </c>
      <c r="BA754" s="50">
        <v>3661.7225000000035</v>
      </c>
      <c r="BB754" s="50">
        <v>3770.6403333333437</v>
      </c>
      <c r="BC754" s="50">
        <v>3879.5581666666549</v>
      </c>
      <c r="BD754" s="50">
        <v>3988.4759999999951</v>
      </c>
      <c r="BE754" s="50">
        <v>4097.3938333333354</v>
      </c>
      <c r="BF754" s="50">
        <v>4206.3116666666756</v>
      </c>
      <c r="BG754" s="50">
        <v>4315.2294999999867</v>
      </c>
      <c r="BH754" s="50">
        <v>4424.147333333327</v>
      </c>
      <c r="BI754" s="50">
        <v>4533.0651666666672</v>
      </c>
      <c r="BJ754" s="50">
        <v>4641.9830000000075</v>
      </c>
      <c r="BK754" s="50">
        <v>4750.9008333333186</v>
      </c>
      <c r="BL754" s="50">
        <v>4859.8186666666588</v>
      </c>
      <c r="BM754" s="50">
        <v>4968.7364999999991</v>
      </c>
      <c r="BN754" s="50">
        <v>5077.6543333333393</v>
      </c>
      <c r="BO754" s="50">
        <v>5186.5721666666795</v>
      </c>
      <c r="BP754" s="50">
        <v>5295.4899999999907</v>
      </c>
      <c r="BQ754" s="50">
        <v>5404.4078333333309</v>
      </c>
      <c r="BR754" s="50">
        <v>5513.3256666666712</v>
      </c>
      <c r="BS754" s="50">
        <v>5622.2435000000114</v>
      </c>
      <c r="BT754" s="50">
        <v>5731.1613333333225</v>
      </c>
      <c r="BU754" s="50">
        <v>5840.0791666666628</v>
      </c>
      <c r="BV754" s="50">
        <v>5948.997000000003</v>
      </c>
      <c r="BW754" s="50">
        <v>6057.9148333333433</v>
      </c>
      <c r="BX754" s="50">
        <v>6166.8326666666544</v>
      </c>
      <c r="BY754" s="50">
        <v>6275.7504999999946</v>
      </c>
      <c r="BZ754" s="50">
        <v>6384.6683333333349</v>
      </c>
      <c r="CA754" s="50">
        <v>6493.5861666666751</v>
      </c>
      <c r="CB754" s="50">
        <v>6602.5039999999863</v>
      </c>
      <c r="CC754" s="50">
        <v>6711.4218333333265</v>
      </c>
      <c r="CD754" s="50">
        <v>6820.3396666666667</v>
      </c>
      <c r="CE754" s="50">
        <v>6929.257500000007</v>
      </c>
      <c r="CF754" s="50">
        <v>7038.1753333333181</v>
      </c>
      <c r="CG754" s="50">
        <v>7147.0931666666584</v>
      </c>
      <c r="CH754" s="50">
        <v>7256.0109999999986</v>
      </c>
      <c r="CI754" s="50">
        <v>7364.9288333333388</v>
      </c>
      <c r="CJ754" s="50">
        <v>7473.84666666665</v>
      </c>
      <c r="CK754" s="50">
        <v>7582.7644999999902</v>
      </c>
      <c r="CL754" s="50">
        <v>7691.6823333333305</v>
      </c>
      <c r="CM754" s="50">
        <v>7800.6001666666707</v>
      </c>
      <c r="CN754" s="50">
        <v>7909.5180000000109</v>
      </c>
    </row>
    <row r="755" spans="1:92" s="50" customFormat="1" x14ac:dyDescent="0.25">
      <c r="A755" s="9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92" x14ac:dyDescent="0.25">
      <c r="A756" s="99" t="s">
        <v>300</v>
      </c>
      <c r="B756" s="4">
        <v>0</v>
      </c>
      <c r="C756" s="4">
        <v>0</v>
      </c>
      <c r="D756" s="4">
        <v>0</v>
      </c>
      <c r="E756" s="4">
        <v>0</v>
      </c>
      <c r="F756" s="4">
        <v>0</v>
      </c>
      <c r="G756" s="4">
        <v>0</v>
      </c>
      <c r="H756" s="4">
        <v>0</v>
      </c>
      <c r="I756" s="4">
        <v>0</v>
      </c>
      <c r="J756" s="4">
        <v>0</v>
      </c>
      <c r="K756" s="4">
        <v>0</v>
      </c>
      <c r="L756" s="4">
        <v>0</v>
      </c>
      <c r="M756" s="4">
        <v>0</v>
      </c>
      <c r="N756" s="4">
        <v>0</v>
      </c>
      <c r="O756" s="4">
        <v>0</v>
      </c>
      <c r="P756" s="4">
        <v>0</v>
      </c>
      <c r="Q756" s="4">
        <v>0</v>
      </c>
      <c r="R756" s="4">
        <v>0</v>
      </c>
      <c r="S756" s="4">
        <v>0</v>
      </c>
      <c r="T756" s="4">
        <v>0</v>
      </c>
      <c r="U756" s="4">
        <v>0</v>
      </c>
      <c r="V756" s="4">
        <v>0</v>
      </c>
      <c r="W756" s="4">
        <v>0</v>
      </c>
      <c r="X756" s="4">
        <v>0</v>
      </c>
      <c r="Y756" s="4">
        <v>0</v>
      </c>
      <c r="Z756" s="4">
        <v>0</v>
      </c>
      <c r="AA756" s="4">
        <v>0</v>
      </c>
      <c r="AB756" s="4">
        <v>0</v>
      </c>
      <c r="AC756" s="4">
        <v>0</v>
      </c>
      <c r="AD756" s="4">
        <v>0</v>
      </c>
      <c r="AE756" s="4">
        <v>0</v>
      </c>
      <c r="AF756">
        <v>865.73333333327901</v>
      </c>
      <c r="AG756">
        <v>1081.9749999999185</v>
      </c>
      <c r="AH756">
        <v>1298.2166666666162</v>
      </c>
      <c r="AI756">
        <v>1514.4583333332557</v>
      </c>
      <c r="AJ756">
        <v>1730.6999999999534</v>
      </c>
      <c r="AK756">
        <v>1946.9416666665929</v>
      </c>
      <c r="AL756">
        <v>2163.1833333332906</v>
      </c>
      <c r="AM756">
        <v>2379.4249999999302</v>
      </c>
      <c r="AN756">
        <v>2595.6666666666279</v>
      </c>
      <c r="AO756">
        <v>2811.9083333332674</v>
      </c>
      <c r="AP756">
        <v>3028.1499999999651</v>
      </c>
      <c r="AQ756">
        <v>3244.3916666666046</v>
      </c>
      <c r="AR756">
        <v>3460.6333333333023</v>
      </c>
      <c r="AS756">
        <v>3676.8749999999418</v>
      </c>
      <c r="AT756">
        <v>3893.1166666666395</v>
      </c>
      <c r="AU756">
        <v>4109.358333333279</v>
      </c>
      <c r="AV756">
        <v>4325.5999999999185</v>
      </c>
      <c r="AW756">
        <v>4541.8416666666162</v>
      </c>
      <c r="AX756">
        <v>4758.0833333332557</v>
      </c>
      <c r="AY756">
        <v>4974.3249999999534</v>
      </c>
      <c r="AZ756">
        <v>5190.5666666665929</v>
      </c>
      <c r="BA756">
        <v>5406.8083333332906</v>
      </c>
      <c r="BB756">
        <v>5623.0499999999302</v>
      </c>
      <c r="BC756">
        <v>5839.2916666666279</v>
      </c>
      <c r="BD756">
        <v>6055.5333333332674</v>
      </c>
      <c r="BE756">
        <v>6271.7749999999651</v>
      </c>
      <c r="BF756">
        <v>6488.0166666666046</v>
      </c>
      <c r="BG756">
        <v>6704.2583333333023</v>
      </c>
      <c r="BH756">
        <v>6920.4999999999418</v>
      </c>
      <c r="BI756">
        <v>7136.7416666665813</v>
      </c>
      <c r="BJ756">
        <v>7352.983333333279</v>
      </c>
      <c r="BK756">
        <v>7569.2249999999185</v>
      </c>
      <c r="BL756">
        <v>7785.4666666666162</v>
      </c>
      <c r="BM756">
        <v>8001.7083333332557</v>
      </c>
      <c r="BN756">
        <v>8217.9499999999534</v>
      </c>
      <c r="BO756">
        <v>8434.1916666665929</v>
      </c>
      <c r="BP756">
        <v>8650.4333333332906</v>
      </c>
      <c r="BQ756">
        <v>8866.6749999999302</v>
      </c>
      <c r="BR756">
        <v>9082.9166666666279</v>
      </c>
      <c r="BS756">
        <v>9299.1583333332674</v>
      </c>
      <c r="BT756">
        <v>9515.3999999999651</v>
      </c>
      <c r="BU756">
        <v>9731.6416666666046</v>
      </c>
      <c r="BV756">
        <v>9947.8833333333023</v>
      </c>
      <c r="BW756">
        <v>10164.124999999942</v>
      </c>
      <c r="BX756">
        <v>10380.366666666581</v>
      </c>
      <c r="BY756">
        <v>10596.608333333279</v>
      </c>
      <c r="BZ756">
        <v>10812.849999999919</v>
      </c>
      <c r="CA756">
        <v>11029.091666666616</v>
      </c>
      <c r="CB756">
        <v>11245.333333333256</v>
      </c>
      <c r="CC756">
        <v>11461.574999999953</v>
      </c>
      <c r="CD756">
        <v>11677.816666666593</v>
      </c>
      <c r="CE756">
        <v>11894.058333333291</v>
      </c>
      <c r="CF756">
        <v>12110.29999999993</v>
      </c>
      <c r="CG756">
        <v>12326.541666666628</v>
      </c>
      <c r="CH756">
        <v>12542.783333333267</v>
      </c>
      <c r="CI756">
        <v>12759.024999999965</v>
      </c>
      <c r="CJ756">
        <v>12975.266666666605</v>
      </c>
      <c r="CK756">
        <v>13191.508333333302</v>
      </c>
      <c r="CL756">
        <v>13407.749999999942</v>
      </c>
      <c r="CM756">
        <v>13623.991666666581</v>
      </c>
      <c r="CN756">
        <v>13840.233333333279</v>
      </c>
    </row>
    <row r="757" spans="1:92" s="44" customFormat="1" x14ac:dyDescent="0.25">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92" s="50" customFormat="1" x14ac:dyDescent="0.25">
      <c r="A758" s="99" t="s">
        <v>301</v>
      </c>
      <c r="B758" s="4">
        <v>0</v>
      </c>
      <c r="C758" s="4">
        <v>0</v>
      </c>
      <c r="D758" s="4">
        <v>0</v>
      </c>
      <c r="E758" s="4">
        <v>0</v>
      </c>
      <c r="F758" s="4">
        <v>0</v>
      </c>
      <c r="G758" s="4">
        <v>0</v>
      </c>
      <c r="H758" s="4">
        <v>0</v>
      </c>
      <c r="I758" s="4">
        <v>0</v>
      </c>
      <c r="J758" s="4">
        <v>0</v>
      </c>
      <c r="K758" s="4">
        <v>0</v>
      </c>
      <c r="L758" s="4">
        <v>0</v>
      </c>
      <c r="M758" s="4">
        <v>0</v>
      </c>
      <c r="N758" s="4">
        <v>0</v>
      </c>
      <c r="O758" s="4">
        <v>0</v>
      </c>
      <c r="P758" s="4">
        <v>0</v>
      </c>
      <c r="Q758" s="4">
        <v>0</v>
      </c>
      <c r="R758" s="4">
        <v>0</v>
      </c>
      <c r="S758" s="4">
        <v>0</v>
      </c>
      <c r="T758" s="4">
        <v>0</v>
      </c>
      <c r="U758" s="4">
        <v>0</v>
      </c>
      <c r="V758" s="4">
        <v>0</v>
      </c>
      <c r="W758" s="4">
        <v>0</v>
      </c>
      <c r="X758" s="4">
        <v>0</v>
      </c>
      <c r="Y758" s="4">
        <v>0</v>
      </c>
      <c r="Z758" s="4">
        <v>0</v>
      </c>
      <c r="AA758" s="4">
        <v>0</v>
      </c>
      <c r="AB758" s="4">
        <v>0</v>
      </c>
      <c r="AC758" s="4">
        <v>0</v>
      </c>
      <c r="AD758" s="4">
        <v>0</v>
      </c>
      <c r="AE758" s="4">
        <v>0</v>
      </c>
      <c r="AF758" s="50">
        <v>0</v>
      </c>
      <c r="AG758" s="50">
        <v>0</v>
      </c>
      <c r="AH758" s="50">
        <v>0</v>
      </c>
      <c r="AI758" s="50">
        <v>0</v>
      </c>
      <c r="AJ758" s="50">
        <v>0</v>
      </c>
      <c r="AK758" s="50">
        <v>0</v>
      </c>
      <c r="AL758" s="50">
        <v>0</v>
      </c>
      <c r="AM758" s="50">
        <v>0</v>
      </c>
      <c r="AN758" s="50">
        <v>0</v>
      </c>
      <c r="AO758" s="50">
        <v>0</v>
      </c>
      <c r="AP758" s="50">
        <v>0</v>
      </c>
      <c r="AQ758" s="50">
        <v>0</v>
      </c>
      <c r="AR758" s="50">
        <v>0</v>
      </c>
      <c r="AS758" s="50">
        <v>0</v>
      </c>
      <c r="AT758" s="50">
        <v>0</v>
      </c>
      <c r="AU758" s="50">
        <v>0</v>
      </c>
      <c r="AV758" s="50">
        <v>0</v>
      </c>
      <c r="AW758" s="50">
        <v>0</v>
      </c>
      <c r="AX758" s="50">
        <v>0</v>
      </c>
      <c r="AY758" s="50">
        <v>0</v>
      </c>
      <c r="AZ758" s="50">
        <v>0</v>
      </c>
      <c r="BA758" s="50">
        <v>0</v>
      </c>
      <c r="BB758" s="50">
        <v>0</v>
      </c>
      <c r="BC758" s="50">
        <v>0</v>
      </c>
      <c r="BD758" s="50">
        <v>0</v>
      </c>
      <c r="BE758" s="50">
        <v>0</v>
      </c>
      <c r="BF758" s="50">
        <v>0</v>
      </c>
      <c r="BG758" s="50">
        <v>0</v>
      </c>
      <c r="BH758" s="50">
        <v>0</v>
      </c>
      <c r="BI758" s="50">
        <v>0</v>
      </c>
      <c r="BJ758" s="50">
        <v>0</v>
      </c>
      <c r="BK758" s="50">
        <v>0</v>
      </c>
      <c r="BL758" s="50">
        <v>0</v>
      </c>
      <c r="BM758" s="50">
        <v>0</v>
      </c>
      <c r="BN758" s="50">
        <v>0</v>
      </c>
      <c r="BO758" s="50">
        <v>0</v>
      </c>
      <c r="BP758" s="50">
        <v>0</v>
      </c>
      <c r="BQ758" s="50">
        <v>0</v>
      </c>
      <c r="BR758" s="50">
        <v>0</v>
      </c>
      <c r="BS758" s="50">
        <v>0</v>
      </c>
      <c r="BT758" s="50">
        <v>0</v>
      </c>
      <c r="BU758" s="50">
        <v>0</v>
      </c>
      <c r="BV758" s="50">
        <v>0</v>
      </c>
      <c r="BW758" s="50">
        <v>0</v>
      </c>
      <c r="BX758" s="50">
        <v>0</v>
      </c>
      <c r="BY758" s="50">
        <v>0</v>
      </c>
      <c r="BZ758" s="50">
        <v>0</v>
      </c>
      <c r="CA758" s="50">
        <v>0</v>
      </c>
      <c r="CB758" s="50">
        <v>0</v>
      </c>
      <c r="CC758" s="50">
        <v>0</v>
      </c>
      <c r="CD758" s="50">
        <v>0</v>
      </c>
      <c r="CE758" s="50">
        <v>0</v>
      </c>
      <c r="CF758" s="50">
        <v>0</v>
      </c>
      <c r="CG758" s="50">
        <v>0</v>
      </c>
      <c r="CH758" s="50">
        <v>0</v>
      </c>
      <c r="CI758" s="50">
        <v>0</v>
      </c>
      <c r="CJ758" s="50">
        <v>0</v>
      </c>
      <c r="CK758" s="50">
        <v>0</v>
      </c>
      <c r="CL758" s="50">
        <v>0</v>
      </c>
      <c r="CM758" s="50">
        <v>0</v>
      </c>
      <c r="CN758" s="50">
        <v>0</v>
      </c>
    </row>
    <row r="759" spans="1:92" s="44" customFormat="1" x14ac:dyDescent="0.25">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92" x14ac:dyDescent="0.25">
      <c r="A760" s="99" t="s">
        <v>302</v>
      </c>
      <c r="B760" s="4">
        <v>0</v>
      </c>
      <c r="C760" s="4">
        <v>0</v>
      </c>
      <c r="D760" s="4">
        <v>0</v>
      </c>
      <c r="E760" s="4">
        <v>0</v>
      </c>
      <c r="F760" s="4">
        <v>0</v>
      </c>
      <c r="G760" s="4">
        <v>0</v>
      </c>
      <c r="H760" s="4">
        <v>0</v>
      </c>
      <c r="I760" s="4">
        <v>0</v>
      </c>
      <c r="J760" s="4">
        <v>0</v>
      </c>
      <c r="K760" s="4">
        <v>0</v>
      </c>
      <c r="L760" s="4">
        <v>0</v>
      </c>
      <c r="M760" s="4">
        <v>0</v>
      </c>
      <c r="N760" s="4">
        <v>0</v>
      </c>
      <c r="O760" s="4">
        <v>0</v>
      </c>
      <c r="P760" s="4">
        <v>0</v>
      </c>
      <c r="Q760" s="4">
        <v>0</v>
      </c>
      <c r="R760" s="4">
        <v>0</v>
      </c>
      <c r="S760" s="4">
        <v>0</v>
      </c>
      <c r="T760" s="4">
        <v>0</v>
      </c>
      <c r="U760" s="4">
        <v>0</v>
      </c>
      <c r="V760" s="4">
        <v>0</v>
      </c>
      <c r="W760" s="4">
        <v>0</v>
      </c>
      <c r="X760" s="4">
        <v>0</v>
      </c>
      <c r="Y760" s="4">
        <v>0</v>
      </c>
      <c r="Z760" s="4">
        <v>0</v>
      </c>
      <c r="AA760" s="4">
        <v>0</v>
      </c>
      <c r="AB760" s="4">
        <v>0</v>
      </c>
      <c r="AC760" s="4">
        <v>0</v>
      </c>
      <c r="AD760" s="4">
        <v>0</v>
      </c>
      <c r="AE760" s="4">
        <v>0</v>
      </c>
      <c r="AF760">
        <v>5047.3280000000086</v>
      </c>
      <c r="AG760">
        <v>5090.2908333333471</v>
      </c>
      <c r="AH760">
        <v>5133.2536666666711</v>
      </c>
      <c r="AI760">
        <v>5176.2165000000095</v>
      </c>
      <c r="AJ760">
        <v>5219.179333333348</v>
      </c>
      <c r="AK760">
        <v>5262.142166666672</v>
      </c>
      <c r="AL760">
        <v>5305.1050000000105</v>
      </c>
      <c r="AM760">
        <v>5348.067833333349</v>
      </c>
      <c r="AN760">
        <v>5391.0306666666729</v>
      </c>
      <c r="AO760">
        <v>5433.9935000000114</v>
      </c>
      <c r="AP760">
        <v>5476.9563333333354</v>
      </c>
      <c r="AQ760">
        <v>5519.9191666666738</v>
      </c>
      <c r="AR760">
        <v>5562.8820000000123</v>
      </c>
      <c r="AS760">
        <v>5605.8448333333363</v>
      </c>
      <c r="AT760">
        <v>5648.8076666666748</v>
      </c>
      <c r="AU760">
        <v>5691.7705000000133</v>
      </c>
      <c r="AV760">
        <v>5734.7333333333372</v>
      </c>
      <c r="AW760">
        <v>5777.6961666666757</v>
      </c>
      <c r="AX760">
        <v>5820.6590000000142</v>
      </c>
      <c r="AY760">
        <v>5863.6218333333381</v>
      </c>
      <c r="AZ760">
        <v>5906.5846666666766</v>
      </c>
      <c r="BA760">
        <v>5949.5475000000151</v>
      </c>
      <c r="BB760">
        <v>5992.5103333333391</v>
      </c>
      <c r="BC760">
        <v>6035.4731666666776</v>
      </c>
      <c r="BD760">
        <v>6078.4360000000161</v>
      </c>
      <c r="BE760">
        <v>6121.39883333334</v>
      </c>
      <c r="BF760">
        <v>6164.3616666666785</v>
      </c>
      <c r="BG760">
        <v>6207.324500000017</v>
      </c>
      <c r="BH760">
        <v>6250.2873333333409</v>
      </c>
      <c r="BI760">
        <v>6293.2501666666794</v>
      </c>
      <c r="BJ760">
        <v>6336.2130000000179</v>
      </c>
      <c r="BK760">
        <v>6379.1758333333419</v>
      </c>
      <c r="BL760">
        <v>6422.1386666666804</v>
      </c>
      <c r="BM760">
        <v>6465.1015000000189</v>
      </c>
      <c r="BN760">
        <v>6508.0643333333428</v>
      </c>
      <c r="BO760">
        <v>6551.0271666666813</v>
      </c>
      <c r="BP760">
        <v>6593.9900000000198</v>
      </c>
      <c r="BQ760">
        <v>6636.9528333333437</v>
      </c>
      <c r="BR760">
        <v>6679.9156666666822</v>
      </c>
      <c r="BS760">
        <v>6722.8785000000207</v>
      </c>
      <c r="BT760">
        <v>6765.8413333333447</v>
      </c>
      <c r="BU760">
        <v>6808.8041666666832</v>
      </c>
      <c r="BV760">
        <v>6851.7670000000217</v>
      </c>
      <c r="BW760">
        <v>6894.7298333333456</v>
      </c>
      <c r="BX760">
        <v>6937.6926666666841</v>
      </c>
      <c r="BY760">
        <v>6980.655500000008</v>
      </c>
      <c r="BZ760">
        <v>7023.6183333333465</v>
      </c>
      <c r="CA760">
        <v>7066.581166666685</v>
      </c>
      <c r="CB760">
        <v>7109.544000000009</v>
      </c>
      <c r="CC760">
        <v>7152.5068333333475</v>
      </c>
      <c r="CD760">
        <v>7195.469666666686</v>
      </c>
      <c r="CE760">
        <v>7238.4325000000099</v>
      </c>
      <c r="CF760">
        <v>7281.3953333333484</v>
      </c>
      <c r="CG760">
        <v>7324.3581666666869</v>
      </c>
      <c r="CH760">
        <v>7367.3210000000108</v>
      </c>
      <c r="CI760">
        <v>7410.2838333333493</v>
      </c>
      <c r="CJ760">
        <v>7453.2466666666878</v>
      </c>
      <c r="CK760">
        <v>7496.2095000000118</v>
      </c>
      <c r="CL760">
        <v>7539.1723333333503</v>
      </c>
      <c r="CM760">
        <v>7582.1351666666887</v>
      </c>
      <c r="CN760">
        <v>7625.0980000000127</v>
      </c>
    </row>
    <row r="761" spans="1:92" x14ac:dyDescent="0.25">
      <c r="A761" s="99" t="s">
        <v>1</v>
      </c>
      <c r="B761" s="4">
        <v>0</v>
      </c>
      <c r="C761" s="4">
        <v>0</v>
      </c>
      <c r="D761" s="4">
        <v>0</v>
      </c>
      <c r="E761" s="4">
        <v>0</v>
      </c>
      <c r="F761" s="4">
        <v>0</v>
      </c>
      <c r="G761" s="4">
        <v>0</v>
      </c>
      <c r="H761" s="4">
        <v>0</v>
      </c>
      <c r="I761" s="4">
        <v>0</v>
      </c>
      <c r="J761" s="4">
        <v>0</v>
      </c>
      <c r="K761" s="4">
        <v>0</v>
      </c>
      <c r="L761" s="4">
        <v>0</v>
      </c>
      <c r="M761" s="4">
        <v>0</v>
      </c>
      <c r="N761" s="4">
        <v>0</v>
      </c>
      <c r="O761" s="4">
        <v>0</v>
      </c>
      <c r="P761" s="4">
        <v>0</v>
      </c>
      <c r="Q761" s="4">
        <v>0</v>
      </c>
      <c r="R761" s="4">
        <v>0</v>
      </c>
      <c r="S761" s="4">
        <v>0</v>
      </c>
      <c r="T761" s="4">
        <v>0</v>
      </c>
      <c r="U761" s="4">
        <v>0</v>
      </c>
      <c r="V761" s="4">
        <v>0</v>
      </c>
      <c r="W761" s="4">
        <v>0</v>
      </c>
      <c r="X761" s="4">
        <v>0</v>
      </c>
      <c r="Y761" s="4">
        <v>0</v>
      </c>
      <c r="Z761" s="4">
        <v>0</v>
      </c>
      <c r="AA761" s="4">
        <v>0</v>
      </c>
      <c r="AB761" s="4">
        <v>0</v>
      </c>
      <c r="AC761" s="4">
        <v>0</v>
      </c>
      <c r="AD761" s="4">
        <v>0</v>
      </c>
      <c r="AE761" s="4">
        <v>0</v>
      </c>
      <c r="AF761">
        <v>62.453333333332921</v>
      </c>
      <c r="AG761">
        <v>64.679166666665878</v>
      </c>
      <c r="AH761">
        <v>66.904999999999745</v>
      </c>
      <c r="AI761">
        <v>69.130833333332703</v>
      </c>
      <c r="AJ761">
        <v>71.35666666666657</v>
      </c>
      <c r="AK761">
        <v>73.582499999999527</v>
      </c>
      <c r="AL761">
        <v>75.808333333332484</v>
      </c>
      <c r="AM761">
        <v>78.034166666666351</v>
      </c>
      <c r="AN761">
        <v>80.259999999999309</v>
      </c>
      <c r="AO761">
        <v>82.485833333333176</v>
      </c>
      <c r="AP761">
        <v>84.711666666666133</v>
      </c>
      <c r="AQ761">
        <v>86.9375</v>
      </c>
      <c r="AR761">
        <v>89.163333333332957</v>
      </c>
      <c r="AS761">
        <v>91.389166666665915</v>
      </c>
      <c r="AT761">
        <v>93.614999999999782</v>
      </c>
      <c r="AU761">
        <v>95.840833333332739</v>
      </c>
      <c r="AV761">
        <v>98.066666666666606</v>
      </c>
      <c r="AW761">
        <v>100.29249999999956</v>
      </c>
      <c r="AX761">
        <v>102.51833333333252</v>
      </c>
      <c r="AY761">
        <v>104.74416666666639</v>
      </c>
      <c r="AZ761">
        <v>106.96999999999935</v>
      </c>
      <c r="BA761">
        <v>109.19583333333321</v>
      </c>
      <c r="BB761">
        <v>111.42166666666617</v>
      </c>
      <c r="BC761">
        <v>113.64750000000004</v>
      </c>
      <c r="BD761">
        <v>115.87333333333299</v>
      </c>
      <c r="BE761">
        <v>118.09916666666595</v>
      </c>
      <c r="BF761">
        <v>120.32499999999982</v>
      </c>
      <c r="BG761">
        <v>122.55083333333278</v>
      </c>
      <c r="BH761">
        <v>124.77666666666664</v>
      </c>
      <c r="BI761">
        <v>127.0024999999996</v>
      </c>
      <c r="BJ761">
        <v>129.22833333333256</v>
      </c>
      <c r="BK761">
        <v>131.45416666666642</v>
      </c>
      <c r="BL761">
        <v>133.67999999999938</v>
      </c>
      <c r="BM761">
        <v>135.90583333333325</v>
      </c>
      <c r="BN761">
        <v>138.13166666666621</v>
      </c>
      <c r="BO761">
        <v>140.35749999999916</v>
      </c>
      <c r="BP761">
        <v>142.58333333333303</v>
      </c>
      <c r="BQ761">
        <v>144.80916666666599</v>
      </c>
      <c r="BR761">
        <v>147.03499999999985</v>
      </c>
      <c r="BS761">
        <v>149.26083333333281</v>
      </c>
      <c r="BT761">
        <v>151.48666666666668</v>
      </c>
      <c r="BU761">
        <v>153.71249999999964</v>
      </c>
      <c r="BV761">
        <v>155.93833333333259</v>
      </c>
      <c r="BW761">
        <v>158.16416666666646</v>
      </c>
      <c r="BX761">
        <v>160.38999999999942</v>
      </c>
      <c r="BY761">
        <v>162.61583333333328</v>
      </c>
      <c r="BZ761">
        <v>164.84166666666624</v>
      </c>
      <c r="CA761">
        <v>167.0674999999992</v>
      </c>
      <c r="CB761">
        <v>169.29333333333307</v>
      </c>
      <c r="CC761">
        <v>171.51916666666602</v>
      </c>
      <c r="CD761">
        <v>173.74499999999989</v>
      </c>
      <c r="CE761">
        <v>175.97083333333285</v>
      </c>
      <c r="CF761">
        <v>178.19666666666672</v>
      </c>
      <c r="CG761">
        <v>180.42249999999967</v>
      </c>
      <c r="CH761">
        <v>182.64833333333263</v>
      </c>
      <c r="CI761">
        <v>184.8741666666665</v>
      </c>
      <c r="CJ761">
        <v>187.09999999999945</v>
      </c>
      <c r="CK761">
        <v>189.32583333333332</v>
      </c>
      <c r="CL761">
        <v>191.55166666666628</v>
      </c>
      <c r="CM761">
        <v>193.77749999999924</v>
      </c>
      <c r="CN761">
        <v>196.0033333333331</v>
      </c>
    </row>
    <row r="762" spans="1:92" x14ac:dyDescent="0.25">
      <c r="A762" s="99" t="s">
        <v>1</v>
      </c>
      <c r="B762" s="4">
        <v>0</v>
      </c>
      <c r="C762" s="4">
        <v>0</v>
      </c>
      <c r="D762" s="4">
        <v>0</v>
      </c>
      <c r="E762" s="4">
        <v>0</v>
      </c>
      <c r="F762" s="4">
        <v>0</v>
      </c>
      <c r="G762" s="4">
        <v>0</v>
      </c>
      <c r="H762" s="4">
        <v>0</v>
      </c>
      <c r="I762" s="4">
        <v>0</v>
      </c>
      <c r="J762" s="4">
        <v>0</v>
      </c>
      <c r="K762" s="4">
        <v>0</v>
      </c>
      <c r="L762" s="4">
        <v>0</v>
      </c>
      <c r="M762" s="4">
        <v>0</v>
      </c>
      <c r="N762" s="4">
        <v>0</v>
      </c>
      <c r="O762" s="4">
        <v>0</v>
      </c>
      <c r="P762" s="4">
        <v>0</v>
      </c>
      <c r="Q762" s="4">
        <v>0</v>
      </c>
      <c r="R762" s="4">
        <v>0</v>
      </c>
      <c r="S762" s="4">
        <v>0</v>
      </c>
      <c r="T762" s="4">
        <v>0</v>
      </c>
      <c r="U762" s="4">
        <v>0</v>
      </c>
      <c r="V762" s="4">
        <v>0</v>
      </c>
      <c r="W762" s="4">
        <v>0</v>
      </c>
      <c r="X762" s="4">
        <v>0</v>
      </c>
      <c r="Y762" s="4">
        <v>0</v>
      </c>
      <c r="Z762" s="4">
        <v>0</v>
      </c>
      <c r="AA762" s="4">
        <v>0</v>
      </c>
      <c r="AB762" s="4">
        <v>0</v>
      </c>
      <c r="AC762" s="4">
        <v>0</v>
      </c>
      <c r="AD762" s="4">
        <v>0</v>
      </c>
      <c r="AE762" s="4">
        <v>0</v>
      </c>
      <c r="AF762">
        <v>26905.97333333327</v>
      </c>
      <c r="AG762">
        <v>27263.699999999953</v>
      </c>
      <c r="AH762">
        <v>27621.426666666637</v>
      </c>
      <c r="AI762">
        <v>27979.153333333321</v>
      </c>
      <c r="AJ762">
        <v>28336.880000000005</v>
      </c>
      <c r="AK762">
        <v>28694.606666666688</v>
      </c>
      <c r="AL762">
        <v>29052.333333333372</v>
      </c>
      <c r="AM762">
        <v>29410.059999999939</v>
      </c>
      <c r="AN762">
        <v>29767.786666666623</v>
      </c>
      <c r="AO762">
        <v>30125.513333333307</v>
      </c>
      <c r="AP762">
        <v>30483.239999999991</v>
      </c>
      <c r="AQ762">
        <v>30840.966666666674</v>
      </c>
      <c r="AR762">
        <v>31198.693333333358</v>
      </c>
      <c r="AS762">
        <v>31556.420000000042</v>
      </c>
      <c r="AT762">
        <v>31914.146666666609</v>
      </c>
      <c r="AU762">
        <v>32271.873333333293</v>
      </c>
      <c r="AV762">
        <v>32629.599999999977</v>
      </c>
      <c r="AW762">
        <v>32987.32666666666</v>
      </c>
      <c r="AX762">
        <v>33345.053333333344</v>
      </c>
      <c r="AY762">
        <v>33702.780000000028</v>
      </c>
      <c r="AZ762">
        <v>34060.506666666712</v>
      </c>
      <c r="BA762">
        <v>34418.233333333279</v>
      </c>
      <c r="BB762">
        <v>34775.959999999963</v>
      </c>
      <c r="BC762">
        <v>35133.686666666646</v>
      </c>
      <c r="BD762">
        <v>35491.41333333333</v>
      </c>
      <c r="BE762">
        <v>35849.140000000014</v>
      </c>
      <c r="BF762">
        <v>36206.866666666698</v>
      </c>
      <c r="BG762">
        <v>36564.593333333381</v>
      </c>
      <c r="BH762">
        <v>36922.319999999949</v>
      </c>
      <c r="BI762">
        <v>37280.046666666633</v>
      </c>
      <c r="BJ762">
        <v>37637.773333333316</v>
      </c>
      <c r="BK762">
        <v>37995.5</v>
      </c>
      <c r="BL762">
        <v>38353.226666666684</v>
      </c>
      <c r="BM762">
        <v>38710.953333333367</v>
      </c>
      <c r="BN762">
        <v>39068.680000000051</v>
      </c>
      <c r="BO762">
        <v>39426.406666666619</v>
      </c>
      <c r="BP762">
        <v>39784.133333333302</v>
      </c>
      <c r="BQ762">
        <v>40141.859999999986</v>
      </c>
      <c r="BR762">
        <v>40499.58666666667</v>
      </c>
      <c r="BS762">
        <v>40857.313333333354</v>
      </c>
      <c r="BT762">
        <v>41215.040000000037</v>
      </c>
      <c r="BU762">
        <v>41572.766666666605</v>
      </c>
      <c r="BV762">
        <v>41930.493333333288</v>
      </c>
      <c r="BW762">
        <v>42288.219999999972</v>
      </c>
      <c r="BX762">
        <v>42645.946666666656</v>
      </c>
      <c r="BY762">
        <v>43003.67333333334</v>
      </c>
      <c r="BZ762">
        <v>43361.400000000023</v>
      </c>
      <c r="CA762">
        <v>43719.126666666707</v>
      </c>
      <c r="CB762">
        <v>44076.853333333274</v>
      </c>
      <c r="CC762">
        <v>44434.579999999958</v>
      </c>
      <c r="CD762">
        <v>44792.306666666642</v>
      </c>
      <c r="CE762">
        <v>45150.033333333326</v>
      </c>
      <c r="CF762">
        <v>45507.760000000009</v>
      </c>
      <c r="CG762">
        <v>45865.486666666693</v>
      </c>
      <c r="CH762">
        <v>46223.213333333377</v>
      </c>
      <c r="CI762">
        <v>46580.939999999944</v>
      </c>
      <c r="CJ762">
        <v>46938.666666666628</v>
      </c>
      <c r="CK762">
        <v>47296.393333333312</v>
      </c>
      <c r="CL762">
        <v>47654.119999999995</v>
      </c>
      <c r="CM762">
        <v>48011.846666666679</v>
      </c>
      <c r="CN762">
        <v>48369.573333333363</v>
      </c>
    </row>
    <row r="763" spans="1:92" x14ac:dyDescent="0.25">
      <c r="A763" s="99" t="s">
        <v>1</v>
      </c>
      <c r="B763" s="4">
        <v>0</v>
      </c>
      <c r="C763" s="4">
        <v>0</v>
      </c>
      <c r="D763" s="4">
        <v>0</v>
      </c>
      <c r="E763" s="4">
        <v>0</v>
      </c>
      <c r="F763" s="4">
        <v>0</v>
      </c>
      <c r="G763" s="4">
        <v>0</v>
      </c>
      <c r="H763" s="4">
        <v>0</v>
      </c>
      <c r="I763" s="4">
        <v>0</v>
      </c>
      <c r="J763" s="4">
        <v>0</v>
      </c>
      <c r="K763" s="4">
        <v>0</v>
      </c>
      <c r="L763" s="4">
        <v>0</v>
      </c>
      <c r="M763" s="4">
        <v>0</v>
      </c>
      <c r="N763" s="4">
        <v>0</v>
      </c>
      <c r="O763" s="4">
        <v>0</v>
      </c>
      <c r="P763" s="4">
        <v>0</v>
      </c>
      <c r="Q763" s="4">
        <v>0</v>
      </c>
      <c r="R763" s="4">
        <v>0</v>
      </c>
      <c r="S763" s="4">
        <v>0</v>
      </c>
      <c r="T763" s="4">
        <v>0</v>
      </c>
      <c r="U763" s="4">
        <v>0</v>
      </c>
      <c r="V763" s="4">
        <v>0</v>
      </c>
      <c r="W763" s="4">
        <v>0</v>
      </c>
      <c r="X763" s="4">
        <v>0</v>
      </c>
      <c r="Y763" s="4">
        <v>0</v>
      </c>
      <c r="Z763" s="4">
        <v>0</v>
      </c>
      <c r="AA763" s="4">
        <v>0</v>
      </c>
      <c r="AB763" s="4">
        <v>0</v>
      </c>
      <c r="AC763" s="4">
        <v>0</v>
      </c>
      <c r="AD763" s="4">
        <v>0</v>
      </c>
      <c r="AE763" s="4">
        <v>0</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c r="CK763">
        <v>0</v>
      </c>
      <c r="CL763">
        <v>0</v>
      </c>
      <c r="CM763">
        <v>0</v>
      </c>
      <c r="CN763">
        <v>0</v>
      </c>
    </row>
    <row r="764" spans="1:92" x14ac:dyDescent="0.25">
      <c r="A764" s="99" t="s">
        <v>1</v>
      </c>
      <c r="B764" s="4">
        <v>0</v>
      </c>
      <c r="C764" s="4">
        <v>0</v>
      </c>
      <c r="D764" s="4">
        <v>0</v>
      </c>
      <c r="E764" s="4">
        <v>0</v>
      </c>
      <c r="F764" s="4">
        <v>0</v>
      </c>
      <c r="G764" s="4">
        <v>0</v>
      </c>
      <c r="H764" s="4">
        <v>0</v>
      </c>
      <c r="I764" s="4">
        <v>0</v>
      </c>
      <c r="J764" s="4">
        <v>0</v>
      </c>
      <c r="K764" s="4">
        <v>0</v>
      </c>
      <c r="L764" s="4">
        <v>0</v>
      </c>
      <c r="M764" s="4">
        <v>0</v>
      </c>
      <c r="N764" s="4">
        <v>0</v>
      </c>
      <c r="O764" s="4">
        <v>0</v>
      </c>
      <c r="P764" s="4">
        <v>0</v>
      </c>
      <c r="Q764" s="4">
        <v>0</v>
      </c>
      <c r="R764" s="4">
        <v>0</v>
      </c>
      <c r="S764" s="4">
        <v>0</v>
      </c>
      <c r="T764" s="4">
        <v>0</v>
      </c>
      <c r="U764" s="4">
        <v>0</v>
      </c>
      <c r="V764" s="4">
        <v>0</v>
      </c>
      <c r="W764" s="4">
        <v>0</v>
      </c>
      <c r="X764" s="4">
        <v>0</v>
      </c>
      <c r="Y764" s="4">
        <v>0</v>
      </c>
      <c r="Z764" s="4">
        <v>0</v>
      </c>
      <c r="AA764" s="4">
        <v>0</v>
      </c>
      <c r="AB764" s="4">
        <v>0</v>
      </c>
      <c r="AC764" s="4">
        <v>0</v>
      </c>
      <c r="AD764" s="4">
        <v>0</v>
      </c>
      <c r="AE764" s="4">
        <v>0</v>
      </c>
      <c r="AF764">
        <v>6554.8946666666598</v>
      </c>
      <c r="AG764">
        <v>6646.8866666666581</v>
      </c>
      <c r="AH764">
        <v>6738.8786666666565</v>
      </c>
      <c r="AI764">
        <v>6830.870666666684</v>
      </c>
      <c r="AJ764">
        <v>6922.8626666666823</v>
      </c>
      <c r="AK764">
        <v>7014.8546666666807</v>
      </c>
      <c r="AL764">
        <v>7106.8466666666791</v>
      </c>
      <c r="AM764">
        <v>7198.8386666666775</v>
      </c>
      <c r="AN764">
        <v>7290.8306666666758</v>
      </c>
      <c r="AO764">
        <v>7382.8226666666742</v>
      </c>
      <c r="AP764">
        <v>7474.8146666666726</v>
      </c>
      <c r="AQ764">
        <v>7566.8066666666709</v>
      </c>
      <c r="AR764">
        <v>7658.7986666666693</v>
      </c>
      <c r="AS764">
        <v>7750.7906666666677</v>
      </c>
      <c r="AT764">
        <v>7842.782666666666</v>
      </c>
      <c r="AU764">
        <v>7934.7746666666644</v>
      </c>
      <c r="AV764">
        <v>8026.7666666666628</v>
      </c>
      <c r="AW764">
        <v>8118.7586666666612</v>
      </c>
      <c r="AX764">
        <v>8210.7506666666886</v>
      </c>
      <c r="AY764">
        <v>8302.742666666687</v>
      </c>
      <c r="AZ764">
        <v>8394.7346666666854</v>
      </c>
      <c r="BA764">
        <v>8486.7266666666837</v>
      </c>
      <c r="BB764">
        <v>8578.7186666666821</v>
      </c>
      <c r="BC764">
        <v>8670.7106666666805</v>
      </c>
      <c r="BD764">
        <v>8762.7026666666789</v>
      </c>
      <c r="BE764">
        <v>8854.6946666666772</v>
      </c>
      <c r="BF764">
        <v>8946.6866666666756</v>
      </c>
      <c r="BG764">
        <v>9038.678666666674</v>
      </c>
      <c r="BH764">
        <v>9130.6706666666723</v>
      </c>
      <c r="BI764">
        <v>9222.6626666666707</v>
      </c>
      <c r="BJ764">
        <v>9314.6546666666691</v>
      </c>
      <c r="BK764">
        <v>9406.6466666666674</v>
      </c>
      <c r="BL764">
        <v>9498.6386666666658</v>
      </c>
      <c r="BM764">
        <v>9590.6306666666642</v>
      </c>
      <c r="BN764">
        <v>9682.6226666666626</v>
      </c>
      <c r="BO764">
        <v>9774.61466666669</v>
      </c>
      <c r="BP764">
        <v>9866.6066666666884</v>
      </c>
      <c r="BQ764">
        <v>9958.5986666666868</v>
      </c>
      <c r="BR764">
        <v>10050.590666666685</v>
      </c>
      <c r="BS764">
        <v>10142.582666666684</v>
      </c>
      <c r="BT764">
        <v>10234.574666666682</v>
      </c>
      <c r="BU764">
        <v>10326.56666666668</v>
      </c>
      <c r="BV764">
        <v>10418.558666666679</v>
      </c>
      <c r="BW764">
        <v>10510.550666666677</v>
      </c>
      <c r="BX764">
        <v>10602.542666666675</v>
      </c>
      <c r="BY764">
        <v>10694.534666666674</v>
      </c>
      <c r="BZ764">
        <v>10786.526666666672</v>
      </c>
      <c r="CA764">
        <v>10878.51866666667</v>
      </c>
      <c r="CB764">
        <v>10970.510666666669</v>
      </c>
      <c r="CC764">
        <v>11062.502666666667</v>
      </c>
      <c r="CD764">
        <v>11154.494666666695</v>
      </c>
      <c r="CE764">
        <v>11246.486666666693</v>
      </c>
      <c r="CF764">
        <v>11338.478666666691</v>
      </c>
      <c r="CG764">
        <v>11430.47066666669</v>
      </c>
      <c r="CH764">
        <v>11522.462666666688</v>
      </c>
      <c r="CI764">
        <v>11614.454666666687</v>
      </c>
      <c r="CJ764">
        <v>11706.446666666685</v>
      </c>
      <c r="CK764">
        <v>11798.438666666683</v>
      </c>
      <c r="CL764">
        <v>11890.430666666682</v>
      </c>
      <c r="CM764">
        <v>11982.42266666668</v>
      </c>
      <c r="CN764">
        <v>12074.414666666678</v>
      </c>
    </row>
    <row r="765" spans="1:92" x14ac:dyDescent="0.25">
      <c r="A765" s="99" t="s">
        <v>1</v>
      </c>
      <c r="B765" s="4">
        <v>0</v>
      </c>
      <c r="C765" s="4">
        <v>0</v>
      </c>
      <c r="D765" s="4">
        <v>0</v>
      </c>
      <c r="E765" s="4">
        <v>0</v>
      </c>
      <c r="F765" s="4">
        <v>0</v>
      </c>
      <c r="G765" s="4">
        <v>0</v>
      </c>
      <c r="H765" s="4">
        <v>0</v>
      </c>
      <c r="I765" s="4">
        <v>0</v>
      </c>
      <c r="J765" s="4">
        <v>0</v>
      </c>
      <c r="K765" s="4">
        <v>0</v>
      </c>
      <c r="L765" s="4">
        <v>0</v>
      </c>
      <c r="M765" s="4">
        <v>0</v>
      </c>
      <c r="N765" s="4">
        <v>0</v>
      </c>
      <c r="O765" s="4">
        <v>0</v>
      </c>
      <c r="P765" s="4">
        <v>0</v>
      </c>
      <c r="Q765" s="4">
        <v>0</v>
      </c>
      <c r="R765" s="4">
        <v>0</v>
      </c>
      <c r="S765" s="4">
        <v>0</v>
      </c>
      <c r="T765" s="4">
        <v>0</v>
      </c>
      <c r="U765" s="4">
        <v>0</v>
      </c>
      <c r="V765" s="4">
        <v>0</v>
      </c>
      <c r="W765" s="4">
        <v>0</v>
      </c>
      <c r="X765" s="4">
        <v>0</v>
      </c>
      <c r="Y765" s="4">
        <v>0</v>
      </c>
      <c r="Z765" s="4">
        <v>0</v>
      </c>
      <c r="AA765" s="4">
        <v>0</v>
      </c>
      <c r="AB765" s="4">
        <v>0</v>
      </c>
      <c r="AC765" s="4">
        <v>0</v>
      </c>
      <c r="AD765" s="4">
        <v>0</v>
      </c>
      <c r="AE765" s="4">
        <v>0</v>
      </c>
      <c r="AF765">
        <v>2067.1719999999987</v>
      </c>
      <c r="AG765">
        <v>2057.0550000000003</v>
      </c>
      <c r="AH765">
        <v>2046.9379999999983</v>
      </c>
      <c r="AI765">
        <v>2036.8209999999999</v>
      </c>
      <c r="AJ765">
        <v>2026.7039999999979</v>
      </c>
      <c r="AK765">
        <v>2016.5869999999995</v>
      </c>
      <c r="AL765">
        <v>2006.4699999999975</v>
      </c>
      <c r="AM765">
        <v>1996.3529999999992</v>
      </c>
      <c r="AN765">
        <v>1986.2359999999971</v>
      </c>
      <c r="AO765">
        <v>1976.1189999999988</v>
      </c>
      <c r="AP765">
        <v>1966.0019999999968</v>
      </c>
      <c r="AQ765">
        <v>1955.8849999999984</v>
      </c>
      <c r="AR765">
        <v>1945.768</v>
      </c>
      <c r="AS765">
        <v>1935.650999999998</v>
      </c>
      <c r="AT765">
        <v>1925.5339999999997</v>
      </c>
      <c r="AU765">
        <v>1915.4169999999976</v>
      </c>
      <c r="AV765">
        <v>1905.2999999999993</v>
      </c>
      <c r="AW765">
        <v>1895.1829999999973</v>
      </c>
      <c r="AX765">
        <v>1885.0659999999989</v>
      </c>
      <c r="AY765">
        <v>1874.9489999999969</v>
      </c>
      <c r="AZ765">
        <v>1864.8319999999985</v>
      </c>
      <c r="BA765">
        <v>1854.7150000000001</v>
      </c>
      <c r="BB765">
        <v>1844.5979999999981</v>
      </c>
      <c r="BC765">
        <v>1834.4809999999998</v>
      </c>
      <c r="BD765">
        <v>1824.3639999999978</v>
      </c>
      <c r="BE765">
        <v>1814.2469999999994</v>
      </c>
      <c r="BF765">
        <v>1804.1299999999974</v>
      </c>
      <c r="BG765">
        <v>1794.012999999999</v>
      </c>
      <c r="BH765">
        <v>1783.895999999997</v>
      </c>
      <c r="BI765">
        <v>1773.7789999999986</v>
      </c>
      <c r="BJ765">
        <v>1763.6620000000003</v>
      </c>
      <c r="BK765">
        <v>1753.5449999999983</v>
      </c>
      <c r="BL765">
        <v>1743.4279999999999</v>
      </c>
      <c r="BM765">
        <v>1733.3109999999979</v>
      </c>
      <c r="BN765">
        <v>1723.1939999999995</v>
      </c>
      <c r="BO765">
        <v>1713.0769999999975</v>
      </c>
      <c r="BP765">
        <v>1702.9599999999991</v>
      </c>
      <c r="BQ765">
        <v>1692.8429999999971</v>
      </c>
      <c r="BR765">
        <v>1682.7259999999987</v>
      </c>
      <c r="BS765">
        <v>1672.6090000000004</v>
      </c>
      <c r="BT765">
        <v>1662.4919999999984</v>
      </c>
      <c r="BU765">
        <v>1652.375</v>
      </c>
      <c r="BV765">
        <v>1642.257999999998</v>
      </c>
      <c r="BW765">
        <v>1632.1409999999996</v>
      </c>
      <c r="BX765">
        <v>1622.0239999999976</v>
      </c>
      <c r="BY765">
        <v>1611.9069999999992</v>
      </c>
      <c r="BZ765">
        <v>1601.7899999999972</v>
      </c>
      <c r="CA765">
        <v>1591.6729999999989</v>
      </c>
      <c r="CB765">
        <v>1581.5559999999969</v>
      </c>
      <c r="CC765">
        <v>1571.4389999999985</v>
      </c>
      <c r="CD765">
        <v>1561.3220000000001</v>
      </c>
      <c r="CE765">
        <v>1551.2049999999981</v>
      </c>
      <c r="CF765">
        <v>1541.0879999999997</v>
      </c>
      <c r="CG765">
        <v>1530.9709999999977</v>
      </c>
      <c r="CH765">
        <v>1520.8539999999994</v>
      </c>
      <c r="CI765">
        <v>1510.7369999999974</v>
      </c>
      <c r="CJ765">
        <v>1500.619999999999</v>
      </c>
      <c r="CK765">
        <v>1490.502999999997</v>
      </c>
      <c r="CL765">
        <v>1480.3859999999986</v>
      </c>
      <c r="CM765">
        <v>1470.2690000000002</v>
      </c>
      <c r="CN765">
        <v>1460.1519999999982</v>
      </c>
    </row>
    <row r="766" spans="1:92" x14ac:dyDescent="0.25">
      <c r="A766" s="99"/>
    </row>
    <row r="767" spans="1:92" x14ac:dyDescent="0.25">
      <c r="A767" s="99" t="s">
        <v>303</v>
      </c>
      <c r="B767" s="4">
        <v>0</v>
      </c>
      <c r="C767" s="4">
        <v>0</v>
      </c>
      <c r="D767" s="4">
        <v>0</v>
      </c>
      <c r="E767" s="4">
        <v>0</v>
      </c>
      <c r="F767" s="4">
        <v>0</v>
      </c>
      <c r="G767" s="4">
        <v>0</v>
      </c>
      <c r="H767" s="4">
        <v>0</v>
      </c>
      <c r="I767" s="4">
        <v>0</v>
      </c>
      <c r="J767" s="4">
        <v>0</v>
      </c>
      <c r="K767" s="4">
        <v>0</v>
      </c>
      <c r="L767" s="4">
        <v>0</v>
      </c>
      <c r="M767" s="4">
        <v>0</v>
      </c>
      <c r="N767" s="4">
        <v>0</v>
      </c>
      <c r="O767" s="4">
        <v>0</v>
      </c>
      <c r="P767" s="4">
        <v>0</v>
      </c>
      <c r="Q767" s="4">
        <v>0</v>
      </c>
      <c r="R767" s="4">
        <v>0</v>
      </c>
      <c r="S767" s="4">
        <v>0</v>
      </c>
      <c r="T767" s="4">
        <v>0</v>
      </c>
      <c r="U767" s="4">
        <v>0</v>
      </c>
      <c r="V767" s="4">
        <v>0</v>
      </c>
      <c r="W767" s="4">
        <v>0</v>
      </c>
      <c r="X767" s="4">
        <v>0</v>
      </c>
      <c r="Y767" s="4">
        <v>0</v>
      </c>
      <c r="Z767" s="4">
        <v>0</v>
      </c>
      <c r="AA767" s="4">
        <v>0</v>
      </c>
      <c r="AB767" s="4">
        <v>0</v>
      </c>
      <c r="AC767" s="4">
        <v>0</v>
      </c>
      <c r="AD767" s="4">
        <v>0</v>
      </c>
      <c r="AE767" s="4">
        <v>0</v>
      </c>
      <c r="AF767">
        <v>1063.0933333333378</v>
      </c>
      <c r="AG767">
        <v>1035.0083333333387</v>
      </c>
      <c r="AH767">
        <v>1006.9233333333395</v>
      </c>
      <c r="AI767">
        <v>978.83833333334042</v>
      </c>
      <c r="AJ767">
        <v>950.75333333333401</v>
      </c>
      <c r="AK767">
        <v>922.66833333333489</v>
      </c>
      <c r="AL767">
        <v>894.58333333333576</v>
      </c>
      <c r="AM767">
        <v>866.49833333333663</v>
      </c>
      <c r="AN767">
        <v>838.4133333333375</v>
      </c>
      <c r="AO767">
        <v>810.32833333333838</v>
      </c>
      <c r="AP767">
        <v>782.24333333333925</v>
      </c>
      <c r="AQ767">
        <v>754.15833333334012</v>
      </c>
      <c r="AR767">
        <v>726.073333333341</v>
      </c>
      <c r="AS767">
        <v>697.98833333333459</v>
      </c>
      <c r="AT767">
        <v>669.90333333333547</v>
      </c>
      <c r="AU767">
        <v>641.81833333333634</v>
      </c>
      <c r="AV767">
        <v>613.73333333333721</v>
      </c>
      <c r="AW767">
        <v>585.64833333333809</v>
      </c>
      <c r="AX767">
        <v>557.56333333333896</v>
      </c>
      <c r="AY767">
        <v>529.47833333333983</v>
      </c>
      <c r="AZ767">
        <v>501.39333333334071</v>
      </c>
      <c r="BA767">
        <v>473.3083333333343</v>
      </c>
      <c r="BB767">
        <v>445.22333333333518</v>
      </c>
      <c r="BC767">
        <v>417.13833333333605</v>
      </c>
      <c r="BD767">
        <v>389.05333333333692</v>
      </c>
      <c r="BE767">
        <v>360.9683333333378</v>
      </c>
      <c r="BF767">
        <v>332.88333333333867</v>
      </c>
      <c r="BG767">
        <v>304.79833333333954</v>
      </c>
      <c r="BH767">
        <v>276.71333333334042</v>
      </c>
      <c r="BI767">
        <v>248.62833333333401</v>
      </c>
      <c r="BJ767">
        <v>220.54333333333489</v>
      </c>
      <c r="BK767">
        <v>192.45833333333576</v>
      </c>
      <c r="BL767">
        <v>164.37333333333663</v>
      </c>
      <c r="BM767">
        <v>136.2883333333375</v>
      </c>
      <c r="BN767">
        <v>108.20333333333838</v>
      </c>
      <c r="BO767">
        <v>80.118333333339251</v>
      </c>
      <c r="BP767">
        <v>52.033333333340124</v>
      </c>
      <c r="BQ767">
        <v>23.948333333340997</v>
      </c>
      <c r="BR767">
        <v>52.033333333340124</v>
      </c>
      <c r="BS767">
        <v>42.671666666673751</v>
      </c>
      <c r="BT767">
        <v>39.551111111118296</v>
      </c>
      <c r="BU767">
        <v>44.752037037044062</v>
      </c>
      <c r="BV767">
        <v>42.324938271612034</v>
      </c>
      <c r="BW767">
        <v>42.209362139924799</v>
      </c>
      <c r="BX767">
        <v>43.095445816193632</v>
      </c>
      <c r="BY767">
        <v>42.543248742576822</v>
      </c>
      <c r="BZ767">
        <v>42.616018899565084</v>
      </c>
      <c r="CA767">
        <v>42.751571152778517</v>
      </c>
      <c r="CB767">
        <v>42.636946264973481</v>
      </c>
      <c r="CC767">
        <v>42.668178772439028</v>
      </c>
      <c r="CD767">
        <v>42.68556539673034</v>
      </c>
      <c r="CE767">
        <v>42.663563478047614</v>
      </c>
      <c r="CF767">
        <v>42.672435882405665</v>
      </c>
      <c r="CG767">
        <v>42.673854919061206</v>
      </c>
      <c r="CH767">
        <v>42.669951426504831</v>
      </c>
      <c r="CI767">
        <v>42.672080742657236</v>
      </c>
      <c r="CJ767">
        <v>42.671962362741091</v>
      </c>
      <c r="CK767">
        <v>42.671331510634388</v>
      </c>
      <c r="CL767">
        <v>42.671791538677574</v>
      </c>
      <c r="CM767">
        <v>42.671695137351016</v>
      </c>
      <c r="CN767">
        <v>42.671606062220995</v>
      </c>
    </row>
    <row r="768" spans="1:92" x14ac:dyDescent="0.25">
      <c r="A768" s="99"/>
    </row>
    <row r="769" spans="1:92" s="50" customFormat="1" x14ac:dyDescent="0.25">
      <c r="A769" s="99" t="s">
        <v>304</v>
      </c>
      <c r="B769" s="4">
        <v>0</v>
      </c>
      <c r="C769" s="4">
        <v>0</v>
      </c>
      <c r="D769" s="4">
        <v>0</v>
      </c>
      <c r="E769" s="4">
        <v>0</v>
      </c>
      <c r="F769" s="4">
        <v>0</v>
      </c>
      <c r="G769" s="4">
        <v>0</v>
      </c>
      <c r="H769" s="4">
        <v>0</v>
      </c>
      <c r="I769" s="4">
        <v>0</v>
      </c>
      <c r="J769" s="4">
        <v>0</v>
      </c>
      <c r="K769" s="4">
        <v>0</v>
      </c>
      <c r="L769" s="4">
        <v>0</v>
      </c>
      <c r="M769" s="4">
        <v>0</v>
      </c>
      <c r="N769" s="4">
        <v>0</v>
      </c>
      <c r="O769" s="4">
        <v>0</v>
      </c>
      <c r="P769" s="4">
        <v>0</v>
      </c>
      <c r="Q769" s="4">
        <v>0</v>
      </c>
      <c r="R769" s="4">
        <v>0</v>
      </c>
      <c r="S769" s="4">
        <v>0</v>
      </c>
      <c r="T769" s="4">
        <v>0</v>
      </c>
      <c r="U769" s="4">
        <v>0</v>
      </c>
      <c r="V769" s="4">
        <v>0</v>
      </c>
      <c r="W769" s="4">
        <v>0</v>
      </c>
      <c r="X769" s="4">
        <v>0</v>
      </c>
      <c r="Y769" s="4">
        <v>0</v>
      </c>
      <c r="Z769" s="4">
        <v>0</v>
      </c>
      <c r="AA769" s="4">
        <v>0</v>
      </c>
      <c r="AB769" s="4">
        <v>0</v>
      </c>
      <c r="AC769" s="4">
        <v>0</v>
      </c>
      <c r="AD769" s="4">
        <v>0</v>
      </c>
      <c r="AE769" s="4">
        <v>0</v>
      </c>
      <c r="AF769" s="50">
        <v>634.22584258996358</v>
      </c>
      <c r="AG769" s="50">
        <v>675.2093844126066</v>
      </c>
      <c r="AH769" s="50">
        <v>716.19292623524962</v>
      </c>
      <c r="AI769" s="50">
        <v>757.17646805790719</v>
      </c>
      <c r="AJ769" s="50">
        <v>798.16000988055021</v>
      </c>
      <c r="AK769" s="50">
        <v>839.14355170319322</v>
      </c>
      <c r="AL769" s="50">
        <v>880.1270935258508</v>
      </c>
      <c r="AM769" s="50">
        <v>921.11063534849382</v>
      </c>
      <c r="AN769" s="50">
        <v>962.09417717113683</v>
      </c>
      <c r="AO769" s="50">
        <v>1003.0777189937944</v>
      </c>
      <c r="AP769" s="50">
        <v>1044.0612608164374</v>
      </c>
      <c r="AQ769" s="50">
        <v>1085.0448026390804</v>
      </c>
      <c r="AR769" s="50">
        <v>1126.028344461738</v>
      </c>
      <c r="AS769" s="50">
        <v>1167.011886284381</v>
      </c>
      <c r="AT769" s="50">
        <v>1207.9954281070386</v>
      </c>
      <c r="AU769" s="50">
        <v>1248.9789699296816</v>
      </c>
      <c r="AV769" s="50">
        <v>1289.9625117523246</v>
      </c>
      <c r="AW769" s="50">
        <v>1330.9460535749822</v>
      </c>
      <c r="AX769" s="50">
        <v>1371.9295953976252</v>
      </c>
      <c r="AY769" s="50">
        <v>1412.9131372202683</v>
      </c>
      <c r="AZ769" s="50">
        <v>1453.8966790429258</v>
      </c>
      <c r="BA769" s="50">
        <v>1494.8802208655688</v>
      </c>
      <c r="BB769" s="50">
        <v>1535.8637626882119</v>
      </c>
      <c r="BC769" s="50">
        <v>1576.8473045108694</v>
      </c>
      <c r="BD769" s="50">
        <v>1617.8308463335125</v>
      </c>
      <c r="BE769" s="50">
        <v>1658.8143881561555</v>
      </c>
      <c r="BF769" s="50">
        <v>1699.797929978813</v>
      </c>
      <c r="BG769" s="50">
        <v>1740.7814718014561</v>
      </c>
      <c r="BH769" s="50">
        <v>1781.7650136240991</v>
      </c>
      <c r="BI769" s="50">
        <v>1822.7485554467567</v>
      </c>
      <c r="BJ769" s="50">
        <v>1863.7320972693997</v>
      </c>
      <c r="BK769" s="50">
        <v>1904.7156390920572</v>
      </c>
      <c r="BL769" s="50">
        <v>1945.6991809147003</v>
      </c>
      <c r="BM769" s="50">
        <v>1986.6827227373433</v>
      </c>
      <c r="BN769" s="50">
        <v>2027.6662645600009</v>
      </c>
      <c r="BO769" s="50">
        <v>2068.6498063826439</v>
      </c>
      <c r="BP769" s="50">
        <v>2109.6333482052869</v>
      </c>
      <c r="BQ769" s="50">
        <v>2150.6168900279445</v>
      </c>
      <c r="BR769" s="50">
        <v>2191.6004318505875</v>
      </c>
      <c r="BS769" s="50">
        <v>2232.5839736732305</v>
      </c>
      <c r="BT769" s="50">
        <v>2273.5675154958881</v>
      </c>
      <c r="BU769" s="50">
        <v>2314.5510573185311</v>
      </c>
      <c r="BV769" s="50">
        <v>2355.5345991411741</v>
      </c>
      <c r="BW769" s="50">
        <v>2396.5181409638317</v>
      </c>
      <c r="BX769" s="50">
        <v>2437.5016827864747</v>
      </c>
      <c r="BY769" s="50">
        <v>2478.4852246091177</v>
      </c>
      <c r="BZ769" s="50">
        <v>2519.4687664317753</v>
      </c>
      <c r="CA769" s="50">
        <v>2560.4523082544183</v>
      </c>
      <c r="CB769" s="50">
        <v>2601.4358500770613</v>
      </c>
      <c r="CC769" s="50">
        <v>2642.4193918997189</v>
      </c>
      <c r="CD769" s="50">
        <v>2683.4029337223619</v>
      </c>
      <c r="CE769" s="50">
        <v>2724.3864755450195</v>
      </c>
      <c r="CF769" s="50">
        <v>2765.3700173676625</v>
      </c>
      <c r="CG769" s="50">
        <v>2806.3535591903055</v>
      </c>
      <c r="CH769" s="50">
        <v>2847.3371010129631</v>
      </c>
      <c r="CI769" s="50">
        <v>2888.3206428356061</v>
      </c>
      <c r="CJ769" s="50">
        <v>2929.3041846582491</v>
      </c>
      <c r="CK769" s="50">
        <v>2970.2877264809067</v>
      </c>
      <c r="CL769" s="50">
        <v>3011.2712683035497</v>
      </c>
      <c r="CM769" s="50">
        <v>3052.2548101261928</v>
      </c>
      <c r="CN769" s="50">
        <v>3093.2383519488503</v>
      </c>
    </row>
    <row r="770" spans="1:92" s="50" customFormat="1" x14ac:dyDescent="0.25">
      <c r="A770" s="9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92" x14ac:dyDescent="0.25">
      <c r="A771" s="99" t="s">
        <v>305</v>
      </c>
      <c r="B771" s="4">
        <v>0</v>
      </c>
      <c r="C771" s="4">
        <v>0</v>
      </c>
      <c r="D771" s="4">
        <v>0</v>
      </c>
      <c r="E771" s="4">
        <v>0</v>
      </c>
      <c r="F771" s="4">
        <v>0</v>
      </c>
      <c r="G771" s="4">
        <v>0</v>
      </c>
      <c r="H771" s="4">
        <v>0</v>
      </c>
      <c r="I771" s="4">
        <v>0</v>
      </c>
      <c r="J771" s="4">
        <v>0</v>
      </c>
      <c r="K771" s="4">
        <v>0</v>
      </c>
      <c r="L771" s="4">
        <v>0</v>
      </c>
      <c r="M771" s="4">
        <v>0</v>
      </c>
      <c r="N771" s="4">
        <v>0</v>
      </c>
      <c r="O771" s="4">
        <v>0</v>
      </c>
      <c r="P771" s="4">
        <v>0</v>
      </c>
      <c r="Q771" s="4">
        <v>0</v>
      </c>
      <c r="R771" s="4">
        <v>0</v>
      </c>
      <c r="S771" s="4">
        <v>0</v>
      </c>
      <c r="T771" s="4">
        <v>0</v>
      </c>
      <c r="U771" s="4">
        <v>0</v>
      </c>
      <c r="V771" s="4">
        <v>0</v>
      </c>
      <c r="W771" s="4">
        <v>0</v>
      </c>
      <c r="X771" s="4">
        <v>0</v>
      </c>
      <c r="Y771" s="4">
        <v>0</v>
      </c>
      <c r="Z771" s="4">
        <v>0</v>
      </c>
      <c r="AA771" s="4">
        <v>0</v>
      </c>
      <c r="AB771" s="4">
        <v>0</v>
      </c>
      <c r="AC771" s="4">
        <v>0</v>
      </c>
      <c r="AD771" s="4">
        <v>0</v>
      </c>
      <c r="AE771" s="4">
        <v>0</v>
      </c>
      <c r="AF771">
        <v>4501.7093333333032</v>
      </c>
      <c r="AG771">
        <v>4970.6108333333395</v>
      </c>
      <c r="AH771">
        <v>5439.5123333333759</v>
      </c>
      <c r="AI771">
        <v>5908.4138333332958</v>
      </c>
      <c r="AJ771">
        <v>6377.3153333333321</v>
      </c>
      <c r="AK771">
        <v>6846.2168333333684</v>
      </c>
      <c r="AL771">
        <v>7315.1183333332883</v>
      </c>
      <c r="AM771">
        <v>7784.0198333333246</v>
      </c>
      <c r="AN771">
        <v>8252.921333333361</v>
      </c>
      <c r="AO771">
        <v>8721.8228333332809</v>
      </c>
      <c r="AP771">
        <v>9190.7243333333172</v>
      </c>
      <c r="AQ771">
        <v>9659.6258333333535</v>
      </c>
      <c r="AR771">
        <v>10128.527333333273</v>
      </c>
      <c r="AS771">
        <v>10597.42883333331</v>
      </c>
      <c r="AT771">
        <v>11066.330333333346</v>
      </c>
      <c r="AU771">
        <v>11535.231833333266</v>
      </c>
      <c r="AV771">
        <v>12004.133333333302</v>
      </c>
      <c r="AW771">
        <v>12473.034833333339</v>
      </c>
      <c r="AX771">
        <v>12941.936333333259</v>
      </c>
      <c r="AY771">
        <v>13410.837833333295</v>
      </c>
      <c r="AZ771">
        <v>13879.739333333331</v>
      </c>
      <c r="BA771">
        <v>14348.640833333367</v>
      </c>
      <c r="BB771">
        <v>14817.542333333287</v>
      </c>
      <c r="BC771">
        <v>15286.443833333324</v>
      </c>
      <c r="BD771">
        <v>15755.34533333336</v>
      </c>
      <c r="BE771">
        <v>16224.24683333328</v>
      </c>
      <c r="BF771">
        <v>16693.148333333316</v>
      </c>
      <c r="BG771">
        <v>17162.049833333353</v>
      </c>
      <c r="BH771">
        <v>17630.951333333272</v>
      </c>
      <c r="BI771">
        <v>18099.852833333309</v>
      </c>
      <c r="BJ771">
        <v>18568.754333333345</v>
      </c>
      <c r="BK771">
        <v>19037.655833333265</v>
      </c>
      <c r="BL771">
        <v>19506.557333333301</v>
      </c>
      <c r="BM771">
        <v>19975.458833333338</v>
      </c>
      <c r="BN771">
        <v>20444.360333333374</v>
      </c>
      <c r="BO771">
        <v>20913.261833333294</v>
      </c>
      <c r="BP771">
        <v>21382.16333333333</v>
      </c>
      <c r="BQ771">
        <v>21851.064833333367</v>
      </c>
      <c r="BR771">
        <v>22319.966333333286</v>
      </c>
      <c r="BS771">
        <v>22788.867833333323</v>
      </c>
      <c r="BT771">
        <v>23257.769333333359</v>
      </c>
      <c r="BU771">
        <v>23726.670833333279</v>
      </c>
      <c r="BV771">
        <v>24195.572333333315</v>
      </c>
      <c r="BW771">
        <v>24664.473833333352</v>
      </c>
      <c r="BX771">
        <v>25133.375333333272</v>
      </c>
      <c r="BY771">
        <v>25602.276833333308</v>
      </c>
      <c r="BZ771">
        <v>26071.178333333344</v>
      </c>
      <c r="CA771">
        <v>26540.079833333264</v>
      </c>
      <c r="CB771">
        <v>27008.9813333333</v>
      </c>
      <c r="CC771">
        <v>27477.882833333337</v>
      </c>
      <c r="CD771">
        <v>27946.784333333257</v>
      </c>
      <c r="CE771">
        <v>28415.685833333293</v>
      </c>
      <c r="CF771">
        <v>28884.587333333329</v>
      </c>
      <c r="CG771">
        <v>29353.488833333366</v>
      </c>
      <c r="CH771">
        <v>29822.390333333286</v>
      </c>
      <c r="CI771">
        <v>30291.291833333322</v>
      </c>
      <c r="CJ771">
        <v>30760.193333333358</v>
      </c>
      <c r="CK771">
        <v>31229.094833333278</v>
      </c>
      <c r="CL771">
        <v>31697.996333333314</v>
      </c>
      <c r="CM771">
        <v>32166.897833333351</v>
      </c>
      <c r="CN771">
        <v>32635.799333333271</v>
      </c>
    </row>
    <row r="772" spans="1:92" x14ac:dyDescent="0.25">
      <c r="A772" s="99"/>
    </row>
    <row r="773" spans="1:92" s="50" customFormat="1" x14ac:dyDescent="0.25">
      <c r="A773" s="99" t="s">
        <v>306</v>
      </c>
      <c r="B773" s="4">
        <v>0</v>
      </c>
      <c r="C773" s="4">
        <v>0</v>
      </c>
      <c r="D773" s="4">
        <v>0</v>
      </c>
      <c r="E773" s="4">
        <v>0</v>
      </c>
      <c r="F773" s="4">
        <v>0</v>
      </c>
      <c r="G773" s="4">
        <v>0</v>
      </c>
      <c r="H773" s="4">
        <v>0</v>
      </c>
      <c r="I773" s="4">
        <v>0</v>
      </c>
      <c r="J773" s="4">
        <v>0</v>
      </c>
      <c r="K773" s="4">
        <v>0</v>
      </c>
      <c r="L773" s="4">
        <v>0</v>
      </c>
      <c r="M773" s="4">
        <v>0</v>
      </c>
      <c r="N773" s="4">
        <v>0</v>
      </c>
      <c r="O773" s="4">
        <v>0</v>
      </c>
      <c r="P773" s="4">
        <v>0</v>
      </c>
      <c r="Q773" s="4">
        <v>0</v>
      </c>
      <c r="R773" s="4">
        <v>0</v>
      </c>
      <c r="S773" s="4">
        <v>0</v>
      </c>
      <c r="T773" s="4">
        <v>0</v>
      </c>
      <c r="U773" s="4">
        <v>0</v>
      </c>
      <c r="V773" s="4">
        <v>0</v>
      </c>
      <c r="W773" s="4">
        <v>0</v>
      </c>
      <c r="X773" s="4">
        <v>0</v>
      </c>
      <c r="Y773" s="4">
        <v>0</v>
      </c>
      <c r="Z773" s="4">
        <v>0</v>
      </c>
      <c r="AA773" s="4">
        <v>0</v>
      </c>
      <c r="AB773" s="4">
        <v>0</v>
      </c>
      <c r="AC773" s="4">
        <v>0</v>
      </c>
      <c r="AD773" s="4">
        <v>0</v>
      </c>
      <c r="AE773" s="4">
        <v>0</v>
      </c>
      <c r="AF773" s="50">
        <v>270.38349074337748</v>
      </c>
      <c r="AG773" s="50">
        <v>287.85561558739573</v>
      </c>
      <c r="AH773" s="50">
        <v>305.32774043141399</v>
      </c>
      <c r="AI773" s="50">
        <v>322.79986527543224</v>
      </c>
      <c r="AJ773" s="50">
        <v>340.27199011945049</v>
      </c>
      <c r="AK773" s="50">
        <v>357.74411496346875</v>
      </c>
      <c r="AL773" s="50">
        <v>375.216239807487</v>
      </c>
      <c r="AM773" s="50">
        <v>392.68836465150525</v>
      </c>
      <c r="AN773" s="50">
        <v>410.16048949552351</v>
      </c>
      <c r="AO773" s="50">
        <v>427.63261433954176</v>
      </c>
      <c r="AP773" s="50">
        <v>445.10473918356001</v>
      </c>
      <c r="AQ773" s="50">
        <v>462.57686402757827</v>
      </c>
      <c r="AR773" s="50">
        <v>480.04898887159652</v>
      </c>
      <c r="AS773" s="50">
        <v>497.52111371561477</v>
      </c>
      <c r="AT773" s="50">
        <v>514.99323855963303</v>
      </c>
      <c r="AU773" s="50">
        <v>532.46536340365128</v>
      </c>
      <c r="AV773" s="50">
        <v>549.93748824766953</v>
      </c>
      <c r="AW773" s="50">
        <v>567.40961309168779</v>
      </c>
      <c r="AX773" s="50">
        <v>584.88173793570604</v>
      </c>
      <c r="AY773" s="50">
        <v>602.35386277973157</v>
      </c>
      <c r="AZ773" s="50">
        <v>619.82598762374982</v>
      </c>
      <c r="BA773" s="50">
        <v>637.29811246776808</v>
      </c>
      <c r="BB773" s="50">
        <v>654.77023731178633</v>
      </c>
      <c r="BC773" s="50">
        <v>672.24236215580459</v>
      </c>
      <c r="BD773" s="50">
        <v>689.71448699982284</v>
      </c>
      <c r="BE773" s="50">
        <v>707.18661184384109</v>
      </c>
      <c r="BF773" s="50">
        <v>724.65873668785935</v>
      </c>
      <c r="BG773" s="50">
        <v>742.1308615318776</v>
      </c>
      <c r="BH773" s="50">
        <v>759.60298637589585</v>
      </c>
      <c r="BI773" s="50">
        <v>777.07511121991411</v>
      </c>
      <c r="BJ773" s="50">
        <v>794.54723606393236</v>
      </c>
      <c r="BK773" s="50">
        <v>812.01936090795061</v>
      </c>
      <c r="BL773" s="50">
        <v>829.49148575196887</v>
      </c>
      <c r="BM773" s="50">
        <v>846.96361059598712</v>
      </c>
      <c r="BN773" s="50">
        <v>864.43573544000537</v>
      </c>
      <c r="BO773" s="50">
        <v>881.90786028402363</v>
      </c>
      <c r="BP773" s="50">
        <v>899.37998512804188</v>
      </c>
      <c r="BQ773" s="50">
        <v>916.85210997206013</v>
      </c>
      <c r="BR773" s="50">
        <v>934.32423481607839</v>
      </c>
      <c r="BS773" s="50">
        <v>951.79635966009664</v>
      </c>
      <c r="BT773" s="50">
        <v>969.26848450411489</v>
      </c>
      <c r="BU773" s="50">
        <v>986.74060934813315</v>
      </c>
      <c r="BV773" s="50">
        <v>1004.2127341921514</v>
      </c>
      <c r="BW773" s="50">
        <v>1021.6848590361697</v>
      </c>
      <c r="BX773" s="50">
        <v>1039.1569838801879</v>
      </c>
      <c r="BY773" s="50">
        <v>1056.6291087242134</v>
      </c>
      <c r="BZ773" s="50">
        <v>1074.1012335682317</v>
      </c>
      <c r="CA773" s="50">
        <v>1091.5733584122499</v>
      </c>
      <c r="CB773" s="50">
        <v>1109.0454832562682</v>
      </c>
      <c r="CC773" s="50">
        <v>1126.5176081002865</v>
      </c>
      <c r="CD773" s="50">
        <v>1143.9897329443047</v>
      </c>
      <c r="CE773" s="50">
        <v>1161.461857788323</v>
      </c>
      <c r="CF773" s="50">
        <v>1178.9339826323412</v>
      </c>
      <c r="CG773" s="50">
        <v>1196.4061074763595</v>
      </c>
      <c r="CH773" s="50">
        <v>1213.8782323203777</v>
      </c>
      <c r="CI773" s="50">
        <v>1231.350357164396</v>
      </c>
      <c r="CJ773" s="50">
        <v>1248.8224820084142</v>
      </c>
      <c r="CK773" s="50">
        <v>1266.2946068524325</v>
      </c>
      <c r="CL773" s="50">
        <v>1283.7667316964507</v>
      </c>
      <c r="CM773" s="50">
        <v>1301.238856540469</v>
      </c>
      <c r="CN773" s="50">
        <v>1318.7109813844872</v>
      </c>
    </row>
    <row r="774" spans="1:92" s="50" customFormat="1" x14ac:dyDescent="0.25">
      <c r="A774" s="9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92" x14ac:dyDescent="0.25">
      <c r="A775" s="99" t="s">
        <v>307</v>
      </c>
      <c r="B775" s="4">
        <v>0</v>
      </c>
      <c r="C775" s="4">
        <v>0</v>
      </c>
      <c r="D775" s="4">
        <v>0</v>
      </c>
      <c r="E775" s="4">
        <v>0</v>
      </c>
      <c r="F775" s="4">
        <v>0</v>
      </c>
      <c r="G775" s="4">
        <v>0</v>
      </c>
      <c r="H775" s="4">
        <v>0</v>
      </c>
      <c r="I775" s="4">
        <v>0</v>
      </c>
      <c r="J775" s="4">
        <v>0</v>
      </c>
      <c r="K775" s="4">
        <v>0</v>
      </c>
      <c r="L775" s="4">
        <v>0</v>
      </c>
      <c r="M775" s="4">
        <v>0</v>
      </c>
      <c r="N775" s="4">
        <v>0</v>
      </c>
      <c r="O775" s="4">
        <v>0</v>
      </c>
      <c r="P775" s="4">
        <v>0</v>
      </c>
      <c r="Q775" s="4">
        <v>0</v>
      </c>
      <c r="R775" s="4">
        <v>0</v>
      </c>
      <c r="S775" s="4">
        <v>0</v>
      </c>
      <c r="T775" s="4">
        <v>0</v>
      </c>
      <c r="U775" s="4">
        <v>0</v>
      </c>
      <c r="V775" s="4">
        <v>0</v>
      </c>
      <c r="W775" s="4">
        <v>0</v>
      </c>
      <c r="X775" s="4">
        <v>0</v>
      </c>
      <c r="Y775" s="4">
        <v>0</v>
      </c>
      <c r="Z775" s="4">
        <v>0</v>
      </c>
      <c r="AA775" s="4">
        <v>0</v>
      </c>
      <c r="AB775" s="4">
        <v>0</v>
      </c>
      <c r="AC775" s="4">
        <v>0</v>
      </c>
      <c r="AD775" s="4">
        <v>0</v>
      </c>
      <c r="AE775" s="4">
        <v>0</v>
      </c>
      <c r="AF775">
        <v>2515.38533333331</v>
      </c>
      <c r="AG775">
        <v>2590.4591666666383</v>
      </c>
      <c r="AH775">
        <v>2665.5329999999958</v>
      </c>
      <c r="AI775">
        <v>2740.6068333333242</v>
      </c>
      <c r="AJ775">
        <v>2815.6806666666525</v>
      </c>
      <c r="AK775">
        <v>2890.7544999999809</v>
      </c>
      <c r="AL775">
        <v>2965.8283333333093</v>
      </c>
      <c r="AM775">
        <v>3040.9021666666376</v>
      </c>
      <c r="AN775">
        <v>3115.9759999999951</v>
      </c>
      <c r="AO775">
        <v>3191.0498333333235</v>
      </c>
      <c r="AP775">
        <v>3266.1236666666518</v>
      </c>
      <c r="AQ775">
        <v>3341.1974999999802</v>
      </c>
      <c r="AR775">
        <v>3416.2713333333086</v>
      </c>
      <c r="AS775">
        <v>3491.3451666666369</v>
      </c>
      <c r="AT775">
        <v>3566.4189999999944</v>
      </c>
      <c r="AU775">
        <v>3641.4928333333228</v>
      </c>
      <c r="AV775">
        <v>3716.5666666666511</v>
      </c>
      <c r="AW775">
        <v>3791.6404999999795</v>
      </c>
      <c r="AX775">
        <v>3866.7143333333079</v>
      </c>
      <c r="AY775">
        <v>3941.7881666666362</v>
      </c>
      <c r="AZ775">
        <v>4016.8619999999937</v>
      </c>
      <c r="BA775">
        <v>4091.9358333333221</v>
      </c>
      <c r="BB775">
        <v>4167.0096666666504</v>
      </c>
      <c r="BC775">
        <v>4242.0834999999788</v>
      </c>
      <c r="BD775">
        <v>4317.1573333333072</v>
      </c>
      <c r="BE775">
        <v>4392.2311666666355</v>
      </c>
      <c r="BF775">
        <v>4467.304999999993</v>
      </c>
      <c r="BG775">
        <v>4542.3788333333214</v>
      </c>
      <c r="BH775">
        <v>4617.4526666666497</v>
      </c>
      <c r="BI775">
        <v>4692.5264999999781</v>
      </c>
      <c r="BJ775">
        <v>4767.6003333333065</v>
      </c>
      <c r="BK775">
        <v>4842.6741666666348</v>
      </c>
      <c r="BL775">
        <v>4917.7479999999923</v>
      </c>
      <c r="BM775">
        <v>4992.8218333333207</v>
      </c>
      <c r="BN775">
        <v>5067.895666666649</v>
      </c>
      <c r="BO775">
        <v>5142.9694999999774</v>
      </c>
      <c r="BP775">
        <v>5218.0433333333058</v>
      </c>
      <c r="BQ775">
        <v>5293.1171666666341</v>
      </c>
      <c r="BR775">
        <v>5368.1909999999916</v>
      </c>
      <c r="BS775">
        <v>5443.26483333332</v>
      </c>
      <c r="BT775">
        <v>5518.3386666666484</v>
      </c>
      <c r="BU775">
        <v>5593.4124999999767</v>
      </c>
      <c r="BV775">
        <v>5668.4863333333051</v>
      </c>
      <c r="BW775">
        <v>5743.5601666666334</v>
      </c>
      <c r="BX775">
        <v>5818.6339999999909</v>
      </c>
      <c r="BY775">
        <v>5893.7078333333193</v>
      </c>
      <c r="BZ775">
        <v>5968.7816666666477</v>
      </c>
      <c r="CA775">
        <v>6043.855499999976</v>
      </c>
      <c r="CB775">
        <v>6118.9293333333044</v>
      </c>
      <c r="CC775">
        <v>6194.0031666666328</v>
      </c>
      <c r="CD775">
        <v>6269.0769999999902</v>
      </c>
      <c r="CE775">
        <v>6344.1508333333186</v>
      </c>
      <c r="CF775">
        <v>6419.224666666647</v>
      </c>
      <c r="CG775">
        <v>6494.2984999999753</v>
      </c>
      <c r="CH775">
        <v>6569.3723333333037</v>
      </c>
      <c r="CI775">
        <v>6644.4461666666321</v>
      </c>
      <c r="CJ775">
        <v>6719.5199999999895</v>
      </c>
      <c r="CK775">
        <v>6794.5938333333179</v>
      </c>
      <c r="CL775">
        <v>6869.6676666666463</v>
      </c>
      <c r="CM775">
        <v>6944.7414999999746</v>
      </c>
      <c r="CN775">
        <v>7019.815333333303</v>
      </c>
    </row>
    <row r="776" spans="1:92" x14ac:dyDescent="0.25">
      <c r="A776" s="99" t="s">
        <v>1</v>
      </c>
      <c r="B776" s="4">
        <v>0</v>
      </c>
      <c r="C776" s="4">
        <v>0</v>
      </c>
      <c r="D776" s="4">
        <v>0</v>
      </c>
      <c r="E776" s="4">
        <v>0</v>
      </c>
      <c r="F776" s="4">
        <v>0</v>
      </c>
      <c r="G776" s="4">
        <v>0</v>
      </c>
      <c r="H776" s="4">
        <v>0</v>
      </c>
      <c r="I776" s="4">
        <v>0</v>
      </c>
      <c r="J776" s="4">
        <v>0</v>
      </c>
      <c r="K776" s="4">
        <v>0</v>
      </c>
      <c r="L776" s="4">
        <v>0</v>
      </c>
      <c r="M776" s="4">
        <v>0</v>
      </c>
      <c r="N776" s="4">
        <v>0</v>
      </c>
      <c r="O776" s="4">
        <v>0</v>
      </c>
      <c r="P776" s="4">
        <v>0</v>
      </c>
      <c r="Q776" s="4">
        <v>0</v>
      </c>
      <c r="R776" s="4">
        <v>0</v>
      </c>
      <c r="S776" s="4">
        <v>0</v>
      </c>
      <c r="T776" s="4">
        <v>0</v>
      </c>
      <c r="U776" s="4">
        <v>0</v>
      </c>
      <c r="V776" s="4">
        <v>0</v>
      </c>
      <c r="W776" s="4">
        <v>0</v>
      </c>
      <c r="X776" s="4">
        <v>0</v>
      </c>
      <c r="Y776" s="4">
        <v>0</v>
      </c>
      <c r="Z776" s="4">
        <v>0</v>
      </c>
      <c r="AA776" s="4">
        <v>0</v>
      </c>
      <c r="AB776" s="4">
        <v>0</v>
      </c>
      <c r="AC776" s="4">
        <v>0</v>
      </c>
      <c r="AD776" s="4">
        <v>0</v>
      </c>
      <c r="AE776" s="4">
        <v>0</v>
      </c>
      <c r="AF776">
        <v>11923.026666666668</v>
      </c>
      <c r="AG776">
        <v>11921.983333333334</v>
      </c>
      <c r="AH776">
        <v>11920.94</v>
      </c>
      <c r="AI776">
        <v>11919.896666666667</v>
      </c>
      <c r="AJ776">
        <v>11918.853333333334</v>
      </c>
      <c r="AK776">
        <v>11917.810000000001</v>
      </c>
      <c r="AL776">
        <v>11916.766666666666</v>
      </c>
      <c r="AM776">
        <v>11915.723333333333</v>
      </c>
      <c r="AN776">
        <v>11914.68</v>
      </c>
      <c r="AO776">
        <v>11913.636666666667</v>
      </c>
      <c r="AP776">
        <v>11912.593333333334</v>
      </c>
      <c r="AQ776">
        <v>11911.55</v>
      </c>
      <c r="AR776">
        <v>11910.506666666668</v>
      </c>
      <c r="AS776">
        <v>11909.463333333333</v>
      </c>
      <c r="AT776">
        <v>11908.42</v>
      </c>
      <c r="AU776">
        <v>11907.376666666667</v>
      </c>
      <c r="AV776">
        <v>11906.333333333334</v>
      </c>
      <c r="AW776">
        <v>11905.29</v>
      </c>
      <c r="AX776">
        <v>11904.246666666666</v>
      </c>
      <c r="AY776">
        <v>11903.203333333333</v>
      </c>
      <c r="AZ776">
        <v>11902.16</v>
      </c>
      <c r="BA776">
        <v>11901.116666666667</v>
      </c>
      <c r="BB776">
        <v>11900.073333333334</v>
      </c>
      <c r="BC776">
        <v>11899.029999999999</v>
      </c>
      <c r="BD776">
        <v>11897.986666666668</v>
      </c>
      <c r="BE776">
        <v>11896.943333333333</v>
      </c>
      <c r="BF776">
        <v>11895.9</v>
      </c>
      <c r="BG776">
        <v>11894.856666666667</v>
      </c>
      <c r="BH776">
        <v>11893.813333333334</v>
      </c>
      <c r="BI776">
        <v>11892.77</v>
      </c>
      <c r="BJ776">
        <v>11891.726666666666</v>
      </c>
      <c r="BK776">
        <v>11890.683333333332</v>
      </c>
      <c r="BL776">
        <v>11889.64</v>
      </c>
      <c r="BM776">
        <v>11888.596666666666</v>
      </c>
      <c r="BN776">
        <v>11887.553333333333</v>
      </c>
      <c r="BO776">
        <v>11886.509999999998</v>
      </c>
      <c r="BP776">
        <v>11885.466666666667</v>
      </c>
      <c r="BQ776">
        <v>11884.423333333332</v>
      </c>
      <c r="BR776">
        <v>11883.38</v>
      </c>
      <c r="BS776">
        <v>11882.336666666666</v>
      </c>
      <c r="BT776">
        <v>11881.293333333333</v>
      </c>
      <c r="BU776">
        <v>11880.25</v>
      </c>
      <c r="BV776">
        <v>11879.206666666665</v>
      </c>
      <c r="BW776">
        <v>11878.163333333332</v>
      </c>
      <c r="BX776">
        <v>11877.119999999999</v>
      </c>
      <c r="BY776">
        <v>11876.076666666666</v>
      </c>
      <c r="BZ776">
        <v>11875.033333333333</v>
      </c>
      <c r="CA776">
        <v>11873.989999999998</v>
      </c>
      <c r="CB776">
        <v>11872.946666666667</v>
      </c>
      <c r="CC776">
        <v>11871.903333333332</v>
      </c>
      <c r="CD776">
        <v>11870.859999999999</v>
      </c>
      <c r="CE776">
        <v>11869.816666666666</v>
      </c>
      <c r="CF776">
        <v>11868.773333333333</v>
      </c>
      <c r="CG776">
        <v>11867.73</v>
      </c>
      <c r="CH776">
        <v>11866.686666666665</v>
      </c>
      <c r="CI776">
        <v>11865.643333333332</v>
      </c>
      <c r="CJ776">
        <v>11864.599999999999</v>
      </c>
      <c r="CK776">
        <v>11863.556666666665</v>
      </c>
      <c r="CL776">
        <v>11862.513333333332</v>
      </c>
      <c r="CM776">
        <v>11861.469999999998</v>
      </c>
      <c r="CN776">
        <v>11860.426666666666</v>
      </c>
    </row>
    <row r="777" spans="1:92" x14ac:dyDescent="0.25">
      <c r="A777" s="99" t="s">
        <v>1</v>
      </c>
      <c r="B777" s="4">
        <v>0</v>
      </c>
      <c r="C777" s="4">
        <v>0</v>
      </c>
      <c r="D777" s="4">
        <v>0</v>
      </c>
      <c r="E777" s="4">
        <v>0</v>
      </c>
      <c r="F777" s="4">
        <v>0</v>
      </c>
      <c r="G777" s="4">
        <v>0</v>
      </c>
      <c r="H777" s="4">
        <v>0</v>
      </c>
      <c r="I777" s="4">
        <v>0</v>
      </c>
      <c r="J777" s="4">
        <v>0</v>
      </c>
      <c r="K777" s="4">
        <v>0</v>
      </c>
      <c r="L777" s="4">
        <v>0</v>
      </c>
      <c r="M777" s="4">
        <v>0</v>
      </c>
      <c r="N777" s="4">
        <v>0</v>
      </c>
      <c r="O777" s="4">
        <v>0</v>
      </c>
      <c r="P777" s="4">
        <v>0</v>
      </c>
      <c r="Q777" s="4">
        <v>0</v>
      </c>
      <c r="R777" s="4">
        <v>0</v>
      </c>
      <c r="S777" s="4">
        <v>0</v>
      </c>
      <c r="T777" s="4">
        <v>0</v>
      </c>
      <c r="U777" s="4">
        <v>0</v>
      </c>
      <c r="V777" s="4">
        <v>0</v>
      </c>
      <c r="W777" s="4">
        <v>0</v>
      </c>
      <c r="X777" s="4">
        <v>0</v>
      </c>
      <c r="Y777" s="4">
        <v>0</v>
      </c>
      <c r="Z777" s="4">
        <v>0</v>
      </c>
      <c r="AA777" s="4">
        <v>0</v>
      </c>
      <c r="AB777" s="4">
        <v>0</v>
      </c>
      <c r="AC777" s="4">
        <v>0</v>
      </c>
      <c r="AD777" s="4">
        <v>0</v>
      </c>
      <c r="AE777" s="4">
        <v>0</v>
      </c>
      <c r="AF777">
        <v>19129.747999999963</v>
      </c>
      <c r="AG777">
        <v>18899.724166666623</v>
      </c>
      <c r="AH777">
        <v>18669.700333333341</v>
      </c>
      <c r="AI777">
        <v>18439.676500000001</v>
      </c>
      <c r="AJ777">
        <v>18209.652666666661</v>
      </c>
      <c r="AK777">
        <v>17979.628833333321</v>
      </c>
      <c r="AL777">
        <v>17749.604999999981</v>
      </c>
      <c r="AM777">
        <v>17519.581166666641</v>
      </c>
      <c r="AN777">
        <v>17289.557333333301</v>
      </c>
      <c r="AO777">
        <v>17059.533499999961</v>
      </c>
      <c r="AP777">
        <v>16829.509666666621</v>
      </c>
      <c r="AQ777">
        <v>16599.48583333334</v>
      </c>
      <c r="AR777">
        <v>16369.462</v>
      </c>
      <c r="AS777">
        <v>16139.43816666666</v>
      </c>
      <c r="AT777">
        <v>15909.41433333332</v>
      </c>
      <c r="AU777">
        <v>15679.39049999998</v>
      </c>
      <c r="AV777">
        <v>15449.36666666664</v>
      </c>
      <c r="AW777">
        <v>15219.342833333299</v>
      </c>
      <c r="AX777">
        <v>14989.318999999959</v>
      </c>
      <c r="AY777">
        <v>14759.295166666678</v>
      </c>
      <c r="AZ777">
        <v>14529.271333333338</v>
      </c>
      <c r="BA777">
        <v>14299.247499999998</v>
      </c>
      <c r="BB777">
        <v>14069.223666666658</v>
      </c>
      <c r="BC777">
        <v>13839.199833333318</v>
      </c>
      <c r="BD777">
        <v>13609.175999999978</v>
      </c>
      <c r="BE777">
        <v>13379.152166666638</v>
      </c>
      <c r="BF777">
        <v>13149.128333333298</v>
      </c>
      <c r="BG777">
        <v>12919.104499999958</v>
      </c>
      <c r="BH777">
        <v>12689.080666666676</v>
      </c>
      <c r="BI777">
        <v>12459.056833333336</v>
      </c>
      <c r="BJ777">
        <v>12229.032999999996</v>
      </c>
      <c r="BK777">
        <v>11999.009166666656</v>
      </c>
      <c r="BL777">
        <v>11768.985333333316</v>
      </c>
      <c r="BM777">
        <v>11538.961499999976</v>
      </c>
      <c r="BN777">
        <v>11308.937666666636</v>
      </c>
      <c r="BO777">
        <v>11078.913833333296</v>
      </c>
      <c r="BP777">
        <v>10848.889999999956</v>
      </c>
      <c r="BQ777">
        <v>10618.866166666674</v>
      </c>
      <c r="BR777">
        <v>10388.842333333334</v>
      </c>
      <c r="BS777">
        <v>10158.818499999994</v>
      </c>
      <c r="BT777">
        <v>9928.7946666666539</v>
      </c>
      <c r="BU777">
        <v>9698.7708333333139</v>
      </c>
      <c r="BV777">
        <v>9468.7469999999739</v>
      </c>
      <c r="BW777">
        <v>9238.7231666666339</v>
      </c>
      <c r="BX777">
        <v>9008.6993333332939</v>
      </c>
      <c r="BY777">
        <v>8778.6755000000121</v>
      </c>
      <c r="BZ777">
        <v>8548.6516666666721</v>
      </c>
      <c r="CA777">
        <v>8318.6278333333321</v>
      </c>
      <c r="CB777">
        <v>8088.6039999999921</v>
      </c>
      <c r="CC777">
        <v>7858.5801666666521</v>
      </c>
      <c r="CD777">
        <v>7628.5563333333121</v>
      </c>
      <c r="CE777">
        <v>7398.5324999999721</v>
      </c>
      <c r="CF777">
        <v>7168.5086666666321</v>
      </c>
      <c r="CG777">
        <v>6938.484833333292</v>
      </c>
      <c r="CH777">
        <v>6708.4610000000102</v>
      </c>
      <c r="CI777">
        <v>6478.4371666666702</v>
      </c>
      <c r="CJ777">
        <v>6248.4133333333302</v>
      </c>
      <c r="CK777">
        <v>6018.3894999999902</v>
      </c>
      <c r="CL777">
        <v>5788.3656666666502</v>
      </c>
      <c r="CM777">
        <v>5558.3418333333102</v>
      </c>
      <c r="CN777">
        <v>5328.3179999999702</v>
      </c>
    </row>
    <row r="778" spans="1:92" x14ac:dyDescent="0.25">
      <c r="A778" s="99" t="s">
        <v>1</v>
      </c>
      <c r="B778" s="4">
        <v>0</v>
      </c>
      <c r="C778" s="4">
        <v>0</v>
      </c>
      <c r="D778" s="4">
        <v>0</v>
      </c>
      <c r="E778" s="4">
        <v>0</v>
      </c>
      <c r="F778" s="4">
        <v>0</v>
      </c>
      <c r="G778" s="4">
        <v>0</v>
      </c>
      <c r="H778" s="4">
        <v>0</v>
      </c>
      <c r="I778" s="4">
        <v>0</v>
      </c>
      <c r="J778" s="4">
        <v>0</v>
      </c>
      <c r="K778" s="4">
        <v>0</v>
      </c>
      <c r="L778" s="4">
        <v>0</v>
      </c>
      <c r="M778" s="4">
        <v>0</v>
      </c>
      <c r="N778" s="4">
        <v>0</v>
      </c>
      <c r="O778" s="4">
        <v>0</v>
      </c>
      <c r="P778" s="4">
        <v>0</v>
      </c>
      <c r="Q778" s="4">
        <v>0</v>
      </c>
      <c r="R778" s="4">
        <v>0</v>
      </c>
      <c r="S778" s="4">
        <v>0</v>
      </c>
      <c r="T778" s="4">
        <v>0</v>
      </c>
      <c r="U778" s="4">
        <v>0</v>
      </c>
      <c r="V778" s="4">
        <v>0</v>
      </c>
      <c r="W778" s="4">
        <v>0</v>
      </c>
      <c r="X778" s="4">
        <v>0</v>
      </c>
      <c r="Y778" s="4">
        <v>0</v>
      </c>
      <c r="Z778" s="4">
        <v>0</v>
      </c>
      <c r="AA778" s="4">
        <v>0</v>
      </c>
      <c r="AB778" s="4">
        <v>0</v>
      </c>
      <c r="AC778" s="4">
        <v>0</v>
      </c>
      <c r="AD778" s="4">
        <v>0</v>
      </c>
      <c r="AE778" s="4">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c r="CK778">
        <v>0</v>
      </c>
      <c r="CL778">
        <v>0</v>
      </c>
      <c r="CM778">
        <v>0</v>
      </c>
      <c r="CN778">
        <v>0</v>
      </c>
    </row>
    <row r="779" spans="1:92" x14ac:dyDescent="0.25">
      <c r="A779" s="99" t="s">
        <v>1</v>
      </c>
      <c r="B779" s="4">
        <v>0</v>
      </c>
      <c r="C779" s="4">
        <v>0</v>
      </c>
      <c r="D779" s="4">
        <v>0</v>
      </c>
      <c r="E779" s="4">
        <v>0</v>
      </c>
      <c r="F779" s="4">
        <v>0</v>
      </c>
      <c r="G779" s="4">
        <v>0</v>
      </c>
      <c r="H779" s="4">
        <v>0</v>
      </c>
      <c r="I779" s="4">
        <v>0</v>
      </c>
      <c r="J779" s="4">
        <v>0</v>
      </c>
      <c r="K779" s="4">
        <v>0</v>
      </c>
      <c r="L779" s="4">
        <v>0</v>
      </c>
      <c r="M779" s="4">
        <v>0</v>
      </c>
      <c r="N779" s="4">
        <v>0</v>
      </c>
      <c r="O779" s="4">
        <v>0</v>
      </c>
      <c r="P779" s="4">
        <v>0</v>
      </c>
      <c r="Q779" s="4">
        <v>0</v>
      </c>
      <c r="R779" s="4">
        <v>0</v>
      </c>
      <c r="S779" s="4">
        <v>0</v>
      </c>
      <c r="T779" s="4">
        <v>0</v>
      </c>
      <c r="U779" s="4">
        <v>0</v>
      </c>
      <c r="V779" s="4">
        <v>0</v>
      </c>
      <c r="W779" s="4">
        <v>0</v>
      </c>
      <c r="X779" s="4">
        <v>0</v>
      </c>
      <c r="Y779" s="4">
        <v>0</v>
      </c>
      <c r="Z779" s="4">
        <v>0</v>
      </c>
      <c r="AA779" s="4">
        <v>0</v>
      </c>
      <c r="AB779" s="4">
        <v>0</v>
      </c>
      <c r="AC779" s="4">
        <v>0</v>
      </c>
      <c r="AD779" s="4">
        <v>0</v>
      </c>
      <c r="AE779" s="4">
        <v>0</v>
      </c>
      <c r="AF779">
        <v>2361.2346666666635</v>
      </c>
      <c r="AG779">
        <v>2335.5116666666654</v>
      </c>
      <c r="AH779">
        <v>2309.7886666666673</v>
      </c>
      <c r="AI779">
        <v>2284.0656666666691</v>
      </c>
      <c r="AJ779">
        <v>2258.3426666666637</v>
      </c>
      <c r="AK779">
        <v>2232.6196666666656</v>
      </c>
      <c r="AL779">
        <v>2206.8966666666674</v>
      </c>
      <c r="AM779">
        <v>2181.1736666666693</v>
      </c>
      <c r="AN779">
        <v>2155.4506666666639</v>
      </c>
      <c r="AO779">
        <v>2129.7276666666658</v>
      </c>
      <c r="AP779">
        <v>2104.0046666666676</v>
      </c>
      <c r="AQ779">
        <v>2078.2816666666622</v>
      </c>
      <c r="AR779">
        <v>2052.5586666666641</v>
      </c>
      <c r="AS779">
        <v>2026.8356666666659</v>
      </c>
      <c r="AT779">
        <v>2001.1126666666678</v>
      </c>
      <c r="AU779">
        <v>1975.3896666666624</v>
      </c>
      <c r="AV779">
        <v>1949.6666666666642</v>
      </c>
      <c r="AW779">
        <v>1923.9436666666661</v>
      </c>
      <c r="AX779">
        <v>1898.220666666668</v>
      </c>
      <c r="AY779">
        <v>1872.4976666666626</v>
      </c>
      <c r="AZ779">
        <v>1846.7746666666644</v>
      </c>
      <c r="BA779">
        <v>1821.0516666666663</v>
      </c>
      <c r="BB779">
        <v>1795.3286666666681</v>
      </c>
      <c r="BC779">
        <v>1769.6056666666627</v>
      </c>
      <c r="BD779">
        <v>1743.8826666666646</v>
      </c>
      <c r="BE779">
        <v>1718.1596666666665</v>
      </c>
      <c r="BF779">
        <v>1692.436666666661</v>
      </c>
      <c r="BG779">
        <v>1666.7136666666629</v>
      </c>
      <c r="BH779">
        <v>1640.9906666666648</v>
      </c>
      <c r="BI779">
        <v>1615.2676666666666</v>
      </c>
      <c r="BJ779">
        <v>1589.5446666666612</v>
      </c>
      <c r="BK779">
        <v>1563.8216666666631</v>
      </c>
      <c r="BL779">
        <v>1538.0986666666649</v>
      </c>
      <c r="BM779">
        <v>1512.3756666666668</v>
      </c>
      <c r="BN779">
        <v>1486.6526666666614</v>
      </c>
      <c r="BO779">
        <v>1460.9296666666633</v>
      </c>
      <c r="BP779">
        <v>1435.2066666666651</v>
      </c>
      <c r="BQ779">
        <v>1409.483666666667</v>
      </c>
      <c r="BR779">
        <v>1383.7606666666616</v>
      </c>
      <c r="BS779">
        <v>1358.0376666666634</v>
      </c>
      <c r="BT779">
        <v>1332.3146666666653</v>
      </c>
      <c r="BU779">
        <v>1306.5916666666672</v>
      </c>
      <c r="BV779">
        <v>1280.8686666666617</v>
      </c>
      <c r="BW779">
        <v>1255.1456666666636</v>
      </c>
      <c r="BX779">
        <v>1229.4226666666655</v>
      </c>
      <c r="BY779">
        <v>1203.6996666666601</v>
      </c>
      <c r="BZ779">
        <v>1177.9766666666619</v>
      </c>
      <c r="CA779">
        <v>1152.2536666666638</v>
      </c>
      <c r="CB779">
        <v>1126.5306666666656</v>
      </c>
      <c r="CC779">
        <v>1100.8076666666602</v>
      </c>
      <c r="CD779">
        <v>1075.0846666666621</v>
      </c>
      <c r="CE779">
        <v>1049.361666666664</v>
      </c>
      <c r="CF779">
        <v>1023.6386666666658</v>
      </c>
      <c r="CG779">
        <v>997.9156666666604</v>
      </c>
      <c r="CH779">
        <v>972.19266666666226</v>
      </c>
      <c r="CI779">
        <v>946.46966666666412</v>
      </c>
      <c r="CJ779">
        <v>920.74666666666599</v>
      </c>
      <c r="CK779">
        <v>895.02366666666057</v>
      </c>
      <c r="CL779">
        <v>869.30066666666244</v>
      </c>
      <c r="CM779">
        <v>843.5776666666643</v>
      </c>
      <c r="CN779">
        <v>817.85466666665889</v>
      </c>
    </row>
    <row r="780" spans="1:92" x14ac:dyDescent="0.25">
      <c r="A780" s="99" t="s">
        <v>1</v>
      </c>
      <c r="B780" s="4">
        <v>0</v>
      </c>
      <c r="C780" s="4">
        <v>0</v>
      </c>
      <c r="D780" s="4">
        <v>0</v>
      </c>
      <c r="E780" s="4">
        <v>0</v>
      </c>
      <c r="F780" s="4">
        <v>0</v>
      </c>
      <c r="G780" s="4">
        <v>0</v>
      </c>
      <c r="H780" s="4">
        <v>0</v>
      </c>
      <c r="I780" s="4">
        <v>0</v>
      </c>
      <c r="J780" s="4">
        <v>0</v>
      </c>
      <c r="K780" s="4">
        <v>0</v>
      </c>
      <c r="L780" s="4">
        <v>0</v>
      </c>
      <c r="M780" s="4">
        <v>0</v>
      </c>
      <c r="N780" s="4">
        <v>0</v>
      </c>
      <c r="O780" s="4">
        <v>0</v>
      </c>
      <c r="P780" s="4">
        <v>0</v>
      </c>
      <c r="Q780" s="4">
        <v>0</v>
      </c>
      <c r="R780" s="4">
        <v>0</v>
      </c>
      <c r="S780" s="4">
        <v>0</v>
      </c>
      <c r="T780" s="4">
        <v>0</v>
      </c>
      <c r="U780" s="4">
        <v>0</v>
      </c>
      <c r="V780" s="4">
        <v>0</v>
      </c>
      <c r="W780" s="4">
        <v>0</v>
      </c>
      <c r="X780" s="4">
        <v>0</v>
      </c>
      <c r="Y780" s="4">
        <v>0</v>
      </c>
      <c r="Z780" s="4">
        <v>0</v>
      </c>
      <c r="AA780" s="4">
        <v>0</v>
      </c>
      <c r="AB780" s="4">
        <v>0</v>
      </c>
      <c r="AC780" s="4">
        <v>0</v>
      </c>
      <c r="AD780" s="4">
        <v>0</v>
      </c>
      <c r="AE780" s="4">
        <v>0</v>
      </c>
      <c r="AF780">
        <v>1455.5893333333333</v>
      </c>
      <c r="AG780">
        <v>1445.998333333333</v>
      </c>
      <c r="AH780">
        <v>1436.4073333333326</v>
      </c>
      <c r="AI780">
        <v>1426.8163333333323</v>
      </c>
      <c r="AJ780">
        <v>1417.2253333333319</v>
      </c>
      <c r="AK780">
        <v>1407.6343333333316</v>
      </c>
      <c r="AL780">
        <v>1398.0433333333312</v>
      </c>
      <c r="AM780">
        <v>1388.4523333333309</v>
      </c>
      <c r="AN780">
        <v>1378.8613333333305</v>
      </c>
      <c r="AO780">
        <v>1369.2703333333302</v>
      </c>
      <c r="AP780">
        <v>1359.6793333333335</v>
      </c>
      <c r="AQ780">
        <v>1350.0883333333331</v>
      </c>
      <c r="AR780">
        <v>1340.4973333333328</v>
      </c>
      <c r="AS780">
        <v>1330.9063333333324</v>
      </c>
      <c r="AT780">
        <v>1321.3153333333321</v>
      </c>
      <c r="AU780">
        <v>1311.7243333333317</v>
      </c>
      <c r="AV780">
        <v>1302.1333333333314</v>
      </c>
      <c r="AW780">
        <v>1292.542333333331</v>
      </c>
      <c r="AX780">
        <v>1282.9513333333307</v>
      </c>
      <c r="AY780">
        <v>1273.3603333333303</v>
      </c>
      <c r="AZ780">
        <v>1263.76933333333</v>
      </c>
      <c r="BA780">
        <v>1254.1783333333333</v>
      </c>
      <c r="BB780">
        <v>1244.5873333333329</v>
      </c>
      <c r="BC780">
        <v>1234.9963333333326</v>
      </c>
      <c r="BD780">
        <v>1225.4053333333322</v>
      </c>
      <c r="BE780">
        <v>1215.8143333333319</v>
      </c>
      <c r="BF780">
        <v>1206.2233333333315</v>
      </c>
      <c r="BG780">
        <v>1196.6323333333312</v>
      </c>
      <c r="BH780">
        <v>1187.0413333333308</v>
      </c>
      <c r="BI780">
        <v>1177.4503333333305</v>
      </c>
      <c r="BJ780">
        <v>1167.8593333333301</v>
      </c>
      <c r="BK780">
        <v>1158.2683333333298</v>
      </c>
      <c r="BL780">
        <v>1148.6773333333331</v>
      </c>
      <c r="BM780">
        <v>1139.0863333333327</v>
      </c>
      <c r="BN780">
        <v>1129.4953333333324</v>
      </c>
      <c r="BO780">
        <v>1119.904333333332</v>
      </c>
      <c r="BP780">
        <v>1110.3133333333317</v>
      </c>
      <c r="BQ780">
        <v>1100.7223333333313</v>
      </c>
      <c r="BR780">
        <v>1091.131333333331</v>
      </c>
      <c r="BS780">
        <v>1081.5403333333306</v>
      </c>
      <c r="BT780">
        <v>1071.9493333333303</v>
      </c>
      <c r="BU780">
        <v>1062.3583333333299</v>
      </c>
      <c r="BV780">
        <v>1052.7673333333296</v>
      </c>
      <c r="BW780">
        <v>1043.1763333333329</v>
      </c>
      <c r="BX780">
        <v>1033.5853333333325</v>
      </c>
      <c r="BY780">
        <v>1023.9943333333322</v>
      </c>
      <c r="BZ780">
        <v>1014.4033333333318</v>
      </c>
      <c r="CA780">
        <v>1004.8123333333315</v>
      </c>
      <c r="CB780">
        <v>995.22133333333113</v>
      </c>
      <c r="CC780">
        <v>985.63033333333078</v>
      </c>
      <c r="CD780">
        <v>976.03933333333043</v>
      </c>
      <c r="CE780">
        <v>966.44833333333008</v>
      </c>
      <c r="CF780">
        <v>956.85733333332973</v>
      </c>
      <c r="CG780">
        <v>947.26633333333302</v>
      </c>
      <c r="CH780">
        <v>937.67533333333267</v>
      </c>
      <c r="CI780">
        <v>928.08433333333232</v>
      </c>
      <c r="CJ780">
        <v>918.49333333333198</v>
      </c>
      <c r="CK780">
        <v>908.90233333333163</v>
      </c>
      <c r="CL780">
        <v>899.31133333333128</v>
      </c>
      <c r="CM780">
        <v>889.72033333333093</v>
      </c>
      <c r="CN780">
        <v>880.12933333333058</v>
      </c>
    </row>
    <row r="781" spans="1:92" x14ac:dyDescent="0.25">
      <c r="A781" s="44"/>
    </row>
    <row r="782" spans="1:92" x14ac:dyDescent="0.25">
      <c r="A782" s="99" t="s">
        <v>308</v>
      </c>
      <c r="B782" s="4">
        <v>0</v>
      </c>
      <c r="C782" s="4">
        <v>0</v>
      </c>
      <c r="D782" s="4">
        <v>0</v>
      </c>
      <c r="E782" s="4">
        <v>0</v>
      </c>
      <c r="F782" s="4">
        <v>0</v>
      </c>
      <c r="G782" s="4">
        <v>0</v>
      </c>
      <c r="H782" s="4">
        <v>0</v>
      </c>
      <c r="I782" s="4">
        <v>0</v>
      </c>
      <c r="J782" s="4">
        <v>0</v>
      </c>
      <c r="K782" s="4">
        <v>0</v>
      </c>
      <c r="L782" s="4">
        <v>0</v>
      </c>
      <c r="M782" s="4">
        <v>0</v>
      </c>
      <c r="N782" s="4">
        <v>0</v>
      </c>
      <c r="O782" s="4">
        <v>0</v>
      </c>
      <c r="P782" s="4">
        <v>0</v>
      </c>
      <c r="Q782" s="4">
        <v>0</v>
      </c>
      <c r="R782" s="4">
        <v>0</v>
      </c>
      <c r="S782" s="4">
        <v>0</v>
      </c>
      <c r="T782" s="4">
        <v>0</v>
      </c>
      <c r="U782" s="4">
        <v>0</v>
      </c>
      <c r="V782" s="4">
        <v>0</v>
      </c>
      <c r="W782" s="4">
        <v>0</v>
      </c>
      <c r="X782" s="4">
        <v>0</v>
      </c>
      <c r="Y782" s="4">
        <v>0</v>
      </c>
      <c r="Z782" s="4">
        <v>0</v>
      </c>
      <c r="AA782" s="4">
        <v>0</v>
      </c>
      <c r="AB782" s="4">
        <v>0</v>
      </c>
      <c r="AC782" s="4">
        <v>0</v>
      </c>
      <c r="AD782" s="4">
        <v>0</v>
      </c>
      <c r="AE782" s="4">
        <v>0</v>
      </c>
      <c r="AF782">
        <v>4049.4466666666631</v>
      </c>
      <c r="AG782">
        <v>4020.4458333333314</v>
      </c>
      <c r="AH782">
        <v>3991.4449999999997</v>
      </c>
      <c r="AI782">
        <v>3962.444166666668</v>
      </c>
      <c r="AJ782">
        <v>3933.4433333333291</v>
      </c>
      <c r="AK782">
        <v>3904.4424999999974</v>
      </c>
      <c r="AL782">
        <v>3875.4416666666657</v>
      </c>
      <c r="AM782">
        <v>3846.440833333334</v>
      </c>
      <c r="AN782">
        <v>3817.4399999999951</v>
      </c>
      <c r="AO782">
        <v>3788.4391666666634</v>
      </c>
      <c r="AP782">
        <v>3759.4383333333317</v>
      </c>
      <c r="AQ782">
        <v>3730.4375</v>
      </c>
      <c r="AR782">
        <v>3701.4366666666683</v>
      </c>
      <c r="AS782">
        <v>3672.4358333333294</v>
      </c>
      <c r="AT782">
        <v>3643.4349999999977</v>
      </c>
      <c r="AU782">
        <v>3614.434166666666</v>
      </c>
      <c r="AV782">
        <v>3585.4333333333343</v>
      </c>
      <c r="AW782">
        <v>3556.4324999999953</v>
      </c>
      <c r="AX782">
        <v>3527.4316666666637</v>
      </c>
      <c r="AY782">
        <v>3498.430833333332</v>
      </c>
      <c r="AZ782">
        <v>3469.4300000000003</v>
      </c>
      <c r="BA782">
        <v>3440.4291666666613</v>
      </c>
      <c r="BB782">
        <v>3411.4283333333296</v>
      </c>
      <c r="BC782">
        <v>3382.427499999998</v>
      </c>
      <c r="BD782">
        <v>3353.4266666666663</v>
      </c>
      <c r="BE782">
        <v>3324.4258333333346</v>
      </c>
      <c r="BF782">
        <v>3295.4249999999956</v>
      </c>
      <c r="BG782">
        <v>3266.424166666664</v>
      </c>
      <c r="BH782">
        <v>3237.4233333333323</v>
      </c>
      <c r="BI782">
        <v>3208.4225000000006</v>
      </c>
      <c r="BJ782">
        <v>3179.4216666666616</v>
      </c>
      <c r="BK782">
        <v>3150.4208333333299</v>
      </c>
      <c r="BL782">
        <v>3121.4199999999983</v>
      </c>
      <c r="BM782">
        <v>3092.4191666666666</v>
      </c>
      <c r="BN782">
        <v>3063.4183333333276</v>
      </c>
      <c r="BO782">
        <v>3034.4174999999959</v>
      </c>
      <c r="BP782">
        <v>3005.4166666666642</v>
      </c>
      <c r="BQ782">
        <v>2976.4158333333326</v>
      </c>
      <c r="BR782">
        <v>2947.4150000000009</v>
      </c>
      <c r="BS782">
        <v>2918.4141666666619</v>
      </c>
      <c r="BT782">
        <v>2889.4133333333302</v>
      </c>
      <c r="BU782">
        <v>2860.4124999999985</v>
      </c>
      <c r="BV782">
        <v>2831.4116666666669</v>
      </c>
      <c r="BW782">
        <v>2802.4108333333279</v>
      </c>
      <c r="BX782">
        <v>2773.4099999999962</v>
      </c>
      <c r="BY782">
        <v>2744.4091666666645</v>
      </c>
      <c r="BZ782">
        <v>2715.4083333333328</v>
      </c>
      <c r="CA782">
        <v>2686.4075000000012</v>
      </c>
      <c r="CB782">
        <v>2657.4066666666622</v>
      </c>
      <c r="CC782">
        <v>2628.4058333333305</v>
      </c>
      <c r="CD782">
        <v>2599.4049999999988</v>
      </c>
      <c r="CE782">
        <v>2570.4041666666672</v>
      </c>
      <c r="CF782">
        <v>2541.4033333333282</v>
      </c>
      <c r="CG782">
        <v>2512.4024999999965</v>
      </c>
      <c r="CH782">
        <v>2483.4016666666648</v>
      </c>
      <c r="CI782">
        <v>2454.4008333333331</v>
      </c>
      <c r="CJ782">
        <v>2425.3999999999942</v>
      </c>
      <c r="CK782">
        <v>2396.3991666666625</v>
      </c>
      <c r="CL782">
        <v>2367.3983333333308</v>
      </c>
      <c r="CM782">
        <v>2338.3974999999991</v>
      </c>
      <c r="CN782">
        <v>2309.3966666666674</v>
      </c>
    </row>
    <row r="783" spans="1:92" x14ac:dyDescent="0.25">
      <c r="A783" s="99"/>
    </row>
    <row r="784" spans="1:92" s="50" customFormat="1" x14ac:dyDescent="0.25">
      <c r="A784" s="99" t="s">
        <v>309</v>
      </c>
      <c r="B784" s="4">
        <v>0</v>
      </c>
      <c r="C784" s="4">
        <v>0</v>
      </c>
      <c r="D784" s="4">
        <v>0</v>
      </c>
      <c r="E784" s="4">
        <v>0</v>
      </c>
      <c r="F784" s="4">
        <v>0</v>
      </c>
      <c r="G784" s="4">
        <v>0</v>
      </c>
      <c r="H784" s="4">
        <v>0</v>
      </c>
      <c r="I784" s="4">
        <v>0</v>
      </c>
      <c r="J784" s="4">
        <v>0</v>
      </c>
      <c r="K784" s="4">
        <v>0</v>
      </c>
      <c r="L784" s="4">
        <v>0</v>
      </c>
      <c r="M784" s="4">
        <v>0</v>
      </c>
      <c r="N784" s="4">
        <v>0</v>
      </c>
      <c r="O784" s="4">
        <v>0</v>
      </c>
      <c r="P784" s="4">
        <v>0</v>
      </c>
      <c r="Q784" s="4">
        <v>0</v>
      </c>
      <c r="R784" s="4">
        <v>0</v>
      </c>
      <c r="S784" s="4">
        <v>0</v>
      </c>
      <c r="T784" s="4">
        <v>0</v>
      </c>
      <c r="U784" s="4">
        <v>0</v>
      </c>
      <c r="V784" s="4">
        <v>0</v>
      </c>
      <c r="W784" s="4">
        <v>0</v>
      </c>
      <c r="X784" s="4">
        <v>0</v>
      </c>
      <c r="Y784" s="4">
        <v>0</v>
      </c>
      <c r="Z784" s="4">
        <v>0</v>
      </c>
      <c r="AA784" s="4">
        <v>0</v>
      </c>
      <c r="AB784" s="4">
        <v>0</v>
      </c>
      <c r="AC784" s="4">
        <v>0</v>
      </c>
      <c r="AD784" s="4">
        <v>0</v>
      </c>
      <c r="AE784" s="4">
        <v>0</v>
      </c>
      <c r="AF784" s="50">
        <v>518.13936858818488</v>
      </c>
      <c r="AG784" s="50">
        <v>537.80326171567867</v>
      </c>
      <c r="AH784" s="50">
        <v>557.46715484317247</v>
      </c>
      <c r="AI784" s="50">
        <v>577.13104797066626</v>
      </c>
      <c r="AJ784" s="50">
        <v>596.79494109816005</v>
      </c>
      <c r="AK784" s="50">
        <v>616.45883422565385</v>
      </c>
      <c r="AL784" s="50">
        <v>636.12272735314764</v>
      </c>
      <c r="AM784" s="50">
        <v>655.78662048064143</v>
      </c>
      <c r="AN784" s="50">
        <v>675.45051360813522</v>
      </c>
      <c r="AO784" s="50">
        <v>695.11440673562902</v>
      </c>
      <c r="AP784" s="50">
        <v>714.77829986312281</v>
      </c>
      <c r="AQ784" s="50">
        <v>734.4421929906166</v>
      </c>
      <c r="AR784" s="50">
        <v>754.1060861181104</v>
      </c>
      <c r="AS784" s="50">
        <v>773.76997924560419</v>
      </c>
      <c r="AT784" s="50">
        <v>793.43387237309798</v>
      </c>
      <c r="AU784" s="50">
        <v>813.09776550059178</v>
      </c>
      <c r="AV784" s="50">
        <v>832.76165862808557</v>
      </c>
      <c r="AW784" s="50">
        <v>852.42555175558664</v>
      </c>
      <c r="AX784" s="50">
        <v>872.08944488308043</v>
      </c>
      <c r="AY784" s="50">
        <v>891.75333801057423</v>
      </c>
      <c r="AZ784" s="50">
        <v>911.41723113806802</v>
      </c>
      <c r="BA784" s="50">
        <v>931.08112426556181</v>
      </c>
      <c r="BB784" s="50">
        <v>950.7450173930556</v>
      </c>
      <c r="BC784" s="50">
        <v>970.4089105205494</v>
      </c>
      <c r="BD784" s="50">
        <v>990.07280364804319</v>
      </c>
      <c r="BE784" s="50">
        <v>1009.736696775537</v>
      </c>
      <c r="BF784" s="50">
        <v>1029.4005899030308</v>
      </c>
      <c r="BG784" s="50">
        <v>1049.0644830305246</v>
      </c>
      <c r="BH784" s="50">
        <v>1068.7283761580184</v>
      </c>
      <c r="BI784" s="50">
        <v>1088.3922692855122</v>
      </c>
      <c r="BJ784" s="50">
        <v>1108.0561624130059</v>
      </c>
      <c r="BK784" s="50">
        <v>1127.7200555404997</v>
      </c>
      <c r="BL784" s="50">
        <v>1147.3839486679935</v>
      </c>
      <c r="BM784" s="50">
        <v>1167.0478417954946</v>
      </c>
      <c r="BN784" s="50">
        <v>1186.7117349229884</v>
      </c>
      <c r="BO784" s="50">
        <v>1206.3756280504822</v>
      </c>
      <c r="BP784" s="50">
        <v>1226.039521177976</v>
      </c>
      <c r="BQ784" s="50">
        <v>1245.7034143054698</v>
      </c>
      <c r="BR784" s="50">
        <v>1265.3673074329636</v>
      </c>
      <c r="BS784" s="50">
        <v>1285.0312005604574</v>
      </c>
      <c r="BT784" s="50">
        <v>1304.6950936879512</v>
      </c>
      <c r="BU784" s="50">
        <v>1324.358986815445</v>
      </c>
      <c r="BV784" s="50">
        <v>1344.0228799429387</v>
      </c>
      <c r="BW784" s="50">
        <v>1363.6867730704325</v>
      </c>
      <c r="BX784" s="50">
        <v>1383.3506661979263</v>
      </c>
      <c r="BY784" s="50">
        <v>1403.0145593254201</v>
      </c>
      <c r="BZ784" s="50">
        <v>1422.6784524529139</v>
      </c>
      <c r="CA784" s="50">
        <v>1442.3423455804077</v>
      </c>
      <c r="CB784" s="50">
        <v>1462.0062387079015</v>
      </c>
      <c r="CC784" s="50">
        <v>1481.6701318353953</v>
      </c>
      <c r="CD784" s="50">
        <v>1501.3340249628964</v>
      </c>
      <c r="CE784" s="50">
        <v>1520.9979180903902</v>
      </c>
      <c r="CF784" s="50">
        <v>1540.661811217884</v>
      </c>
      <c r="CG784" s="50">
        <v>1560.3257043453777</v>
      </c>
      <c r="CH784" s="50">
        <v>1579.9895974728715</v>
      </c>
      <c r="CI784" s="50">
        <v>1599.6534906003653</v>
      </c>
      <c r="CJ784" s="50">
        <v>1619.3173837278591</v>
      </c>
      <c r="CK784" s="50">
        <v>1638.9812768553529</v>
      </c>
      <c r="CL784" s="50">
        <v>1658.6451699828467</v>
      </c>
      <c r="CM784" s="50">
        <v>1678.3090631103405</v>
      </c>
      <c r="CN784" s="50">
        <v>1697.9729562378343</v>
      </c>
    </row>
    <row r="785" spans="1:92" s="50" customFormat="1" x14ac:dyDescent="0.25">
      <c r="A785" s="9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92" x14ac:dyDescent="0.25">
      <c r="A786" s="99" t="s">
        <v>310</v>
      </c>
      <c r="B786" s="4">
        <v>0</v>
      </c>
      <c r="C786" s="4">
        <v>0</v>
      </c>
      <c r="D786" s="4">
        <v>0</v>
      </c>
      <c r="E786" s="4">
        <v>0</v>
      </c>
      <c r="F786" s="4">
        <v>0</v>
      </c>
      <c r="G786" s="4">
        <v>0</v>
      </c>
      <c r="H786" s="4">
        <v>0</v>
      </c>
      <c r="I786" s="4">
        <v>0</v>
      </c>
      <c r="J786" s="4">
        <v>0</v>
      </c>
      <c r="K786" s="4">
        <v>0</v>
      </c>
      <c r="L786" s="4">
        <v>0</v>
      </c>
      <c r="M786" s="4">
        <v>0</v>
      </c>
      <c r="N786" s="4">
        <v>0</v>
      </c>
      <c r="O786" s="4">
        <v>0</v>
      </c>
      <c r="P786" s="4">
        <v>0</v>
      </c>
      <c r="Q786" s="4">
        <v>0</v>
      </c>
      <c r="R786" s="4">
        <v>0</v>
      </c>
      <c r="S786" s="4">
        <v>0</v>
      </c>
      <c r="T786" s="4">
        <v>0</v>
      </c>
      <c r="U786" s="4">
        <v>0</v>
      </c>
      <c r="V786" s="4">
        <v>0</v>
      </c>
      <c r="W786" s="4">
        <v>0</v>
      </c>
      <c r="X786" s="4">
        <v>0</v>
      </c>
      <c r="Y786" s="4">
        <v>0</v>
      </c>
      <c r="Z786" s="4">
        <v>0</v>
      </c>
      <c r="AA786" s="4">
        <v>0</v>
      </c>
      <c r="AB786" s="4">
        <v>0</v>
      </c>
      <c r="AC786" s="4">
        <v>0</v>
      </c>
      <c r="AD786" s="4">
        <v>0</v>
      </c>
      <c r="AE786" s="4">
        <v>0</v>
      </c>
      <c r="AF786">
        <v>3553.2159999999858</v>
      </c>
      <c r="AG786">
        <v>3682.3608333333395</v>
      </c>
      <c r="AH786">
        <v>3811.5056666666642</v>
      </c>
      <c r="AI786">
        <v>3940.6504999999888</v>
      </c>
      <c r="AJ786">
        <v>4069.7953333333426</v>
      </c>
      <c r="AK786">
        <v>4198.9401666666672</v>
      </c>
      <c r="AL786">
        <v>4328.0849999999919</v>
      </c>
      <c r="AM786">
        <v>4457.2298333333456</v>
      </c>
      <c r="AN786">
        <v>4586.3746666666702</v>
      </c>
      <c r="AO786">
        <v>4715.5194999999949</v>
      </c>
      <c r="AP786">
        <v>4844.6643333333486</v>
      </c>
      <c r="AQ786">
        <v>4973.8091666666733</v>
      </c>
      <c r="AR786">
        <v>5102.9539999999979</v>
      </c>
      <c r="AS786">
        <v>5232.0988333333225</v>
      </c>
      <c r="AT786">
        <v>5361.2436666666763</v>
      </c>
      <c r="AU786">
        <v>5490.3885000000009</v>
      </c>
      <c r="AV786">
        <v>5619.5333333333256</v>
      </c>
      <c r="AW786">
        <v>5748.6781666666793</v>
      </c>
      <c r="AX786">
        <v>5877.823000000004</v>
      </c>
      <c r="AY786">
        <v>6006.9678333333286</v>
      </c>
      <c r="AZ786">
        <v>6136.1126666666823</v>
      </c>
      <c r="BA786">
        <v>6265.257500000007</v>
      </c>
      <c r="BB786">
        <v>6394.4023333333316</v>
      </c>
      <c r="BC786">
        <v>6523.5471666666563</v>
      </c>
      <c r="BD786">
        <v>6652.69200000001</v>
      </c>
      <c r="BE786">
        <v>6781.8368333333347</v>
      </c>
      <c r="BF786">
        <v>6910.9816666666593</v>
      </c>
      <c r="BG786">
        <v>7040.126500000013</v>
      </c>
      <c r="BH786">
        <v>7169.2713333333377</v>
      </c>
      <c r="BI786">
        <v>7298.4161666666623</v>
      </c>
      <c r="BJ786">
        <v>7427.5610000000161</v>
      </c>
      <c r="BK786">
        <v>7556.7058333333407</v>
      </c>
      <c r="BL786">
        <v>7685.8506666666653</v>
      </c>
      <c r="BM786">
        <v>7814.99549999999</v>
      </c>
      <c r="BN786">
        <v>7944.1403333333437</v>
      </c>
      <c r="BO786">
        <v>8073.2851666666684</v>
      </c>
      <c r="BP786">
        <v>8202.429999999993</v>
      </c>
      <c r="BQ786">
        <v>8331.5748333333468</v>
      </c>
      <c r="BR786">
        <v>8460.7196666666714</v>
      </c>
      <c r="BS786">
        <v>8589.864499999996</v>
      </c>
      <c r="BT786">
        <v>8719.0093333333207</v>
      </c>
      <c r="BU786">
        <v>8848.1541666666453</v>
      </c>
      <c r="BV786">
        <v>8977.2990000000282</v>
      </c>
      <c r="BW786">
        <v>9106.4438333333528</v>
      </c>
      <c r="BX786">
        <v>9235.5886666666775</v>
      </c>
      <c r="BY786">
        <v>9364.7335000000021</v>
      </c>
      <c r="BZ786">
        <v>9493.8783333333267</v>
      </c>
      <c r="CA786">
        <v>9623.0231666666514</v>
      </c>
      <c r="CB786">
        <v>9752.167999999976</v>
      </c>
      <c r="CC786">
        <v>9881.3128333333589</v>
      </c>
      <c r="CD786">
        <v>10010.457666666684</v>
      </c>
      <c r="CE786">
        <v>10139.602500000008</v>
      </c>
      <c r="CF786">
        <v>10268.747333333333</v>
      </c>
      <c r="CG786">
        <v>10397.892166666657</v>
      </c>
      <c r="CH786">
        <v>10527.036999999982</v>
      </c>
      <c r="CI786">
        <v>10656.181833333365</v>
      </c>
      <c r="CJ786">
        <v>10785.32666666669</v>
      </c>
      <c r="CK786">
        <v>10914.471500000014</v>
      </c>
      <c r="CL786">
        <v>11043.616333333339</v>
      </c>
      <c r="CM786">
        <v>11172.761166666663</v>
      </c>
      <c r="CN786">
        <v>11301.905999999988</v>
      </c>
    </row>
    <row r="787" spans="1:92" s="44" customFormat="1" x14ac:dyDescent="0.25">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92" s="50" customFormat="1" x14ac:dyDescent="0.25">
      <c r="A788" s="99" t="s">
        <v>311</v>
      </c>
      <c r="B788" s="4">
        <v>0</v>
      </c>
      <c r="C788" s="4">
        <v>0</v>
      </c>
      <c r="D788" s="4">
        <v>0</v>
      </c>
      <c r="E788" s="4">
        <v>0</v>
      </c>
      <c r="F788" s="4">
        <v>0</v>
      </c>
      <c r="G788" s="4">
        <v>0</v>
      </c>
      <c r="H788" s="4">
        <v>0</v>
      </c>
      <c r="I788" s="4">
        <v>0</v>
      </c>
      <c r="J788" s="4">
        <v>0</v>
      </c>
      <c r="K788" s="4">
        <v>0</v>
      </c>
      <c r="L788" s="4">
        <v>0</v>
      </c>
      <c r="M788" s="4">
        <v>0</v>
      </c>
      <c r="N788" s="4">
        <v>0</v>
      </c>
      <c r="O788" s="4">
        <v>0</v>
      </c>
      <c r="P788" s="4">
        <v>0</v>
      </c>
      <c r="Q788" s="4">
        <v>0</v>
      </c>
      <c r="R788" s="4">
        <v>0</v>
      </c>
      <c r="S788" s="4">
        <v>0</v>
      </c>
      <c r="T788" s="4">
        <v>0</v>
      </c>
      <c r="U788" s="4">
        <v>0</v>
      </c>
      <c r="V788" s="4">
        <v>0</v>
      </c>
      <c r="W788" s="4">
        <v>0</v>
      </c>
      <c r="X788" s="4">
        <v>0</v>
      </c>
      <c r="Y788" s="4">
        <v>0</v>
      </c>
      <c r="Z788" s="4">
        <v>0</v>
      </c>
      <c r="AA788" s="4">
        <v>0</v>
      </c>
      <c r="AB788" s="4">
        <v>0</v>
      </c>
      <c r="AC788" s="4">
        <v>0</v>
      </c>
      <c r="AD788" s="4">
        <v>0</v>
      </c>
      <c r="AE788" s="4">
        <v>0</v>
      </c>
      <c r="AF788" s="50">
        <v>113.86463141182321</v>
      </c>
      <c r="AG788" s="50">
        <v>118.1859049509967</v>
      </c>
      <c r="AH788" s="50">
        <v>122.50717849016837</v>
      </c>
      <c r="AI788" s="50">
        <v>126.82845202934186</v>
      </c>
      <c r="AJ788" s="50">
        <v>131.14972556851353</v>
      </c>
      <c r="AK788" s="50">
        <v>135.4709991076852</v>
      </c>
      <c r="AL788" s="50">
        <v>139.79227264685869</v>
      </c>
      <c r="AM788" s="50">
        <v>144.11354618603036</v>
      </c>
      <c r="AN788" s="50">
        <v>148.43481972520385</v>
      </c>
      <c r="AO788" s="50">
        <v>152.75609326437552</v>
      </c>
      <c r="AP788" s="50">
        <v>157.07736680354901</v>
      </c>
      <c r="AQ788" s="50">
        <v>161.39864034272068</v>
      </c>
      <c r="AR788" s="50">
        <v>165.71991388189235</v>
      </c>
      <c r="AS788" s="50">
        <v>170.04118742106584</v>
      </c>
      <c r="AT788" s="50">
        <v>174.36246096023751</v>
      </c>
      <c r="AU788" s="50">
        <v>178.683734499411</v>
      </c>
      <c r="AV788" s="50">
        <v>183.00500803858267</v>
      </c>
      <c r="AW788" s="50">
        <v>187.32628157775616</v>
      </c>
      <c r="AX788" s="50">
        <v>191.64755511692783</v>
      </c>
      <c r="AY788" s="50">
        <v>195.9688286560995</v>
      </c>
      <c r="AZ788" s="50">
        <v>200.29010219527299</v>
      </c>
      <c r="BA788" s="50">
        <v>204.61137573444466</v>
      </c>
      <c r="BB788" s="50">
        <v>208.93264927361815</v>
      </c>
      <c r="BC788" s="50">
        <v>213.25392281278982</v>
      </c>
      <c r="BD788" s="50">
        <v>217.57519635196149</v>
      </c>
      <c r="BE788" s="50">
        <v>221.89646989113498</v>
      </c>
      <c r="BF788" s="50">
        <v>226.21774343030665</v>
      </c>
      <c r="BG788" s="50">
        <v>230.53901696948014</v>
      </c>
      <c r="BH788" s="50">
        <v>234.86029050865181</v>
      </c>
      <c r="BI788" s="50">
        <v>239.1815640478253</v>
      </c>
      <c r="BJ788" s="50">
        <v>243.50283758699698</v>
      </c>
      <c r="BK788" s="50">
        <v>247.82411112616865</v>
      </c>
      <c r="BL788" s="50">
        <v>252.14538466534214</v>
      </c>
      <c r="BM788" s="50">
        <v>256.46665820451381</v>
      </c>
      <c r="BN788" s="50">
        <v>260.7879317436873</v>
      </c>
      <c r="BO788" s="50">
        <v>265.10920528285897</v>
      </c>
      <c r="BP788" s="50">
        <v>269.43047882203246</v>
      </c>
      <c r="BQ788" s="50">
        <v>273.75175236120413</v>
      </c>
      <c r="BR788" s="50">
        <v>278.0730259003758</v>
      </c>
      <c r="BS788" s="50">
        <v>282.39429943954929</v>
      </c>
      <c r="BT788" s="50">
        <v>286.71557297872096</v>
      </c>
      <c r="BU788" s="50">
        <v>291.03684651789445</v>
      </c>
      <c r="BV788" s="50">
        <v>295.35812005706612</v>
      </c>
      <c r="BW788" s="50">
        <v>299.67939359623961</v>
      </c>
      <c r="BX788" s="50">
        <v>304.00066713541128</v>
      </c>
      <c r="BY788" s="50">
        <v>308.32194067458295</v>
      </c>
      <c r="BZ788" s="50">
        <v>312.64321421375644</v>
      </c>
      <c r="CA788" s="50">
        <v>316.96448775292811</v>
      </c>
      <c r="CB788" s="50">
        <v>321.2857612921016</v>
      </c>
      <c r="CC788" s="50">
        <v>325.60703483127327</v>
      </c>
      <c r="CD788" s="50">
        <v>329.92830837044676</v>
      </c>
      <c r="CE788" s="50">
        <v>334.24958190961843</v>
      </c>
      <c r="CF788" s="50">
        <v>338.5708554487901</v>
      </c>
      <c r="CG788" s="50">
        <v>342.89212898796359</v>
      </c>
      <c r="CH788" s="50">
        <v>347.21340252713526</v>
      </c>
      <c r="CI788" s="50">
        <v>351.53467606630875</v>
      </c>
      <c r="CJ788" s="50">
        <v>355.85594960548042</v>
      </c>
      <c r="CK788" s="50">
        <v>360.17722314465391</v>
      </c>
      <c r="CL788" s="50">
        <v>364.49849668382558</v>
      </c>
      <c r="CM788" s="50">
        <v>368.81977022299725</v>
      </c>
      <c r="CN788" s="50">
        <v>373.14104376217074</v>
      </c>
    </row>
    <row r="789" spans="1:92" s="44" customFormat="1" x14ac:dyDescent="0.25">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92" x14ac:dyDescent="0.25">
      <c r="A790" s="99" t="s">
        <v>312</v>
      </c>
      <c r="B790" s="4">
        <v>0</v>
      </c>
      <c r="C790" s="4">
        <v>0</v>
      </c>
      <c r="D790" s="4">
        <v>0</v>
      </c>
      <c r="E790" s="4">
        <v>0</v>
      </c>
      <c r="F790" s="4">
        <v>0</v>
      </c>
      <c r="G790" s="4">
        <v>0</v>
      </c>
      <c r="H790" s="4">
        <v>0</v>
      </c>
      <c r="I790" s="4">
        <v>0</v>
      </c>
      <c r="J790" s="4">
        <v>0</v>
      </c>
      <c r="K790" s="4">
        <v>0</v>
      </c>
      <c r="L790" s="4">
        <v>0</v>
      </c>
      <c r="M790" s="4">
        <v>0</v>
      </c>
      <c r="N790" s="4">
        <v>0</v>
      </c>
      <c r="O790" s="4">
        <v>0</v>
      </c>
      <c r="P790" s="4">
        <v>0</v>
      </c>
      <c r="Q790" s="4">
        <v>0</v>
      </c>
      <c r="R790" s="4">
        <v>0</v>
      </c>
      <c r="S790" s="4">
        <v>0</v>
      </c>
      <c r="T790" s="4">
        <v>0</v>
      </c>
      <c r="U790" s="4">
        <v>0</v>
      </c>
      <c r="V790" s="4">
        <v>0</v>
      </c>
      <c r="W790" s="4">
        <v>0</v>
      </c>
      <c r="X790" s="4">
        <v>0</v>
      </c>
      <c r="Y790" s="4">
        <v>0</v>
      </c>
      <c r="Z790" s="4">
        <v>0</v>
      </c>
      <c r="AA790" s="4">
        <v>0</v>
      </c>
      <c r="AB790" s="4">
        <v>0</v>
      </c>
      <c r="AC790" s="4">
        <v>0</v>
      </c>
      <c r="AD790" s="4">
        <v>0</v>
      </c>
      <c r="AE790" s="4">
        <v>0</v>
      </c>
      <c r="AF790">
        <v>21795.42266666668</v>
      </c>
      <c r="AG790">
        <v>21490.544166666688</v>
      </c>
      <c r="AH790">
        <v>21185.665666666697</v>
      </c>
      <c r="AI790">
        <v>20880.787166666705</v>
      </c>
      <c r="AJ790">
        <v>20575.908666666714</v>
      </c>
      <c r="AK790">
        <v>20271.030166666722</v>
      </c>
      <c r="AL790">
        <v>19966.15166666673</v>
      </c>
      <c r="AM790">
        <v>19661.273166666739</v>
      </c>
      <c r="AN790">
        <v>19356.394666666747</v>
      </c>
      <c r="AO790">
        <v>19051.516166666755</v>
      </c>
      <c r="AP790">
        <v>18746.637666666647</v>
      </c>
      <c r="AQ790">
        <v>18441.759166666656</v>
      </c>
      <c r="AR790">
        <v>18136.880666666664</v>
      </c>
      <c r="AS790">
        <v>17832.002166666673</v>
      </c>
      <c r="AT790">
        <v>17527.123666666681</v>
      </c>
      <c r="AU790">
        <v>17222.245166666689</v>
      </c>
      <c r="AV790">
        <v>16917.366666666698</v>
      </c>
      <c r="AW790">
        <v>16612.488166666706</v>
      </c>
      <c r="AX790">
        <v>16307.609666666714</v>
      </c>
      <c r="AY790">
        <v>16002.731166666723</v>
      </c>
      <c r="AZ790">
        <v>15697.852666666731</v>
      </c>
      <c r="BA790">
        <v>15392.97416666674</v>
      </c>
      <c r="BB790">
        <v>15088.095666666748</v>
      </c>
      <c r="BC790">
        <v>14783.217166666756</v>
      </c>
      <c r="BD790">
        <v>14478.338666666648</v>
      </c>
      <c r="BE790">
        <v>14173.460166666657</v>
      </c>
      <c r="BF790">
        <v>13868.581666666665</v>
      </c>
      <c r="BG790">
        <v>13563.703166666673</v>
      </c>
      <c r="BH790">
        <v>13258.824666666682</v>
      </c>
      <c r="BI790">
        <v>12953.94616666669</v>
      </c>
      <c r="BJ790">
        <v>12649.067666666699</v>
      </c>
      <c r="BK790">
        <v>12344.189166666707</v>
      </c>
      <c r="BL790">
        <v>12039.310666666715</v>
      </c>
      <c r="BM790">
        <v>11734.432166666724</v>
      </c>
      <c r="BN790">
        <v>11429.553666666732</v>
      </c>
      <c r="BO790">
        <v>11124.675166666741</v>
      </c>
      <c r="BP790">
        <v>10819.796666666749</v>
      </c>
      <c r="BQ790">
        <v>10514.918166666757</v>
      </c>
      <c r="BR790">
        <v>10210.039666666649</v>
      </c>
      <c r="BS790">
        <v>9905.1611666666577</v>
      </c>
      <c r="BT790">
        <v>9600.282666666666</v>
      </c>
      <c r="BU790">
        <v>9295.4041666666744</v>
      </c>
      <c r="BV790">
        <v>8990.5256666666828</v>
      </c>
      <c r="BW790">
        <v>8685.6471666666912</v>
      </c>
      <c r="BX790">
        <v>8380.7686666666996</v>
      </c>
      <c r="BY790">
        <v>8075.890166666708</v>
      </c>
      <c r="BZ790">
        <v>7771.0116666667163</v>
      </c>
      <c r="CA790">
        <v>7466.1331666667247</v>
      </c>
      <c r="CB790">
        <v>7161.2546666667331</v>
      </c>
      <c r="CC790">
        <v>6856.3761666667415</v>
      </c>
      <c r="CD790">
        <v>6551.4976666667499</v>
      </c>
      <c r="CE790">
        <v>6246.6191666667582</v>
      </c>
      <c r="CF790">
        <v>5941.7406666666502</v>
      </c>
      <c r="CG790">
        <v>5636.8621666666586</v>
      </c>
      <c r="CH790">
        <v>5331.983666666667</v>
      </c>
      <c r="CI790">
        <v>5027.1051666666754</v>
      </c>
      <c r="CJ790">
        <v>4722.2266666666837</v>
      </c>
      <c r="CK790">
        <v>4417.3481666666921</v>
      </c>
      <c r="CL790">
        <v>4112.4696666667005</v>
      </c>
      <c r="CM790">
        <v>3807.5911666667089</v>
      </c>
      <c r="CN790">
        <v>3502.7126666667173</v>
      </c>
    </row>
    <row r="791" spans="1:92" x14ac:dyDescent="0.25">
      <c r="A791" s="99" t="s">
        <v>1</v>
      </c>
      <c r="B791" s="4">
        <v>0</v>
      </c>
      <c r="C791" s="4">
        <v>0</v>
      </c>
      <c r="D791" s="4">
        <v>0</v>
      </c>
      <c r="E791" s="4">
        <v>0</v>
      </c>
      <c r="F791" s="4">
        <v>0</v>
      </c>
      <c r="G791" s="4">
        <v>0</v>
      </c>
      <c r="H791" s="4">
        <v>0</v>
      </c>
      <c r="I791" s="4">
        <v>0</v>
      </c>
      <c r="J791" s="4">
        <v>0</v>
      </c>
      <c r="K791" s="4">
        <v>0</v>
      </c>
      <c r="L791" s="4">
        <v>0</v>
      </c>
      <c r="M791" s="4">
        <v>0</v>
      </c>
      <c r="N791" s="4">
        <v>0</v>
      </c>
      <c r="O791" s="4">
        <v>0</v>
      </c>
      <c r="P791" s="4">
        <v>0</v>
      </c>
      <c r="Q791" s="4">
        <v>0</v>
      </c>
      <c r="R791" s="4">
        <v>0</v>
      </c>
      <c r="S791" s="4">
        <v>0</v>
      </c>
      <c r="T791" s="4">
        <v>0</v>
      </c>
      <c r="U791" s="4">
        <v>0</v>
      </c>
      <c r="V791" s="4">
        <v>0</v>
      </c>
      <c r="W791" s="4">
        <v>0</v>
      </c>
      <c r="X791" s="4">
        <v>0</v>
      </c>
      <c r="Y791" s="4">
        <v>0</v>
      </c>
      <c r="Z791" s="4">
        <v>0</v>
      </c>
      <c r="AA791" s="4">
        <v>0</v>
      </c>
      <c r="AB791" s="4">
        <v>0</v>
      </c>
      <c r="AC791" s="4">
        <v>0</v>
      </c>
      <c r="AD791" s="4">
        <v>0</v>
      </c>
      <c r="AE791" s="4">
        <v>0</v>
      </c>
      <c r="AF791">
        <v>13098.875999999698</v>
      </c>
      <c r="AG791">
        <v>13736.881666666362</v>
      </c>
      <c r="AH791">
        <v>14374.887333333027</v>
      </c>
      <c r="AI791">
        <v>15012.892999999691</v>
      </c>
      <c r="AJ791">
        <v>15650.898666666355</v>
      </c>
      <c r="AK791">
        <v>16288.904333333019</v>
      </c>
      <c r="AL791">
        <v>16926.909999999683</v>
      </c>
      <c r="AM791">
        <v>17564.915666666348</v>
      </c>
      <c r="AN791">
        <v>18202.921333333012</v>
      </c>
      <c r="AO791">
        <v>18840.926999999676</v>
      </c>
      <c r="AP791">
        <v>19478.932666666573</v>
      </c>
      <c r="AQ791">
        <v>20116.938333333237</v>
      </c>
      <c r="AR791">
        <v>20754.943999999901</v>
      </c>
      <c r="AS791">
        <v>21392.949666666565</v>
      </c>
      <c r="AT791">
        <v>22030.95533333323</v>
      </c>
      <c r="AU791">
        <v>22668.960999999894</v>
      </c>
      <c r="AV791">
        <v>23306.966666666558</v>
      </c>
      <c r="AW791">
        <v>23944.972333333222</v>
      </c>
      <c r="AX791">
        <v>24582.977999999886</v>
      </c>
      <c r="AY791">
        <v>25220.983666666551</v>
      </c>
      <c r="AZ791">
        <v>25858.989333333215</v>
      </c>
      <c r="BA791">
        <v>26496.994999999879</v>
      </c>
      <c r="BB791">
        <v>27135.000666666543</v>
      </c>
      <c r="BC791">
        <v>27773.006333333207</v>
      </c>
      <c r="BD791">
        <v>28411.011999999871</v>
      </c>
      <c r="BE791">
        <v>29049.017666666536</v>
      </c>
      <c r="BF791">
        <v>29687.0233333332</v>
      </c>
      <c r="BG791">
        <v>30325.028999999864</v>
      </c>
      <c r="BH791">
        <v>30963.034666666528</v>
      </c>
      <c r="BI791">
        <v>31601.040333333192</v>
      </c>
      <c r="BJ791">
        <v>32239.045999999857</v>
      </c>
      <c r="BK791">
        <v>32877.051666666521</v>
      </c>
      <c r="BL791">
        <v>33515.057333333185</v>
      </c>
      <c r="BM791">
        <v>34153.062999999849</v>
      </c>
      <c r="BN791">
        <v>34791.068666666513</v>
      </c>
      <c r="BO791">
        <v>35429.074333333177</v>
      </c>
      <c r="BP791">
        <v>36067.079999999842</v>
      </c>
      <c r="BQ791">
        <v>36705.085666666506</v>
      </c>
      <c r="BR791">
        <v>37343.09133333317</v>
      </c>
      <c r="BS791">
        <v>37981.096999999834</v>
      </c>
      <c r="BT791">
        <v>38619.102666666498</v>
      </c>
      <c r="BU791">
        <v>39257.108333333163</v>
      </c>
      <c r="BV791">
        <v>39895.113999999827</v>
      </c>
      <c r="BW791">
        <v>40533.119666666491</v>
      </c>
      <c r="BX791">
        <v>41171.125333333155</v>
      </c>
      <c r="BY791">
        <v>41809.130999999819</v>
      </c>
      <c r="BZ791">
        <v>42447.136666666484</v>
      </c>
      <c r="CA791">
        <v>43085.142333333148</v>
      </c>
      <c r="CB791">
        <v>43723.147999999812</v>
      </c>
      <c r="CC791">
        <v>44361.153666666476</v>
      </c>
      <c r="CD791">
        <v>44999.15933333314</v>
      </c>
      <c r="CE791">
        <v>45637.164999999804</v>
      </c>
      <c r="CF791">
        <v>46275.170666666469</v>
      </c>
      <c r="CG791">
        <v>46913.176333333133</v>
      </c>
      <c r="CH791">
        <v>47551.181999999797</v>
      </c>
      <c r="CI791">
        <v>48189.187666666461</v>
      </c>
      <c r="CJ791">
        <v>48827.193333333125</v>
      </c>
      <c r="CK791">
        <v>49465.19899999979</v>
      </c>
      <c r="CL791">
        <v>50103.204666666454</v>
      </c>
      <c r="CM791">
        <v>50741.210333333118</v>
      </c>
      <c r="CN791">
        <v>51379.215999999782</v>
      </c>
    </row>
    <row r="792" spans="1:92" x14ac:dyDescent="0.25">
      <c r="A792" s="99" t="s">
        <v>1</v>
      </c>
      <c r="B792" s="4">
        <v>0</v>
      </c>
      <c r="C792" s="4">
        <v>0</v>
      </c>
      <c r="D792" s="4">
        <v>0</v>
      </c>
      <c r="E792" s="4">
        <v>0</v>
      </c>
      <c r="F792" s="4">
        <v>0</v>
      </c>
      <c r="G792" s="4">
        <v>0</v>
      </c>
      <c r="H792" s="4">
        <v>0</v>
      </c>
      <c r="I792" s="4">
        <v>0</v>
      </c>
      <c r="J792" s="4">
        <v>0</v>
      </c>
      <c r="K792" s="4">
        <v>0</v>
      </c>
      <c r="L792" s="4">
        <v>0</v>
      </c>
      <c r="M792" s="4">
        <v>0</v>
      </c>
      <c r="N792" s="4">
        <v>0</v>
      </c>
      <c r="O792" s="4">
        <v>0</v>
      </c>
      <c r="P792" s="4">
        <v>0</v>
      </c>
      <c r="Q792" s="4">
        <v>0</v>
      </c>
      <c r="R792" s="4">
        <v>0</v>
      </c>
      <c r="S792" s="4">
        <v>0</v>
      </c>
      <c r="T792" s="4">
        <v>0</v>
      </c>
      <c r="U792" s="4">
        <v>0</v>
      </c>
      <c r="V792" s="4">
        <v>0</v>
      </c>
      <c r="W792" s="4">
        <v>0</v>
      </c>
      <c r="X792" s="4">
        <v>0</v>
      </c>
      <c r="Y792" s="4">
        <v>0</v>
      </c>
      <c r="Z792" s="4">
        <v>0</v>
      </c>
      <c r="AA792" s="4">
        <v>0</v>
      </c>
      <c r="AB792" s="4">
        <v>0</v>
      </c>
      <c r="AC792" s="4">
        <v>0</v>
      </c>
      <c r="AD792" s="4">
        <v>0</v>
      </c>
      <c r="AE792" s="4">
        <v>0</v>
      </c>
      <c r="AF792">
        <v>133.27999999999997</v>
      </c>
      <c r="AG792">
        <v>134.0958333333333</v>
      </c>
      <c r="AH792">
        <v>134.91166666666663</v>
      </c>
      <c r="AI792">
        <v>135.72749999999996</v>
      </c>
      <c r="AJ792">
        <v>136.54333333333329</v>
      </c>
      <c r="AK792">
        <v>137.35916666666662</v>
      </c>
      <c r="AL792">
        <v>138.17499999999995</v>
      </c>
      <c r="AM792">
        <v>138.99083333333328</v>
      </c>
      <c r="AN792">
        <v>139.80666666666662</v>
      </c>
      <c r="AO792">
        <v>140.62249999999995</v>
      </c>
      <c r="AP792">
        <v>141.43833333333328</v>
      </c>
      <c r="AQ792">
        <v>142.25416666666661</v>
      </c>
      <c r="AR792">
        <v>143.06999999999994</v>
      </c>
      <c r="AS792">
        <v>143.88583333333327</v>
      </c>
      <c r="AT792">
        <v>144.7016666666666</v>
      </c>
      <c r="AU792">
        <v>145.51749999999993</v>
      </c>
      <c r="AV792">
        <v>146.33333333333326</v>
      </c>
      <c r="AW792">
        <v>147.14916666666659</v>
      </c>
      <c r="AX792">
        <v>147.96499999999992</v>
      </c>
      <c r="AY792">
        <v>148.78083333333325</v>
      </c>
      <c r="AZ792">
        <v>149.59666666666658</v>
      </c>
      <c r="BA792">
        <v>150.41249999999991</v>
      </c>
      <c r="BB792">
        <v>151.22833333333324</v>
      </c>
      <c r="BC792">
        <v>152.04416666666657</v>
      </c>
      <c r="BD792">
        <v>152.8599999999999</v>
      </c>
      <c r="BE792">
        <v>153.67583333333323</v>
      </c>
      <c r="BF792">
        <v>154.49166666666656</v>
      </c>
      <c r="BG792">
        <v>155.30749999999989</v>
      </c>
      <c r="BH792">
        <v>156.12333333333322</v>
      </c>
      <c r="BI792">
        <v>156.93916666666655</v>
      </c>
      <c r="BJ792">
        <v>157.75499999999988</v>
      </c>
      <c r="BK792">
        <v>158.57083333333321</v>
      </c>
      <c r="BL792">
        <v>159.38666666666654</v>
      </c>
      <c r="BM792">
        <v>160.20249999999987</v>
      </c>
      <c r="BN792">
        <v>161.01833333333343</v>
      </c>
      <c r="BO792">
        <v>161.83416666666676</v>
      </c>
      <c r="BP792">
        <v>162.65000000000009</v>
      </c>
      <c r="BQ792">
        <v>163.46583333333342</v>
      </c>
      <c r="BR792">
        <v>164.28166666666675</v>
      </c>
      <c r="BS792">
        <v>165.09750000000008</v>
      </c>
      <c r="BT792">
        <v>165.91333333333341</v>
      </c>
      <c r="BU792">
        <v>166.72916666666674</v>
      </c>
      <c r="BV792">
        <v>167.54500000000007</v>
      </c>
      <c r="BW792">
        <v>168.3608333333334</v>
      </c>
      <c r="BX792">
        <v>169.17666666666673</v>
      </c>
      <c r="BY792">
        <v>169.99250000000006</v>
      </c>
      <c r="BZ792">
        <v>170.80833333333339</v>
      </c>
      <c r="CA792">
        <v>171.62416666666672</v>
      </c>
      <c r="CB792">
        <v>172.44000000000005</v>
      </c>
      <c r="CC792">
        <v>173.25583333333338</v>
      </c>
      <c r="CD792">
        <v>174.07166666666672</v>
      </c>
      <c r="CE792">
        <v>174.88750000000005</v>
      </c>
      <c r="CF792">
        <v>175.70333333333338</v>
      </c>
      <c r="CG792">
        <v>176.51916666666671</v>
      </c>
      <c r="CH792">
        <v>177.33500000000004</v>
      </c>
      <c r="CI792">
        <v>178.15083333333337</v>
      </c>
      <c r="CJ792">
        <v>178.9666666666667</v>
      </c>
      <c r="CK792">
        <v>179.78250000000003</v>
      </c>
      <c r="CL792">
        <v>180.59833333333336</v>
      </c>
      <c r="CM792">
        <v>181.41416666666669</v>
      </c>
      <c r="CN792">
        <v>182.23000000000002</v>
      </c>
    </row>
    <row r="793" spans="1:92" x14ac:dyDescent="0.25">
      <c r="A793" s="99" t="s">
        <v>1</v>
      </c>
      <c r="B793" s="4">
        <v>0</v>
      </c>
      <c r="C793" s="4">
        <v>0</v>
      </c>
      <c r="D793" s="4">
        <v>0</v>
      </c>
      <c r="E793" s="4">
        <v>0</v>
      </c>
      <c r="F793" s="4">
        <v>0</v>
      </c>
      <c r="G793" s="4">
        <v>0</v>
      </c>
      <c r="H793" s="4">
        <v>0</v>
      </c>
      <c r="I793" s="4">
        <v>0</v>
      </c>
      <c r="J793" s="4">
        <v>0</v>
      </c>
      <c r="K793" s="4">
        <v>0</v>
      </c>
      <c r="L793" s="4">
        <v>0</v>
      </c>
      <c r="M793" s="4">
        <v>0</v>
      </c>
      <c r="N793" s="4">
        <v>0</v>
      </c>
      <c r="O793" s="4">
        <v>0</v>
      </c>
      <c r="P793" s="4">
        <v>0</v>
      </c>
      <c r="Q793" s="4">
        <v>0</v>
      </c>
      <c r="R793" s="4">
        <v>0</v>
      </c>
      <c r="S793" s="4">
        <v>0</v>
      </c>
      <c r="T793" s="4">
        <v>0</v>
      </c>
      <c r="U793" s="4">
        <v>0</v>
      </c>
      <c r="V793" s="4">
        <v>0</v>
      </c>
      <c r="W793" s="4">
        <v>0</v>
      </c>
      <c r="X793" s="4">
        <v>0</v>
      </c>
      <c r="Y793" s="4">
        <v>0</v>
      </c>
      <c r="Z793" s="4">
        <v>0</v>
      </c>
      <c r="AA793" s="4">
        <v>0</v>
      </c>
      <c r="AB793" s="4">
        <v>0</v>
      </c>
      <c r="AC793" s="4">
        <v>0</v>
      </c>
      <c r="AD793" s="4">
        <v>0</v>
      </c>
      <c r="AE793" s="4">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0</v>
      </c>
      <c r="CK793">
        <v>0</v>
      </c>
      <c r="CL793">
        <v>0</v>
      </c>
      <c r="CM793">
        <v>0</v>
      </c>
      <c r="CN793">
        <v>0</v>
      </c>
    </row>
    <row r="794" spans="1:92" x14ac:dyDescent="0.25">
      <c r="A794" s="99" t="s">
        <v>1</v>
      </c>
      <c r="B794" s="4">
        <v>0</v>
      </c>
      <c r="C794" s="4">
        <v>0</v>
      </c>
      <c r="D794" s="4">
        <v>0</v>
      </c>
      <c r="E794" s="4">
        <v>0</v>
      </c>
      <c r="F794" s="4">
        <v>0</v>
      </c>
      <c r="G794" s="4">
        <v>0</v>
      </c>
      <c r="H794" s="4">
        <v>0</v>
      </c>
      <c r="I794" s="4">
        <v>0</v>
      </c>
      <c r="J794" s="4">
        <v>0</v>
      </c>
      <c r="K794" s="4">
        <v>0</v>
      </c>
      <c r="L794" s="4">
        <v>0</v>
      </c>
      <c r="M794" s="4">
        <v>0</v>
      </c>
      <c r="N794" s="4">
        <v>0</v>
      </c>
      <c r="O794" s="4">
        <v>0</v>
      </c>
      <c r="P794" s="4">
        <v>0</v>
      </c>
      <c r="Q794" s="4">
        <v>0</v>
      </c>
      <c r="R794" s="4">
        <v>0</v>
      </c>
      <c r="S794" s="4">
        <v>0</v>
      </c>
      <c r="T794" s="4">
        <v>0</v>
      </c>
      <c r="U794" s="4">
        <v>0</v>
      </c>
      <c r="V794" s="4">
        <v>0</v>
      </c>
      <c r="W794" s="4">
        <v>0</v>
      </c>
      <c r="X794" s="4">
        <v>0</v>
      </c>
      <c r="Y794" s="4">
        <v>0</v>
      </c>
      <c r="Z794" s="4">
        <v>0</v>
      </c>
      <c r="AA794" s="4">
        <v>0</v>
      </c>
      <c r="AB794" s="4">
        <v>0</v>
      </c>
      <c r="AC794" s="4">
        <v>0</v>
      </c>
      <c r="AD794" s="4">
        <v>0</v>
      </c>
      <c r="AE794" s="4">
        <v>0</v>
      </c>
      <c r="AF794">
        <v>1025.121333333198</v>
      </c>
      <c r="AG794">
        <v>1340.4991666665301</v>
      </c>
      <c r="AH794">
        <v>1655.8769999998622</v>
      </c>
      <c r="AI794">
        <v>1971.2548333331943</v>
      </c>
      <c r="AJ794">
        <v>2286.6326666665263</v>
      </c>
      <c r="AK794">
        <v>2602.0104999998584</v>
      </c>
      <c r="AL794">
        <v>2917.3883333331905</v>
      </c>
      <c r="AM794">
        <v>3232.7661666665226</v>
      </c>
      <c r="AN794">
        <v>3548.1439999998547</v>
      </c>
      <c r="AO794">
        <v>3863.5218333331868</v>
      </c>
      <c r="AP794">
        <v>4178.8996666666353</v>
      </c>
      <c r="AQ794">
        <v>4494.2774999999674</v>
      </c>
      <c r="AR794">
        <v>4809.6553333332995</v>
      </c>
      <c r="AS794">
        <v>5125.0331666666316</v>
      </c>
      <c r="AT794">
        <v>5440.4109999999637</v>
      </c>
      <c r="AU794">
        <v>5755.7888333332958</v>
      </c>
      <c r="AV794">
        <v>6071.1666666666279</v>
      </c>
      <c r="AW794">
        <v>6386.54449999996</v>
      </c>
      <c r="AX794">
        <v>6701.922333333292</v>
      </c>
      <c r="AY794">
        <v>7017.3001666666241</v>
      </c>
      <c r="AZ794">
        <v>7332.6779999999562</v>
      </c>
      <c r="BA794">
        <v>7648.0558333332883</v>
      </c>
      <c r="BB794">
        <v>7963.4336666666204</v>
      </c>
      <c r="BC794">
        <v>8278.8114999999525</v>
      </c>
      <c r="BD794">
        <v>8594.1893333332846</v>
      </c>
      <c r="BE794">
        <v>8909.5671666666167</v>
      </c>
      <c r="BF794">
        <v>9224.9449999999488</v>
      </c>
      <c r="BG794">
        <v>9540.3228333332809</v>
      </c>
      <c r="BH794">
        <v>9855.700666666613</v>
      </c>
      <c r="BI794">
        <v>10171.078499999945</v>
      </c>
      <c r="BJ794">
        <v>10486.456333333277</v>
      </c>
      <c r="BK794">
        <v>10801.834166666609</v>
      </c>
      <c r="BL794">
        <v>11117.211999999941</v>
      </c>
      <c r="BM794">
        <v>11432.589833333273</v>
      </c>
      <c r="BN794">
        <v>11747.967666666606</v>
      </c>
      <c r="BO794">
        <v>12063.345499999938</v>
      </c>
      <c r="BP794">
        <v>12378.72333333327</v>
      </c>
      <c r="BQ794">
        <v>12694.101166666602</v>
      </c>
      <c r="BR794">
        <v>13009.478999999934</v>
      </c>
      <c r="BS794">
        <v>13324.856833333266</v>
      </c>
      <c r="BT794">
        <v>13640.234666666598</v>
      </c>
      <c r="BU794">
        <v>13955.61249999993</v>
      </c>
      <c r="BV794">
        <v>14270.990333333262</v>
      </c>
      <c r="BW794">
        <v>14586.368166666594</v>
      </c>
      <c r="BX794">
        <v>14901.745999999926</v>
      </c>
      <c r="BY794">
        <v>15217.123833333259</v>
      </c>
      <c r="BZ794">
        <v>15532.501666666591</v>
      </c>
      <c r="CA794">
        <v>15847.879499999923</v>
      </c>
      <c r="CB794">
        <v>16163.257333333255</v>
      </c>
      <c r="CC794">
        <v>16478.635166666587</v>
      </c>
      <c r="CD794">
        <v>16794.012999999919</v>
      </c>
      <c r="CE794">
        <v>17109.390833333251</v>
      </c>
      <c r="CF794">
        <v>17424.768666666583</v>
      </c>
      <c r="CG794">
        <v>17740.146499999915</v>
      </c>
      <c r="CH794">
        <v>18055.524333333247</v>
      </c>
      <c r="CI794">
        <v>18370.902166666579</v>
      </c>
      <c r="CJ794">
        <v>18686.279999999912</v>
      </c>
      <c r="CK794">
        <v>19001.657833333244</v>
      </c>
      <c r="CL794">
        <v>19317.035666666576</v>
      </c>
      <c r="CM794">
        <v>19632.413499999908</v>
      </c>
      <c r="CN794">
        <v>19947.79133333324</v>
      </c>
    </row>
    <row r="795" spans="1:92" x14ac:dyDescent="0.25">
      <c r="A795" s="99" t="s">
        <v>1</v>
      </c>
      <c r="B795" s="4">
        <v>0</v>
      </c>
      <c r="C795" s="4">
        <v>0</v>
      </c>
      <c r="D795" s="4">
        <v>0</v>
      </c>
      <c r="E795" s="4">
        <v>0</v>
      </c>
      <c r="F795" s="4">
        <v>0</v>
      </c>
      <c r="G795" s="4">
        <v>0</v>
      </c>
      <c r="H795" s="4">
        <v>0</v>
      </c>
      <c r="I795" s="4">
        <v>0</v>
      </c>
      <c r="J795" s="4">
        <v>0</v>
      </c>
      <c r="K795" s="4">
        <v>0</v>
      </c>
      <c r="L795" s="4">
        <v>0</v>
      </c>
      <c r="M795" s="4">
        <v>0</v>
      </c>
      <c r="N795" s="4">
        <v>0</v>
      </c>
      <c r="O795" s="4">
        <v>0</v>
      </c>
      <c r="P795" s="4">
        <v>0</v>
      </c>
      <c r="Q795" s="4">
        <v>0</v>
      </c>
      <c r="R795" s="4">
        <v>0</v>
      </c>
      <c r="S795" s="4">
        <v>0</v>
      </c>
      <c r="T795" s="4">
        <v>0</v>
      </c>
      <c r="U795" s="4">
        <v>0</v>
      </c>
      <c r="V795" s="4">
        <v>0</v>
      </c>
      <c r="W795" s="4">
        <v>0</v>
      </c>
      <c r="X795" s="4">
        <v>0</v>
      </c>
      <c r="Y795" s="4">
        <v>0</v>
      </c>
      <c r="Z795" s="4">
        <v>0</v>
      </c>
      <c r="AA795" s="4">
        <v>0</v>
      </c>
      <c r="AB795" s="4">
        <v>0</v>
      </c>
      <c r="AC795" s="4">
        <v>0</v>
      </c>
      <c r="AD795" s="4">
        <v>0</v>
      </c>
      <c r="AE795" s="4">
        <v>0</v>
      </c>
      <c r="AF795">
        <v>295.2039999999979</v>
      </c>
      <c r="AG795">
        <v>334.37249999999767</v>
      </c>
      <c r="AH795">
        <v>373.54099999999744</v>
      </c>
      <c r="AI795">
        <v>412.70949999999721</v>
      </c>
      <c r="AJ795">
        <v>451.87799999999697</v>
      </c>
      <c r="AK795">
        <v>491.04649999999674</v>
      </c>
      <c r="AL795">
        <v>530.21499999999651</v>
      </c>
      <c r="AM795">
        <v>569.38349999999627</v>
      </c>
      <c r="AN795">
        <v>608.55199999999604</v>
      </c>
      <c r="AO795">
        <v>647.72049999999581</v>
      </c>
      <c r="AP795">
        <v>686.88899999999558</v>
      </c>
      <c r="AQ795">
        <v>726.05749999999534</v>
      </c>
      <c r="AR795">
        <v>765.22599999999511</v>
      </c>
      <c r="AS795">
        <v>804.39449999999488</v>
      </c>
      <c r="AT795">
        <v>843.56299999999464</v>
      </c>
      <c r="AU795">
        <v>882.73149999999441</v>
      </c>
      <c r="AV795">
        <v>921.89999999999418</v>
      </c>
      <c r="AW795">
        <v>961.06849999999395</v>
      </c>
      <c r="AX795">
        <v>1000.2369999999937</v>
      </c>
      <c r="AY795">
        <v>1039.4054999999935</v>
      </c>
      <c r="AZ795">
        <v>1078.5739999999932</v>
      </c>
      <c r="BA795">
        <v>1117.742499999993</v>
      </c>
      <c r="BB795">
        <v>1156.9109999999928</v>
      </c>
      <c r="BC795">
        <v>1196.0794999999925</v>
      </c>
      <c r="BD795">
        <v>1235.2479999999923</v>
      </c>
      <c r="BE795">
        <v>1274.4164999999921</v>
      </c>
      <c r="BF795">
        <v>1313.5850000000064</v>
      </c>
      <c r="BG795">
        <v>1352.7535000000062</v>
      </c>
      <c r="BH795">
        <v>1391.9220000000059</v>
      </c>
      <c r="BI795">
        <v>1431.0905000000057</v>
      </c>
      <c r="BJ795">
        <v>1470.2590000000055</v>
      </c>
      <c r="BK795">
        <v>1509.4275000000052</v>
      </c>
      <c r="BL795">
        <v>1548.596000000005</v>
      </c>
      <c r="BM795">
        <v>1587.7645000000048</v>
      </c>
      <c r="BN795">
        <v>1626.9330000000045</v>
      </c>
      <c r="BO795">
        <v>1666.1015000000043</v>
      </c>
      <c r="BP795">
        <v>1705.2700000000041</v>
      </c>
      <c r="BQ795">
        <v>1744.4385000000038</v>
      </c>
      <c r="BR795">
        <v>1783.6070000000036</v>
      </c>
      <c r="BS795">
        <v>1822.7755000000034</v>
      </c>
      <c r="BT795">
        <v>1861.9440000000031</v>
      </c>
      <c r="BU795">
        <v>1901.1125000000029</v>
      </c>
      <c r="BV795">
        <v>1940.2810000000027</v>
      </c>
      <c r="BW795">
        <v>1979.4495000000024</v>
      </c>
      <c r="BX795">
        <v>2018.6180000000022</v>
      </c>
      <c r="BY795">
        <v>2057.786500000002</v>
      </c>
      <c r="BZ795">
        <v>2096.9550000000017</v>
      </c>
      <c r="CA795">
        <v>2136.1235000000015</v>
      </c>
      <c r="CB795">
        <v>2175.2920000000013</v>
      </c>
      <c r="CC795">
        <v>2214.460500000001</v>
      </c>
      <c r="CD795">
        <v>2253.6290000000008</v>
      </c>
      <c r="CE795">
        <v>2292.7975000000006</v>
      </c>
      <c r="CF795">
        <v>2331.9660000000003</v>
      </c>
      <c r="CG795">
        <v>2371.1345000000001</v>
      </c>
      <c r="CH795">
        <v>2410.3029999999999</v>
      </c>
      <c r="CI795">
        <v>2449.4714999999997</v>
      </c>
      <c r="CJ795">
        <v>2488.6399999999994</v>
      </c>
      <c r="CK795">
        <v>2527.8084999999992</v>
      </c>
      <c r="CL795">
        <v>2566.976999999999</v>
      </c>
      <c r="CM795">
        <v>2606.1454999999987</v>
      </c>
      <c r="CN795">
        <v>2645.3139999999985</v>
      </c>
    </row>
    <row r="796" spans="1:92" x14ac:dyDescent="0.25">
      <c r="A796" s="99"/>
    </row>
    <row r="797" spans="1:92" x14ac:dyDescent="0.25">
      <c r="A797" s="99" t="s">
        <v>313</v>
      </c>
      <c r="B797" s="4">
        <v>0</v>
      </c>
      <c r="C797" s="4">
        <v>0</v>
      </c>
      <c r="D797" s="4">
        <v>0</v>
      </c>
      <c r="E797" s="4">
        <v>0</v>
      </c>
      <c r="F797" s="4">
        <v>0</v>
      </c>
      <c r="G797" s="4">
        <v>0</v>
      </c>
      <c r="H797" s="4">
        <v>0</v>
      </c>
      <c r="I797" s="4">
        <v>0</v>
      </c>
      <c r="J797" s="4">
        <v>0</v>
      </c>
      <c r="K797" s="4">
        <v>0</v>
      </c>
      <c r="L797" s="4">
        <v>0</v>
      </c>
      <c r="M797" s="4">
        <v>0</v>
      </c>
      <c r="N797" s="4">
        <v>0</v>
      </c>
      <c r="O797" s="4">
        <v>0</v>
      </c>
      <c r="P797" s="4">
        <v>0</v>
      </c>
      <c r="Q797" s="4">
        <v>0</v>
      </c>
      <c r="R797" s="4">
        <v>0</v>
      </c>
      <c r="S797" s="4">
        <v>0</v>
      </c>
      <c r="T797" s="4">
        <v>0</v>
      </c>
      <c r="U797" s="4">
        <v>0</v>
      </c>
      <c r="V797" s="4">
        <v>0</v>
      </c>
      <c r="W797" s="4">
        <v>0</v>
      </c>
      <c r="X797" s="4">
        <v>0</v>
      </c>
      <c r="Y797" s="4">
        <v>0</v>
      </c>
      <c r="Z797" s="4">
        <v>0</v>
      </c>
      <c r="AA797" s="4">
        <v>0</v>
      </c>
      <c r="AB797" s="4">
        <v>0</v>
      </c>
      <c r="AC797" s="4">
        <v>0</v>
      </c>
      <c r="AD797" s="4">
        <v>0</v>
      </c>
      <c r="AE797" s="4">
        <v>0</v>
      </c>
      <c r="AF797">
        <v>191.21999999999935</v>
      </c>
      <c r="AG797">
        <v>184.09166666666715</v>
      </c>
      <c r="AH797">
        <v>176.96333333333314</v>
      </c>
      <c r="AI797">
        <v>169.83499999999913</v>
      </c>
      <c r="AJ797">
        <v>162.70666666666693</v>
      </c>
      <c r="AK797">
        <v>155.57833333333292</v>
      </c>
      <c r="AL797">
        <v>148.45000000000073</v>
      </c>
      <c r="AM797">
        <v>141.32166666666672</v>
      </c>
      <c r="AN797">
        <v>134.1933333333327</v>
      </c>
      <c r="AO797">
        <v>127.06500000000051</v>
      </c>
      <c r="AP797">
        <v>119.9366666666665</v>
      </c>
      <c r="AQ797">
        <v>112.80833333333248</v>
      </c>
      <c r="AR797">
        <v>105.68000000000029</v>
      </c>
      <c r="AS797">
        <v>98.551666666666279</v>
      </c>
      <c r="AT797">
        <v>91.423333333334085</v>
      </c>
      <c r="AU797">
        <v>84.295000000000073</v>
      </c>
      <c r="AV797">
        <v>77.16666666666606</v>
      </c>
      <c r="AW797">
        <v>70.038333333333867</v>
      </c>
      <c r="AX797">
        <v>62.909999999999854</v>
      </c>
      <c r="AY797">
        <v>55.781666666665842</v>
      </c>
      <c r="AZ797">
        <v>48.653333333333649</v>
      </c>
      <c r="BA797">
        <v>41.524999999999636</v>
      </c>
      <c r="BB797">
        <v>34.396666666667443</v>
      </c>
      <c r="BC797">
        <v>27.26833333333343</v>
      </c>
      <c r="BD797">
        <v>20.139999999999418</v>
      </c>
      <c r="BE797">
        <v>13.011666666667224</v>
      </c>
      <c r="BF797">
        <v>5.8833333333332121</v>
      </c>
      <c r="BG797">
        <v>-1.2450000000008004</v>
      </c>
      <c r="BH797">
        <v>-8.3733333333329938</v>
      </c>
      <c r="BI797">
        <v>-15.501666666667006</v>
      </c>
      <c r="BJ797">
        <v>-22.6299999999992</v>
      </c>
      <c r="BK797">
        <v>-29.758333333333212</v>
      </c>
      <c r="BL797">
        <v>-36.886666666667224</v>
      </c>
      <c r="BM797">
        <v>-44.014999999999418</v>
      </c>
      <c r="BN797">
        <v>-51.14333333333343</v>
      </c>
      <c r="BO797">
        <v>-58.271666666667443</v>
      </c>
      <c r="BP797">
        <v>-65.399999999999636</v>
      </c>
      <c r="BQ797">
        <v>-72.528333333333649</v>
      </c>
      <c r="BR797">
        <v>-79.656666666665842</v>
      </c>
      <c r="BS797">
        <v>-86.784999999999854</v>
      </c>
      <c r="BT797">
        <v>-93.913333333333867</v>
      </c>
      <c r="BU797">
        <v>-101.04166666666606</v>
      </c>
      <c r="BV797">
        <v>-108.17000000000007</v>
      </c>
      <c r="BW797">
        <v>-115.29833333333409</v>
      </c>
      <c r="BX797">
        <v>-122.42666666666628</v>
      </c>
      <c r="BY797">
        <v>-129.55500000000029</v>
      </c>
      <c r="BZ797">
        <v>-136.68333333333248</v>
      </c>
      <c r="CA797">
        <v>-143.8116666666665</v>
      </c>
      <c r="CB797">
        <v>-150.94000000000051</v>
      </c>
      <c r="CC797">
        <v>-158.0683333333327</v>
      </c>
      <c r="CD797">
        <v>-165.19666666666672</v>
      </c>
      <c r="CE797">
        <v>-172.32500000000073</v>
      </c>
      <c r="CF797">
        <v>-179.45333333333292</v>
      </c>
      <c r="CG797">
        <v>-186.58166666666693</v>
      </c>
      <c r="CH797">
        <v>-193.70999999999913</v>
      </c>
      <c r="CI797">
        <v>-200.83833333333314</v>
      </c>
      <c r="CJ797">
        <v>-207.96666666666715</v>
      </c>
      <c r="CK797">
        <v>-215.09499999999935</v>
      </c>
      <c r="CL797">
        <v>-222.22333333333336</v>
      </c>
      <c r="CM797">
        <v>-229.35166666666737</v>
      </c>
      <c r="CN797">
        <v>-236.47999999999956</v>
      </c>
    </row>
    <row r="798" spans="1:92" x14ac:dyDescent="0.25">
      <c r="A798" s="99"/>
    </row>
    <row r="799" spans="1:92" s="50" customFormat="1" x14ac:dyDescent="0.25">
      <c r="A799" s="99" t="s">
        <v>314</v>
      </c>
      <c r="B799" s="4">
        <v>0</v>
      </c>
      <c r="C799" s="4">
        <v>0</v>
      </c>
      <c r="D799" s="4">
        <v>0</v>
      </c>
      <c r="E799" s="4">
        <v>0</v>
      </c>
      <c r="F799" s="4">
        <v>0</v>
      </c>
      <c r="G799" s="4">
        <v>0</v>
      </c>
      <c r="H799" s="4">
        <v>0</v>
      </c>
      <c r="I799" s="4">
        <v>0</v>
      </c>
      <c r="J799" s="4">
        <v>0</v>
      </c>
      <c r="K799" s="4">
        <v>0</v>
      </c>
      <c r="L799" s="4">
        <v>0</v>
      </c>
      <c r="M799" s="4">
        <v>0</v>
      </c>
      <c r="N799" s="4">
        <v>0</v>
      </c>
      <c r="O799" s="4">
        <v>0</v>
      </c>
      <c r="P799" s="4">
        <v>0</v>
      </c>
      <c r="Q799" s="4">
        <v>0</v>
      </c>
      <c r="R799" s="4">
        <v>0</v>
      </c>
      <c r="S799" s="4">
        <v>0</v>
      </c>
      <c r="T799" s="4">
        <v>0</v>
      </c>
      <c r="U799" s="4">
        <v>0</v>
      </c>
      <c r="V799" s="4">
        <v>0</v>
      </c>
      <c r="W799" s="4">
        <v>0</v>
      </c>
      <c r="X799" s="4">
        <v>0</v>
      </c>
      <c r="Y799" s="4">
        <v>0</v>
      </c>
      <c r="Z799" s="4">
        <v>0</v>
      </c>
      <c r="AA799" s="4">
        <v>0</v>
      </c>
      <c r="AB799" s="4">
        <v>0</v>
      </c>
      <c r="AC799" s="4">
        <v>0</v>
      </c>
      <c r="AD799" s="4">
        <v>0</v>
      </c>
      <c r="AE799" s="4">
        <v>0</v>
      </c>
      <c r="AF799" s="50">
        <v>155.42794943952464</v>
      </c>
      <c r="AG799" s="50">
        <v>155.47853086405223</v>
      </c>
      <c r="AH799" s="50">
        <v>155.52911228857982</v>
      </c>
      <c r="AI799" s="50">
        <v>155.57969371310739</v>
      </c>
      <c r="AJ799" s="50">
        <v>155.63027513763498</v>
      </c>
      <c r="AK799" s="50">
        <v>155.68085656216257</v>
      </c>
      <c r="AL799" s="50">
        <v>155.73143798669014</v>
      </c>
      <c r="AM799" s="50">
        <v>155.78201941121773</v>
      </c>
      <c r="AN799" s="50">
        <v>155.83260083574532</v>
      </c>
      <c r="AO799" s="50">
        <v>155.88318226027292</v>
      </c>
      <c r="AP799" s="50">
        <v>155.93376368480051</v>
      </c>
      <c r="AQ799" s="50">
        <v>155.9843451093281</v>
      </c>
      <c r="AR799" s="50">
        <v>156.0349265338557</v>
      </c>
      <c r="AS799" s="50">
        <v>156.08550795838329</v>
      </c>
      <c r="AT799" s="50">
        <v>156.13608938291088</v>
      </c>
      <c r="AU799" s="50">
        <v>156.18667080743845</v>
      </c>
      <c r="AV799" s="50">
        <v>156.23725223196604</v>
      </c>
      <c r="AW799" s="50">
        <v>156.28783365649363</v>
      </c>
      <c r="AX799" s="50">
        <v>156.3384150810212</v>
      </c>
      <c r="AY799" s="50">
        <v>156.38899650554879</v>
      </c>
      <c r="AZ799" s="50">
        <v>156.43957793007638</v>
      </c>
      <c r="BA799" s="50">
        <v>156.49015935460397</v>
      </c>
      <c r="BB799" s="50">
        <v>156.54074077913157</v>
      </c>
      <c r="BC799" s="50">
        <v>156.59132220365916</v>
      </c>
      <c r="BD799" s="50">
        <v>156.64190362818675</v>
      </c>
      <c r="BE799" s="50">
        <v>156.69248505271435</v>
      </c>
      <c r="BF799" s="50">
        <v>156.74306647724194</v>
      </c>
      <c r="BG799" s="50">
        <v>156.7936479017695</v>
      </c>
      <c r="BH799" s="50">
        <v>156.8442293262971</v>
      </c>
      <c r="BI799" s="50">
        <v>156.89481075082469</v>
      </c>
      <c r="BJ799" s="50">
        <v>156.94539217535225</v>
      </c>
      <c r="BK799" s="50">
        <v>156.99597359987985</v>
      </c>
      <c r="BL799" s="50">
        <v>157.04655502440744</v>
      </c>
      <c r="BM799" s="50">
        <v>157.09713644893503</v>
      </c>
      <c r="BN799" s="50">
        <v>157.14771787346262</v>
      </c>
      <c r="BO799" s="50">
        <v>157.19829929799022</v>
      </c>
      <c r="BP799" s="50">
        <v>157.24888072251781</v>
      </c>
      <c r="BQ799" s="50">
        <v>157.2994621470454</v>
      </c>
      <c r="BR799" s="50">
        <v>157.350043571573</v>
      </c>
      <c r="BS799" s="50">
        <v>157.40062499610056</v>
      </c>
      <c r="BT799" s="50">
        <v>157.45120642062815</v>
      </c>
      <c r="BU799" s="50">
        <v>157.50178784515575</v>
      </c>
      <c r="BV799" s="50">
        <v>157.55236926968331</v>
      </c>
      <c r="BW799" s="50">
        <v>157.6029506942109</v>
      </c>
      <c r="BX799" s="50">
        <v>157.6535321187385</v>
      </c>
      <c r="BY799" s="50">
        <v>157.70411354326609</v>
      </c>
      <c r="BZ799" s="50">
        <v>157.75469496779368</v>
      </c>
      <c r="CA799" s="50">
        <v>157.80527639232128</v>
      </c>
      <c r="CB799" s="50">
        <v>157.85585781684887</v>
      </c>
      <c r="CC799" s="50">
        <v>157.90643924137646</v>
      </c>
      <c r="CD799" s="50">
        <v>157.95702066590405</v>
      </c>
      <c r="CE799" s="50">
        <v>158.00760209043162</v>
      </c>
      <c r="CF799" s="50">
        <v>158.05818351495921</v>
      </c>
      <c r="CG799" s="50">
        <v>158.1087649394868</v>
      </c>
      <c r="CH799" s="50">
        <v>158.15934636401437</v>
      </c>
      <c r="CI799" s="50">
        <v>158.20992778854196</v>
      </c>
      <c r="CJ799" s="50">
        <v>158.26050921306955</v>
      </c>
      <c r="CK799" s="50">
        <v>158.31109063759715</v>
      </c>
      <c r="CL799" s="50">
        <v>158.36167206212474</v>
      </c>
      <c r="CM799" s="50">
        <v>158.41225348665233</v>
      </c>
      <c r="CN799" s="50">
        <v>158.46283491117993</v>
      </c>
    </row>
    <row r="800" spans="1:92" s="50" customFormat="1" x14ac:dyDescent="0.25">
      <c r="A800" s="9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92" x14ac:dyDescent="0.25">
      <c r="A801" s="99" t="s">
        <v>315</v>
      </c>
      <c r="B801" s="4">
        <v>0</v>
      </c>
      <c r="C801" s="4">
        <v>0</v>
      </c>
      <c r="D801" s="4">
        <v>0</v>
      </c>
      <c r="E801" s="4">
        <v>0</v>
      </c>
      <c r="F801" s="4">
        <v>0</v>
      </c>
      <c r="G801" s="4">
        <v>0</v>
      </c>
      <c r="H801" s="4">
        <v>0</v>
      </c>
      <c r="I801" s="4">
        <v>0</v>
      </c>
      <c r="J801" s="4">
        <v>0</v>
      </c>
      <c r="K801" s="4">
        <v>0</v>
      </c>
      <c r="L801" s="4">
        <v>0</v>
      </c>
      <c r="M801" s="4">
        <v>0</v>
      </c>
      <c r="N801" s="4">
        <v>0</v>
      </c>
      <c r="O801" s="4">
        <v>0</v>
      </c>
      <c r="P801" s="4">
        <v>0</v>
      </c>
      <c r="Q801" s="4">
        <v>0</v>
      </c>
      <c r="R801" s="4">
        <v>0</v>
      </c>
      <c r="S801" s="4">
        <v>0</v>
      </c>
      <c r="T801" s="4">
        <v>0</v>
      </c>
      <c r="U801" s="4">
        <v>0</v>
      </c>
      <c r="V801" s="4">
        <v>0</v>
      </c>
      <c r="W801" s="4">
        <v>0</v>
      </c>
      <c r="X801" s="4">
        <v>0</v>
      </c>
      <c r="Y801" s="4">
        <v>0</v>
      </c>
      <c r="Z801" s="4">
        <v>0</v>
      </c>
      <c r="AA801" s="4">
        <v>0</v>
      </c>
      <c r="AB801" s="4">
        <v>0</v>
      </c>
      <c r="AC801" s="4">
        <v>0</v>
      </c>
      <c r="AD801" s="4">
        <v>0</v>
      </c>
      <c r="AE801" s="4">
        <v>0</v>
      </c>
      <c r="AF801">
        <v>4400.6893333333282</v>
      </c>
      <c r="AG801">
        <v>4452.9316666666564</v>
      </c>
      <c r="AH801">
        <v>4505.1739999999991</v>
      </c>
      <c r="AI801">
        <v>4557.4163333333272</v>
      </c>
      <c r="AJ801">
        <v>4609.6586666666553</v>
      </c>
      <c r="AK801">
        <v>4661.900999999998</v>
      </c>
      <c r="AL801">
        <v>4714.1433333333262</v>
      </c>
      <c r="AM801">
        <v>4766.3856666666543</v>
      </c>
      <c r="AN801">
        <v>4818.627999999997</v>
      </c>
      <c r="AO801">
        <v>4870.8703333333251</v>
      </c>
      <c r="AP801">
        <v>4923.1126666666678</v>
      </c>
      <c r="AQ801">
        <v>4975.3549999999959</v>
      </c>
      <c r="AR801">
        <v>5027.5973333333241</v>
      </c>
      <c r="AS801">
        <v>5079.8396666666667</v>
      </c>
      <c r="AT801">
        <v>5132.0819999999949</v>
      </c>
      <c r="AU801">
        <v>5184.324333333323</v>
      </c>
      <c r="AV801">
        <v>5236.5666666666657</v>
      </c>
      <c r="AW801">
        <v>5288.8089999999938</v>
      </c>
      <c r="AX801">
        <v>5341.051333333322</v>
      </c>
      <c r="AY801">
        <v>5393.2936666666646</v>
      </c>
      <c r="AZ801">
        <v>5445.5359999999928</v>
      </c>
      <c r="BA801">
        <v>5497.7783333333355</v>
      </c>
      <c r="BB801">
        <v>5550.0206666666636</v>
      </c>
      <c r="BC801">
        <v>5602.2629999999917</v>
      </c>
      <c r="BD801">
        <v>5654.5053333333344</v>
      </c>
      <c r="BE801">
        <v>5706.7476666666626</v>
      </c>
      <c r="BF801">
        <v>5758.9899999999907</v>
      </c>
      <c r="BG801">
        <v>5811.2323333333334</v>
      </c>
      <c r="BH801">
        <v>5863.4746666666615</v>
      </c>
      <c r="BI801">
        <v>5915.7169999999896</v>
      </c>
      <c r="BJ801">
        <v>5967.9593333333323</v>
      </c>
      <c r="BK801">
        <v>6020.2016666666605</v>
      </c>
      <c r="BL801">
        <v>6072.4440000000031</v>
      </c>
      <c r="BM801">
        <v>6124.6863333333313</v>
      </c>
      <c r="BN801">
        <v>6176.9286666666594</v>
      </c>
      <c r="BO801">
        <v>6229.1710000000021</v>
      </c>
      <c r="BP801">
        <v>6281.4133333333302</v>
      </c>
      <c r="BQ801">
        <v>6333.6556666666584</v>
      </c>
      <c r="BR801">
        <v>6385.898000000001</v>
      </c>
      <c r="BS801">
        <v>6438.1403333333292</v>
      </c>
      <c r="BT801">
        <v>6490.3826666666573</v>
      </c>
      <c r="BU801">
        <v>6542.625</v>
      </c>
      <c r="BV801">
        <v>6594.8673333333281</v>
      </c>
      <c r="BW801">
        <v>6647.1096666666708</v>
      </c>
      <c r="BX801">
        <v>6699.351999999999</v>
      </c>
      <c r="BY801">
        <v>6751.5943333333271</v>
      </c>
      <c r="BZ801">
        <v>6803.8366666666698</v>
      </c>
      <c r="CA801">
        <v>6856.0789999999979</v>
      </c>
      <c r="CB801">
        <v>6908.321333333326</v>
      </c>
      <c r="CC801">
        <v>6960.5636666666687</v>
      </c>
      <c r="CD801">
        <v>7012.8059999999969</v>
      </c>
      <c r="CE801">
        <v>7065.048333333325</v>
      </c>
      <c r="CF801">
        <v>7117.2906666666677</v>
      </c>
      <c r="CG801">
        <v>7169.5329999999958</v>
      </c>
      <c r="CH801">
        <v>7221.7753333333385</v>
      </c>
      <c r="CI801">
        <v>7274.0176666666666</v>
      </c>
      <c r="CJ801">
        <v>7326.2599999999948</v>
      </c>
      <c r="CK801">
        <v>7378.5023333333374</v>
      </c>
      <c r="CL801">
        <v>7430.7446666666656</v>
      </c>
      <c r="CM801">
        <v>7482.9869999999937</v>
      </c>
      <c r="CN801">
        <v>7535.2293333333364</v>
      </c>
    </row>
    <row r="802" spans="1:92" x14ac:dyDescent="0.25">
      <c r="A802" s="99"/>
    </row>
    <row r="803" spans="1:92" s="50" customFormat="1" x14ac:dyDescent="0.25">
      <c r="A803" s="99" t="s">
        <v>316</v>
      </c>
      <c r="B803" s="4">
        <v>0</v>
      </c>
      <c r="C803" s="4">
        <v>0</v>
      </c>
      <c r="D803" s="4">
        <v>0</v>
      </c>
      <c r="E803" s="4">
        <v>0</v>
      </c>
      <c r="F803" s="4">
        <v>0</v>
      </c>
      <c r="G803" s="4">
        <v>0</v>
      </c>
      <c r="H803" s="4">
        <v>0</v>
      </c>
      <c r="I803" s="4">
        <v>0</v>
      </c>
      <c r="J803" s="4">
        <v>0</v>
      </c>
      <c r="K803" s="4">
        <v>0</v>
      </c>
      <c r="L803" s="4">
        <v>0</v>
      </c>
      <c r="M803" s="4">
        <v>0</v>
      </c>
      <c r="N803" s="4">
        <v>0</v>
      </c>
      <c r="O803" s="4">
        <v>0</v>
      </c>
      <c r="P803" s="4">
        <v>0</v>
      </c>
      <c r="Q803" s="4">
        <v>0</v>
      </c>
      <c r="R803" s="4">
        <v>0</v>
      </c>
      <c r="S803" s="4">
        <v>0</v>
      </c>
      <c r="T803" s="4">
        <v>0</v>
      </c>
      <c r="U803" s="4">
        <v>0</v>
      </c>
      <c r="V803" s="4">
        <v>0</v>
      </c>
      <c r="W803" s="4">
        <v>0</v>
      </c>
      <c r="X803" s="4">
        <v>0</v>
      </c>
      <c r="Y803" s="4">
        <v>0</v>
      </c>
      <c r="Z803" s="4">
        <v>0</v>
      </c>
      <c r="AA803" s="4">
        <v>0</v>
      </c>
      <c r="AB803" s="4">
        <v>0</v>
      </c>
      <c r="AC803" s="4">
        <v>0</v>
      </c>
      <c r="AD803" s="4">
        <v>0</v>
      </c>
      <c r="AE803" s="4">
        <v>0</v>
      </c>
      <c r="AF803" s="50">
        <v>28006.004050560474</v>
      </c>
      <c r="AG803" s="50">
        <v>28015.118135802615</v>
      </c>
      <c r="AH803" s="50">
        <v>28024.232221044753</v>
      </c>
      <c r="AI803" s="50">
        <v>28033.34630628689</v>
      </c>
      <c r="AJ803" s="50">
        <v>28042.460391529032</v>
      </c>
      <c r="AK803" s="50">
        <v>28051.574476771173</v>
      </c>
      <c r="AL803" s="50">
        <v>28060.688562013311</v>
      </c>
      <c r="AM803" s="50">
        <v>28069.802647255448</v>
      </c>
      <c r="AN803" s="50">
        <v>28078.91673249759</v>
      </c>
      <c r="AO803" s="50">
        <v>28088.030817739731</v>
      </c>
      <c r="AP803" s="50">
        <v>28097.144902981869</v>
      </c>
      <c r="AQ803" s="50">
        <v>28106.258988224006</v>
      </c>
      <c r="AR803" s="50">
        <v>28115.373073466148</v>
      </c>
      <c r="AS803" s="50">
        <v>28124.487158708289</v>
      </c>
      <c r="AT803" s="50">
        <v>28133.601243950427</v>
      </c>
      <c r="AU803" s="50">
        <v>28142.715329192564</v>
      </c>
      <c r="AV803" s="50">
        <v>28151.829414434706</v>
      </c>
      <c r="AW803" s="50">
        <v>28160.943499676847</v>
      </c>
      <c r="AX803" s="50">
        <v>28170.057584918985</v>
      </c>
      <c r="AY803" s="50">
        <v>28179.171670161122</v>
      </c>
      <c r="AZ803" s="50">
        <v>28188.285755403263</v>
      </c>
      <c r="BA803" s="50">
        <v>28197.399840645405</v>
      </c>
      <c r="BB803" s="50">
        <v>28206.513925887542</v>
      </c>
      <c r="BC803" s="50">
        <v>28215.62801112968</v>
      </c>
      <c r="BD803" s="50">
        <v>28224.742096371821</v>
      </c>
      <c r="BE803" s="50">
        <v>28233.856181613963</v>
      </c>
      <c r="BF803" s="50">
        <v>28242.9702668561</v>
      </c>
      <c r="BG803" s="50">
        <v>28252.084352098238</v>
      </c>
      <c r="BH803" s="50">
        <v>28261.198437340379</v>
      </c>
      <c r="BI803" s="50">
        <v>28270.312522582521</v>
      </c>
      <c r="BJ803" s="50">
        <v>28279.426607824658</v>
      </c>
      <c r="BK803" s="50">
        <v>28288.540693066796</v>
      </c>
      <c r="BL803" s="50">
        <v>28297.654778308937</v>
      </c>
      <c r="BM803" s="50">
        <v>28306.768863551079</v>
      </c>
      <c r="BN803" s="50">
        <v>28315.882948793216</v>
      </c>
      <c r="BO803" s="50">
        <v>28324.997034035354</v>
      </c>
      <c r="BP803" s="50">
        <v>28334.111119277495</v>
      </c>
      <c r="BQ803" s="50">
        <v>28343.225204519636</v>
      </c>
      <c r="BR803" s="50">
        <v>28352.339289761774</v>
      </c>
      <c r="BS803" s="50">
        <v>28361.453375003912</v>
      </c>
      <c r="BT803" s="50">
        <v>28370.567460246053</v>
      </c>
      <c r="BU803" s="50">
        <v>28379.681545488194</v>
      </c>
      <c r="BV803" s="50">
        <v>28388.795630730332</v>
      </c>
      <c r="BW803" s="50">
        <v>28397.90971597247</v>
      </c>
      <c r="BX803" s="50">
        <v>28407.023801214611</v>
      </c>
      <c r="BY803" s="50">
        <v>28416.137886456752</v>
      </c>
      <c r="BZ803" s="50">
        <v>28425.25197169889</v>
      </c>
      <c r="CA803" s="50">
        <v>28434.366056941028</v>
      </c>
      <c r="CB803" s="50">
        <v>28443.480142183169</v>
      </c>
      <c r="CC803" s="50">
        <v>28452.59422742531</v>
      </c>
      <c r="CD803" s="50">
        <v>28461.708312667448</v>
      </c>
      <c r="CE803" s="50">
        <v>28470.822397909586</v>
      </c>
      <c r="CF803" s="50">
        <v>28479.936483151727</v>
      </c>
      <c r="CG803" s="50">
        <v>28489.050568393868</v>
      </c>
      <c r="CH803" s="50">
        <v>28498.164653636006</v>
      </c>
      <c r="CI803" s="50">
        <v>28507.278738878143</v>
      </c>
      <c r="CJ803" s="50">
        <v>28516.392824120285</v>
      </c>
      <c r="CK803" s="50">
        <v>28525.506909362426</v>
      </c>
      <c r="CL803" s="50">
        <v>28534.620994604564</v>
      </c>
      <c r="CM803" s="50">
        <v>28543.735079846701</v>
      </c>
      <c r="CN803" s="50">
        <v>28552.849165088843</v>
      </c>
    </row>
    <row r="804" spans="1:92" s="50" customFormat="1" x14ac:dyDescent="0.25">
      <c r="A804" s="9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92" x14ac:dyDescent="0.25">
      <c r="A805" s="99" t="s">
        <v>317</v>
      </c>
      <c r="B805" s="4">
        <v>0</v>
      </c>
      <c r="C805" s="4">
        <v>0</v>
      </c>
      <c r="D805" s="4">
        <v>0</v>
      </c>
      <c r="E805" s="4">
        <v>0</v>
      </c>
      <c r="F805" s="4">
        <v>0</v>
      </c>
      <c r="G805" s="4">
        <v>0</v>
      </c>
      <c r="H805" s="4">
        <v>0</v>
      </c>
      <c r="I805" s="4">
        <v>0</v>
      </c>
      <c r="J805" s="4">
        <v>0</v>
      </c>
      <c r="K805" s="4">
        <v>0</v>
      </c>
      <c r="L805" s="4">
        <v>0</v>
      </c>
      <c r="M805" s="4">
        <v>0</v>
      </c>
      <c r="N805" s="4">
        <v>0</v>
      </c>
      <c r="O805" s="4">
        <v>0</v>
      </c>
      <c r="P805" s="4">
        <v>0</v>
      </c>
      <c r="Q805" s="4">
        <v>0</v>
      </c>
      <c r="R805" s="4">
        <v>0</v>
      </c>
      <c r="S805" s="4">
        <v>0</v>
      </c>
      <c r="T805" s="4">
        <v>0</v>
      </c>
      <c r="U805" s="4">
        <v>0</v>
      </c>
      <c r="V805" s="4">
        <v>0</v>
      </c>
      <c r="W805" s="4">
        <v>0</v>
      </c>
      <c r="X805" s="4">
        <v>0</v>
      </c>
      <c r="Y805" s="4">
        <v>0</v>
      </c>
      <c r="Z805" s="4">
        <v>0</v>
      </c>
      <c r="AA805" s="4">
        <v>0</v>
      </c>
      <c r="AB805" s="4">
        <v>0</v>
      </c>
      <c r="AC805" s="4">
        <v>0</v>
      </c>
      <c r="AD805" s="4">
        <v>0</v>
      </c>
      <c r="AE805" s="4">
        <v>0</v>
      </c>
      <c r="AF805">
        <v>21486.126666666649</v>
      </c>
      <c r="AG805">
        <v>21380.520833333314</v>
      </c>
      <c r="AH805">
        <v>21274.914999999979</v>
      </c>
      <c r="AI805">
        <v>21169.309166666644</v>
      </c>
      <c r="AJ805">
        <v>21063.703333333309</v>
      </c>
      <c r="AK805">
        <v>20958.097500000003</v>
      </c>
      <c r="AL805">
        <v>20852.491666666669</v>
      </c>
      <c r="AM805">
        <v>20746.885833333334</v>
      </c>
      <c r="AN805">
        <v>20641.28</v>
      </c>
      <c r="AO805">
        <v>20535.674166666664</v>
      </c>
      <c r="AP805">
        <v>20430.068333333329</v>
      </c>
      <c r="AQ805">
        <v>20324.462499999994</v>
      </c>
      <c r="AR805">
        <v>20218.856666666659</v>
      </c>
      <c r="AS805">
        <v>20113.250833333324</v>
      </c>
      <c r="AT805">
        <v>20007.64499999999</v>
      </c>
      <c r="AU805">
        <v>19902.039166666655</v>
      </c>
      <c r="AV805">
        <v>19796.43333333332</v>
      </c>
      <c r="AW805">
        <v>19690.827500000014</v>
      </c>
      <c r="AX805">
        <v>19585.221666666679</v>
      </c>
      <c r="AY805">
        <v>19479.615833333344</v>
      </c>
      <c r="AZ805">
        <v>19374.010000000009</v>
      </c>
      <c r="BA805">
        <v>19268.404166666674</v>
      </c>
      <c r="BB805">
        <v>19162.79833333334</v>
      </c>
      <c r="BC805">
        <v>19057.192500000005</v>
      </c>
      <c r="BD805">
        <v>18951.58666666667</v>
      </c>
      <c r="BE805">
        <v>18845.980833333335</v>
      </c>
      <c r="BF805">
        <v>18740.375</v>
      </c>
      <c r="BG805">
        <v>18634.769166666665</v>
      </c>
      <c r="BH805">
        <v>18529.16333333333</v>
      </c>
      <c r="BI805">
        <v>18423.557500000024</v>
      </c>
      <c r="BJ805">
        <v>18317.95166666669</v>
      </c>
      <c r="BK805">
        <v>18212.345833333355</v>
      </c>
      <c r="BL805">
        <v>18106.74000000002</v>
      </c>
      <c r="BM805">
        <v>18001.134166666685</v>
      </c>
      <c r="BN805">
        <v>17895.52833333335</v>
      </c>
      <c r="BO805">
        <v>17789.922500000015</v>
      </c>
      <c r="BP805">
        <v>17684.31666666668</v>
      </c>
      <c r="BQ805">
        <v>17578.710833333345</v>
      </c>
      <c r="BR805">
        <v>17473.10500000001</v>
      </c>
      <c r="BS805">
        <v>17367.499166666676</v>
      </c>
      <c r="BT805">
        <v>17261.893333333341</v>
      </c>
      <c r="BU805">
        <v>17156.287500000035</v>
      </c>
      <c r="BV805">
        <v>17050.6816666667</v>
      </c>
      <c r="BW805">
        <v>16945.075833333365</v>
      </c>
      <c r="BX805">
        <v>16839.47000000003</v>
      </c>
      <c r="BY805">
        <v>16733.864166666695</v>
      </c>
      <c r="BZ805">
        <v>16628.25833333336</v>
      </c>
      <c r="CA805">
        <v>16522.652500000026</v>
      </c>
      <c r="CB805">
        <v>16417.046666666691</v>
      </c>
      <c r="CC805">
        <v>16311.440833333356</v>
      </c>
      <c r="CD805">
        <v>16205.835000000021</v>
      </c>
      <c r="CE805">
        <v>16100.229166666686</v>
      </c>
      <c r="CF805">
        <v>15994.623333333351</v>
      </c>
      <c r="CG805">
        <v>15889.017500000045</v>
      </c>
      <c r="CH805">
        <v>15783.411666666711</v>
      </c>
      <c r="CI805">
        <v>15677.805833333376</v>
      </c>
      <c r="CJ805">
        <v>15572.200000000041</v>
      </c>
      <c r="CK805">
        <v>15466.594166666706</v>
      </c>
      <c r="CL805">
        <v>15360.988333333371</v>
      </c>
      <c r="CM805">
        <v>15255.382500000036</v>
      </c>
      <c r="CN805">
        <v>15149.776666666701</v>
      </c>
    </row>
    <row r="806" spans="1:92" x14ac:dyDescent="0.25">
      <c r="A806" s="99" t="s">
        <v>1</v>
      </c>
      <c r="B806" s="4">
        <v>0</v>
      </c>
      <c r="C806" s="4">
        <v>0</v>
      </c>
      <c r="D806" s="4">
        <v>0</v>
      </c>
      <c r="E806" s="4">
        <v>0</v>
      </c>
      <c r="F806" s="4">
        <v>0</v>
      </c>
      <c r="G806" s="4">
        <v>0</v>
      </c>
      <c r="H806" s="4">
        <v>0</v>
      </c>
      <c r="I806" s="4">
        <v>0</v>
      </c>
      <c r="J806" s="4">
        <v>0</v>
      </c>
      <c r="K806" s="4">
        <v>0</v>
      </c>
      <c r="L806" s="4">
        <v>0</v>
      </c>
      <c r="M806" s="4">
        <v>0</v>
      </c>
      <c r="N806" s="4">
        <v>0</v>
      </c>
      <c r="O806" s="4">
        <v>0</v>
      </c>
      <c r="P806" s="4">
        <v>0</v>
      </c>
      <c r="Q806" s="4">
        <v>0</v>
      </c>
      <c r="R806" s="4">
        <v>0</v>
      </c>
      <c r="S806" s="4">
        <v>0</v>
      </c>
      <c r="T806" s="4">
        <v>0</v>
      </c>
      <c r="U806" s="4">
        <v>0</v>
      </c>
      <c r="V806" s="4">
        <v>0</v>
      </c>
      <c r="W806" s="4">
        <v>0</v>
      </c>
      <c r="X806" s="4">
        <v>0</v>
      </c>
      <c r="Y806" s="4">
        <v>0</v>
      </c>
      <c r="Z806" s="4">
        <v>0</v>
      </c>
      <c r="AA806" s="4">
        <v>0</v>
      </c>
      <c r="AB806" s="4">
        <v>0</v>
      </c>
      <c r="AC806" s="4">
        <v>0</v>
      </c>
      <c r="AD806" s="4">
        <v>0</v>
      </c>
      <c r="AE806" s="4">
        <v>0</v>
      </c>
      <c r="AF806">
        <v>27454.219999999972</v>
      </c>
      <c r="AG806">
        <v>27740.75</v>
      </c>
      <c r="AH806">
        <v>28027.279999999912</v>
      </c>
      <c r="AI806">
        <v>28313.809999999939</v>
      </c>
      <c r="AJ806">
        <v>28600.339999999967</v>
      </c>
      <c r="AK806">
        <v>28886.869999999995</v>
      </c>
      <c r="AL806">
        <v>29173.399999999907</v>
      </c>
      <c r="AM806">
        <v>29459.929999999935</v>
      </c>
      <c r="AN806">
        <v>29746.459999999963</v>
      </c>
      <c r="AO806">
        <v>30032.989999999991</v>
      </c>
      <c r="AP806">
        <v>30319.520000000019</v>
      </c>
      <c r="AQ806">
        <v>30606.04999999993</v>
      </c>
      <c r="AR806">
        <v>30892.579999999958</v>
      </c>
      <c r="AS806">
        <v>31179.109999999986</v>
      </c>
      <c r="AT806">
        <v>31465.640000000014</v>
      </c>
      <c r="AU806">
        <v>31752.169999999925</v>
      </c>
      <c r="AV806">
        <v>32038.699999999953</v>
      </c>
      <c r="AW806">
        <v>32325.229999999981</v>
      </c>
      <c r="AX806">
        <v>32611.760000000009</v>
      </c>
      <c r="AY806">
        <v>32898.289999999921</v>
      </c>
      <c r="AZ806">
        <v>33184.819999999949</v>
      </c>
      <c r="BA806">
        <v>33471.349999999977</v>
      </c>
      <c r="BB806">
        <v>33757.880000000005</v>
      </c>
      <c r="BC806">
        <v>34044.409999999916</v>
      </c>
      <c r="BD806">
        <v>34330.939999999944</v>
      </c>
      <c r="BE806">
        <v>34617.469999999972</v>
      </c>
      <c r="BF806">
        <v>34904</v>
      </c>
      <c r="BG806">
        <v>35190.529999999912</v>
      </c>
      <c r="BH806">
        <v>35477.059999999939</v>
      </c>
      <c r="BI806">
        <v>35763.589999999967</v>
      </c>
      <c r="BJ806">
        <v>36050.119999999995</v>
      </c>
      <c r="BK806">
        <v>36336.649999999907</v>
      </c>
      <c r="BL806">
        <v>36623.179999999935</v>
      </c>
      <c r="BM806">
        <v>36909.709999999963</v>
      </c>
      <c r="BN806">
        <v>37196.239999999991</v>
      </c>
      <c r="BO806">
        <v>37482.770000000019</v>
      </c>
      <c r="BP806">
        <v>37769.29999999993</v>
      </c>
      <c r="BQ806">
        <v>38055.829999999958</v>
      </c>
      <c r="BR806">
        <v>38342.359999999986</v>
      </c>
      <c r="BS806">
        <v>38628.890000000014</v>
      </c>
      <c r="BT806">
        <v>38915.419999999925</v>
      </c>
      <c r="BU806">
        <v>39201.949999999953</v>
      </c>
      <c r="BV806">
        <v>39488.479999999981</v>
      </c>
      <c r="BW806">
        <v>39775.010000000009</v>
      </c>
      <c r="BX806">
        <v>40061.539999999921</v>
      </c>
      <c r="BY806">
        <v>40348.069999999949</v>
      </c>
      <c r="BZ806">
        <v>40634.599999999977</v>
      </c>
      <c r="CA806">
        <v>40921.130000000005</v>
      </c>
      <c r="CB806">
        <v>41207.659999999916</v>
      </c>
      <c r="CC806">
        <v>41494.189999999944</v>
      </c>
      <c r="CD806">
        <v>41780.719999999972</v>
      </c>
      <c r="CE806">
        <v>42067.25</v>
      </c>
      <c r="CF806">
        <v>42353.779999999912</v>
      </c>
      <c r="CG806">
        <v>42640.309999999939</v>
      </c>
      <c r="CH806">
        <v>42926.839999999967</v>
      </c>
      <c r="CI806">
        <v>43213.369999999995</v>
      </c>
      <c r="CJ806">
        <v>43499.899999999907</v>
      </c>
      <c r="CK806">
        <v>43786.429999999935</v>
      </c>
      <c r="CL806">
        <v>44072.959999999963</v>
      </c>
      <c r="CM806">
        <v>44359.489999999991</v>
      </c>
      <c r="CN806">
        <v>44646.020000000019</v>
      </c>
    </row>
    <row r="807" spans="1:92" x14ac:dyDescent="0.25">
      <c r="A807" s="99" t="s">
        <v>1</v>
      </c>
      <c r="B807" s="4">
        <v>0</v>
      </c>
      <c r="C807" s="4">
        <v>0</v>
      </c>
      <c r="D807" s="4">
        <v>0</v>
      </c>
      <c r="E807" s="4">
        <v>0</v>
      </c>
      <c r="F807" s="4">
        <v>0</v>
      </c>
      <c r="G807" s="4">
        <v>0</v>
      </c>
      <c r="H807" s="4">
        <v>0</v>
      </c>
      <c r="I807" s="4">
        <v>0</v>
      </c>
      <c r="J807" s="4">
        <v>0</v>
      </c>
      <c r="K807" s="4">
        <v>0</v>
      </c>
      <c r="L807" s="4">
        <v>0</v>
      </c>
      <c r="M807" s="4">
        <v>0</v>
      </c>
      <c r="N807" s="4">
        <v>0</v>
      </c>
      <c r="O807" s="4">
        <v>0</v>
      </c>
      <c r="P807" s="4">
        <v>0</v>
      </c>
      <c r="Q807" s="4">
        <v>0</v>
      </c>
      <c r="R807" s="4">
        <v>0</v>
      </c>
      <c r="S807" s="4">
        <v>0</v>
      </c>
      <c r="T807" s="4">
        <v>0</v>
      </c>
      <c r="U807" s="4">
        <v>0</v>
      </c>
      <c r="V807" s="4">
        <v>0</v>
      </c>
      <c r="W807" s="4">
        <v>0</v>
      </c>
      <c r="X807" s="4">
        <v>0</v>
      </c>
      <c r="Y807" s="4">
        <v>0</v>
      </c>
      <c r="Z807" s="4">
        <v>0</v>
      </c>
      <c r="AA807" s="4">
        <v>0</v>
      </c>
      <c r="AB807" s="4">
        <v>0</v>
      </c>
      <c r="AC807" s="4">
        <v>0</v>
      </c>
      <c r="AD807" s="4">
        <v>0</v>
      </c>
      <c r="AE807" s="4">
        <v>0</v>
      </c>
      <c r="AF807">
        <v>236.89999999999964</v>
      </c>
      <c r="AG807">
        <v>242.36666666666497</v>
      </c>
      <c r="AH807">
        <v>247.83333333333212</v>
      </c>
      <c r="AI807">
        <v>253.29999999999927</v>
      </c>
      <c r="AJ807">
        <v>258.76666666666642</v>
      </c>
      <c r="AK807">
        <v>264.23333333333176</v>
      </c>
      <c r="AL807">
        <v>269.69999999999891</v>
      </c>
      <c r="AM807">
        <v>275.16666666666606</v>
      </c>
      <c r="AN807">
        <v>280.63333333333321</v>
      </c>
      <c r="AO807">
        <v>286.09999999999854</v>
      </c>
      <c r="AP807">
        <v>291.5666666666657</v>
      </c>
      <c r="AQ807">
        <v>297.03333333333285</v>
      </c>
      <c r="AR807">
        <v>302.49999999999818</v>
      </c>
      <c r="AS807">
        <v>307.96666666666533</v>
      </c>
      <c r="AT807">
        <v>313.43333333333248</v>
      </c>
      <c r="AU807">
        <v>318.89999999999964</v>
      </c>
      <c r="AV807">
        <v>324.36666666666497</v>
      </c>
      <c r="AW807">
        <v>329.83333333333212</v>
      </c>
      <c r="AX807">
        <v>335.29999999999927</v>
      </c>
      <c r="AY807">
        <v>340.76666666666642</v>
      </c>
      <c r="AZ807">
        <v>346.23333333333176</v>
      </c>
      <c r="BA807">
        <v>351.69999999999891</v>
      </c>
      <c r="BB807">
        <v>357.16666666666606</v>
      </c>
      <c r="BC807">
        <v>362.63333333333139</v>
      </c>
      <c r="BD807">
        <v>368.09999999999854</v>
      </c>
      <c r="BE807">
        <v>373.5666666666657</v>
      </c>
      <c r="BF807">
        <v>379.03333333333285</v>
      </c>
      <c r="BG807">
        <v>384.49999999999818</v>
      </c>
      <c r="BH807">
        <v>389.96666666666533</v>
      </c>
      <c r="BI807">
        <v>395.43333333333248</v>
      </c>
      <c r="BJ807">
        <v>400.89999999999964</v>
      </c>
      <c r="BK807">
        <v>406.36666666666497</v>
      </c>
      <c r="BL807">
        <v>411.83333333333212</v>
      </c>
      <c r="BM807">
        <v>417.29999999999927</v>
      </c>
      <c r="BN807">
        <v>422.76666666666642</v>
      </c>
      <c r="BO807">
        <v>428.23333333333176</v>
      </c>
      <c r="BP807">
        <v>433.69999999999891</v>
      </c>
      <c r="BQ807">
        <v>439.16666666666606</v>
      </c>
      <c r="BR807">
        <v>444.63333333333139</v>
      </c>
      <c r="BS807">
        <v>450.09999999999854</v>
      </c>
      <c r="BT807">
        <v>455.5666666666657</v>
      </c>
      <c r="BU807">
        <v>461.03333333333285</v>
      </c>
      <c r="BV807">
        <v>466.49999999999818</v>
      </c>
      <c r="BW807">
        <v>471.96666666666533</v>
      </c>
      <c r="BX807">
        <v>477.43333333333248</v>
      </c>
      <c r="BY807">
        <v>482.89999999999964</v>
      </c>
      <c r="BZ807">
        <v>488.36666666666497</v>
      </c>
      <c r="CA807">
        <v>493.83333333333212</v>
      </c>
      <c r="CB807">
        <v>499.29999999999927</v>
      </c>
      <c r="CC807">
        <v>504.76666666666461</v>
      </c>
      <c r="CD807">
        <v>510.23333333333176</v>
      </c>
      <c r="CE807">
        <v>515.69999999999891</v>
      </c>
      <c r="CF807">
        <v>521.16666666666606</v>
      </c>
      <c r="CG807">
        <v>526.63333333333139</v>
      </c>
      <c r="CH807">
        <v>532.09999999999854</v>
      </c>
      <c r="CI807">
        <v>537.5666666666657</v>
      </c>
      <c r="CJ807">
        <v>543.03333333333285</v>
      </c>
      <c r="CK807">
        <v>548.49999999999818</v>
      </c>
      <c r="CL807">
        <v>553.96666666666533</v>
      </c>
      <c r="CM807">
        <v>559.43333333333248</v>
      </c>
      <c r="CN807">
        <v>564.89999999999782</v>
      </c>
    </row>
    <row r="808" spans="1:92" x14ac:dyDescent="0.25">
      <c r="A808" s="99" t="s">
        <v>1</v>
      </c>
      <c r="B808" s="4">
        <v>0</v>
      </c>
      <c r="C808" s="4">
        <v>0</v>
      </c>
      <c r="D808" s="4">
        <v>0</v>
      </c>
      <c r="E808" s="4">
        <v>0</v>
      </c>
      <c r="F808" s="4">
        <v>0</v>
      </c>
      <c r="G808" s="4">
        <v>0</v>
      </c>
      <c r="H808" s="4">
        <v>0</v>
      </c>
      <c r="I808" s="4">
        <v>0</v>
      </c>
      <c r="J808" s="4">
        <v>0</v>
      </c>
      <c r="K808" s="4">
        <v>0</v>
      </c>
      <c r="L808" s="4">
        <v>0</v>
      </c>
      <c r="M808" s="4">
        <v>0</v>
      </c>
      <c r="N808" s="4">
        <v>0</v>
      </c>
      <c r="O808" s="4">
        <v>0</v>
      </c>
      <c r="P808" s="4">
        <v>0</v>
      </c>
      <c r="Q808" s="4">
        <v>0</v>
      </c>
      <c r="R808" s="4">
        <v>0</v>
      </c>
      <c r="S808" s="4">
        <v>0</v>
      </c>
      <c r="T808" s="4">
        <v>0</v>
      </c>
      <c r="U808" s="4">
        <v>0</v>
      </c>
      <c r="V808" s="4">
        <v>0</v>
      </c>
      <c r="W808" s="4">
        <v>0</v>
      </c>
      <c r="X808" s="4">
        <v>0</v>
      </c>
      <c r="Y808" s="4">
        <v>0</v>
      </c>
      <c r="Z808" s="4">
        <v>0</v>
      </c>
      <c r="AA808" s="4">
        <v>0</v>
      </c>
      <c r="AB808" s="4">
        <v>0</v>
      </c>
      <c r="AC808" s="4">
        <v>0</v>
      </c>
      <c r="AD808" s="4">
        <v>0</v>
      </c>
      <c r="AE808" s="4">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c r="CN808">
        <v>0</v>
      </c>
    </row>
    <row r="809" spans="1:92" x14ac:dyDescent="0.25">
      <c r="A809" s="99" t="s">
        <v>1</v>
      </c>
      <c r="B809" s="4">
        <v>0</v>
      </c>
      <c r="C809" s="4">
        <v>0</v>
      </c>
      <c r="D809" s="4">
        <v>0</v>
      </c>
      <c r="E809" s="4">
        <v>0</v>
      </c>
      <c r="F809" s="4">
        <v>0</v>
      </c>
      <c r="G809" s="4">
        <v>0</v>
      </c>
      <c r="H809" s="4">
        <v>0</v>
      </c>
      <c r="I809" s="4">
        <v>0</v>
      </c>
      <c r="J809" s="4">
        <v>0</v>
      </c>
      <c r="K809" s="4">
        <v>0</v>
      </c>
      <c r="L809" s="4">
        <v>0</v>
      </c>
      <c r="M809" s="4">
        <v>0</v>
      </c>
      <c r="N809" s="4">
        <v>0</v>
      </c>
      <c r="O809" s="4">
        <v>0</v>
      </c>
      <c r="P809" s="4">
        <v>0</v>
      </c>
      <c r="Q809" s="4">
        <v>0</v>
      </c>
      <c r="R809" s="4">
        <v>0</v>
      </c>
      <c r="S809" s="4">
        <v>0</v>
      </c>
      <c r="T809" s="4">
        <v>0</v>
      </c>
      <c r="U809" s="4">
        <v>0</v>
      </c>
      <c r="V809" s="4">
        <v>0</v>
      </c>
      <c r="W809" s="4">
        <v>0</v>
      </c>
      <c r="X809" s="4">
        <v>0</v>
      </c>
      <c r="Y809" s="4">
        <v>0</v>
      </c>
      <c r="Z809" s="4">
        <v>0</v>
      </c>
      <c r="AA809" s="4">
        <v>0</v>
      </c>
      <c r="AB809" s="4">
        <v>0</v>
      </c>
      <c r="AC809" s="4">
        <v>0</v>
      </c>
      <c r="AD809" s="4">
        <v>0</v>
      </c>
      <c r="AE809" s="4">
        <v>0</v>
      </c>
      <c r="AF809">
        <v>1279.4880000000121</v>
      </c>
      <c r="AG809">
        <v>1683.565833333414</v>
      </c>
      <c r="AH809">
        <v>2087.6436666666996</v>
      </c>
      <c r="AI809">
        <v>2491.7214999999851</v>
      </c>
      <c r="AJ809">
        <v>2895.799333333387</v>
      </c>
      <c r="AK809">
        <v>3299.8771666666726</v>
      </c>
      <c r="AL809">
        <v>3703.9550000000745</v>
      </c>
      <c r="AM809">
        <v>4108.03283333336</v>
      </c>
      <c r="AN809">
        <v>4512.1106666666456</v>
      </c>
      <c r="AO809">
        <v>4916.1885000000475</v>
      </c>
      <c r="AP809">
        <v>5320.266333333333</v>
      </c>
      <c r="AQ809">
        <v>5724.344166666735</v>
      </c>
      <c r="AR809">
        <v>6128.4220000000205</v>
      </c>
      <c r="AS809">
        <v>6532.499833333306</v>
      </c>
      <c r="AT809">
        <v>6936.577666666708</v>
      </c>
      <c r="AU809">
        <v>7340.6554999999935</v>
      </c>
      <c r="AV809">
        <v>7744.7333333333954</v>
      </c>
      <c r="AW809">
        <v>8148.8111666666809</v>
      </c>
      <c r="AX809">
        <v>8552.8890000000829</v>
      </c>
      <c r="AY809">
        <v>8956.9668333333684</v>
      </c>
      <c r="AZ809">
        <v>9361.0446666666539</v>
      </c>
      <c r="BA809">
        <v>9765.1225000000559</v>
      </c>
      <c r="BB809">
        <v>10169.200333333341</v>
      </c>
      <c r="BC809">
        <v>10573.278166666743</v>
      </c>
      <c r="BD809">
        <v>10977.356000000029</v>
      </c>
      <c r="BE809">
        <v>11381.433833333314</v>
      </c>
      <c r="BF809">
        <v>11785.511666666716</v>
      </c>
      <c r="BG809">
        <v>12189.589500000002</v>
      </c>
      <c r="BH809">
        <v>12593.667333333404</v>
      </c>
      <c r="BI809">
        <v>12997.745166666689</v>
      </c>
      <c r="BJ809">
        <v>13401.822999999975</v>
      </c>
      <c r="BK809">
        <v>13805.900833333377</v>
      </c>
      <c r="BL809">
        <v>14209.978666666662</v>
      </c>
      <c r="BM809">
        <v>14614.056500000064</v>
      </c>
      <c r="BN809">
        <v>15018.13433333335</v>
      </c>
      <c r="BO809">
        <v>15422.212166666752</v>
      </c>
      <c r="BP809">
        <v>15826.290000000037</v>
      </c>
      <c r="BQ809">
        <v>16230.367833333323</v>
      </c>
      <c r="BR809">
        <v>16634.445666666725</v>
      </c>
      <c r="BS809">
        <v>17038.52350000001</v>
      </c>
      <c r="BT809">
        <v>17442.601333333412</v>
      </c>
      <c r="BU809">
        <v>17846.679166666698</v>
      </c>
      <c r="BV809">
        <v>18250.756999999983</v>
      </c>
      <c r="BW809">
        <v>18654.834833333385</v>
      </c>
      <c r="BX809">
        <v>19058.912666666671</v>
      </c>
      <c r="BY809">
        <v>19462.990500000073</v>
      </c>
      <c r="BZ809">
        <v>19867.068333333358</v>
      </c>
      <c r="CA809">
        <v>20271.146166666644</v>
      </c>
      <c r="CB809">
        <v>20675.224000000046</v>
      </c>
      <c r="CC809">
        <v>21079.301833333331</v>
      </c>
      <c r="CD809">
        <v>21483.379666666733</v>
      </c>
      <c r="CE809">
        <v>21887.457500000019</v>
      </c>
      <c r="CF809">
        <v>22291.535333333421</v>
      </c>
      <c r="CG809">
        <v>22695.613166666706</v>
      </c>
      <c r="CH809">
        <v>23099.690999999992</v>
      </c>
      <c r="CI809">
        <v>23503.768833333394</v>
      </c>
      <c r="CJ809">
        <v>23907.846666666679</v>
      </c>
      <c r="CK809">
        <v>24311.924500000081</v>
      </c>
      <c r="CL809">
        <v>24716.002333333367</v>
      </c>
      <c r="CM809">
        <v>25120.080166666652</v>
      </c>
      <c r="CN809">
        <v>25524.158000000054</v>
      </c>
    </row>
    <row r="810" spans="1:92" x14ac:dyDescent="0.25">
      <c r="A810" s="99" t="s">
        <v>1</v>
      </c>
      <c r="B810" s="4">
        <v>0</v>
      </c>
      <c r="C810" s="4">
        <v>0</v>
      </c>
      <c r="D810" s="4">
        <v>0</v>
      </c>
      <c r="E810" s="4">
        <v>0</v>
      </c>
      <c r="F810" s="4">
        <v>0</v>
      </c>
      <c r="G810" s="4">
        <v>0</v>
      </c>
      <c r="H810" s="4">
        <v>0</v>
      </c>
      <c r="I810" s="4">
        <v>0</v>
      </c>
      <c r="J810" s="4">
        <v>0</v>
      </c>
      <c r="K810" s="4">
        <v>0</v>
      </c>
      <c r="L810" s="4">
        <v>0</v>
      </c>
      <c r="M810" s="4">
        <v>0</v>
      </c>
      <c r="N810" s="4">
        <v>0</v>
      </c>
      <c r="O810" s="4">
        <v>0</v>
      </c>
      <c r="P810" s="4">
        <v>0</v>
      </c>
      <c r="Q810" s="4">
        <v>0</v>
      </c>
      <c r="R810" s="4">
        <v>0</v>
      </c>
      <c r="S810" s="4">
        <v>0</v>
      </c>
      <c r="T810" s="4">
        <v>0</v>
      </c>
      <c r="U810" s="4">
        <v>0</v>
      </c>
      <c r="V810" s="4">
        <v>0</v>
      </c>
      <c r="W810" s="4">
        <v>0</v>
      </c>
      <c r="X810" s="4">
        <v>0</v>
      </c>
      <c r="Y810" s="4">
        <v>0</v>
      </c>
      <c r="Z810" s="4">
        <v>0</v>
      </c>
      <c r="AA810" s="4">
        <v>0</v>
      </c>
      <c r="AB810" s="4">
        <v>0</v>
      </c>
      <c r="AC810" s="4">
        <v>0</v>
      </c>
      <c r="AD810" s="4">
        <v>0</v>
      </c>
      <c r="AE810" s="4">
        <v>0</v>
      </c>
      <c r="AF810">
        <v>2025.949333333323</v>
      </c>
      <c r="AG810">
        <v>1975.0149999999849</v>
      </c>
      <c r="AH810">
        <v>1924.0806666666613</v>
      </c>
      <c r="AI810">
        <v>1873.1463333333231</v>
      </c>
      <c r="AJ810">
        <v>1822.211999999985</v>
      </c>
      <c r="AK810">
        <v>1771.2776666666614</v>
      </c>
      <c r="AL810">
        <v>1720.3433333333232</v>
      </c>
      <c r="AM810">
        <v>1669.4089999999851</v>
      </c>
      <c r="AN810">
        <v>1618.4746666666615</v>
      </c>
      <c r="AO810">
        <v>1567.5403333333234</v>
      </c>
      <c r="AP810">
        <v>1516.6059999999852</v>
      </c>
      <c r="AQ810">
        <v>1465.6716666666616</v>
      </c>
      <c r="AR810">
        <v>1414.7373333333235</v>
      </c>
      <c r="AS810">
        <v>1363.8029999999853</v>
      </c>
      <c r="AT810">
        <v>1312.8686666666617</v>
      </c>
      <c r="AU810">
        <v>1261.9343333333236</v>
      </c>
      <c r="AV810">
        <v>1210.9999999999854</v>
      </c>
      <c r="AW810">
        <v>1160.0656666666619</v>
      </c>
      <c r="AX810">
        <v>1109.1313333333237</v>
      </c>
      <c r="AY810">
        <v>1058.1969999999856</v>
      </c>
      <c r="AZ810">
        <v>1007.262666666662</v>
      </c>
      <c r="BA810">
        <v>956.32833333332383</v>
      </c>
      <c r="BB810">
        <v>905.39399999998568</v>
      </c>
      <c r="BC810">
        <v>854.45966666666209</v>
      </c>
      <c r="BD810">
        <v>803.52533333332394</v>
      </c>
      <c r="BE810">
        <v>752.5909999999858</v>
      </c>
      <c r="BF810">
        <v>701.6566666666622</v>
      </c>
      <c r="BG810">
        <v>650.72233333332406</v>
      </c>
      <c r="BH810">
        <v>599.78799999998591</v>
      </c>
      <c r="BI810">
        <v>548.85366666664777</v>
      </c>
      <c r="BJ810">
        <v>497.91933333332418</v>
      </c>
      <c r="BK810">
        <v>446.98499999998603</v>
      </c>
      <c r="BL810">
        <v>396.05066666664788</v>
      </c>
      <c r="BM810">
        <v>345.11633333332429</v>
      </c>
      <c r="BN810">
        <v>294.18199999998615</v>
      </c>
      <c r="BO810">
        <v>243.247666666648</v>
      </c>
      <c r="BP810">
        <v>192.31333333332441</v>
      </c>
      <c r="BQ810">
        <v>141.37899999998626</v>
      </c>
      <c r="BR810">
        <v>90.444666666648118</v>
      </c>
      <c r="BS810">
        <v>39.510333333324525</v>
      </c>
      <c r="BT810">
        <v>90.444666666652964</v>
      </c>
      <c r="BU810">
        <v>73.466555555541859</v>
      </c>
      <c r="BV810">
        <v>67.807185185173111</v>
      </c>
      <c r="BW810">
        <v>77.239469135789307</v>
      </c>
      <c r="BX810">
        <v>72.837736625501421</v>
      </c>
      <c r="BY810">
        <v>72.628130315487951</v>
      </c>
      <c r="BZ810">
        <v>74.235112025592898</v>
      </c>
      <c r="CA810">
        <v>73.233659655527433</v>
      </c>
      <c r="CB810">
        <v>73.365633998869427</v>
      </c>
      <c r="CC810">
        <v>73.611468559996581</v>
      </c>
      <c r="CD810">
        <v>73.403587404797818</v>
      </c>
      <c r="CE810">
        <v>73.460229987887942</v>
      </c>
      <c r="CF810">
        <v>73.491761984227438</v>
      </c>
      <c r="CG810">
        <v>73.45185979230439</v>
      </c>
      <c r="CH810">
        <v>73.467950588139914</v>
      </c>
      <c r="CI810">
        <v>73.470524121557233</v>
      </c>
      <c r="CJ810">
        <v>73.463444834000498</v>
      </c>
      <c r="CK810">
        <v>73.467306514565891</v>
      </c>
      <c r="CL810">
        <v>73.467091823374531</v>
      </c>
      <c r="CM810">
        <v>73.465947723980307</v>
      </c>
      <c r="CN810">
        <v>73.466782020640252</v>
      </c>
    </row>
    <row r="811" spans="1:92" x14ac:dyDescent="0.25">
      <c r="A811" s="44"/>
    </row>
    <row r="812" spans="1:92" x14ac:dyDescent="0.25">
      <c r="A812" s="99" t="s">
        <v>318</v>
      </c>
      <c r="B812" s="4">
        <v>0</v>
      </c>
      <c r="C812" s="4">
        <v>0</v>
      </c>
      <c r="D812" s="4">
        <v>0</v>
      </c>
      <c r="E812" s="4">
        <v>0</v>
      </c>
      <c r="F812" s="4">
        <v>0</v>
      </c>
      <c r="G812" s="4">
        <v>0</v>
      </c>
      <c r="H812" s="4">
        <v>0</v>
      </c>
      <c r="I812" s="4">
        <v>0</v>
      </c>
      <c r="J812" s="4">
        <v>0</v>
      </c>
      <c r="K812" s="4">
        <v>0</v>
      </c>
      <c r="L812" s="4">
        <v>0</v>
      </c>
      <c r="M812" s="4">
        <v>0</v>
      </c>
      <c r="N812" s="4">
        <v>0</v>
      </c>
      <c r="O812" s="4">
        <v>0</v>
      </c>
      <c r="P812" s="4">
        <v>0</v>
      </c>
      <c r="Q812" s="4">
        <v>0</v>
      </c>
      <c r="R812" s="4">
        <v>0</v>
      </c>
      <c r="S812" s="4">
        <v>0</v>
      </c>
      <c r="T812" s="4">
        <v>0</v>
      </c>
      <c r="U812" s="4">
        <v>0</v>
      </c>
      <c r="V812" s="4">
        <v>0</v>
      </c>
      <c r="W812" s="4">
        <v>0</v>
      </c>
      <c r="X812" s="4">
        <v>0</v>
      </c>
      <c r="Y812" s="4">
        <v>0</v>
      </c>
      <c r="Z812" s="4">
        <v>0</v>
      </c>
      <c r="AA812" s="4">
        <v>0</v>
      </c>
      <c r="AB812" s="4">
        <v>0</v>
      </c>
      <c r="AC812" s="4">
        <v>0</v>
      </c>
      <c r="AD812" s="4">
        <v>0</v>
      </c>
      <c r="AE812" s="4">
        <v>0</v>
      </c>
      <c r="AF812">
        <v>3177.3306666666667</v>
      </c>
      <c r="AG812">
        <v>3184.8099999999995</v>
      </c>
      <c r="AH812">
        <v>3192.2893333333341</v>
      </c>
      <c r="AI812">
        <v>3199.7686666666668</v>
      </c>
      <c r="AJ812">
        <v>3207.2479999999996</v>
      </c>
      <c r="AK812">
        <v>3214.7273333333342</v>
      </c>
      <c r="AL812">
        <v>3222.2066666666669</v>
      </c>
      <c r="AM812">
        <v>3229.6859999999997</v>
      </c>
      <c r="AN812">
        <v>3237.1653333333325</v>
      </c>
      <c r="AO812">
        <v>3244.644666666667</v>
      </c>
      <c r="AP812">
        <v>3252.1239999999998</v>
      </c>
      <c r="AQ812">
        <v>3259.6033333333326</v>
      </c>
      <c r="AR812">
        <v>3267.0826666666671</v>
      </c>
      <c r="AS812">
        <v>3274.5619999999999</v>
      </c>
      <c r="AT812">
        <v>3282.0413333333327</v>
      </c>
      <c r="AU812">
        <v>3289.5206666666654</v>
      </c>
      <c r="AV812">
        <v>3297</v>
      </c>
      <c r="AW812">
        <v>3304.4793333333328</v>
      </c>
      <c r="AX812">
        <v>3311.9586666666655</v>
      </c>
      <c r="AY812">
        <v>3319.4380000000001</v>
      </c>
      <c r="AZ812">
        <v>3326.9173333333329</v>
      </c>
      <c r="BA812">
        <v>3334.3966666666656</v>
      </c>
      <c r="BB812">
        <v>3341.8760000000002</v>
      </c>
      <c r="BC812">
        <v>3349.355333333333</v>
      </c>
      <c r="BD812">
        <v>3356.8346666666657</v>
      </c>
      <c r="BE812">
        <v>3364.3139999999985</v>
      </c>
      <c r="BF812">
        <v>3371.7933333333331</v>
      </c>
      <c r="BG812">
        <v>3379.2726666666658</v>
      </c>
      <c r="BH812">
        <v>3386.7519999999986</v>
      </c>
      <c r="BI812">
        <v>3394.2313333333332</v>
      </c>
      <c r="BJ812">
        <v>3401.7106666666659</v>
      </c>
      <c r="BK812">
        <v>3409.1899999999987</v>
      </c>
      <c r="BL812">
        <v>3416.6693333333315</v>
      </c>
      <c r="BM812">
        <v>3424.148666666666</v>
      </c>
      <c r="BN812">
        <v>3431.6279999999988</v>
      </c>
      <c r="BO812">
        <v>3439.1073333333316</v>
      </c>
      <c r="BP812">
        <v>3446.5866666666661</v>
      </c>
      <c r="BQ812">
        <v>3454.0659999999989</v>
      </c>
      <c r="BR812">
        <v>3461.5453333333317</v>
      </c>
      <c r="BS812">
        <v>3469.0246666666644</v>
      </c>
      <c r="BT812">
        <v>3476.503999999999</v>
      </c>
      <c r="BU812">
        <v>3483.9833333333318</v>
      </c>
      <c r="BV812">
        <v>3491.4626666666645</v>
      </c>
      <c r="BW812">
        <v>3498.9419999999991</v>
      </c>
      <c r="BX812">
        <v>3506.4213333333319</v>
      </c>
      <c r="BY812">
        <v>3513.9006666666646</v>
      </c>
      <c r="BZ812">
        <v>3521.3799999999992</v>
      </c>
      <c r="CA812">
        <v>3528.859333333332</v>
      </c>
      <c r="CB812">
        <v>3536.3386666666647</v>
      </c>
      <c r="CC812">
        <v>3543.8179999999975</v>
      </c>
      <c r="CD812">
        <v>3551.2973333333321</v>
      </c>
      <c r="CE812">
        <v>3558.7766666666648</v>
      </c>
      <c r="CF812">
        <v>3566.2559999999976</v>
      </c>
      <c r="CG812">
        <v>3573.7353333333322</v>
      </c>
      <c r="CH812">
        <v>3581.2146666666649</v>
      </c>
      <c r="CI812">
        <v>3588.6939999999977</v>
      </c>
      <c r="CJ812">
        <v>3596.1733333333304</v>
      </c>
      <c r="CK812">
        <v>3603.652666666665</v>
      </c>
      <c r="CL812">
        <v>3611.1319999999978</v>
      </c>
      <c r="CM812">
        <v>3618.6113333333305</v>
      </c>
      <c r="CN812">
        <v>3626.0906666666651</v>
      </c>
    </row>
    <row r="813" spans="1:92" x14ac:dyDescent="0.25">
      <c r="A813" s="99"/>
    </row>
    <row r="814" spans="1:92" s="50" customFormat="1" x14ac:dyDescent="0.25">
      <c r="A814" s="99" t="s">
        <v>319</v>
      </c>
      <c r="B814" s="4">
        <v>0</v>
      </c>
      <c r="C814" s="4">
        <v>0</v>
      </c>
      <c r="D814" s="4">
        <v>0</v>
      </c>
      <c r="E814" s="4">
        <v>0</v>
      </c>
      <c r="F814" s="4">
        <v>0</v>
      </c>
      <c r="G814" s="4">
        <v>0</v>
      </c>
      <c r="H814" s="4">
        <v>0</v>
      </c>
      <c r="I814" s="4">
        <v>0</v>
      </c>
      <c r="J814" s="4">
        <v>0</v>
      </c>
      <c r="K814" s="4">
        <v>0</v>
      </c>
      <c r="L814" s="4">
        <v>0</v>
      </c>
      <c r="M814" s="4">
        <v>0</v>
      </c>
      <c r="N814" s="4">
        <v>0</v>
      </c>
      <c r="O814" s="4">
        <v>0</v>
      </c>
      <c r="P814" s="4">
        <v>0</v>
      </c>
      <c r="Q814" s="4">
        <v>0</v>
      </c>
      <c r="R814" s="4">
        <v>0</v>
      </c>
      <c r="S814" s="4">
        <v>0</v>
      </c>
      <c r="T814" s="4">
        <v>0</v>
      </c>
      <c r="U814" s="4">
        <v>0</v>
      </c>
      <c r="V814" s="4">
        <v>0</v>
      </c>
      <c r="W814" s="4">
        <v>0</v>
      </c>
      <c r="X814" s="4">
        <v>0</v>
      </c>
      <c r="Y814" s="4">
        <v>0</v>
      </c>
      <c r="Z814" s="4">
        <v>0</v>
      </c>
      <c r="AA814" s="4">
        <v>0</v>
      </c>
      <c r="AB814" s="4">
        <v>0</v>
      </c>
      <c r="AC814" s="4">
        <v>0</v>
      </c>
      <c r="AD814" s="4">
        <v>0</v>
      </c>
      <c r="AE814" s="4">
        <v>0</v>
      </c>
      <c r="AF814" s="50">
        <v>712.23259199605036</v>
      </c>
      <c r="AG814" s="50">
        <v>711.08244151162671</v>
      </c>
      <c r="AH814" s="50">
        <v>709.93229102720306</v>
      </c>
      <c r="AI814" s="50">
        <v>708.78214054277942</v>
      </c>
      <c r="AJ814" s="50">
        <v>707.63199005835577</v>
      </c>
      <c r="AK814" s="50">
        <v>706.48183957393212</v>
      </c>
      <c r="AL814" s="50">
        <v>705.33168908950847</v>
      </c>
      <c r="AM814" s="50">
        <v>704.18153860508482</v>
      </c>
      <c r="AN814" s="50">
        <v>703.03138812066118</v>
      </c>
      <c r="AO814" s="50">
        <v>701.88123763623753</v>
      </c>
      <c r="AP814" s="50">
        <v>700.73108715181388</v>
      </c>
      <c r="AQ814" s="50">
        <v>699.58093666739023</v>
      </c>
      <c r="AR814" s="50">
        <v>698.43078618296659</v>
      </c>
      <c r="AS814" s="50">
        <v>697.28063569854294</v>
      </c>
      <c r="AT814" s="50">
        <v>696.13048521411929</v>
      </c>
      <c r="AU814" s="50">
        <v>694.98033472969564</v>
      </c>
      <c r="AV814" s="50">
        <v>693.83018424527199</v>
      </c>
      <c r="AW814" s="50">
        <v>692.68003376084835</v>
      </c>
      <c r="AX814" s="50">
        <v>691.5298832764247</v>
      </c>
      <c r="AY814" s="50">
        <v>690.37973279200105</v>
      </c>
      <c r="AZ814" s="50">
        <v>689.2295823075774</v>
      </c>
      <c r="BA814" s="50">
        <v>688.07943182315375</v>
      </c>
      <c r="BB814" s="50">
        <v>686.92928133873011</v>
      </c>
      <c r="BC814" s="50">
        <v>685.77913085430646</v>
      </c>
      <c r="BD814" s="50">
        <v>684.62898036988281</v>
      </c>
      <c r="BE814" s="50">
        <v>683.47882988545916</v>
      </c>
      <c r="BF814" s="50">
        <v>682.32867940103552</v>
      </c>
      <c r="BG814" s="50">
        <v>681.17852891661187</v>
      </c>
      <c r="BH814" s="50">
        <v>680.02837843218822</v>
      </c>
      <c r="BI814" s="50">
        <v>678.87822794776457</v>
      </c>
      <c r="BJ814" s="50">
        <v>677.72807746334092</v>
      </c>
      <c r="BK814" s="50">
        <v>676.57792697891728</v>
      </c>
      <c r="BL814" s="50">
        <v>675.42777649449363</v>
      </c>
      <c r="BM814" s="50">
        <v>674.27762601006998</v>
      </c>
      <c r="BN814" s="50">
        <v>673.12747552564633</v>
      </c>
      <c r="BO814" s="50">
        <v>671.97732504122268</v>
      </c>
      <c r="BP814" s="50">
        <v>670.82717455679904</v>
      </c>
      <c r="BQ814" s="50">
        <v>669.67702407237539</v>
      </c>
      <c r="BR814" s="50">
        <v>668.52687358795174</v>
      </c>
      <c r="BS814" s="50">
        <v>667.37672310352809</v>
      </c>
      <c r="BT814" s="50">
        <v>666.22657261910445</v>
      </c>
      <c r="BU814" s="50">
        <v>665.0764221346808</v>
      </c>
      <c r="BV814" s="50">
        <v>663.92627165025715</v>
      </c>
      <c r="BW814" s="50">
        <v>662.7761211658335</v>
      </c>
      <c r="BX814" s="50">
        <v>661.62597068140985</v>
      </c>
      <c r="BY814" s="50">
        <v>660.47582019698621</v>
      </c>
      <c r="BZ814" s="50">
        <v>659.32566971256256</v>
      </c>
      <c r="CA814" s="50">
        <v>658.17551922813891</v>
      </c>
      <c r="CB814" s="50">
        <v>657.02536874371526</v>
      </c>
      <c r="CC814" s="50">
        <v>655.87521825929161</v>
      </c>
      <c r="CD814" s="50">
        <v>654.72506777486797</v>
      </c>
      <c r="CE814" s="50">
        <v>653.57491729044432</v>
      </c>
      <c r="CF814" s="50">
        <v>652.42476680602067</v>
      </c>
      <c r="CG814" s="50">
        <v>651.27461632159702</v>
      </c>
      <c r="CH814" s="50">
        <v>650.12446583717337</v>
      </c>
      <c r="CI814" s="50">
        <v>648.97431535274973</v>
      </c>
      <c r="CJ814" s="50">
        <v>647.82416486832608</v>
      </c>
      <c r="CK814" s="50">
        <v>646.67401438390243</v>
      </c>
      <c r="CL814" s="50">
        <v>645.52386389947878</v>
      </c>
      <c r="CM814" s="50">
        <v>644.37371341505514</v>
      </c>
      <c r="CN814" s="50">
        <v>643.22356293063149</v>
      </c>
    </row>
    <row r="815" spans="1:92" s="50" customFormat="1" x14ac:dyDescent="0.25">
      <c r="A815" s="9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92" x14ac:dyDescent="0.25">
      <c r="A816" s="99" t="s">
        <v>320</v>
      </c>
      <c r="B816" s="4">
        <v>0</v>
      </c>
      <c r="C816" s="4">
        <v>0</v>
      </c>
      <c r="D816" s="4">
        <v>0</v>
      </c>
      <c r="E816" s="4">
        <v>0</v>
      </c>
      <c r="F816" s="4">
        <v>0</v>
      </c>
      <c r="G816" s="4">
        <v>0</v>
      </c>
      <c r="H816" s="4">
        <v>0</v>
      </c>
      <c r="I816" s="4">
        <v>0</v>
      </c>
      <c r="J816" s="4">
        <v>0</v>
      </c>
      <c r="K816" s="4">
        <v>0</v>
      </c>
      <c r="L816" s="4">
        <v>0</v>
      </c>
      <c r="M816" s="4">
        <v>0</v>
      </c>
      <c r="N816" s="4">
        <v>0</v>
      </c>
      <c r="O816" s="4">
        <v>0</v>
      </c>
      <c r="P816" s="4">
        <v>0</v>
      </c>
      <c r="Q816" s="4">
        <v>0</v>
      </c>
      <c r="R816" s="4">
        <v>0</v>
      </c>
      <c r="S816" s="4">
        <v>0</v>
      </c>
      <c r="T816" s="4">
        <v>0</v>
      </c>
      <c r="U816" s="4">
        <v>0</v>
      </c>
      <c r="V816" s="4">
        <v>0</v>
      </c>
      <c r="W816" s="4">
        <v>0</v>
      </c>
      <c r="X816" s="4">
        <v>0</v>
      </c>
      <c r="Y816" s="4">
        <v>0</v>
      </c>
      <c r="Z816" s="4">
        <v>0</v>
      </c>
      <c r="AA816" s="4">
        <v>0</v>
      </c>
      <c r="AB816" s="4">
        <v>0</v>
      </c>
      <c r="AC816" s="4">
        <v>0</v>
      </c>
      <c r="AD816" s="4">
        <v>0</v>
      </c>
      <c r="AE816" s="4">
        <v>0</v>
      </c>
      <c r="AF816">
        <v>8888.9413333333214</v>
      </c>
      <c r="AG816">
        <v>9001.2574999999779</v>
      </c>
      <c r="AH816">
        <v>9113.5736666666635</v>
      </c>
      <c r="AI816">
        <v>9225.88983333332</v>
      </c>
      <c r="AJ816">
        <v>9338.2059999999765</v>
      </c>
      <c r="AK816">
        <v>9450.5221666666621</v>
      </c>
      <c r="AL816">
        <v>9562.8383333333186</v>
      </c>
      <c r="AM816">
        <v>9675.1544999999751</v>
      </c>
      <c r="AN816">
        <v>9787.4706666666607</v>
      </c>
      <c r="AO816">
        <v>9899.7868333333172</v>
      </c>
      <c r="AP816">
        <v>10012.103000000003</v>
      </c>
      <c r="AQ816">
        <v>10124.419166666659</v>
      </c>
      <c r="AR816">
        <v>10236.735333333316</v>
      </c>
      <c r="AS816">
        <v>10349.051500000001</v>
      </c>
      <c r="AT816">
        <v>10461.367666666658</v>
      </c>
      <c r="AU816">
        <v>10573.683833333314</v>
      </c>
      <c r="AV816">
        <v>10686</v>
      </c>
      <c r="AW816">
        <v>10798.316166666656</v>
      </c>
      <c r="AX816">
        <v>10910.632333333313</v>
      </c>
      <c r="AY816">
        <v>11022.948499999999</v>
      </c>
      <c r="AZ816">
        <v>11135.264666666655</v>
      </c>
      <c r="BA816">
        <v>11247.580833333312</v>
      </c>
      <c r="BB816">
        <v>11359.896999999997</v>
      </c>
      <c r="BC816">
        <v>11472.213166666654</v>
      </c>
      <c r="BD816">
        <v>11584.52933333331</v>
      </c>
      <c r="BE816">
        <v>11696.845499999996</v>
      </c>
      <c r="BF816">
        <v>11809.161666666652</v>
      </c>
      <c r="BG816">
        <v>11921.477833333309</v>
      </c>
      <c r="BH816">
        <v>12033.793999999994</v>
      </c>
      <c r="BI816">
        <v>12146.110166666651</v>
      </c>
      <c r="BJ816">
        <v>12258.426333333307</v>
      </c>
      <c r="BK816">
        <v>12370.742499999993</v>
      </c>
      <c r="BL816">
        <v>12483.05866666665</v>
      </c>
      <c r="BM816">
        <v>12595.374833333306</v>
      </c>
      <c r="BN816">
        <v>12707.690999999992</v>
      </c>
      <c r="BO816">
        <v>12820.007166666648</v>
      </c>
      <c r="BP816">
        <v>12932.323333333305</v>
      </c>
      <c r="BQ816">
        <v>13044.63949999999</v>
      </c>
      <c r="BR816">
        <v>13156.955666666647</v>
      </c>
      <c r="BS816">
        <v>13269.271833333303</v>
      </c>
      <c r="BT816">
        <v>13381.587999999989</v>
      </c>
      <c r="BU816">
        <v>13493.904166666645</v>
      </c>
      <c r="BV816">
        <v>13606.220333333302</v>
      </c>
      <c r="BW816">
        <v>13718.536499999987</v>
      </c>
      <c r="BX816">
        <v>13830.852666666644</v>
      </c>
      <c r="BY816">
        <v>13943.16883333333</v>
      </c>
      <c r="BZ816">
        <v>14055.484999999986</v>
      </c>
      <c r="CA816">
        <v>14167.801166666643</v>
      </c>
      <c r="CB816">
        <v>14280.117333333328</v>
      </c>
      <c r="CC816">
        <v>14392.433499999985</v>
      </c>
      <c r="CD816">
        <v>14504.749666666641</v>
      </c>
      <c r="CE816">
        <v>14617.065833333327</v>
      </c>
      <c r="CF816">
        <v>14729.381999999983</v>
      </c>
      <c r="CG816">
        <v>14841.69816666664</v>
      </c>
      <c r="CH816">
        <v>14954.014333333325</v>
      </c>
      <c r="CI816">
        <v>15066.330499999982</v>
      </c>
      <c r="CJ816">
        <v>15178.646666666638</v>
      </c>
      <c r="CK816">
        <v>15290.962833333324</v>
      </c>
      <c r="CL816">
        <v>15403.27899999998</v>
      </c>
      <c r="CM816">
        <v>15515.595166666637</v>
      </c>
      <c r="CN816">
        <v>15627.911333333323</v>
      </c>
    </row>
    <row r="817" spans="1:92" s="44" customFormat="1" x14ac:dyDescent="0.25">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92" s="50" customFormat="1" x14ac:dyDescent="0.25">
      <c r="A818" s="99" t="s">
        <v>321</v>
      </c>
      <c r="B818" s="4">
        <v>0</v>
      </c>
      <c r="C818" s="4">
        <v>0</v>
      </c>
      <c r="D818" s="4">
        <v>0</v>
      </c>
      <c r="E818" s="4">
        <v>0</v>
      </c>
      <c r="F818" s="4">
        <v>0</v>
      </c>
      <c r="G818" s="4">
        <v>0</v>
      </c>
      <c r="H818" s="4">
        <v>0</v>
      </c>
      <c r="I818" s="4">
        <v>0</v>
      </c>
      <c r="J818" s="4">
        <v>0</v>
      </c>
      <c r="K818" s="4">
        <v>0</v>
      </c>
      <c r="L818" s="4">
        <v>0</v>
      </c>
      <c r="M818" s="4">
        <v>0</v>
      </c>
      <c r="N818" s="4">
        <v>0</v>
      </c>
      <c r="O818" s="4">
        <v>0</v>
      </c>
      <c r="P818" s="4">
        <v>0</v>
      </c>
      <c r="Q818" s="4">
        <v>0</v>
      </c>
      <c r="R818" s="4">
        <v>0</v>
      </c>
      <c r="S818" s="4">
        <v>0</v>
      </c>
      <c r="T818" s="4">
        <v>0</v>
      </c>
      <c r="U818" s="4">
        <v>0</v>
      </c>
      <c r="V818" s="4">
        <v>0</v>
      </c>
      <c r="W818" s="4">
        <v>0</v>
      </c>
      <c r="X818" s="4">
        <v>0</v>
      </c>
      <c r="Y818" s="4">
        <v>0</v>
      </c>
      <c r="Z818" s="4">
        <v>0</v>
      </c>
      <c r="AA818" s="4">
        <v>0</v>
      </c>
      <c r="AB818" s="4">
        <v>0</v>
      </c>
      <c r="AC818" s="4">
        <v>0</v>
      </c>
      <c r="AD818" s="4">
        <v>0</v>
      </c>
      <c r="AE818" s="4">
        <v>0</v>
      </c>
      <c r="AF818" s="50">
        <v>18001.862074670622</v>
      </c>
      <c r="AG818" s="50">
        <v>17972.791725155046</v>
      </c>
      <c r="AH818" s="50">
        <v>17943.72137563947</v>
      </c>
      <c r="AI818" s="50">
        <v>17914.651026123895</v>
      </c>
      <c r="AJ818" s="50">
        <v>17885.580676608311</v>
      </c>
      <c r="AK818" s="50">
        <v>17856.510327092736</v>
      </c>
      <c r="AL818" s="50">
        <v>17827.43997757716</v>
      </c>
      <c r="AM818" s="50">
        <v>17798.369628061584</v>
      </c>
      <c r="AN818" s="50">
        <v>17769.299278546008</v>
      </c>
      <c r="AO818" s="50">
        <v>17740.228929030432</v>
      </c>
      <c r="AP818" s="50">
        <v>17711.158579514857</v>
      </c>
      <c r="AQ818" s="50">
        <v>17682.088229999281</v>
      </c>
      <c r="AR818" s="50">
        <v>17653.017880483705</v>
      </c>
      <c r="AS818" s="50">
        <v>17623.947530968129</v>
      </c>
      <c r="AT818" s="50">
        <v>17594.877181452553</v>
      </c>
      <c r="AU818" s="50">
        <v>17565.806831936978</v>
      </c>
      <c r="AV818" s="50">
        <v>17536.736482421395</v>
      </c>
      <c r="AW818" s="50">
        <v>17507.666132905819</v>
      </c>
      <c r="AX818" s="50">
        <v>17478.595783390243</v>
      </c>
      <c r="AY818" s="50">
        <v>17449.525433874667</v>
      </c>
      <c r="AZ818" s="50">
        <v>17420.455084359091</v>
      </c>
      <c r="BA818" s="50">
        <v>17391.384734843516</v>
      </c>
      <c r="BB818" s="50">
        <v>17362.31438532794</v>
      </c>
      <c r="BC818" s="50">
        <v>17333.244035812364</v>
      </c>
      <c r="BD818" s="50">
        <v>17304.173686296788</v>
      </c>
      <c r="BE818" s="50">
        <v>17275.103336781212</v>
      </c>
      <c r="BF818" s="50">
        <v>17246.032987265637</v>
      </c>
      <c r="BG818" s="50">
        <v>17216.962637750061</v>
      </c>
      <c r="BH818" s="50">
        <v>17187.892288234478</v>
      </c>
      <c r="BI818" s="50">
        <v>17158.821938718902</v>
      </c>
      <c r="BJ818" s="50">
        <v>17129.751589203326</v>
      </c>
      <c r="BK818" s="50">
        <v>17100.68123968775</v>
      </c>
      <c r="BL818" s="50">
        <v>17071.610890172175</v>
      </c>
      <c r="BM818" s="50">
        <v>17042.540540656599</v>
      </c>
      <c r="BN818" s="50">
        <v>17013.470191141023</v>
      </c>
      <c r="BO818" s="50">
        <v>16984.399841625447</v>
      </c>
      <c r="BP818" s="50">
        <v>16955.329492109871</v>
      </c>
      <c r="BQ818" s="50">
        <v>16926.259142594296</v>
      </c>
      <c r="BR818" s="50">
        <v>16897.18879307872</v>
      </c>
      <c r="BS818" s="50">
        <v>16868.118443563144</v>
      </c>
      <c r="BT818" s="50">
        <v>16839.048094047561</v>
      </c>
      <c r="BU818" s="50">
        <v>16809.977744531985</v>
      </c>
      <c r="BV818" s="50">
        <v>16780.907395016409</v>
      </c>
      <c r="BW818" s="50">
        <v>16751.837045500833</v>
      </c>
      <c r="BX818" s="50">
        <v>16722.766695985258</v>
      </c>
      <c r="BY818" s="50">
        <v>16693.696346469682</v>
      </c>
      <c r="BZ818" s="50">
        <v>16664.625996954106</v>
      </c>
      <c r="CA818" s="50">
        <v>16635.55564743853</v>
      </c>
      <c r="CB818" s="50">
        <v>16606.485297922954</v>
      </c>
      <c r="CC818" s="50">
        <v>16577.414948407379</v>
      </c>
      <c r="CD818" s="50">
        <v>16548.344598891803</v>
      </c>
      <c r="CE818" s="50">
        <v>16519.274249376227</v>
      </c>
      <c r="CF818" s="50">
        <v>16490.203899860644</v>
      </c>
      <c r="CG818" s="50">
        <v>16461.133550345068</v>
      </c>
      <c r="CH818" s="50">
        <v>16432.063200829492</v>
      </c>
      <c r="CI818" s="50">
        <v>16402.992851313917</v>
      </c>
      <c r="CJ818" s="50">
        <v>16373.922501798341</v>
      </c>
      <c r="CK818" s="50">
        <v>16344.852152282765</v>
      </c>
      <c r="CL818" s="50">
        <v>16315.781802767189</v>
      </c>
      <c r="CM818" s="50">
        <v>16286.711453251613</v>
      </c>
      <c r="CN818" s="50">
        <v>16257.641103736038</v>
      </c>
    </row>
    <row r="819" spans="1:92" s="44" customFormat="1" x14ac:dyDescent="0.25">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92" x14ac:dyDescent="0.25">
      <c r="A820" s="99" t="s">
        <v>322</v>
      </c>
      <c r="B820" s="4">
        <v>0</v>
      </c>
      <c r="C820" s="4">
        <v>0</v>
      </c>
      <c r="D820" s="4">
        <v>0</v>
      </c>
      <c r="E820" s="4">
        <v>0</v>
      </c>
      <c r="F820" s="4">
        <v>0</v>
      </c>
      <c r="G820" s="4">
        <v>0</v>
      </c>
      <c r="H820" s="4">
        <v>0</v>
      </c>
      <c r="I820" s="4">
        <v>0</v>
      </c>
      <c r="J820" s="4">
        <v>0</v>
      </c>
      <c r="K820" s="4">
        <v>0</v>
      </c>
      <c r="L820" s="4">
        <v>0</v>
      </c>
      <c r="M820" s="4">
        <v>0</v>
      </c>
      <c r="N820" s="4">
        <v>0</v>
      </c>
      <c r="O820" s="4">
        <v>0</v>
      </c>
      <c r="P820" s="4">
        <v>0</v>
      </c>
      <c r="Q820" s="4">
        <v>0</v>
      </c>
      <c r="R820" s="4">
        <v>0</v>
      </c>
      <c r="S820" s="4">
        <v>0</v>
      </c>
      <c r="T820" s="4">
        <v>0</v>
      </c>
      <c r="U820" s="4">
        <v>0</v>
      </c>
      <c r="V820" s="4">
        <v>0</v>
      </c>
      <c r="W820" s="4">
        <v>0</v>
      </c>
      <c r="X820" s="4">
        <v>0</v>
      </c>
      <c r="Y820" s="4">
        <v>0</v>
      </c>
      <c r="Z820" s="4">
        <v>0</v>
      </c>
      <c r="AA820" s="4">
        <v>0</v>
      </c>
      <c r="AB820" s="4">
        <v>0</v>
      </c>
      <c r="AC820" s="4">
        <v>0</v>
      </c>
      <c r="AD820" s="4">
        <v>0</v>
      </c>
      <c r="AE820" s="4">
        <v>0</v>
      </c>
      <c r="AF820">
        <v>319.32666666666682</v>
      </c>
      <c r="AG820">
        <v>317.93333333333339</v>
      </c>
      <c r="AH820">
        <v>316.54000000000042</v>
      </c>
      <c r="AI820">
        <v>315.14666666666699</v>
      </c>
      <c r="AJ820">
        <v>313.75333333333356</v>
      </c>
      <c r="AK820">
        <v>312.36000000000013</v>
      </c>
      <c r="AL820">
        <v>310.9666666666667</v>
      </c>
      <c r="AM820">
        <v>309.57333333333327</v>
      </c>
      <c r="AN820">
        <v>308.18000000000029</v>
      </c>
      <c r="AO820">
        <v>306.78666666666686</v>
      </c>
      <c r="AP820">
        <v>305.39333333333343</v>
      </c>
      <c r="AQ820">
        <v>304</v>
      </c>
      <c r="AR820">
        <v>302.60666666666657</v>
      </c>
      <c r="AS820">
        <v>301.21333333333359</v>
      </c>
      <c r="AT820">
        <v>299.82000000000016</v>
      </c>
      <c r="AU820">
        <v>298.42666666666673</v>
      </c>
      <c r="AV820">
        <v>297.0333333333333</v>
      </c>
      <c r="AW820">
        <v>295.63999999999987</v>
      </c>
      <c r="AX820">
        <v>294.24666666666644</v>
      </c>
      <c r="AY820">
        <v>292.85333333333347</v>
      </c>
      <c r="AZ820">
        <v>291.46000000000004</v>
      </c>
      <c r="BA820">
        <v>290.06666666666661</v>
      </c>
      <c r="BB820">
        <v>288.67333333333318</v>
      </c>
      <c r="BC820">
        <v>287.27999999999975</v>
      </c>
      <c r="BD820">
        <v>285.88666666666677</v>
      </c>
      <c r="BE820">
        <v>284.49333333333334</v>
      </c>
      <c r="BF820">
        <v>283.09999999999991</v>
      </c>
      <c r="BG820">
        <v>281.70666666666648</v>
      </c>
      <c r="BH820">
        <v>280.31333333333305</v>
      </c>
      <c r="BI820">
        <v>278.92000000000007</v>
      </c>
      <c r="BJ820">
        <v>277.52666666666664</v>
      </c>
      <c r="BK820">
        <v>276.13333333333321</v>
      </c>
      <c r="BL820">
        <v>274.73999999999978</v>
      </c>
      <c r="BM820">
        <v>273.34666666666635</v>
      </c>
      <c r="BN820">
        <v>271.95333333333338</v>
      </c>
      <c r="BO820">
        <v>270.55999999999995</v>
      </c>
      <c r="BP820">
        <v>269.16666666666652</v>
      </c>
      <c r="BQ820">
        <v>267.77333333333308</v>
      </c>
      <c r="BR820">
        <v>266.37999999999965</v>
      </c>
      <c r="BS820">
        <v>264.98666666666622</v>
      </c>
      <c r="BT820">
        <v>263.59333333333325</v>
      </c>
      <c r="BU820">
        <v>262.19999999999982</v>
      </c>
      <c r="BV820">
        <v>260.80666666666639</v>
      </c>
      <c r="BW820">
        <v>259.41333333333296</v>
      </c>
      <c r="BX820">
        <v>258.01999999999953</v>
      </c>
      <c r="BY820">
        <v>256.62666666666655</v>
      </c>
      <c r="BZ820">
        <v>255.23333333333312</v>
      </c>
      <c r="CA820">
        <v>253.83999999999969</v>
      </c>
      <c r="CB820">
        <v>252.44666666666626</v>
      </c>
      <c r="CC820">
        <v>251.05333333333283</v>
      </c>
      <c r="CD820">
        <v>249.6599999999994</v>
      </c>
      <c r="CE820">
        <v>248.26666666666642</v>
      </c>
      <c r="CF820">
        <v>246.87333333333299</v>
      </c>
      <c r="CG820">
        <v>245.47999999999956</v>
      </c>
      <c r="CH820">
        <v>244.08666666666613</v>
      </c>
      <c r="CI820">
        <v>242.6933333333327</v>
      </c>
      <c r="CJ820">
        <v>241.29999999999973</v>
      </c>
      <c r="CK820">
        <v>239.9066666666663</v>
      </c>
      <c r="CL820">
        <v>238.51333333333287</v>
      </c>
      <c r="CM820">
        <v>237.11999999999944</v>
      </c>
      <c r="CN820">
        <v>235.72666666666601</v>
      </c>
    </row>
    <row r="821" spans="1:92" x14ac:dyDescent="0.25">
      <c r="A821" s="99" t="s">
        <v>1</v>
      </c>
      <c r="B821" s="4">
        <v>0</v>
      </c>
      <c r="C821" s="4">
        <v>0</v>
      </c>
      <c r="D821" s="4">
        <v>0</v>
      </c>
      <c r="E821" s="4">
        <v>0</v>
      </c>
      <c r="F821" s="4">
        <v>0</v>
      </c>
      <c r="G821" s="4">
        <v>0</v>
      </c>
      <c r="H821" s="4">
        <v>0</v>
      </c>
      <c r="I821" s="4">
        <v>0</v>
      </c>
      <c r="J821" s="4">
        <v>0</v>
      </c>
      <c r="K821" s="4">
        <v>0</v>
      </c>
      <c r="L821" s="4">
        <v>0</v>
      </c>
      <c r="M821" s="4">
        <v>0</v>
      </c>
      <c r="N821" s="4">
        <v>0</v>
      </c>
      <c r="O821" s="4">
        <v>0</v>
      </c>
      <c r="P821" s="4">
        <v>0</v>
      </c>
      <c r="Q821" s="4">
        <v>0</v>
      </c>
      <c r="R821" s="4">
        <v>0</v>
      </c>
      <c r="S821" s="4">
        <v>0</v>
      </c>
      <c r="T821" s="4">
        <v>0</v>
      </c>
      <c r="U821" s="4">
        <v>0</v>
      </c>
      <c r="V821" s="4">
        <v>0</v>
      </c>
      <c r="W821" s="4">
        <v>0</v>
      </c>
      <c r="X821" s="4">
        <v>0</v>
      </c>
      <c r="Y821" s="4">
        <v>0</v>
      </c>
      <c r="Z821" s="4">
        <v>0</v>
      </c>
      <c r="AA821" s="4">
        <v>0</v>
      </c>
      <c r="AB821" s="4">
        <v>0</v>
      </c>
      <c r="AC821" s="4">
        <v>0</v>
      </c>
      <c r="AD821" s="4">
        <v>0</v>
      </c>
      <c r="AE821" s="4">
        <v>0</v>
      </c>
      <c r="AF821">
        <v>52.799999999999272</v>
      </c>
      <c r="AG821">
        <v>60.691666666665697</v>
      </c>
      <c r="AH821">
        <v>68.58333333333394</v>
      </c>
      <c r="AI821">
        <v>76.475000000000364</v>
      </c>
      <c r="AJ821">
        <v>84.366666666666788</v>
      </c>
      <c r="AK821">
        <v>92.258333333333212</v>
      </c>
      <c r="AL821">
        <v>100.14999999999964</v>
      </c>
      <c r="AM821">
        <v>108.04166666666606</v>
      </c>
      <c r="AN821">
        <v>115.93333333333248</v>
      </c>
      <c r="AO821">
        <v>123.82499999999891</v>
      </c>
      <c r="AP821">
        <v>131.71666666666715</v>
      </c>
      <c r="AQ821">
        <v>139.60833333333358</v>
      </c>
      <c r="AR821">
        <v>147.5</v>
      </c>
      <c r="AS821">
        <v>155.39166666666642</v>
      </c>
      <c r="AT821">
        <v>163.28333333333285</v>
      </c>
      <c r="AU821">
        <v>171.17499999999927</v>
      </c>
      <c r="AV821">
        <v>179.0666666666657</v>
      </c>
      <c r="AW821">
        <v>186.95833333333394</v>
      </c>
      <c r="AX821">
        <v>194.85000000000036</v>
      </c>
      <c r="AY821">
        <v>202.74166666666679</v>
      </c>
      <c r="AZ821">
        <v>210.63333333333321</v>
      </c>
      <c r="BA821">
        <v>218.52499999999964</v>
      </c>
      <c r="BB821">
        <v>226.41666666666606</v>
      </c>
      <c r="BC821">
        <v>234.30833333333248</v>
      </c>
      <c r="BD821">
        <v>242.19999999999891</v>
      </c>
      <c r="BE821">
        <v>250.09166666666715</v>
      </c>
      <c r="BF821">
        <v>257.98333333333358</v>
      </c>
      <c r="BG821">
        <v>265.875</v>
      </c>
      <c r="BH821">
        <v>273.76666666666642</v>
      </c>
      <c r="BI821">
        <v>281.65833333333285</v>
      </c>
      <c r="BJ821">
        <v>289.54999999999927</v>
      </c>
      <c r="BK821">
        <v>297.4416666666657</v>
      </c>
      <c r="BL821">
        <v>305.33333333333394</v>
      </c>
      <c r="BM821">
        <v>313.22500000000036</v>
      </c>
      <c r="BN821">
        <v>321.11666666666679</v>
      </c>
      <c r="BO821">
        <v>329.00833333333321</v>
      </c>
      <c r="BP821">
        <v>336.89999999999964</v>
      </c>
      <c r="BQ821">
        <v>344.79166666666606</v>
      </c>
      <c r="BR821">
        <v>352.68333333333248</v>
      </c>
      <c r="BS821">
        <v>360.57499999999891</v>
      </c>
      <c r="BT821">
        <v>368.46666666666715</v>
      </c>
      <c r="BU821">
        <v>376.35833333333358</v>
      </c>
      <c r="BV821">
        <v>384.25</v>
      </c>
      <c r="BW821">
        <v>392.14166666666642</v>
      </c>
      <c r="BX821">
        <v>400.03333333333285</v>
      </c>
      <c r="BY821">
        <v>407.92499999999927</v>
      </c>
      <c r="BZ821">
        <v>415.8166666666657</v>
      </c>
      <c r="CA821">
        <v>423.70833333333394</v>
      </c>
      <c r="CB821">
        <v>431.60000000000036</v>
      </c>
      <c r="CC821">
        <v>439.49166666666679</v>
      </c>
      <c r="CD821">
        <v>447.38333333333321</v>
      </c>
      <c r="CE821">
        <v>455.27499999999964</v>
      </c>
      <c r="CF821">
        <v>463.16666666666606</v>
      </c>
      <c r="CG821">
        <v>471.05833333333248</v>
      </c>
      <c r="CH821">
        <v>478.94999999999891</v>
      </c>
      <c r="CI821">
        <v>486.84166666666715</v>
      </c>
      <c r="CJ821">
        <v>494.73333333333358</v>
      </c>
      <c r="CK821">
        <v>502.625</v>
      </c>
      <c r="CL821">
        <v>510.51666666666642</v>
      </c>
      <c r="CM821">
        <v>518.40833333333285</v>
      </c>
      <c r="CN821">
        <v>526.29999999999927</v>
      </c>
    </row>
    <row r="822" spans="1:92" x14ac:dyDescent="0.25">
      <c r="A822" s="99" t="s">
        <v>1</v>
      </c>
      <c r="B822" s="4">
        <v>0</v>
      </c>
      <c r="C822" s="4">
        <v>0</v>
      </c>
      <c r="D822" s="4">
        <v>0</v>
      </c>
      <c r="E822" s="4">
        <v>0</v>
      </c>
      <c r="F822" s="4">
        <v>0</v>
      </c>
      <c r="G822" s="4">
        <v>0</v>
      </c>
      <c r="H822" s="4">
        <v>0</v>
      </c>
      <c r="I822" s="4">
        <v>0</v>
      </c>
      <c r="J822" s="4">
        <v>0</v>
      </c>
      <c r="K822" s="4">
        <v>0</v>
      </c>
      <c r="L822" s="4">
        <v>0</v>
      </c>
      <c r="M822" s="4">
        <v>0</v>
      </c>
      <c r="N822" s="4">
        <v>0</v>
      </c>
      <c r="O822" s="4">
        <v>0</v>
      </c>
      <c r="P822" s="4">
        <v>0</v>
      </c>
      <c r="Q822" s="4">
        <v>0</v>
      </c>
      <c r="R822" s="4">
        <v>0</v>
      </c>
      <c r="S822" s="4">
        <v>0</v>
      </c>
      <c r="T822" s="4">
        <v>0</v>
      </c>
      <c r="U822" s="4">
        <v>0</v>
      </c>
      <c r="V822" s="4">
        <v>0</v>
      </c>
      <c r="W822" s="4">
        <v>0</v>
      </c>
      <c r="X822" s="4">
        <v>0</v>
      </c>
      <c r="Y822" s="4">
        <v>0</v>
      </c>
      <c r="Z822" s="4">
        <v>0</v>
      </c>
      <c r="AA822" s="4">
        <v>0</v>
      </c>
      <c r="AB822" s="4">
        <v>0</v>
      </c>
      <c r="AC822" s="4">
        <v>0</v>
      </c>
      <c r="AD822" s="4">
        <v>0</v>
      </c>
      <c r="AE822" s="4">
        <v>0</v>
      </c>
      <c r="AF822">
        <v>0.9893333333333203</v>
      </c>
      <c r="AG822">
        <v>0.92749999999999488</v>
      </c>
      <c r="AH822">
        <v>0.86566666666665526</v>
      </c>
      <c r="AI822">
        <v>0.80383333333332985</v>
      </c>
      <c r="AJ822">
        <v>0.74199999999999022</v>
      </c>
      <c r="AK822">
        <v>0.68016666666666481</v>
      </c>
      <c r="AL822">
        <v>0.61833333333332519</v>
      </c>
      <c r="AM822">
        <v>0.55649999999998556</v>
      </c>
      <c r="AN822">
        <v>0.49466666666666015</v>
      </c>
      <c r="AO822">
        <v>0.43283333333332052</v>
      </c>
      <c r="AP822">
        <v>0.37099999999999511</v>
      </c>
      <c r="AQ822">
        <v>0.30916666666665549</v>
      </c>
      <c r="AR822">
        <v>0.24733333333333007</v>
      </c>
      <c r="AS822">
        <v>0.18549999999999045</v>
      </c>
      <c r="AT822">
        <v>0.12366666666666504</v>
      </c>
      <c r="AU822">
        <v>0.1854999999999952</v>
      </c>
      <c r="AV822">
        <v>0.16488888888888356</v>
      </c>
      <c r="AW822">
        <v>0.15801851851851459</v>
      </c>
      <c r="AX822">
        <v>0.16946913580246445</v>
      </c>
      <c r="AY822">
        <v>0.16412551440328751</v>
      </c>
      <c r="AZ822">
        <v>0.16387105624142217</v>
      </c>
      <c r="BA822">
        <v>0.16582190214905804</v>
      </c>
      <c r="BB822">
        <v>0.16460615759792255</v>
      </c>
      <c r="BC822">
        <v>0.16476637199613423</v>
      </c>
      <c r="BD822">
        <v>0.16506481058103828</v>
      </c>
      <c r="BE822">
        <v>0.16481244672503167</v>
      </c>
      <c r="BF822">
        <v>0.16488120976740139</v>
      </c>
      <c r="BG822">
        <v>0.16491948902449047</v>
      </c>
      <c r="BH822">
        <v>0.16487104850564119</v>
      </c>
      <c r="BI822">
        <v>0.16489058243251101</v>
      </c>
      <c r="BJ822">
        <v>0.16489370665421421</v>
      </c>
      <c r="BK822">
        <v>0.1648851125307888</v>
      </c>
      <c r="BL822">
        <v>0.16488980053917132</v>
      </c>
      <c r="BM822">
        <v>0.1648895399080581</v>
      </c>
      <c r="BN822">
        <v>0.16488815099267273</v>
      </c>
      <c r="BO822">
        <v>0.16488916381330074</v>
      </c>
      <c r="BP822">
        <v>0.16488895157134387</v>
      </c>
      <c r="BQ822">
        <v>0.16488875545910578</v>
      </c>
      <c r="BR822">
        <v>0.1648889569479168</v>
      </c>
      <c r="BS822">
        <v>0.16488888799278881</v>
      </c>
      <c r="BT822">
        <v>0.16488886679993711</v>
      </c>
      <c r="BU822">
        <v>0.16488890391354757</v>
      </c>
      <c r="BV822">
        <v>0.1648888862354245</v>
      </c>
      <c r="BW822">
        <v>0.16488888564963641</v>
      </c>
      <c r="BX822">
        <v>0.16488889193286949</v>
      </c>
      <c r="BY822">
        <v>0.16488888793931014</v>
      </c>
      <c r="BZ822">
        <v>0.16488888850727201</v>
      </c>
      <c r="CA822">
        <v>0.1648888894598172</v>
      </c>
      <c r="CB822">
        <v>0.16488888863546644</v>
      </c>
      <c r="CC822">
        <v>0.16488888886751854</v>
      </c>
      <c r="CD822">
        <v>0.16488888898760071</v>
      </c>
      <c r="CE822">
        <v>0.16488888883019523</v>
      </c>
      <c r="CF822">
        <v>0.16488888889510481</v>
      </c>
      <c r="CG822">
        <v>0.16488888890430023</v>
      </c>
      <c r="CH822">
        <v>0.16488888887653341</v>
      </c>
      <c r="CI822">
        <v>0.16488888889197947</v>
      </c>
      <c r="CJ822">
        <v>0.1648888888909377</v>
      </c>
      <c r="CK822">
        <v>0.16488888888648354</v>
      </c>
      <c r="CL822">
        <v>0.16488888888980024</v>
      </c>
      <c r="CM822">
        <v>0.16488888888907383</v>
      </c>
      <c r="CN822">
        <v>0.16488888888845254</v>
      </c>
    </row>
    <row r="823" spans="1:92" x14ac:dyDescent="0.25">
      <c r="A823" s="99" t="s">
        <v>1</v>
      </c>
      <c r="B823" s="4">
        <v>0</v>
      </c>
      <c r="C823" s="4">
        <v>0</v>
      </c>
      <c r="D823" s="4">
        <v>0</v>
      </c>
      <c r="E823" s="4">
        <v>0</v>
      </c>
      <c r="F823" s="4">
        <v>0</v>
      </c>
      <c r="G823" s="4">
        <v>0</v>
      </c>
      <c r="H823" s="4">
        <v>0</v>
      </c>
      <c r="I823" s="4">
        <v>0</v>
      </c>
      <c r="J823" s="4">
        <v>0</v>
      </c>
      <c r="K823" s="4">
        <v>0</v>
      </c>
      <c r="L823" s="4">
        <v>0</v>
      </c>
      <c r="M823" s="4">
        <v>0</v>
      </c>
      <c r="N823" s="4">
        <v>0</v>
      </c>
      <c r="O823" s="4">
        <v>0</v>
      </c>
      <c r="P823" s="4">
        <v>0</v>
      </c>
      <c r="Q823" s="4">
        <v>0</v>
      </c>
      <c r="R823" s="4">
        <v>0</v>
      </c>
      <c r="S823" s="4">
        <v>0</v>
      </c>
      <c r="T823" s="4">
        <v>0</v>
      </c>
      <c r="U823" s="4">
        <v>0</v>
      </c>
      <c r="V823" s="4">
        <v>0</v>
      </c>
      <c r="W823" s="4">
        <v>0</v>
      </c>
      <c r="X823" s="4">
        <v>0</v>
      </c>
      <c r="Y823" s="4">
        <v>0</v>
      </c>
      <c r="Z823" s="4">
        <v>0</v>
      </c>
      <c r="AA823" s="4">
        <v>0</v>
      </c>
      <c r="AB823" s="4">
        <v>0</v>
      </c>
      <c r="AC823" s="4">
        <v>0</v>
      </c>
      <c r="AD823" s="4">
        <v>0</v>
      </c>
      <c r="AE823" s="4">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c r="CK823">
        <v>0</v>
      </c>
      <c r="CL823">
        <v>0</v>
      </c>
      <c r="CM823">
        <v>0</v>
      </c>
      <c r="CN823">
        <v>0</v>
      </c>
    </row>
    <row r="824" spans="1:92" x14ac:dyDescent="0.25">
      <c r="A824" s="99" t="s">
        <v>1</v>
      </c>
      <c r="B824" s="4">
        <v>0</v>
      </c>
      <c r="C824" s="4">
        <v>0</v>
      </c>
      <c r="D824" s="4">
        <v>0</v>
      </c>
      <c r="E824" s="4">
        <v>0</v>
      </c>
      <c r="F824" s="4">
        <v>0</v>
      </c>
      <c r="G824" s="4">
        <v>0</v>
      </c>
      <c r="H824" s="4">
        <v>0</v>
      </c>
      <c r="I824" s="4">
        <v>0</v>
      </c>
      <c r="J824" s="4">
        <v>0</v>
      </c>
      <c r="K824" s="4">
        <v>0</v>
      </c>
      <c r="L824" s="4">
        <v>0</v>
      </c>
      <c r="M824" s="4">
        <v>0</v>
      </c>
      <c r="N824" s="4">
        <v>0</v>
      </c>
      <c r="O824" s="4">
        <v>0</v>
      </c>
      <c r="P824" s="4">
        <v>0</v>
      </c>
      <c r="Q824" s="4">
        <v>0</v>
      </c>
      <c r="R824" s="4">
        <v>0</v>
      </c>
      <c r="S824" s="4">
        <v>0</v>
      </c>
      <c r="T824" s="4">
        <v>0</v>
      </c>
      <c r="U824" s="4">
        <v>0</v>
      </c>
      <c r="V824" s="4">
        <v>0</v>
      </c>
      <c r="W824" s="4">
        <v>0</v>
      </c>
      <c r="X824" s="4">
        <v>0</v>
      </c>
      <c r="Y824" s="4">
        <v>0</v>
      </c>
      <c r="Z824" s="4">
        <v>0</v>
      </c>
      <c r="AA824" s="4">
        <v>0</v>
      </c>
      <c r="AB824" s="4">
        <v>0</v>
      </c>
      <c r="AC824" s="4">
        <v>0</v>
      </c>
      <c r="AD824" s="4">
        <v>0</v>
      </c>
      <c r="AE824" s="4">
        <v>0</v>
      </c>
      <c r="AF824">
        <v>6.6986666666666679</v>
      </c>
      <c r="AG824">
        <v>8.2758333333331393</v>
      </c>
      <c r="AH824">
        <v>9.8530000000000655</v>
      </c>
      <c r="AI824">
        <v>11.430166666666537</v>
      </c>
      <c r="AJ824">
        <v>13.007333333333463</v>
      </c>
      <c r="AK824">
        <v>14.584499999999935</v>
      </c>
      <c r="AL824">
        <v>16.161666666666861</v>
      </c>
      <c r="AM824">
        <v>17.738833333333332</v>
      </c>
      <c r="AN824">
        <v>19.315999999999804</v>
      </c>
      <c r="AO824">
        <v>20.89316666666673</v>
      </c>
      <c r="AP824">
        <v>22.470333333333201</v>
      </c>
      <c r="AQ824">
        <v>24.047500000000127</v>
      </c>
      <c r="AR824">
        <v>25.624666666666599</v>
      </c>
      <c r="AS824">
        <v>27.201833333333525</v>
      </c>
      <c r="AT824">
        <v>28.778999999999996</v>
      </c>
      <c r="AU824">
        <v>30.356166666666468</v>
      </c>
      <c r="AV824">
        <v>31.933333333333394</v>
      </c>
      <c r="AW824">
        <v>33.510499999999865</v>
      </c>
      <c r="AX824">
        <v>35.087666666666792</v>
      </c>
      <c r="AY824">
        <v>36.664833333333263</v>
      </c>
      <c r="AZ824">
        <v>38.242000000000189</v>
      </c>
      <c r="BA824">
        <v>39.819166666666661</v>
      </c>
      <c r="BB824">
        <v>41.396333333333132</v>
      </c>
      <c r="BC824">
        <v>42.973500000000058</v>
      </c>
      <c r="BD824">
        <v>44.55066666666653</v>
      </c>
      <c r="BE824">
        <v>46.127833333333456</v>
      </c>
      <c r="BF824">
        <v>47.704999999999927</v>
      </c>
      <c r="BG824">
        <v>49.282166666666853</v>
      </c>
      <c r="BH824">
        <v>50.859333333333325</v>
      </c>
      <c r="BI824">
        <v>52.436500000000251</v>
      </c>
      <c r="BJ824">
        <v>54.013666666666722</v>
      </c>
      <c r="BK824">
        <v>55.590833333333194</v>
      </c>
      <c r="BL824">
        <v>57.16800000000012</v>
      </c>
      <c r="BM824">
        <v>58.745166666666591</v>
      </c>
      <c r="BN824">
        <v>60.322333333333518</v>
      </c>
      <c r="BO824">
        <v>61.899499999999989</v>
      </c>
      <c r="BP824">
        <v>63.476666666666915</v>
      </c>
      <c r="BQ824">
        <v>65.053833333333387</v>
      </c>
      <c r="BR824">
        <v>66.630999999999858</v>
      </c>
      <c r="BS824">
        <v>68.208166666666784</v>
      </c>
      <c r="BT824">
        <v>69.785333333333256</v>
      </c>
      <c r="BU824">
        <v>71.362500000000182</v>
      </c>
      <c r="BV824">
        <v>72.939666666666653</v>
      </c>
      <c r="BW824">
        <v>74.51683333333358</v>
      </c>
      <c r="BX824">
        <v>76.094000000000051</v>
      </c>
      <c r="BY824">
        <v>77.671166666666522</v>
      </c>
      <c r="BZ824">
        <v>79.248333333333449</v>
      </c>
      <c r="CA824">
        <v>80.82549999999992</v>
      </c>
      <c r="CB824">
        <v>82.402666666666846</v>
      </c>
      <c r="CC824">
        <v>83.979833333333318</v>
      </c>
      <c r="CD824">
        <v>85.557000000000244</v>
      </c>
      <c r="CE824">
        <v>87.134166666666715</v>
      </c>
      <c r="CF824">
        <v>88.711333333333187</v>
      </c>
      <c r="CG824">
        <v>90.288500000000113</v>
      </c>
      <c r="CH824">
        <v>91.865666666666584</v>
      </c>
      <c r="CI824">
        <v>93.44283333333351</v>
      </c>
      <c r="CJ824">
        <v>95.019999999999982</v>
      </c>
      <c r="CK824">
        <v>96.597166666666908</v>
      </c>
      <c r="CL824">
        <v>98.174333333333379</v>
      </c>
      <c r="CM824">
        <v>99.751499999999851</v>
      </c>
      <c r="CN824">
        <v>101.32866666666678</v>
      </c>
    </row>
    <row r="825" spans="1:92" x14ac:dyDescent="0.25">
      <c r="A825" s="99" t="s">
        <v>1</v>
      </c>
      <c r="B825" s="4">
        <v>0</v>
      </c>
      <c r="C825" s="4">
        <v>0</v>
      </c>
      <c r="D825" s="4">
        <v>0</v>
      </c>
      <c r="E825" s="4">
        <v>0</v>
      </c>
      <c r="F825" s="4">
        <v>0</v>
      </c>
      <c r="G825" s="4">
        <v>0</v>
      </c>
      <c r="H825" s="4">
        <v>0</v>
      </c>
      <c r="I825" s="4">
        <v>0</v>
      </c>
      <c r="J825" s="4">
        <v>0</v>
      </c>
      <c r="K825" s="4">
        <v>0</v>
      </c>
      <c r="L825" s="4">
        <v>0</v>
      </c>
      <c r="M825" s="4">
        <v>0</v>
      </c>
      <c r="N825" s="4">
        <v>0</v>
      </c>
      <c r="O825" s="4">
        <v>0</v>
      </c>
      <c r="P825" s="4">
        <v>0</v>
      </c>
      <c r="Q825" s="4">
        <v>0</v>
      </c>
      <c r="R825" s="4">
        <v>0</v>
      </c>
      <c r="S825" s="4">
        <v>0</v>
      </c>
      <c r="T825" s="4">
        <v>0</v>
      </c>
      <c r="U825" s="4">
        <v>0</v>
      </c>
      <c r="V825" s="4">
        <v>0</v>
      </c>
      <c r="W825" s="4">
        <v>0</v>
      </c>
      <c r="X825" s="4">
        <v>0</v>
      </c>
      <c r="Y825" s="4">
        <v>0</v>
      </c>
      <c r="Z825" s="4">
        <v>0</v>
      </c>
      <c r="AA825" s="4">
        <v>0</v>
      </c>
      <c r="AB825" s="4">
        <v>0</v>
      </c>
      <c r="AC825" s="4">
        <v>0</v>
      </c>
      <c r="AD825" s="4">
        <v>0</v>
      </c>
      <c r="AE825" s="4">
        <v>0</v>
      </c>
      <c r="AF825">
        <v>2.989333333333434</v>
      </c>
      <c r="AG825">
        <v>4.0733333333332666</v>
      </c>
      <c r="AH825">
        <v>5.1573333333330993</v>
      </c>
      <c r="AI825">
        <v>6.2413333333333867</v>
      </c>
      <c r="AJ825">
        <v>7.3253333333332193</v>
      </c>
      <c r="AK825">
        <v>8.409333333333052</v>
      </c>
      <c r="AL825">
        <v>9.4933333333333394</v>
      </c>
      <c r="AM825">
        <v>10.577333333333172</v>
      </c>
      <c r="AN825">
        <v>11.661333333333459</v>
      </c>
      <c r="AO825">
        <v>12.745333333333292</v>
      </c>
      <c r="AP825">
        <v>13.829333333333125</v>
      </c>
      <c r="AQ825">
        <v>14.913333333333412</v>
      </c>
      <c r="AR825">
        <v>15.997333333333245</v>
      </c>
      <c r="AS825">
        <v>17.081333333333077</v>
      </c>
      <c r="AT825">
        <v>18.165333333333365</v>
      </c>
      <c r="AU825">
        <v>19.249333333333198</v>
      </c>
      <c r="AV825">
        <v>20.333333333333485</v>
      </c>
      <c r="AW825">
        <v>21.417333333333318</v>
      </c>
      <c r="AX825">
        <v>22.50133333333315</v>
      </c>
      <c r="AY825">
        <v>23.585333333333438</v>
      </c>
      <c r="AZ825">
        <v>24.66933333333327</v>
      </c>
      <c r="BA825">
        <v>25.753333333333103</v>
      </c>
      <c r="BB825">
        <v>26.83733333333339</v>
      </c>
      <c r="BC825">
        <v>27.921333333333223</v>
      </c>
      <c r="BD825">
        <v>29.005333333333056</v>
      </c>
      <c r="BE825">
        <v>30.089333333333343</v>
      </c>
      <c r="BF825">
        <v>31.173333333333176</v>
      </c>
      <c r="BG825">
        <v>32.257333333333463</v>
      </c>
      <c r="BH825">
        <v>33.341333333333296</v>
      </c>
      <c r="BI825">
        <v>34.425333333333128</v>
      </c>
      <c r="BJ825">
        <v>35.509333333333416</v>
      </c>
      <c r="BK825">
        <v>36.593333333333248</v>
      </c>
      <c r="BL825">
        <v>37.677333333333081</v>
      </c>
      <c r="BM825">
        <v>38.761333333333369</v>
      </c>
      <c r="BN825">
        <v>39.845333333333201</v>
      </c>
      <c r="BO825">
        <v>40.929333333333489</v>
      </c>
      <c r="BP825">
        <v>42.013333333333321</v>
      </c>
      <c r="BQ825">
        <v>43.097333333333154</v>
      </c>
      <c r="BR825">
        <v>44.181333333333441</v>
      </c>
      <c r="BS825">
        <v>45.265333333333274</v>
      </c>
      <c r="BT825">
        <v>46.349333333333107</v>
      </c>
      <c r="BU825">
        <v>47.433333333333394</v>
      </c>
      <c r="BV825">
        <v>48.517333333333227</v>
      </c>
      <c r="BW825">
        <v>49.601333333333059</v>
      </c>
      <c r="BX825">
        <v>50.685333333333347</v>
      </c>
      <c r="BY825">
        <v>51.769333333333179</v>
      </c>
      <c r="BZ825">
        <v>52.853333333333467</v>
      </c>
      <c r="CA825">
        <v>53.937333333333299</v>
      </c>
      <c r="CB825">
        <v>55.021333333333132</v>
      </c>
      <c r="CC825">
        <v>56.105333333333419</v>
      </c>
      <c r="CD825">
        <v>57.189333333333252</v>
      </c>
      <c r="CE825">
        <v>58.273333333333085</v>
      </c>
      <c r="CF825">
        <v>59.357333333333372</v>
      </c>
      <c r="CG825">
        <v>60.441333333333205</v>
      </c>
      <c r="CH825">
        <v>61.525333333333492</v>
      </c>
      <c r="CI825">
        <v>62.609333333333325</v>
      </c>
      <c r="CJ825">
        <v>63.693333333333157</v>
      </c>
      <c r="CK825">
        <v>64.777333333333445</v>
      </c>
      <c r="CL825">
        <v>65.861333333333278</v>
      </c>
      <c r="CM825">
        <v>66.94533333333311</v>
      </c>
      <c r="CN825">
        <v>68.029333333333398</v>
      </c>
    </row>
    <row r="826" spans="1:92" x14ac:dyDescent="0.25">
      <c r="A826" s="99"/>
    </row>
    <row r="827" spans="1:92" x14ac:dyDescent="0.25">
      <c r="A827" s="99" t="s">
        <v>323</v>
      </c>
      <c r="B827" s="4">
        <v>0</v>
      </c>
      <c r="C827" s="4">
        <v>0</v>
      </c>
      <c r="D827" s="4">
        <v>0</v>
      </c>
      <c r="E827" s="4">
        <v>0</v>
      </c>
      <c r="F827" s="4">
        <v>0</v>
      </c>
      <c r="G827" s="4">
        <v>0</v>
      </c>
      <c r="H827" s="4">
        <v>0</v>
      </c>
      <c r="I827" s="4">
        <v>0</v>
      </c>
      <c r="J827" s="4">
        <v>0</v>
      </c>
      <c r="K827" s="4">
        <v>0</v>
      </c>
      <c r="L827" s="4">
        <v>0</v>
      </c>
      <c r="M827" s="4">
        <v>0</v>
      </c>
      <c r="N827" s="4">
        <v>0</v>
      </c>
      <c r="O827" s="4">
        <v>0</v>
      </c>
      <c r="P827" s="4">
        <v>0</v>
      </c>
      <c r="Q827" s="4">
        <v>0</v>
      </c>
      <c r="R827" s="4">
        <v>0</v>
      </c>
      <c r="S827" s="4">
        <v>0</v>
      </c>
      <c r="T827" s="4">
        <v>0</v>
      </c>
      <c r="U827" s="4">
        <v>0</v>
      </c>
      <c r="V827" s="4">
        <v>0</v>
      </c>
      <c r="W827" s="4">
        <v>0</v>
      </c>
      <c r="X827" s="4">
        <v>0</v>
      </c>
      <c r="Y827" s="4">
        <v>0</v>
      </c>
      <c r="Z827" s="4">
        <v>0</v>
      </c>
      <c r="AA827" s="4">
        <v>0</v>
      </c>
      <c r="AB827" s="4">
        <v>0</v>
      </c>
      <c r="AC827" s="4">
        <v>0</v>
      </c>
      <c r="AD827" s="4">
        <v>0</v>
      </c>
      <c r="AE827" s="4">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row>
    <row r="828" spans="1:92" x14ac:dyDescent="0.25">
      <c r="A828" s="99"/>
    </row>
    <row r="829" spans="1:92" s="50" customFormat="1" x14ac:dyDescent="0.25">
      <c r="A829" s="99" t="s">
        <v>324</v>
      </c>
      <c r="B829" s="4">
        <v>0</v>
      </c>
      <c r="C829" s="4">
        <v>0</v>
      </c>
      <c r="D829" s="4">
        <v>0</v>
      </c>
      <c r="E829" s="4">
        <v>0</v>
      </c>
      <c r="F829" s="4">
        <v>0</v>
      </c>
      <c r="G829" s="4">
        <v>0</v>
      </c>
      <c r="H829" s="4">
        <v>0</v>
      </c>
      <c r="I829" s="4">
        <v>0</v>
      </c>
      <c r="J829" s="4">
        <v>0</v>
      </c>
      <c r="K829" s="4">
        <v>0</v>
      </c>
      <c r="L829" s="4">
        <v>0</v>
      </c>
      <c r="M829" s="4">
        <v>0</v>
      </c>
      <c r="N829" s="4">
        <v>0</v>
      </c>
      <c r="O829" s="4">
        <v>0</v>
      </c>
      <c r="P829" s="4">
        <v>0</v>
      </c>
      <c r="Q829" s="4">
        <v>0</v>
      </c>
      <c r="R829" s="4">
        <v>0</v>
      </c>
      <c r="S829" s="4">
        <v>0</v>
      </c>
      <c r="T829" s="4">
        <v>0</v>
      </c>
      <c r="U829" s="4">
        <v>0</v>
      </c>
      <c r="V829" s="4">
        <v>0</v>
      </c>
      <c r="W829" s="4">
        <v>0</v>
      </c>
      <c r="X829" s="4">
        <v>0</v>
      </c>
      <c r="Y829" s="4">
        <v>0</v>
      </c>
      <c r="Z829" s="4">
        <v>0</v>
      </c>
      <c r="AA829" s="4">
        <v>0</v>
      </c>
      <c r="AB829" s="4">
        <v>0</v>
      </c>
      <c r="AC829" s="4">
        <v>0</v>
      </c>
      <c r="AD829" s="4">
        <v>0</v>
      </c>
      <c r="AE829" s="4">
        <v>0</v>
      </c>
      <c r="AF829" s="50">
        <v>0.12586494112335878</v>
      </c>
      <c r="AG829" s="50">
        <v>0.12587995184530304</v>
      </c>
      <c r="AH829" s="50">
        <v>0.12589496256724728</v>
      </c>
      <c r="AI829" s="50">
        <v>0.12590997328919151</v>
      </c>
      <c r="AJ829" s="50">
        <v>0.12592498401113578</v>
      </c>
      <c r="AK829" s="50">
        <v>0.12593999473308001</v>
      </c>
      <c r="AL829" s="50">
        <v>0.12595500545502425</v>
      </c>
      <c r="AM829" s="50">
        <v>0.12597001617696851</v>
      </c>
      <c r="AN829" s="50">
        <v>0.12598502689891275</v>
      </c>
      <c r="AO829" s="50">
        <v>0.12600003762085699</v>
      </c>
      <c r="AP829" s="50">
        <v>0.12601504834280125</v>
      </c>
      <c r="AQ829" s="50">
        <v>0.12603005906474549</v>
      </c>
      <c r="AR829" s="50">
        <v>0.12604506978668972</v>
      </c>
      <c r="AS829" s="50">
        <v>0.12606008050863399</v>
      </c>
      <c r="AT829" s="50">
        <v>0.12607509123057822</v>
      </c>
      <c r="AU829" s="50">
        <v>0.12609010195252246</v>
      </c>
      <c r="AV829" s="50">
        <v>0.12610511267446672</v>
      </c>
      <c r="AW829" s="50">
        <v>0.12612012339641096</v>
      </c>
      <c r="AX829" s="50">
        <v>0.1261351341183552</v>
      </c>
      <c r="AY829" s="50">
        <v>0.12615014484029946</v>
      </c>
      <c r="AZ829" s="50">
        <v>0.1261651555622437</v>
      </c>
      <c r="BA829" s="50">
        <v>0.12618016628418793</v>
      </c>
      <c r="BB829" s="50">
        <v>0.1261951770061322</v>
      </c>
      <c r="BC829" s="50">
        <v>0.12621018772807643</v>
      </c>
      <c r="BD829" s="50">
        <v>0.12622519845002067</v>
      </c>
      <c r="BE829" s="50">
        <v>0.12624020917196493</v>
      </c>
      <c r="BF829" s="50">
        <v>0.12625521989390917</v>
      </c>
      <c r="BG829" s="50">
        <v>0.12627023061585341</v>
      </c>
      <c r="BH829" s="50">
        <v>0.12628524133779767</v>
      </c>
      <c r="BI829" s="50">
        <v>0.12630025205974191</v>
      </c>
      <c r="BJ829" s="50">
        <v>0.12631526278168614</v>
      </c>
      <c r="BK829" s="50">
        <v>0.12633027350363041</v>
      </c>
      <c r="BL829" s="50">
        <v>0.12634528422557464</v>
      </c>
      <c r="BM829" s="50">
        <v>0.12636029494751888</v>
      </c>
      <c r="BN829" s="50">
        <v>0.12637530566946314</v>
      </c>
      <c r="BO829" s="50">
        <v>0.12639031639140738</v>
      </c>
      <c r="BP829" s="50">
        <v>0.12640532711335162</v>
      </c>
      <c r="BQ829" s="50">
        <v>0.12642033783529588</v>
      </c>
      <c r="BR829" s="50">
        <v>0.12643534855724012</v>
      </c>
      <c r="BS829" s="50">
        <v>0.12645035927918435</v>
      </c>
      <c r="BT829" s="50">
        <v>0.12646537000112862</v>
      </c>
      <c r="BU829" s="50">
        <v>0.12648038072307285</v>
      </c>
      <c r="BV829" s="50">
        <v>0.12649539144501709</v>
      </c>
      <c r="BW829" s="50">
        <v>0.12651040216696136</v>
      </c>
      <c r="BX829" s="50">
        <v>0.12652541288890559</v>
      </c>
      <c r="BY829" s="50">
        <v>0.12654042361084983</v>
      </c>
      <c r="BZ829" s="50">
        <v>0.12655543433279409</v>
      </c>
      <c r="CA829" s="50">
        <v>0.12657044505473833</v>
      </c>
      <c r="CB829" s="50">
        <v>0.12658545577668256</v>
      </c>
      <c r="CC829" s="50">
        <v>0.12660046649862683</v>
      </c>
      <c r="CD829" s="50">
        <v>0.12661547722057107</v>
      </c>
      <c r="CE829" s="50">
        <v>0.1266304879425153</v>
      </c>
      <c r="CF829" s="50">
        <v>0.12664549866445957</v>
      </c>
      <c r="CG829" s="50">
        <v>0.1266605093864038</v>
      </c>
      <c r="CH829" s="50">
        <v>0.12667552010834804</v>
      </c>
      <c r="CI829" s="50">
        <v>0.1266905308302923</v>
      </c>
      <c r="CJ829" s="50">
        <v>0.12670554155223654</v>
      </c>
      <c r="CK829" s="50">
        <v>0.12672055227418078</v>
      </c>
      <c r="CL829" s="50">
        <v>0.12673556299612504</v>
      </c>
      <c r="CM829" s="50">
        <v>0.12675057371806928</v>
      </c>
      <c r="CN829" s="50">
        <v>0.12676558444001351</v>
      </c>
    </row>
    <row r="830" spans="1:92" s="50" customFormat="1" x14ac:dyDescent="0.25">
      <c r="A830" s="9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92" x14ac:dyDescent="0.25">
      <c r="A831" s="99" t="s">
        <v>325</v>
      </c>
      <c r="B831" s="4">
        <v>0</v>
      </c>
      <c r="C831" s="4">
        <v>0</v>
      </c>
      <c r="D831" s="4">
        <v>0</v>
      </c>
      <c r="E831" s="4">
        <v>0</v>
      </c>
      <c r="F831" s="4">
        <v>0</v>
      </c>
      <c r="G831" s="4">
        <v>0</v>
      </c>
      <c r="H831" s="4">
        <v>0</v>
      </c>
      <c r="I831" s="4">
        <v>0</v>
      </c>
      <c r="J831" s="4">
        <v>0</v>
      </c>
      <c r="K831" s="4">
        <v>0</v>
      </c>
      <c r="L831" s="4">
        <v>0</v>
      </c>
      <c r="M831" s="4">
        <v>0</v>
      </c>
      <c r="N831" s="4">
        <v>0</v>
      </c>
      <c r="O831" s="4">
        <v>0</v>
      </c>
      <c r="P831" s="4">
        <v>0</v>
      </c>
      <c r="Q831" s="4">
        <v>0</v>
      </c>
      <c r="R831" s="4">
        <v>0</v>
      </c>
      <c r="S831" s="4">
        <v>0</v>
      </c>
      <c r="T831" s="4">
        <v>0</v>
      </c>
      <c r="U831" s="4">
        <v>0</v>
      </c>
      <c r="V831" s="4">
        <v>0</v>
      </c>
      <c r="W831" s="4">
        <v>0</v>
      </c>
      <c r="X831" s="4">
        <v>0</v>
      </c>
      <c r="Y831" s="4">
        <v>0</v>
      </c>
      <c r="Z831" s="4">
        <v>0</v>
      </c>
      <c r="AA831" s="4">
        <v>0</v>
      </c>
      <c r="AB831" s="4">
        <v>0</v>
      </c>
      <c r="AC831" s="4">
        <v>0</v>
      </c>
      <c r="AD831" s="4">
        <v>0</v>
      </c>
      <c r="AE831" s="4">
        <v>0</v>
      </c>
      <c r="AF831">
        <v>27.130666666666912</v>
      </c>
      <c r="AG831">
        <v>30.030833333333248</v>
      </c>
      <c r="AH831">
        <v>32.931000000000495</v>
      </c>
      <c r="AI831">
        <v>35.831166666666832</v>
      </c>
      <c r="AJ831">
        <v>38.731333333333168</v>
      </c>
      <c r="AK831">
        <v>41.631500000000415</v>
      </c>
      <c r="AL831">
        <v>44.531666666666752</v>
      </c>
      <c r="AM831">
        <v>47.431833333333998</v>
      </c>
      <c r="AN831">
        <v>50.332000000000335</v>
      </c>
      <c r="AO831">
        <v>53.232166666666672</v>
      </c>
      <c r="AP831">
        <v>56.132333333333918</v>
      </c>
      <c r="AQ831">
        <v>59.032500000000255</v>
      </c>
      <c r="AR831">
        <v>61.932666666666591</v>
      </c>
      <c r="AS831">
        <v>64.832833333333838</v>
      </c>
      <c r="AT831">
        <v>67.733000000000175</v>
      </c>
      <c r="AU831">
        <v>70.633166666666511</v>
      </c>
      <c r="AV831">
        <v>73.533333333333758</v>
      </c>
      <c r="AW831">
        <v>76.433500000000095</v>
      </c>
      <c r="AX831">
        <v>79.333666666667341</v>
      </c>
      <c r="AY831">
        <v>82.233833333333678</v>
      </c>
      <c r="AZ831">
        <v>85.134000000000015</v>
      </c>
      <c r="BA831">
        <v>88.034166666667261</v>
      </c>
      <c r="BB831">
        <v>90.934333333333598</v>
      </c>
      <c r="BC831">
        <v>93.834499999999935</v>
      </c>
      <c r="BD831">
        <v>96.734666666667181</v>
      </c>
      <c r="BE831">
        <v>99.634833333333518</v>
      </c>
      <c r="BF831">
        <v>102.53499999999985</v>
      </c>
      <c r="BG831">
        <v>105.4351666666671</v>
      </c>
      <c r="BH831">
        <v>108.33533333333344</v>
      </c>
      <c r="BI831">
        <v>111.23550000000068</v>
      </c>
      <c r="BJ831">
        <v>114.13566666666702</v>
      </c>
      <c r="BK831">
        <v>117.03583333333336</v>
      </c>
      <c r="BL831">
        <v>119.9360000000006</v>
      </c>
      <c r="BM831">
        <v>122.83616666666694</v>
      </c>
      <c r="BN831">
        <v>125.73633333333328</v>
      </c>
      <c r="BO831">
        <v>128.63650000000052</v>
      </c>
      <c r="BP831">
        <v>131.53666666666686</v>
      </c>
      <c r="BQ831">
        <v>134.4368333333332</v>
      </c>
      <c r="BR831">
        <v>137.33700000000044</v>
      </c>
      <c r="BS831">
        <v>140.23716666666678</v>
      </c>
      <c r="BT831">
        <v>143.13733333333312</v>
      </c>
      <c r="BU831">
        <v>146.03750000000036</v>
      </c>
      <c r="BV831">
        <v>148.9376666666667</v>
      </c>
      <c r="BW831">
        <v>151.83783333333395</v>
      </c>
      <c r="BX831">
        <v>154.73800000000028</v>
      </c>
      <c r="BY831">
        <v>157.63816666666662</v>
      </c>
      <c r="BZ831">
        <v>160.53833333333387</v>
      </c>
      <c r="CA831">
        <v>163.4385000000002</v>
      </c>
      <c r="CB831">
        <v>166.33866666666654</v>
      </c>
      <c r="CC831">
        <v>169.23883333333379</v>
      </c>
      <c r="CD831">
        <v>172.13900000000012</v>
      </c>
      <c r="CE831">
        <v>175.03916666666646</v>
      </c>
      <c r="CF831">
        <v>177.93933333333371</v>
      </c>
      <c r="CG831">
        <v>180.83950000000004</v>
      </c>
      <c r="CH831">
        <v>183.73966666666729</v>
      </c>
      <c r="CI831">
        <v>186.63983333333363</v>
      </c>
      <c r="CJ831">
        <v>189.53999999999996</v>
      </c>
      <c r="CK831">
        <v>192.44016666666721</v>
      </c>
      <c r="CL831">
        <v>195.34033333333355</v>
      </c>
      <c r="CM831">
        <v>198.24049999999988</v>
      </c>
      <c r="CN831">
        <v>201.14066666666713</v>
      </c>
    </row>
    <row r="832" spans="1:92" x14ac:dyDescent="0.25">
      <c r="A832" s="99"/>
    </row>
    <row r="833" spans="1:92" s="50" customFormat="1" x14ac:dyDescent="0.25">
      <c r="A833" s="99" t="s">
        <v>326</v>
      </c>
      <c r="B833" s="4">
        <v>0</v>
      </c>
      <c r="C833" s="4">
        <v>0</v>
      </c>
      <c r="D833" s="4">
        <v>0</v>
      </c>
      <c r="E833" s="4">
        <v>0</v>
      </c>
      <c r="F833" s="4">
        <v>0</v>
      </c>
      <c r="G833" s="4">
        <v>0</v>
      </c>
      <c r="H833" s="4">
        <v>0</v>
      </c>
      <c r="I833" s="4">
        <v>0</v>
      </c>
      <c r="J833" s="4">
        <v>0</v>
      </c>
      <c r="K833" s="4">
        <v>0</v>
      </c>
      <c r="L833" s="4">
        <v>0</v>
      </c>
      <c r="M833" s="4">
        <v>0</v>
      </c>
      <c r="N833" s="4">
        <v>0</v>
      </c>
      <c r="O833" s="4">
        <v>0</v>
      </c>
      <c r="P833" s="4">
        <v>0</v>
      </c>
      <c r="Q833" s="4">
        <v>0</v>
      </c>
      <c r="R833" s="4">
        <v>0</v>
      </c>
      <c r="S833" s="4">
        <v>0</v>
      </c>
      <c r="T833" s="4">
        <v>0</v>
      </c>
      <c r="U833" s="4">
        <v>0</v>
      </c>
      <c r="V833" s="4">
        <v>0</v>
      </c>
      <c r="W833" s="4">
        <v>0</v>
      </c>
      <c r="X833" s="4">
        <v>0</v>
      </c>
      <c r="Y833" s="4">
        <v>0</v>
      </c>
      <c r="Z833" s="4">
        <v>0</v>
      </c>
      <c r="AA833" s="4">
        <v>0</v>
      </c>
      <c r="AB833" s="4">
        <v>0</v>
      </c>
      <c r="AC833" s="4">
        <v>0</v>
      </c>
      <c r="AD833" s="4">
        <v>0</v>
      </c>
      <c r="AE833" s="4">
        <v>0</v>
      </c>
      <c r="AF833" s="50">
        <v>557.47680172554328</v>
      </c>
      <c r="AG833" s="50">
        <v>557.54328671482131</v>
      </c>
      <c r="AH833" s="50">
        <v>557.60977170409933</v>
      </c>
      <c r="AI833" s="50">
        <v>557.67625669337747</v>
      </c>
      <c r="AJ833" s="50">
        <v>557.74274168265549</v>
      </c>
      <c r="AK833" s="50">
        <v>557.80922667193352</v>
      </c>
      <c r="AL833" s="50">
        <v>557.87571166121165</v>
      </c>
      <c r="AM833" s="50">
        <v>557.94219665048968</v>
      </c>
      <c r="AN833" s="50">
        <v>558.0086816397677</v>
      </c>
      <c r="AO833" s="50">
        <v>558.07516662904584</v>
      </c>
      <c r="AP833" s="50">
        <v>558.14165161832386</v>
      </c>
      <c r="AQ833" s="50">
        <v>558.20813660760189</v>
      </c>
      <c r="AR833" s="50">
        <v>558.27462159688002</v>
      </c>
      <c r="AS833" s="50">
        <v>558.34110658615805</v>
      </c>
      <c r="AT833" s="50">
        <v>558.40759157543607</v>
      </c>
      <c r="AU833" s="50">
        <v>558.47407656471421</v>
      </c>
      <c r="AV833" s="50">
        <v>558.54056155399223</v>
      </c>
      <c r="AW833" s="50">
        <v>558.60704654327026</v>
      </c>
      <c r="AX833" s="50">
        <v>558.6735315325484</v>
      </c>
      <c r="AY833" s="50">
        <v>558.74001652182642</v>
      </c>
      <c r="AZ833" s="50">
        <v>558.80650151110444</v>
      </c>
      <c r="BA833" s="50">
        <v>558.87298650038258</v>
      </c>
      <c r="BB833" s="50">
        <v>558.9394714896606</v>
      </c>
      <c r="BC833" s="50">
        <v>559.00595647893863</v>
      </c>
      <c r="BD833" s="50">
        <v>559.07244146821677</v>
      </c>
      <c r="BE833" s="50">
        <v>559.13892645749479</v>
      </c>
      <c r="BF833" s="50">
        <v>559.20541144677281</v>
      </c>
      <c r="BG833" s="50">
        <v>559.27189643605095</v>
      </c>
      <c r="BH833" s="50">
        <v>559.33838142532898</v>
      </c>
      <c r="BI833" s="50">
        <v>559.404866414607</v>
      </c>
      <c r="BJ833" s="50">
        <v>559.47135140388514</v>
      </c>
      <c r="BK833" s="50">
        <v>559.53783639316316</v>
      </c>
      <c r="BL833" s="50">
        <v>559.60432138244119</v>
      </c>
      <c r="BM833" s="50">
        <v>559.67080637171932</v>
      </c>
      <c r="BN833" s="50">
        <v>559.73729136099735</v>
      </c>
      <c r="BO833" s="50">
        <v>559.80377635027537</v>
      </c>
      <c r="BP833" s="50">
        <v>559.87026133955351</v>
      </c>
      <c r="BQ833" s="50">
        <v>559.93674632883153</v>
      </c>
      <c r="BR833" s="50">
        <v>560.00323131810956</v>
      </c>
      <c r="BS833" s="50">
        <v>560.06971630738769</v>
      </c>
      <c r="BT833" s="50">
        <v>560.13620129666572</v>
      </c>
      <c r="BU833" s="50">
        <v>560.20268628594374</v>
      </c>
      <c r="BV833" s="50">
        <v>560.26917127522188</v>
      </c>
      <c r="BW833" s="50">
        <v>560.3356562644999</v>
      </c>
      <c r="BX833" s="50">
        <v>560.40214125377793</v>
      </c>
      <c r="BY833" s="50">
        <v>560.46862624305606</v>
      </c>
      <c r="BZ833" s="50">
        <v>560.53511123233409</v>
      </c>
      <c r="CA833" s="50">
        <v>560.60159622161211</v>
      </c>
      <c r="CB833" s="50">
        <v>560.66808121089025</v>
      </c>
      <c r="CC833" s="50">
        <v>560.73456620016827</v>
      </c>
      <c r="CD833" s="50">
        <v>560.8010511894463</v>
      </c>
      <c r="CE833" s="50">
        <v>560.86753617872444</v>
      </c>
      <c r="CF833" s="50">
        <v>560.93402116800246</v>
      </c>
      <c r="CG833" s="50">
        <v>561.00050615728048</v>
      </c>
      <c r="CH833" s="50">
        <v>561.06699114655862</v>
      </c>
      <c r="CI833" s="50">
        <v>561.13347613583664</v>
      </c>
      <c r="CJ833" s="50">
        <v>561.19996112511467</v>
      </c>
      <c r="CK833" s="50">
        <v>561.26644611439281</v>
      </c>
      <c r="CL833" s="50">
        <v>561.33293110367083</v>
      </c>
      <c r="CM833" s="50">
        <v>561.39941609294885</v>
      </c>
      <c r="CN833" s="50">
        <v>561.46590108222699</v>
      </c>
    </row>
    <row r="834" spans="1:92" s="50" customFormat="1" x14ac:dyDescent="0.25">
      <c r="A834" s="9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92" x14ac:dyDescent="0.25">
      <c r="A835" s="99" t="s">
        <v>327</v>
      </c>
      <c r="B835" s="4">
        <v>0</v>
      </c>
      <c r="C835" s="4">
        <v>0</v>
      </c>
      <c r="D835" s="4">
        <v>0</v>
      </c>
      <c r="E835" s="4">
        <v>0</v>
      </c>
      <c r="F835" s="4">
        <v>0</v>
      </c>
      <c r="G835" s="4">
        <v>0</v>
      </c>
      <c r="H835" s="4">
        <v>0</v>
      </c>
      <c r="I835" s="4">
        <v>0</v>
      </c>
      <c r="J835" s="4">
        <v>0</v>
      </c>
      <c r="K835" s="4">
        <v>0</v>
      </c>
      <c r="L835" s="4">
        <v>0</v>
      </c>
      <c r="M835" s="4">
        <v>0</v>
      </c>
      <c r="N835" s="4">
        <v>0</v>
      </c>
      <c r="O835" s="4">
        <v>0</v>
      </c>
      <c r="P835" s="4">
        <v>0</v>
      </c>
      <c r="Q835" s="4">
        <v>0</v>
      </c>
      <c r="R835" s="4">
        <v>0</v>
      </c>
      <c r="S835" s="4">
        <v>0</v>
      </c>
      <c r="T835" s="4">
        <v>0</v>
      </c>
      <c r="U835" s="4">
        <v>0</v>
      </c>
      <c r="V835" s="4">
        <v>0</v>
      </c>
      <c r="W835" s="4">
        <v>0</v>
      </c>
      <c r="X835" s="4">
        <v>0</v>
      </c>
      <c r="Y835" s="4">
        <v>0</v>
      </c>
      <c r="Z835" s="4">
        <v>0</v>
      </c>
      <c r="AA835" s="4">
        <v>0</v>
      </c>
      <c r="AB835" s="4">
        <v>0</v>
      </c>
      <c r="AC835" s="4">
        <v>0</v>
      </c>
      <c r="AD835" s="4">
        <v>0</v>
      </c>
      <c r="AE835" s="4">
        <v>0</v>
      </c>
      <c r="AF835">
        <v>4358.1666666667443</v>
      </c>
      <c r="AG835">
        <v>4755.9083333333256</v>
      </c>
      <c r="AH835">
        <v>5153.6500000000233</v>
      </c>
      <c r="AI835">
        <v>5551.391666666721</v>
      </c>
      <c r="AJ835">
        <v>5949.1333333334187</v>
      </c>
      <c r="AK835">
        <v>6346.875</v>
      </c>
      <c r="AL835">
        <v>6744.6166666666977</v>
      </c>
      <c r="AM835">
        <v>7142.3583333333954</v>
      </c>
      <c r="AN835">
        <v>7540.1000000000931</v>
      </c>
      <c r="AO835">
        <v>7937.8416666666744</v>
      </c>
      <c r="AP835">
        <v>8335.5833333333721</v>
      </c>
      <c r="AQ835">
        <v>8733.3250000000698</v>
      </c>
      <c r="AR835">
        <v>9131.0666666666511</v>
      </c>
      <c r="AS835">
        <v>9528.8083333333489</v>
      </c>
      <c r="AT835">
        <v>9926.5500000000466</v>
      </c>
      <c r="AU835">
        <v>10324.291666666744</v>
      </c>
      <c r="AV835">
        <v>10722.033333333326</v>
      </c>
      <c r="AW835">
        <v>11119.775000000023</v>
      </c>
      <c r="AX835">
        <v>11517.516666666721</v>
      </c>
      <c r="AY835">
        <v>11915.258333333419</v>
      </c>
      <c r="AZ835">
        <v>12313</v>
      </c>
      <c r="BA835">
        <v>12710.741666666698</v>
      </c>
      <c r="BB835">
        <v>13108.483333333395</v>
      </c>
      <c r="BC835">
        <v>13506.224999999977</v>
      </c>
      <c r="BD835">
        <v>13903.966666666674</v>
      </c>
      <c r="BE835">
        <v>14301.708333333372</v>
      </c>
      <c r="BF835">
        <v>14699.45000000007</v>
      </c>
      <c r="BG835">
        <v>15097.191666666651</v>
      </c>
      <c r="BH835">
        <v>15494.933333333349</v>
      </c>
      <c r="BI835">
        <v>15892.675000000047</v>
      </c>
      <c r="BJ835">
        <v>16290.416666666744</v>
      </c>
      <c r="BK835">
        <v>16688.158333333326</v>
      </c>
      <c r="BL835">
        <v>17085.900000000023</v>
      </c>
      <c r="BM835">
        <v>17483.641666666721</v>
      </c>
      <c r="BN835">
        <v>17881.383333333419</v>
      </c>
      <c r="BO835">
        <v>18279.125</v>
      </c>
      <c r="BP835">
        <v>18676.866666666698</v>
      </c>
      <c r="BQ835">
        <v>19074.608333333395</v>
      </c>
      <c r="BR835">
        <v>19472.349999999977</v>
      </c>
      <c r="BS835">
        <v>19870.091666666674</v>
      </c>
      <c r="BT835">
        <v>20267.833333333372</v>
      </c>
      <c r="BU835">
        <v>20665.57500000007</v>
      </c>
      <c r="BV835">
        <v>21063.316666666651</v>
      </c>
      <c r="BW835">
        <v>21461.058333333349</v>
      </c>
      <c r="BX835">
        <v>21858.800000000047</v>
      </c>
      <c r="BY835">
        <v>22256.541666666744</v>
      </c>
      <c r="BZ835">
        <v>22654.283333333326</v>
      </c>
      <c r="CA835">
        <v>23052.025000000023</v>
      </c>
      <c r="CB835">
        <v>23449.766666666721</v>
      </c>
      <c r="CC835">
        <v>23847.508333333302</v>
      </c>
      <c r="CD835">
        <v>24245.25</v>
      </c>
      <c r="CE835">
        <v>24642.991666666698</v>
      </c>
      <c r="CF835">
        <v>25040.733333333395</v>
      </c>
      <c r="CG835">
        <v>25438.474999999977</v>
      </c>
      <c r="CH835">
        <v>25836.216666666674</v>
      </c>
      <c r="CI835">
        <v>26233.958333333372</v>
      </c>
      <c r="CJ835">
        <v>26631.70000000007</v>
      </c>
      <c r="CK835">
        <v>27029.441666666651</v>
      </c>
      <c r="CL835">
        <v>27427.183333333349</v>
      </c>
      <c r="CM835">
        <v>27824.925000000047</v>
      </c>
      <c r="CN835">
        <v>28222.666666666628</v>
      </c>
    </row>
    <row r="836" spans="1:92" x14ac:dyDescent="0.25">
      <c r="A836" s="99" t="s">
        <v>1</v>
      </c>
      <c r="B836" s="4">
        <v>0</v>
      </c>
      <c r="C836" s="4">
        <v>0</v>
      </c>
      <c r="D836" s="4">
        <v>0</v>
      </c>
      <c r="E836" s="4">
        <v>0</v>
      </c>
      <c r="F836" s="4">
        <v>0</v>
      </c>
      <c r="G836" s="4">
        <v>0</v>
      </c>
      <c r="H836" s="4">
        <v>0</v>
      </c>
      <c r="I836" s="4">
        <v>0</v>
      </c>
      <c r="J836" s="4">
        <v>0</v>
      </c>
      <c r="K836" s="4">
        <v>0</v>
      </c>
      <c r="L836" s="4">
        <v>0</v>
      </c>
      <c r="M836" s="4">
        <v>0</v>
      </c>
      <c r="N836" s="4">
        <v>0</v>
      </c>
      <c r="O836" s="4">
        <v>0</v>
      </c>
      <c r="P836" s="4">
        <v>0</v>
      </c>
      <c r="Q836" s="4">
        <v>0</v>
      </c>
      <c r="R836" s="4">
        <v>0</v>
      </c>
      <c r="S836" s="4">
        <v>0</v>
      </c>
      <c r="T836" s="4">
        <v>0</v>
      </c>
      <c r="U836" s="4">
        <v>0</v>
      </c>
      <c r="V836" s="4">
        <v>0</v>
      </c>
      <c r="W836" s="4">
        <v>0</v>
      </c>
      <c r="X836" s="4">
        <v>0</v>
      </c>
      <c r="Y836" s="4">
        <v>0</v>
      </c>
      <c r="Z836" s="4">
        <v>0</v>
      </c>
      <c r="AA836" s="4">
        <v>0</v>
      </c>
      <c r="AB836" s="4">
        <v>0</v>
      </c>
      <c r="AC836" s="4">
        <v>0</v>
      </c>
      <c r="AD836" s="4">
        <v>0</v>
      </c>
      <c r="AE836" s="4">
        <v>0</v>
      </c>
      <c r="AF836">
        <v>8713.3533333332743</v>
      </c>
      <c r="AG836">
        <v>9281.3583333333954</v>
      </c>
      <c r="AH836">
        <v>9849.3633333332837</v>
      </c>
      <c r="AI836">
        <v>10417.368333333405</v>
      </c>
      <c r="AJ836">
        <v>10985.373333333293</v>
      </c>
      <c r="AK836">
        <v>11553.378333333414</v>
      </c>
      <c r="AL836">
        <v>12121.383333333302</v>
      </c>
      <c r="AM836">
        <v>12689.388333333423</v>
      </c>
      <c r="AN836">
        <v>13257.393333333312</v>
      </c>
      <c r="AO836">
        <v>13825.398333333433</v>
      </c>
      <c r="AP836">
        <v>14393.403333333321</v>
      </c>
      <c r="AQ836">
        <v>14961.408333333209</v>
      </c>
      <c r="AR836">
        <v>15529.41333333333</v>
      </c>
      <c r="AS836">
        <v>16097.418333333218</v>
      </c>
      <c r="AT836">
        <v>16665.42333333334</v>
      </c>
      <c r="AU836">
        <v>17233.428333333228</v>
      </c>
      <c r="AV836">
        <v>17801.433333333349</v>
      </c>
      <c r="AW836">
        <v>18369.438333333237</v>
      </c>
      <c r="AX836">
        <v>18937.443333333358</v>
      </c>
      <c r="AY836">
        <v>19505.448333333246</v>
      </c>
      <c r="AZ836">
        <v>20073.453333333367</v>
      </c>
      <c r="BA836">
        <v>20641.458333333256</v>
      </c>
      <c r="BB836">
        <v>21209.463333333377</v>
      </c>
      <c r="BC836">
        <v>21777.468333333265</v>
      </c>
      <c r="BD836">
        <v>22345.473333333386</v>
      </c>
      <c r="BE836">
        <v>22913.478333333274</v>
      </c>
      <c r="BF836">
        <v>23481.483333333395</v>
      </c>
      <c r="BG836">
        <v>24049.488333333284</v>
      </c>
      <c r="BH836">
        <v>24617.493333333405</v>
      </c>
      <c r="BI836">
        <v>25185.498333333293</v>
      </c>
      <c r="BJ836">
        <v>25753.503333333414</v>
      </c>
      <c r="BK836">
        <v>26321.508333333302</v>
      </c>
      <c r="BL836">
        <v>26889.513333333423</v>
      </c>
      <c r="BM836">
        <v>27457.518333333312</v>
      </c>
      <c r="BN836">
        <v>28025.523333333433</v>
      </c>
      <c r="BO836">
        <v>28593.528333333321</v>
      </c>
      <c r="BP836">
        <v>29161.533333333209</v>
      </c>
      <c r="BQ836">
        <v>29729.53833333333</v>
      </c>
      <c r="BR836">
        <v>30297.543333333218</v>
      </c>
      <c r="BS836">
        <v>30865.54833333334</v>
      </c>
      <c r="BT836">
        <v>31433.553333333228</v>
      </c>
      <c r="BU836">
        <v>32001.558333333349</v>
      </c>
      <c r="BV836">
        <v>32569.563333333237</v>
      </c>
      <c r="BW836">
        <v>33137.568333333358</v>
      </c>
      <c r="BX836">
        <v>33705.573333333246</v>
      </c>
      <c r="BY836">
        <v>34273.578333333367</v>
      </c>
      <c r="BZ836">
        <v>34841.583333333256</v>
      </c>
      <c r="CA836">
        <v>35409.588333333377</v>
      </c>
      <c r="CB836">
        <v>35977.593333333265</v>
      </c>
      <c r="CC836">
        <v>36545.598333333386</v>
      </c>
      <c r="CD836">
        <v>37113.603333333274</v>
      </c>
      <c r="CE836">
        <v>37681.608333333395</v>
      </c>
      <c r="CF836">
        <v>38249.613333333284</v>
      </c>
      <c r="CG836">
        <v>38817.618333333405</v>
      </c>
      <c r="CH836">
        <v>39385.623333333293</v>
      </c>
      <c r="CI836">
        <v>39953.628333333414</v>
      </c>
      <c r="CJ836">
        <v>40521.633333333302</v>
      </c>
      <c r="CK836">
        <v>41089.638333333423</v>
      </c>
      <c r="CL836">
        <v>41657.643333333312</v>
      </c>
      <c r="CM836">
        <v>42225.6483333332</v>
      </c>
      <c r="CN836">
        <v>42793.653333333321</v>
      </c>
    </row>
    <row r="837" spans="1:92" x14ac:dyDescent="0.25">
      <c r="A837" s="99" t="s">
        <v>1</v>
      </c>
      <c r="B837" s="4">
        <v>0</v>
      </c>
      <c r="C837" s="4">
        <v>0</v>
      </c>
      <c r="D837" s="4">
        <v>0</v>
      </c>
      <c r="E837" s="4">
        <v>0</v>
      </c>
      <c r="F837" s="4">
        <v>0</v>
      </c>
      <c r="G837" s="4">
        <v>0</v>
      </c>
      <c r="H837" s="4">
        <v>0</v>
      </c>
      <c r="I837" s="4">
        <v>0</v>
      </c>
      <c r="J837" s="4">
        <v>0</v>
      </c>
      <c r="K837" s="4">
        <v>0</v>
      </c>
      <c r="L837" s="4">
        <v>0</v>
      </c>
      <c r="M837" s="4">
        <v>0</v>
      </c>
      <c r="N837" s="4">
        <v>0</v>
      </c>
      <c r="O837" s="4">
        <v>0</v>
      </c>
      <c r="P837" s="4">
        <v>0</v>
      </c>
      <c r="Q837" s="4">
        <v>0</v>
      </c>
      <c r="R837" s="4">
        <v>0</v>
      </c>
      <c r="S837" s="4">
        <v>0</v>
      </c>
      <c r="T837" s="4">
        <v>0</v>
      </c>
      <c r="U837" s="4">
        <v>0</v>
      </c>
      <c r="V837" s="4">
        <v>0</v>
      </c>
      <c r="W837" s="4">
        <v>0</v>
      </c>
      <c r="X837" s="4">
        <v>0</v>
      </c>
      <c r="Y837" s="4">
        <v>0</v>
      </c>
      <c r="Z837" s="4">
        <v>0</v>
      </c>
      <c r="AA837" s="4">
        <v>0</v>
      </c>
      <c r="AB837" s="4">
        <v>0</v>
      </c>
      <c r="AC837" s="4">
        <v>0</v>
      </c>
      <c r="AD837" s="4">
        <v>0</v>
      </c>
      <c r="AE837" s="4">
        <v>0</v>
      </c>
      <c r="AF837">
        <v>1031.1173333333354</v>
      </c>
      <c r="AG837">
        <v>1055.1558333333378</v>
      </c>
      <c r="AH837">
        <v>1079.1943333333329</v>
      </c>
      <c r="AI837">
        <v>1103.2328333333353</v>
      </c>
      <c r="AJ837">
        <v>1127.2713333333377</v>
      </c>
      <c r="AK837">
        <v>1151.3098333333328</v>
      </c>
      <c r="AL837">
        <v>1175.3483333333352</v>
      </c>
      <c r="AM837">
        <v>1199.3868333333376</v>
      </c>
      <c r="AN837">
        <v>1223.4253333333327</v>
      </c>
      <c r="AO837">
        <v>1247.4638333333351</v>
      </c>
      <c r="AP837">
        <v>1271.5023333333374</v>
      </c>
      <c r="AQ837">
        <v>1295.5408333333326</v>
      </c>
      <c r="AR837">
        <v>1319.5793333333349</v>
      </c>
      <c r="AS837">
        <v>1343.6178333333373</v>
      </c>
      <c r="AT837">
        <v>1367.6563333333324</v>
      </c>
      <c r="AU837">
        <v>1391.6948333333348</v>
      </c>
      <c r="AV837">
        <v>1415.7333333333372</v>
      </c>
      <c r="AW837">
        <v>1439.7718333333323</v>
      </c>
      <c r="AX837">
        <v>1463.8103333333347</v>
      </c>
      <c r="AY837">
        <v>1487.8488333333371</v>
      </c>
      <c r="AZ837">
        <v>1511.8873333333322</v>
      </c>
      <c r="BA837">
        <v>1535.9258333333346</v>
      </c>
      <c r="BB837">
        <v>1559.964333333337</v>
      </c>
      <c r="BC837">
        <v>1584.0028333333321</v>
      </c>
      <c r="BD837">
        <v>1608.0413333333345</v>
      </c>
      <c r="BE837">
        <v>1632.0798333333369</v>
      </c>
      <c r="BF837">
        <v>1656.118333333332</v>
      </c>
      <c r="BG837">
        <v>1680.1568333333344</v>
      </c>
      <c r="BH837">
        <v>1704.1953333333367</v>
      </c>
      <c r="BI837">
        <v>1728.2338333333391</v>
      </c>
      <c r="BJ837">
        <v>1752.2723333333342</v>
      </c>
      <c r="BK837">
        <v>1776.3108333333366</v>
      </c>
      <c r="BL837">
        <v>1800.349333333339</v>
      </c>
      <c r="BM837">
        <v>1824.3878333333341</v>
      </c>
      <c r="BN837">
        <v>1848.4263333333365</v>
      </c>
      <c r="BO837">
        <v>1872.4648333333389</v>
      </c>
      <c r="BP837">
        <v>1896.503333333334</v>
      </c>
      <c r="BQ837">
        <v>1920.5418333333364</v>
      </c>
      <c r="BR837">
        <v>1944.5803333333388</v>
      </c>
      <c r="BS837">
        <v>1968.6188333333339</v>
      </c>
      <c r="BT837">
        <v>1992.6573333333363</v>
      </c>
      <c r="BU837">
        <v>2016.6958333333387</v>
      </c>
      <c r="BV837">
        <v>2040.7343333333338</v>
      </c>
      <c r="BW837">
        <v>2064.7728333333362</v>
      </c>
      <c r="BX837">
        <v>2088.8113333333386</v>
      </c>
      <c r="BY837">
        <v>2112.8498333333337</v>
      </c>
      <c r="BZ837">
        <v>2136.888333333336</v>
      </c>
      <c r="CA837">
        <v>2160.9268333333384</v>
      </c>
      <c r="CB837">
        <v>2184.9653333333335</v>
      </c>
      <c r="CC837">
        <v>2209.0038333333359</v>
      </c>
      <c r="CD837">
        <v>2233.0423333333383</v>
      </c>
      <c r="CE837">
        <v>2257.0808333333334</v>
      </c>
      <c r="CF837">
        <v>2281.1193333333358</v>
      </c>
      <c r="CG837">
        <v>2305.1578333333382</v>
      </c>
      <c r="CH837">
        <v>2329.1963333333333</v>
      </c>
      <c r="CI837">
        <v>2353.2348333333357</v>
      </c>
      <c r="CJ837">
        <v>2377.2733333333381</v>
      </c>
      <c r="CK837">
        <v>2401.3118333333332</v>
      </c>
      <c r="CL837">
        <v>2425.3503333333356</v>
      </c>
      <c r="CM837">
        <v>2449.388833333338</v>
      </c>
      <c r="CN837">
        <v>2473.4273333333331</v>
      </c>
    </row>
    <row r="838" spans="1:92" x14ac:dyDescent="0.25">
      <c r="A838" s="99" t="s">
        <v>1</v>
      </c>
      <c r="B838" s="4">
        <v>0</v>
      </c>
      <c r="C838" s="4">
        <v>0</v>
      </c>
      <c r="D838" s="4">
        <v>0</v>
      </c>
      <c r="E838" s="4">
        <v>0</v>
      </c>
      <c r="F838" s="4">
        <v>0</v>
      </c>
      <c r="G838" s="4">
        <v>0</v>
      </c>
      <c r="H838" s="4">
        <v>0</v>
      </c>
      <c r="I838" s="4">
        <v>0</v>
      </c>
      <c r="J838" s="4">
        <v>0</v>
      </c>
      <c r="K838" s="4">
        <v>0</v>
      </c>
      <c r="L838" s="4">
        <v>0</v>
      </c>
      <c r="M838" s="4">
        <v>0</v>
      </c>
      <c r="N838" s="4">
        <v>0</v>
      </c>
      <c r="O838" s="4">
        <v>0</v>
      </c>
      <c r="P838" s="4">
        <v>0</v>
      </c>
      <c r="Q838" s="4">
        <v>0</v>
      </c>
      <c r="R838" s="4">
        <v>0</v>
      </c>
      <c r="S838" s="4">
        <v>0</v>
      </c>
      <c r="T838" s="4">
        <v>0</v>
      </c>
      <c r="U838" s="4">
        <v>0</v>
      </c>
      <c r="V838" s="4">
        <v>0</v>
      </c>
      <c r="W838" s="4">
        <v>0</v>
      </c>
      <c r="X838" s="4">
        <v>0</v>
      </c>
      <c r="Y838" s="4">
        <v>0</v>
      </c>
      <c r="Z838" s="4">
        <v>0</v>
      </c>
      <c r="AA838" s="4">
        <v>0</v>
      </c>
      <c r="AB838" s="4">
        <v>0</v>
      </c>
      <c r="AC838" s="4">
        <v>0</v>
      </c>
      <c r="AD838" s="4">
        <v>0</v>
      </c>
      <c r="AE838" s="4">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v>0</v>
      </c>
      <c r="BT838">
        <v>0</v>
      </c>
      <c r="BU838">
        <v>0</v>
      </c>
      <c r="BV838">
        <v>0</v>
      </c>
      <c r="BW838">
        <v>0</v>
      </c>
      <c r="BX838">
        <v>0</v>
      </c>
      <c r="BY838">
        <v>0</v>
      </c>
      <c r="BZ838">
        <v>0</v>
      </c>
      <c r="CA838">
        <v>0</v>
      </c>
      <c r="CB838">
        <v>0</v>
      </c>
      <c r="CC838">
        <v>0</v>
      </c>
      <c r="CD838">
        <v>0</v>
      </c>
      <c r="CE838">
        <v>0</v>
      </c>
      <c r="CF838">
        <v>0</v>
      </c>
      <c r="CG838">
        <v>0</v>
      </c>
      <c r="CH838">
        <v>0</v>
      </c>
      <c r="CI838">
        <v>0</v>
      </c>
      <c r="CJ838">
        <v>0</v>
      </c>
      <c r="CK838">
        <v>0</v>
      </c>
      <c r="CL838">
        <v>0</v>
      </c>
      <c r="CM838">
        <v>0</v>
      </c>
      <c r="CN838">
        <v>0</v>
      </c>
    </row>
    <row r="839" spans="1:92" x14ac:dyDescent="0.25">
      <c r="A839" s="99" t="s">
        <v>1</v>
      </c>
      <c r="B839" s="4">
        <v>0</v>
      </c>
      <c r="C839" s="4">
        <v>0</v>
      </c>
      <c r="D839" s="4">
        <v>0</v>
      </c>
      <c r="E839" s="4">
        <v>0</v>
      </c>
      <c r="F839" s="4">
        <v>0</v>
      </c>
      <c r="G839" s="4">
        <v>0</v>
      </c>
      <c r="H839" s="4">
        <v>0</v>
      </c>
      <c r="I839" s="4">
        <v>0</v>
      </c>
      <c r="J839" s="4">
        <v>0</v>
      </c>
      <c r="K839" s="4">
        <v>0</v>
      </c>
      <c r="L839" s="4">
        <v>0</v>
      </c>
      <c r="M839" s="4">
        <v>0</v>
      </c>
      <c r="N839" s="4">
        <v>0</v>
      </c>
      <c r="O839" s="4">
        <v>0</v>
      </c>
      <c r="P839" s="4">
        <v>0</v>
      </c>
      <c r="Q839" s="4">
        <v>0</v>
      </c>
      <c r="R839" s="4">
        <v>0</v>
      </c>
      <c r="S839" s="4">
        <v>0</v>
      </c>
      <c r="T839" s="4">
        <v>0</v>
      </c>
      <c r="U839" s="4">
        <v>0</v>
      </c>
      <c r="V839" s="4">
        <v>0</v>
      </c>
      <c r="W839" s="4">
        <v>0</v>
      </c>
      <c r="X839" s="4">
        <v>0</v>
      </c>
      <c r="Y839" s="4">
        <v>0</v>
      </c>
      <c r="Z839" s="4">
        <v>0</v>
      </c>
      <c r="AA839" s="4">
        <v>0</v>
      </c>
      <c r="AB839" s="4">
        <v>0</v>
      </c>
      <c r="AC839" s="4">
        <v>0</v>
      </c>
      <c r="AD839" s="4">
        <v>0</v>
      </c>
      <c r="AE839" s="4">
        <v>0</v>
      </c>
      <c r="AF839">
        <v>-173.80799999996088</v>
      </c>
      <c r="AG839">
        <v>101.64249999995809</v>
      </c>
      <c r="AH839">
        <v>377.09299999999348</v>
      </c>
      <c r="AI839">
        <v>652.54350000002887</v>
      </c>
      <c r="AJ839">
        <v>927.99399999994785</v>
      </c>
      <c r="AK839">
        <v>1203.4444999999832</v>
      </c>
      <c r="AL839">
        <v>1478.8950000000186</v>
      </c>
      <c r="AM839">
        <v>1754.3454999999376</v>
      </c>
      <c r="AN839">
        <v>2029.795999999973</v>
      </c>
      <c r="AO839">
        <v>2305.2465000000084</v>
      </c>
      <c r="AP839">
        <v>2580.6970000000438</v>
      </c>
      <c r="AQ839">
        <v>2856.1474999999627</v>
      </c>
      <c r="AR839">
        <v>3131.5979999999981</v>
      </c>
      <c r="AS839">
        <v>3407.0485000000335</v>
      </c>
      <c r="AT839">
        <v>3682.4989999999525</v>
      </c>
      <c r="AU839">
        <v>3957.9494999999879</v>
      </c>
      <c r="AV839">
        <v>4233.4000000000233</v>
      </c>
      <c r="AW839">
        <v>4508.8504999999423</v>
      </c>
      <c r="AX839">
        <v>4784.3009999999776</v>
      </c>
      <c r="AY839">
        <v>5059.751500000013</v>
      </c>
      <c r="AZ839">
        <v>5335.2020000000484</v>
      </c>
      <c r="BA839">
        <v>5610.6524999999674</v>
      </c>
      <c r="BB839">
        <v>5886.1030000000028</v>
      </c>
      <c r="BC839">
        <v>6161.5535000000382</v>
      </c>
      <c r="BD839">
        <v>6437.0039999999572</v>
      </c>
      <c r="BE839">
        <v>6712.4544999999925</v>
      </c>
      <c r="BF839">
        <v>6987.9050000000279</v>
      </c>
      <c r="BG839">
        <v>7263.3554999999469</v>
      </c>
      <c r="BH839">
        <v>7538.8059999999823</v>
      </c>
      <c r="BI839">
        <v>7814.2565000000177</v>
      </c>
      <c r="BJ839">
        <v>8089.7070000000531</v>
      </c>
      <c r="BK839">
        <v>8365.1574999999721</v>
      </c>
      <c r="BL839">
        <v>8640.6080000000075</v>
      </c>
      <c r="BM839">
        <v>8916.0585000000428</v>
      </c>
      <c r="BN839">
        <v>9191.5089999999618</v>
      </c>
      <c r="BO839">
        <v>9466.9594999999972</v>
      </c>
      <c r="BP839">
        <v>9742.4100000000326</v>
      </c>
      <c r="BQ839">
        <v>10017.860499999952</v>
      </c>
      <c r="BR839">
        <v>10293.310999999987</v>
      </c>
      <c r="BS839">
        <v>10568.761500000022</v>
      </c>
      <c r="BT839">
        <v>10844.211999999941</v>
      </c>
      <c r="BU839">
        <v>11119.662499999977</v>
      </c>
      <c r="BV839">
        <v>11395.113000000012</v>
      </c>
      <c r="BW839">
        <v>11670.563500000047</v>
      </c>
      <c r="BX839">
        <v>11946.013999999966</v>
      </c>
      <c r="BY839">
        <v>12221.464500000002</v>
      </c>
      <c r="BZ839">
        <v>12496.915000000037</v>
      </c>
      <c r="CA839">
        <v>12772.365499999956</v>
      </c>
      <c r="CB839">
        <v>13047.815999999992</v>
      </c>
      <c r="CC839">
        <v>13323.266500000027</v>
      </c>
      <c r="CD839">
        <v>13598.716999999946</v>
      </c>
      <c r="CE839">
        <v>13874.167499999981</v>
      </c>
      <c r="CF839">
        <v>14149.618000000017</v>
      </c>
      <c r="CG839">
        <v>14425.068500000052</v>
      </c>
      <c r="CH839">
        <v>14700.518999999971</v>
      </c>
      <c r="CI839">
        <v>14975.969500000007</v>
      </c>
      <c r="CJ839">
        <v>15251.420000000042</v>
      </c>
      <c r="CK839">
        <v>15526.870499999961</v>
      </c>
      <c r="CL839">
        <v>15802.320999999996</v>
      </c>
      <c r="CM839">
        <v>16077.771500000032</v>
      </c>
      <c r="CN839">
        <v>16353.221999999951</v>
      </c>
    </row>
    <row r="840" spans="1:92" x14ac:dyDescent="0.25">
      <c r="A840" s="99" t="s">
        <v>1</v>
      </c>
      <c r="B840" s="4">
        <v>0</v>
      </c>
      <c r="C840" s="4">
        <v>0</v>
      </c>
      <c r="D840" s="4">
        <v>0</v>
      </c>
      <c r="E840" s="4">
        <v>0</v>
      </c>
      <c r="F840" s="4">
        <v>0</v>
      </c>
      <c r="G840" s="4">
        <v>0</v>
      </c>
      <c r="H840" s="4">
        <v>0</v>
      </c>
      <c r="I840" s="4">
        <v>0</v>
      </c>
      <c r="J840" s="4">
        <v>0</v>
      </c>
      <c r="K840" s="4">
        <v>0</v>
      </c>
      <c r="L840" s="4">
        <v>0</v>
      </c>
      <c r="M840" s="4">
        <v>0</v>
      </c>
      <c r="N840" s="4">
        <v>0</v>
      </c>
      <c r="O840" s="4">
        <v>0</v>
      </c>
      <c r="P840" s="4">
        <v>0</v>
      </c>
      <c r="Q840" s="4">
        <v>0</v>
      </c>
      <c r="R840" s="4">
        <v>0</v>
      </c>
      <c r="S840" s="4">
        <v>0</v>
      </c>
      <c r="T840" s="4">
        <v>0</v>
      </c>
      <c r="U840" s="4">
        <v>0</v>
      </c>
      <c r="V840" s="4">
        <v>0</v>
      </c>
      <c r="W840" s="4">
        <v>0</v>
      </c>
      <c r="X840" s="4">
        <v>0</v>
      </c>
      <c r="Y840" s="4">
        <v>0</v>
      </c>
      <c r="Z840" s="4">
        <v>0</v>
      </c>
      <c r="AA840" s="4">
        <v>0</v>
      </c>
      <c r="AB840" s="4">
        <v>0</v>
      </c>
      <c r="AC840" s="4">
        <v>0</v>
      </c>
      <c r="AD840" s="4">
        <v>0</v>
      </c>
      <c r="AE840" s="4">
        <v>0</v>
      </c>
      <c r="AF840">
        <v>347.66000000000349</v>
      </c>
      <c r="AG840">
        <v>359.97916666666788</v>
      </c>
      <c r="AH840">
        <v>372.2983333333359</v>
      </c>
      <c r="AI840">
        <v>384.61750000000029</v>
      </c>
      <c r="AJ840">
        <v>396.93666666666832</v>
      </c>
      <c r="AK840">
        <v>409.25583333333634</v>
      </c>
      <c r="AL840">
        <v>421.57500000000073</v>
      </c>
      <c r="AM840">
        <v>433.89416666666875</v>
      </c>
      <c r="AN840">
        <v>446.21333333333678</v>
      </c>
      <c r="AO840">
        <v>458.53250000000116</v>
      </c>
      <c r="AP840">
        <v>470.85166666666919</v>
      </c>
      <c r="AQ840">
        <v>483.17083333333721</v>
      </c>
      <c r="AR840">
        <v>495.4900000000016</v>
      </c>
      <c r="AS840">
        <v>507.80916666666963</v>
      </c>
      <c r="AT840">
        <v>520.12833333333401</v>
      </c>
      <c r="AU840">
        <v>532.44750000000204</v>
      </c>
      <c r="AV840">
        <v>544.76666666667006</v>
      </c>
      <c r="AW840">
        <v>557.08583333333445</v>
      </c>
      <c r="AX840">
        <v>569.40500000000247</v>
      </c>
      <c r="AY840">
        <v>581.7241666666705</v>
      </c>
      <c r="AZ840">
        <v>594.04333333333489</v>
      </c>
      <c r="BA840">
        <v>606.36250000000291</v>
      </c>
      <c r="BB840">
        <v>618.6816666666673</v>
      </c>
      <c r="BC840">
        <v>631.00083333333532</v>
      </c>
      <c r="BD840">
        <v>643.32000000000335</v>
      </c>
      <c r="BE840">
        <v>655.63916666666773</v>
      </c>
      <c r="BF840">
        <v>667.95833333333576</v>
      </c>
      <c r="BG840">
        <v>680.27750000000378</v>
      </c>
      <c r="BH840">
        <v>692.59666666666817</v>
      </c>
      <c r="BI840">
        <v>704.9158333333362</v>
      </c>
      <c r="BJ840">
        <v>717.23500000000058</v>
      </c>
      <c r="BK840">
        <v>729.55416666666861</v>
      </c>
      <c r="BL840">
        <v>741.87333333333663</v>
      </c>
      <c r="BM840">
        <v>754.19250000000102</v>
      </c>
      <c r="BN840">
        <v>766.51166666666904</v>
      </c>
      <c r="BO840">
        <v>778.83083333333707</v>
      </c>
      <c r="BP840">
        <v>791.15000000000146</v>
      </c>
      <c r="BQ840">
        <v>803.46916666666948</v>
      </c>
      <c r="BR840">
        <v>815.78833333333387</v>
      </c>
      <c r="BS840">
        <v>828.10750000000189</v>
      </c>
      <c r="BT840">
        <v>840.42666666666992</v>
      </c>
      <c r="BU840">
        <v>852.7458333333343</v>
      </c>
      <c r="BV840">
        <v>865.06500000000233</v>
      </c>
      <c r="BW840">
        <v>877.38416666667035</v>
      </c>
      <c r="BX840">
        <v>889.70333333333474</v>
      </c>
      <c r="BY840">
        <v>902.02250000000276</v>
      </c>
      <c r="BZ840">
        <v>914.34166666666715</v>
      </c>
      <c r="CA840">
        <v>926.66083333333518</v>
      </c>
      <c r="CB840">
        <v>938.9800000000032</v>
      </c>
      <c r="CC840">
        <v>951.29916666666759</v>
      </c>
      <c r="CD840">
        <v>963.61833333333561</v>
      </c>
      <c r="CE840">
        <v>975.93750000000364</v>
      </c>
      <c r="CF840">
        <v>988.25666666666802</v>
      </c>
      <c r="CG840">
        <v>1000.575833333336</v>
      </c>
      <c r="CH840">
        <v>1012.8950000000004</v>
      </c>
      <c r="CI840">
        <v>1025.2141666666685</v>
      </c>
      <c r="CJ840">
        <v>1037.5333333333365</v>
      </c>
      <c r="CK840">
        <v>1049.8525000000009</v>
      </c>
      <c r="CL840">
        <v>1062.1716666666689</v>
      </c>
      <c r="CM840">
        <v>1074.4908333333369</v>
      </c>
      <c r="CN840">
        <v>1086.8100000000013</v>
      </c>
    </row>
    <row r="841" spans="1:92" x14ac:dyDescent="0.25">
      <c r="A841" s="44"/>
    </row>
    <row r="842" spans="1:92" x14ac:dyDescent="0.25">
      <c r="A842" s="99" t="s">
        <v>328</v>
      </c>
      <c r="B842" s="4">
        <v>0</v>
      </c>
      <c r="C842" s="4">
        <v>0</v>
      </c>
      <c r="D842" s="4">
        <v>0</v>
      </c>
      <c r="E842" s="4">
        <v>0</v>
      </c>
      <c r="F842" s="4">
        <v>0</v>
      </c>
      <c r="G842" s="4">
        <v>0</v>
      </c>
      <c r="H842" s="4">
        <v>0</v>
      </c>
      <c r="I842" s="4">
        <v>0</v>
      </c>
      <c r="J842" s="4">
        <v>0</v>
      </c>
      <c r="K842" s="4">
        <v>0</v>
      </c>
      <c r="L842" s="4">
        <v>0</v>
      </c>
      <c r="M842" s="4">
        <v>0</v>
      </c>
      <c r="N842" s="4">
        <v>0</v>
      </c>
      <c r="O842" s="4">
        <v>0</v>
      </c>
      <c r="P842" s="4">
        <v>0</v>
      </c>
      <c r="Q842" s="4">
        <v>0</v>
      </c>
      <c r="R842" s="4">
        <v>0</v>
      </c>
      <c r="S842" s="4">
        <v>0</v>
      </c>
      <c r="T842" s="4">
        <v>0</v>
      </c>
      <c r="U842" s="4">
        <v>0</v>
      </c>
      <c r="V842" s="4">
        <v>0</v>
      </c>
      <c r="W842" s="4">
        <v>0</v>
      </c>
      <c r="X842" s="4">
        <v>0</v>
      </c>
      <c r="Y842" s="4">
        <v>0</v>
      </c>
      <c r="Z842" s="4">
        <v>0</v>
      </c>
      <c r="AA842" s="4">
        <v>0</v>
      </c>
      <c r="AB842" s="4">
        <v>0</v>
      </c>
      <c r="AC842" s="4">
        <v>0</v>
      </c>
      <c r="AD842" s="4">
        <v>0</v>
      </c>
      <c r="AE842" s="4">
        <v>0</v>
      </c>
      <c r="AF842">
        <v>1368.596000000005</v>
      </c>
      <c r="AG842">
        <v>1324.5816666666651</v>
      </c>
      <c r="AH842">
        <v>1280.5673333333398</v>
      </c>
      <c r="AI842">
        <v>1236.5529999999999</v>
      </c>
      <c r="AJ842">
        <v>1192.5386666666745</v>
      </c>
      <c r="AK842">
        <v>1148.5243333333347</v>
      </c>
      <c r="AL842">
        <v>1104.5100000000093</v>
      </c>
      <c r="AM842">
        <v>1060.4956666666694</v>
      </c>
      <c r="AN842">
        <v>1016.4813333333295</v>
      </c>
      <c r="AO842">
        <v>972.46700000000419</v>
      </c>
      <c r="AP842">
        <v>928.4526666666643</v>
      </c>
      <c r="AQ842">
        <v>884.43833333333896</v>
      </c>
      <c r="AR842">
        <v>840.42399999999907</v>
      </c>
      <c r="AS842">
        <v>796.40966666667373</v>
      </c>
      <c r="AT842">
        <v>752.39533333333384</v>
      </c>
      <c r="AU842">
        <v>708.3810000000085</v>
      </c>
      <c r="AV842">
        <v>664.36666666666861</v>
      </c>
      <c r="AW842">
        <v>620.35233333334327</v>
      </c>
      <c r="AX842">
        <v>576.33800000000338</v>
      </c>
      <c r="AY842">
        <v>532.32366666666348</v>
      </c>
      <c r="AZ842">
        <v>488.30933333333815</v>
      </c>
      <c r="BA842">
        <v>444.29499999999825</v>
      </c>
      <c r="BB842">
        <v>400.28066666667291</v>
      </c>
      <c r="BC842">
        <v>356.26633333333302</v>
      </c>
      <c r="BD842">
        <v>312.25200000000768</v>
      </c>
      <c r="BE842">
        <v>268.23766666666779</v>
      </c>
      <c r="BF842">
        <v>224.22333333334245</v>
      </c>
      <c r="BG842">
        <v>180.20900000000256</v>
      </c>
      <c r="BH842">
        <v>136.19466666666267</v>
      </c>
      <c r="BI842">
        <v>92.18033333333733</v>
      </c>
      <c r="BJ842">
        <v>48.165999999997439</v>
      </c>
      <c r="BK842">
        <v>114.1875</v>
      </c>
      <c r="BL842">
        <v>70.173166666667385</v>
      </c>
      <c r="BM842">
        <v>81.176749999998719</v>
      </c>
      <c r="BN842">
        <v>92.180333333333692</v>
      </c>
      <c r="BO842">
        <v>75.674958333333052</v>
      </c>
      <c r="BP842">
        <v>86.678541666666206</v>
      </c>
      <c r="BQ842">
        <v>83.927645833333372</v>
      </c>
      <c r="BR842">
        <v>81.176749999999629</v>
      </c>
      <c r="BS842">
        <v>85.303093749999789</v>
      </c>
      <c r="BT842">
        <v>82.552197916666501</v>
      </c>
      <c r="BU842">
        <v>83.239921874999709</v>
      </c>
      <c r="BV842">
        <v>83.927645833333145</v>
      </c>
      <c r="BW842">
        <v>82.896059895833105</v>
      </c>
      <c r="BX842">
        <v>83.583783854166427</v>
      </c>
      <c r="BY842">
        <v>83.411852864583125</v>
      </c>
      <c r="BZ842">
        <v>83.239921874999766</v>
      </c>
      <c r="CA842">
        <v>83.497818359374776</v>
      </c>
      <c r="CB842">
        <v>83.325887369791445</v>
      </c>
      <c r="CC842">
        <v>83.368870117187271</v>
      </c>
      <c r="CD842">
        <v>83.411852864583111</v>
      </c>
      <c r="CE842">
        <v>83.347378743489358</v>
      </c>
      <c r="CF842">
        <v>83.390361490885198</v>
      </c>
      <c r="CG842">
        <v>83.379615804036234</v>
      </c>
      <c r="CH842">
        <v>83.368870117187271</v>
      </c>
      <c r="CI842">
        <v>83.384988647460716</v>
      </c>
      <c r="CJ842">
        <v>83.374242960611753</v>
      </c>
      <c r="CK842">
        <v>83.376929382323993</v>
      </c>
      <c r="CL842">
        <v>83.379615804036234</v>
      </c>
      <c r="CM842">
        <v>83.375586171467873</v>
      </c>
      <c r="CN842">
        <v>83.378272593180114</v>
      </c>
    </row>
    <row r="843" spans="1:92" x14ac:dyDescent="0.25">
      <c r="A843" s="99"/>
    </row>
    <row r="844" spans="1:92" s="50" customFormat="1" x14ac:dyDescent="0.25">
      <c r="A844" s="99" t="s">
        <v>329</v>
      </c>
      <c r="B844" s="4">
        <v>0</v>
      </c>
      <c r="C844" s="4">
        <v>0</v>
      </c>
      <c r="D844" s="4">
        <v>0</v>
      </c>
      <c r="E844" s="4">
        <v>0</v>
      </c>
      <c r="F844" s="4">
        <v>0</v>
      </c>
      <c r="G844" s="4">
        <v>0</v>
      </c>
      <c r="H844" s="4">
        <v>0</v>
      </c>
      <c r="I844" s="4">
        <v>0</v>
      </c>
      <c r="J844" s="4">
        <v>0</v>
      </c>
      <c r="K844" s="4">
        <v>0</v>
      </c>
      <c r="L844" s="4">
        <v>0</v>
      </c>
      <c r="M844" s="4">
        <v>0</v>
      </c>
      <c r="N844" s="4">
        <v>0</v>
      </c>
      <c r="O844" s="4">
        <v>0</v>
      </c>
      <c r="P844" s="4">
        <v>0</v>
      </c>
      <c r="Q844" s="4">
        <v>0</v>
      </c>
      <c r="R844" s="4">
        <v>0</v>
      </c>
      <c r="S844" s="4">
        <v>0</v>
      </c>
      <c r="T844" s="4">
        <v>0</v>
      </c>
      <c r="U844" s="4">
        <v>0</v>
      </c>
      <c r="V844" s="4">
        <v>0</v>
      </c>
      <c r="W844" s="4">
        <v>0</v>
      </c>
      <c r="X844" s="4">
        <v>0</v>
      </c>
      <c r="Y844" s="4">
        <v>0</v>
      </c>
      <c r="Z844" s="4">
        <v>0</v>
      </c>
      <c r="AA844" s="4">
        <v>0</v>
      </c>
      <c r="AB844" s="4">
        <v>0</v>
      </c>
      <c r="AC844" s="4">
        <v>0</v>
      </c>
      <c r="AD844" s="4">
        <v>0</v>
      </c>
      <c r="AE844" s="4">
        <v>0</v>
      </c>
      <c r="AF844" s="50">
        <v>335.43654401174035</v>
      </c>
      <c r="AG844" s="50">
        <v>336.036407840621</v>
      </c>
      <c r="AH844" s="50">
        <v>336.63627166950141</v>
      </c>
      <c r="AI844" s="50">
        <v>337.23613549838183</v>
      </c>
      <c r="AJ844" s="50">
        <v>337.83599932726247</v>
      </c>
      <c r="AK844" s="50">
        <v>338.43586315614289</v>
      </c>
      <c r="AL844" s="50">
        <v>339.0357269850233</v>
      </c>
      <c r="AM844" s="50">
        <v>339.63559081390395</v>
      </c>
      <c r="AN844" s="50">
        <v>340.23545464278436</v>
      </c>
      <c r="AO844" s="50">
        <v>340.835318471665</v>
      </c>
      <c r="AP844" s="50">
        <v>341.43518230054542</v>
      </c>
      <c r="AQ844" s="50">
        <v>342.03504612942584</v>
      </c>
      <c r="AR844" s="50">
        <v>342.63490995830648</v>
      </c>
      <c r="AS844" s="50">
        <v>343.2347737871869</v>
      </c>
      <c r="AT844" s="50">
        <v>343.83463761606754</v>
      </c>
      <c r="AU844" s="50">
        <v>344.43450144494795</v>
      </c>
      <c r="AV844" s="50">
        <v>345.03436527382837</v>
      </c>
      <c r="AW844" s="50">
        <v>345.63422910270901</v>
      </c>
      <c r="AX844" s="50">
        <v>346.23409293158943</v>
      </c>
      <c r="AY844" s="50">
        <v>346.83395676046985</v>
      </c>
      <c r="AZ844" s="50">
        <v>347.43382058935049</v>
      </c>
      <c r="BA844" s="50">
        <v>348.03368441823091</v>
      </c>
      <c r="BB844" s="50">
        <v>348.63354824711132</v>
      </c>
      <c r="BC844" s="50">
        <v>349.23341207599196</v>
      </c>
      <c r="BD844" s="50">
        <v>349.83327590487238</v>
      </c>
      <c r="BE844" s="50">
        <v>350.43313973375302</v>
      </c>
      <c r="BF844" s="50">
        <v>351.03300356263344</v>
      </c>
      <c r="BG844" s="50">
        <v>351.63286739151386</v>
      </c>
      <c r="BH844" s="50">
        <v>352.2327312203945</v>
      </c>
      <c r="BI844" s="50">
        <v>352.83259504927491</v>
      </c>
      <c r="BJ844" s="50">
        <v>353.43245887815556</v>
      </c>
      <c r="BK844" s="50">
        <v>354.03232270703597</v>
      </c>
      <c r="BL844" s="50">
        <v>354.63218653591639</v>
      </c>
      <c r="BM844" s="50">
        <v>355.23205036479703</v>
      </c>
      <c r="BN844" s="50">
        <v>355.83191419367745</v>
      </c>
      <c r="BO844" s="50">
        <v>356.43177802255786</v>
      </c>
      <c r="BP844" s="50">
        <v>357.03164185143851</v>
      </c>
      <c r="BQ844" s="50">
        <v>357.63150568031892</v>
      </c>
      <c r="BR844" s="50">
        <v>358.23136950919934</v>
      </c>
      <c r="BS844" s="50">
        <v>358.83123333807998</v>
      </c>
      <c r="BT844" s="50">
        <v>359.4310971669604</v>
      </c>
      <c r="BU844" s="50">
        <v>360.03096099584104</v>
      </c>
      <c r="BV844" s="50">
        <v>360.63082482472146</v>
      </c>
      <c r="BW844" s="50">
        <v>361.23068865360187</v>
      </c>
      <c r="BX844" s="50">
        <v>361.83055248248252</v>
      </c>
      <c r="BY844" s="50">
        <v>362.43041631136293</v>
      </c>
      <c r="BZ844" s="50">
        <v>363.03028014024358</v>
      </c>
      <c r="CA844" s="50">
        <v>363.63014396912399</v>
      </c>
      <c r="CB844" s="50">
        <v>364.23000779800441</v>
      </c>
      <c r="CC844" s="50">
        <v>364.82987162688505</v>
      </c>
      <c r="CD844" s="50">
        <v>365.42973545576547</v>
      </c>
      <c r="CE844" s="50">
        <v>366.02959928464588</v>
      </c>
      <c r="CF844" s="50">
        <v>366.62946311352653</v>
      </c>
      <c r="CG844" s="50">
        <v>367.22932694240694</v>
      </c>
      <c r="CH844" s="50">
        <v>367.82919077128736</v>
      </c>
      <c r="CI844" s="50">
        <v>368.429054600168</v>
      </c>
      <c r="CJ844" s="50">
        <v>369.02891842904842</v>
      </c>
      <c r="CK844" s="50">
        <v>369.62878225792906</v>
      </c>
      <c r="CL844" s="50">
        <v>370.22864608680948</v>
      </c>
      <c r="CM844" s="50">
        <v>370.82850991568989</v>
      </c>
      <c r="CN844" s="50">
        <v>371.42837374457054</v>
      </c>
    </row>
    <row r="845" spans="1:92" s="50" customFormat="1" x14ac:dyDescent="0.25">
      <c r="A845" s="9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92" x14ac:dyDescent="0.25">
      <c r="A846" s="99" t="s">
        <v>330</v>
      </c>
      <c r="B846" s="4">
        <v>0</v>
      </c>
      <c r="C846" s="4">
        <v>0</v>
      </c>
      <c r="D846" s="4">
        <v>0</v>
      </c>
      <c r="E846" s="4">
        <v>0</v>
      </c>
      <c r="F846" s="4">
        <v>0</v>
      </c>
      <c r="G846" s="4">
        <v>0</v>
      </c>
      <c r="H846" s="4">
        <v>0</v>
      </c>
      <c r="I846" s="4">
        <v>0</v>
      </c>
      <c r="J846" s="4">
        <v>0</v>
      </c>
      <c r="K846" s="4">
        <v>0</v>
      </c>
      <c r="L846" s="4">
        <v>0</v>
      </c>
      <c r="M846" s="4">
        <v>0</v>
      </c>
      <c r="N846" s="4">
        <v>0</v>
      </c>
      <c r="O846" s="4">
        <v>0</v>
      </c>
      <c r="P846" s="4">
        <v>0</v>
      </c>
      <c r="Q846" s="4">
        <v>0</v>
      </c>
      <c r="R846" s="4">
        <v>0</v>
      </c>
      <c r="S846" s="4">
        <v>0</v>
      </c>
      <c r="T846" s="4">
        <v>0</v>
      </c>
      <c r="U846" s="4">
        <v>0</v>
      </c>
      <c r="V846" s="4">
        <v>0</v>
      </c>
      <c r="W846" s="4">
        <v>0</v>
      </c>
      <c r="X846" s="4">
        <v>0</v>
      </c>
      <c r="Y846" s="4">
        <v>0</v>
      </c>
      <c r="Z846" s="4">
        <v>0</v>
      </c>
      <c r="AA846" s="4">
        <v>0</v>
      </c>
      <c r="AB846" s="4">
        <v>0</v>
      </c>
      <c r="AC846" s="4">
        <v>0</v>
      </c>
      <c r="AD846" s="4">
        <v>0</v>
      </c>
      <c r="AE846" s="4">
        <v>0</v>
      </c>
      <c r="AF846">
        <v>3557.1346666666213</v>
      </c>
      <c r="AG846">
        <v>3976.1366666667163</v>
      </c>
      <c r="AH846">
        <v>4395.1386666666949</v>
      </c>
      <c r="AI846">
        <v>4814.1406666666735</v>
      </c>
      <c r="AJ846">
        <v>5233.1426666666521</v>
      </c>
      <c r="AK846">
        <v>5652.1446666666307</v>
      </c>
      <c r="AL846">
        <v>6071.1466666666092</v>
      </c>
      <c r="AM846">
        <v>6490.1486666667042</v>
      </c>
      <c r="AN846">
        <v>6909.1506666666828</v>
      </c>
      <c r="AO846">
        <v>7328.1526666666614</v>
      </c>
      <c r="AP846">
        <v>7747.15466666664</v>
      </c>
      <c r="AQ846">
        <v>8166.1566666666185</v>
      </c>
      <c r="AR846">
        <v>8585.1586666667135</v>
      </c>
      <c r="AS846">
        <v>9004.1606666666921</v>
      </c>
      <c r="AT846">
        <v>9423.1626666666707</v>
      </c>
      <c r="AU846">
        <v>9842.1646666666493</v>
      </c>
      <c r="AV846">
        <v>10261.166666666628</v>
      </c>
      <c r="AW846">
        <v>10680.168666666606</v>
      </c>
      <c r="AX846">
        <v>11099.170666666701</v>
      </c>
      <c r="AY846">
        <v>11518.17266666668</v>
      </c>
      <c r="AZ846">
        <v>11937.174666666659</v>
      </c>
      <c r="BA846">
        <v>12356.176666666637</v>
      </c>
      <c r="BB846">
        <v>12775.178666666616</v>
      </c>
      <c r="BC846">
        <v>13194.180666666711</v>
      </c>
      <c r="BD846">
        <v>13613.182666666689</v>
      </c>
      <c r="BE846">
        <v>14032.184666666668</v>
      </c>
      <c r="BF846">
        <v>14451.186666666646</v>
      </c>
      <c r="BG846">
        <v>14870.188666666625</v>
      </c>
      <c r="BH846">
        <v>15289.190666666604</v>
      </c>
      <c r="BI846">
        <v>15708.192666666699</v>
      </c>
      <c r="BJ846">
        <v>16127.194666666677</v>
      </c>
      <c r="BK846">
        <v>16546.196666666656</v>
      </c>
      <c r="BL846">
        <v>16965.198666666634</v>
      </c>
      <c r="BM846">
        <v>17384.200666666613</v>
      </c>
      <c r="BN846">
        <v>17803.202666666708</v>
      </c>
      <c r="BO846">
        <v>18222.204666666687</v>
      </c>
      <c r="BP846">
        <v>18641.206666666665</v>
      </c>
      <c r="BQ846">
        <v>19060.208666666644</v>
      </c>
      <c r="BR846">
        <v>19479.210666666622</v>
      </c>
      <c r="BS846">
        <v>19898.212666666717</v>
      </c>
      <c r="BT846">
        <v>20317.214666666696</v>
      </c>
      <c r="BU846">
        <v>20736.216666666674</v>
      </c>
      <c r="BV846">
        <v>21155.218666666653</v>
      </c>
      <c r="BW846">
        <v>21574.220666666632</v>
      </c>
      <c r="BX846">
        <v>21993.22266666661</v>
      </c>
      <c r="BY846">
        <v>22412.224666666705</v>
      </c>
      <c r="BZ846">
        <v>22831.226666666684</v>
      </c>
      <c r="CA846">
        <v>23250.228666666662</v>
      </c>
      <c r="CB846">
        <v>23669.230666666641</v>
      </c>
      <c r="CC846">
        <v>24088.232666666619</v>
      </c>
      <c r="CD846">
        <v>24507.234666666714</v>
      </c>
      <c r="CE846">
        <v>24926.236666666693</v>
      </c>
      <c r="CF846">
        <v>25345.238666666672</v>
      </c>
      <c r="CG846">
        <v>25764.24066666665</v>
      </c>
      <c r="CH846">
        <v>26183.242666666629</v>
      </c>
      <c r="CI846">
        <v>26602.244666666607</v>
      </c>
      <c r="CJ846">
        <v>27021.246666666702</v>
      </c>
      <c r="CK846">
        <v>27440.248666666681</v>
      </c>
      <c r="CL846">
        <v>27859.25066666666</v>
      </c>
      <c r="CM846">
        <v>28278.252666666638</v>
      </c>
      <c r="CN846">
        <v>28697.254666666617</v>
      </c>
    </row>
    <row r="847" spans="1:92" s="44" customFormat="1" x14ac:dyDescent="0.25">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92" s="50" customFormat="1" x14ac:dyDescent="0.25">
      <c r="A848" s="99" t="s">
        <v>331</v>
      </c>
      <c r="B848" s="4">
        <v>0</v>
      </c>
      <c r="C848" s="4">
        <v>0</v>
      </c>
      <c r="D848" s="4">
        <v>0</v>
      </c>
      <c r="E848" s="4">
        <v>0</v>
      </c>
      <c r="F848" s="4">
        <v>0</v>
      </c>
      <c r="G848" s="4">
        <v>0</v>
      </c>
      <c r="H848" s="4">
        <v>0</v>
      </c>
      <c r="I848" s="4">
        <v>0</v>
      </c>
      <c r="J848" s="4">
        <v>0</v>
      </c>
      <c r="K848" s="4">
        <v>0</v>
      </c>
      <c r="L848" s="4">
        <v>0</v>
      </c>
      <c r="M848" s="4">
        <v>0</v>
      </c>
      <c r="N848" s="4">
        <v>0</v>
      </c>
      <c r="O848" s="4">
        <v>0</v>
      </c>
      <c r="P848" s="4">
        <v>0</v>
      </c>
      <c r="Q848" s="4">
        <v>0</v>
      </c>
      <c r="R848" s="4">
        <v>0</v>
      </c>
      <c r="S848" s="4">
        <v>0</v>
      </c>
      <c r="T848" s="4">
        <v>0</v>
      </c>
      <c r="U848" s="4">
        <v>0</v>
      </c>
      <c r="V848" s="4">
        <v>0</v>
      </c>
      <c r="W848" s="4">
        <v>0</v>
      </c>
      <c r="X848" s="4">
        <v>0</v>
      </c>
      <c r="Y848" s="4">
        <v>0</v>
      </c>
      <c r="Z848" s="4">
        <v>0</v>
      </c>
      <c r="AA848" s="4">
        <v>0</v>
      </c>
      <c r="AB848" s="4">
        <v>0</v>
      </c>
      <c r="AC848" s="4">
        <v>0</v>
      </c>
      <c r="AD848" s="4">
        <v>0</v>
      </c>
      <c r="AE848" s="4">
        <v>0</v>
      </c>
      <c r="AF848" s="50">
        <v>3745.9821226549284</v>
      </c>
      <c r="AG848" s="50">
        <v>3752.6810921593806</v>
      </c>
      <c r="AH848" s="50">
        <v>3759.3800616638327</v>
      </c>
      <c r="AI848" s="50">
        <v>3766.0790311682867</v>
      </c>
      <c r="AJ848" s="50">
        <v>3772.7780006727389</v>
      </c>
      <c r="AK848" s="50">
        <v>3779.4769701771911</v>
      </c>
      <c r="AL848" s="50">
        <v>3786.1759396816451</v>
      </c>
      <c r="AM848" s="50">
        <v>3792.8749091860973</v>
      </c>
      <c r="AN848" s="50">
        <v>3799.5738786905495</v>
      </c>
      <c r="AO848" s="50">
        <v>3806.2728481950035</v>
      </c>
      <c r="AP848" s="50">
        <v>3812.9718176994556</v>
      </c>
      <c r="AQ848" s="50">
        <v>3819.6707872039078</v>
      </c>
      <c r="AR848" s="50">
        <v>3826.3697567083618</v>
      </c>
      <c r="AS848" s="50">
        <v>3833.068726212814</v>
      </c>
      <c r="AT848" s="50">
        <v>3839.7676957172662</v>
      </c>
      <c r="AU848" s="50">
        <v>3846.4666652217202</v>
      </c>
      <c r="AV848" s="50">
        <v>3853.1656347261724</v>
      </c>
      <c r="AW848" s="50">
        <v>3859.8646042306245</v>
      </c>
      <c r="AX848" s="50">
        <v>3866.5635737350785</v>
      </c>
      <c r="AY848" s="50">
        <v>3873.2625432395307</v>
      </c>
      <c r="AZ848" s="50">
        <v>3879.9615127439829</v>
      </c>
      <c r="BA848" s="50">
        <v>3886.6604822484369</v>
      </c>
      <c r="BB848" s="50">
        <v>3893.3594517528891</v>
      </c>
      <c r="BC848" s="50">
        <v>3900.0584212573413</v>
      </c>
      <c r="BD848" s="50">
        <v>3906.7573907617953</v>
      </c>
      <c r="BE848" s="50">
        <v>3913.4563602662474</v>
      </c>
      <c r="BF848" s="50">
        <v>3920.1553297706996</v>
      </c>
      <c r="BG848" s="50">
        <v>3926.8542992751536</v>
      </c>
      <c r="BH848" s="50">
        <v>3933.5532687796058</v>
      </c>
      <c r="BI848" s="50">
        <v>3940.252238284058</v>
      </c>
      <c r="BJ848" s="50">
        <v>3946.951207788512</v>
      </c>
      <c r="BK848" s="50">
        <v>3953.6501772929641</v>
      </c>
      <c r="BL848" s="50">
        <v>3960.3491467974163</v>
      </c>
      <c r="BM848" s="50">
        <v>3967.0481163018703</v>
      </c>
      <c r="BN848" s="50">
        <v>3973.7470858063225</v>
      </c>
      <c r="BO848" s="50">
        <v>3980.4460553107747</v>
      </c>
      <c r="BP848" s="50">
        <v>3987.1450248152287</v>
      </c>
      <c r="BQ848" s="50">
        <v>3993.8439943196809</v>
      </c>
      <c r="BR848" s="50">
        <v>4000.542963824133</v>
      </c>
      <c r="BS848" s="50">
        <v>4007.241933328587</v>
      </c>
      <c r="BT848" s="50">
        <v>4013.9409028330392</v>
      </c>
      <c r="BU848" s="50">
        <v>4020.6398723374914</v>
      </c>
      <c r="BV848" s="50">
        <v>4027.3388418419454</v>
      </c>
      <c r="BW848" s="50">
        <v>4034.0378113463976</v>
      </c>
      <c r="BX848" s="50">
        <v>4040.7367808508498</v>
      </c>
      <c r="BY848" s="50">
        <v>4047.4357503553038</v>
      </c>
      <c r="BZ848" s="50">
        <v>4054.1347198597559</v>
      </c>
      <c r="CA848" s="50">
        <v>4060.8336893642081</v>
      </c>
      <c r="CB848" s="50">
        <v>4067.5326588686621</v>
      </c>
      <c r="CC848" s="50">
        <v>4074.2316283731143</v>
      </c>
      <c r="CD848" s="50">
        <v>4080.9305978775665</v>
      </c>
      <c r="CE848" s="50">
        <v>4087.6295673820205</v>
      </c>
      <c r="CF848" s="50">
        <v>4094.3285368864726</v>
      </c>
      <c r="CG848" s="50">
        <v>4101.0275063909248</v>
      </c>
      <c r="CH848" s="50">
        <v>4107.7264758953788</v>
      </c>
      <c r="CI848" s="50">
        <v>4114.425445399831</v>
      </c>
      <c r="CJ848" s="50">
        <v>4121.1244149042832</v>
      </c>
      <c r="CK848" s="50">
        <v>4127.8233844087372</v>
      </c>
      <c r="CL848" s="50">
        <v>4134.5223539131894</v>
      </c>
      <c r="CM848" s="50">
        <v>4141.2213234176415</v>
      </c>
      <c r="CN848" s="50">
        <v>4147.9202929220955</v>
      </c>
    </row>
    <row r="849" spans="1:92" s="44" customFormat="1" x14ac:dyDescent="0.25">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92" x14ac:dyDescent="0.25">
      <c r="A850" s="99" t="s">
        <v>332</v>
      </c>
      <c r="B850" s="4">
        <v>0</v>
      </c>
      <c r="C850" s="4">
        <v>0</v>
      </c>
      <c r="D850" s="4">
        <v>0</v>
      </c>
      <c r="E850" s="4">
        <v>0</v>
      </c>
      <c r="F850" s="4">
        <v>0</v>
      </c>
      <c r="G850" s="4">
        <v>0</v>
      </c>
      <c r="H850" s="4">
        <v>0</v>
      </c>
      <c r="I850" s="4">
        <v>0</v>
      </c>
      <c r="J850" s="4">
        <v>0</v>
      </c>
      <c r="K850" s="4">
        <v>0</v>
      </c>
      <c r="L850" s="4">
        <v>0</v>
      </c>
      <c r="M850" s="4">
        <v>0</v>
      </c>
      <c r="N850" s="4">
        <v>0</v>
      </c>
      <c r="O850" s="4">
        <v>0</v>
      </c>
      <c r="P850" s="4">
        <v>0</v>
      </c>
      <c r="Q850" s="4">
        <v>0</v>
      </c>
      <c r="R850" s="4">
        <v>0</v>
      </c>
      <c r="S850" s="4">
        <v>0</v>
      </c>
      <c r="T850" s="4">
        <v>0</v>
      </c>
      <c r="U850" s="4">
        <v>0</v>
      </c>
      <c r="V850" s="4">
        <v>0</v>
      </c>
      <c r="W850" s="4">
        <v>0</v>
      </c>
      <c r="X850" s="4">
        <v>0</v>
      </c>
      <c r="Y850" s="4">
        <v>0</v>
      </c>
      <c r="Z850" s="4">
        <v>0</v>
      </c>
      <c r="AA850" s="4">
        <v>0</v>
      </c>
      <c r="AB850" s="4">
        <v>0</v>
      </c>
      <c r="AC850" s="4">
        <v>0</v>
      </c>
      <c r="AD850" s="4">
        <v>0</v>
      </c>
      <c r="AE850" s="4">
        <v>0</v>
      </c>
      <c r="AF850">
        <v>12473.621333333664</v>
      </c>
      <c r="AG850">
        <v>16490.440833332948</v>
      </c>
      <c r="AH850">
        <v>20507.260333333164</v>
      </c>
      <c r="AI850">
        <v>24524.079833333381</v>
      </c>
      <c r="AJ850">
        <v>28540.899333333597</v>
      </c>
      <c r="AK850">
        <v>32557.718833332881</v>
      </c>
      <c r="AL850">
        <v>36574.538333333097</v>
      </c>
      <c r="AM850">
        <v>40591.357833333313</v>
      </c>
      <c r="AN850">
        <v>44608.17733333353</v>
      </c>
      <c r="AO850">
        <v>48624.996833332814</v>
      </c>
      <c r="AP850">
        <v>52641.81633333303</v>
      </c>
      <c r="AQ850">
        <v>56658.635833333246</v>
      </c>
      <c r="AR850">
        <v>60675.455333333462</v>
      </c>
      <c r="AS850">
        <v>64692.274833332747</v>
      </c>
      <c r="AT850">
        <v>68709.094333332963</v>
      </c>
      <c r="AU850">
        <v>72725.913833333179</v>
      </c>
      <c r="AV850">
        <v>76742.733333333395</v>
      </c>
      <c r="AW850">
        <v>80759.552833333611</v>
      </c>
      <c r="AX850">
        <v>84776.372333332896</v>
      </c>
      <c r="AY850">
        <v>88793.191833333112</v>
      </c>
      <c r="AZ850">
        <v>92810.011333333328</v>
      </c>
      <c r="BA850">
        <v>96826.830833333544</v>
      </c>
      <c r="BB850">
        <v>100843.65033333283</v>
      </c>
      <c r="BC850">
        <v>104860.46983333305</v>
      </c>
      <c r="BD850">
        <v>108877.28933333326</v>
      </c>
      <c r="BE850">
        <v>112894.10883333348</v>
      </c>
      <c r="BF850">
        <v>116910.92833333276</v>
      </c>
      <c r="BG850">
        <v>120927.74783333298</v>
      </c>
      <c r="BH850">
        <v>124944.56733333319</v>
      </c>
      <c r="BI850">
        <v>128961.38683333341</v>
      </c>
      <c r="BJ850">
        <v>132978.20633333363</v>
      </c>
      <c r="BK850">
        <v>136995.02583333291</v>
      </c>
      <c r="BL850">
        <v>141011.84533333313</v>
      </c>
      <c r="BM850">
        <v>145028.66483333334</v>
      </c>
      <c r="BN850">
        <v>149045.48433333356</v>
      </c>
      <c r="BO850">
        <v>153062.30383333284</v>
      </c>
      <c r="BP850">
        <v>157079.12333333306</v>
      </c>
      <c r="BQ850">
        <v>161095.94283333328</v>
      </c>
      <c r="BR850">
        <v>165112.76233333349</v>
      </c>
      <c r="BS850">
        <v>169129.58183333278</v>
      </c>
      <c r="BT850">
        <v>173146.40133333299</v>
      </c>
      <c r="BU850">
        <v>177163.22083333321</v>
      </c>
      <c r="BV850">
        <v>181180.04033333343</v>
      </c>
      <c r="BW850">
        <v>185196.85983333271</v>
      </c>
      <c r="BX850">
        <v>189213.67933333293</v>
      </c>
      <c r="BY850">
        <v>193230.49883333314</v>
      </c>
      <c r="BZ850">
        <v>197247.31833333336</v>
      </c>
      <c r="CA850">
        <v>201264.13783333357</v>
      </c>
      <c r="CB850">
        <v>205280.95733333286</v>
      </c>
      <c r="CC850">
        <v>209297.77683333308</v>
      </c>
      <c r="CD850">
        <v>213314.59633333329</v>
      </c>
      <c r="CE850">
        <v>217331.41583333351</v>
      </c>
      <c r="CF850">
        <v>221348.23533333279</v>
      </c>
      <c r="CG850">
        <v>225365.05483333301</v>
      </c>
      <c r="CH850">
        <v>229381.87433333322</v>
      </c>
      <c r="CI850">
        <v>233398.69383333344</v>
      </c>
      <c r="CJ850">
        <v>237415.51333333272</v>
      </c>
      <c r="CK850">
        <v>241432.33283333294</v>
      </c>
      <c r="CL850">
        <v>245449.15233333316</v>
      </c>
      <c r="CM850">
        <v>249465.97183333337</v>
      </c>
      <c r="CN850">
        <v>253482.79133333359</v>
      </c>
    </row>
    <row r="851" spans="1:92" x14ac:dyDescent="0.25">
      <c r="A851" s="99" t="s">
        <v>1</v>
      </c>
      <c r="B851" s="4">
        <v>0</v>
      </c>
      <c r="C851" s="4">
        <v>0</v>
      </c>
      <c r="D851" s="4">
        <v>0</v>
      </c>
      <c r="E851" s="4">
        <v>0</v>
      </c>
      <c r="F851" s="4">
        <v>0</v>
      </c>
      <c r="G851" s="4">
        <v>0</v>
      </c>
      <c r="H851" s="4">
        <v>0</v>
      </c>
      <c r="I851" s="4">
        <v>0</v>
      </c>
      <c r="J851" s="4">
        <v>0</v>
      </c>
      <c r="K851" s="4">
        <v>0</v>
      </c>
      <c r="L851" s="4">
        <v>0</v>
      </c>
      <c r="M851" s="4">
        <v>0</v>
      </c>
      <c r="N851" s="4">
        <v>0</v>
      </c>
      <c r="O851" s="4">
        <v>0</v>
      </c>
      <c r="P851" s="4">
        <v>0</v>
      </c>
      <c r="Q851" s="4">
        <v>0</v>
      </c>
      <c r="R851" s="4">
        <v>0</v>
      </c>
      <c r="S851" s="4">
        <v>0</v>
      </c>
      <c r="T851" s="4">
        <v>0</v>
      </c>
      <c r="U851" s="4">
        <v>0</v>
      </c>
      <c r="V851" s="4">
        <v>0</v>
      </c>
      <c r="W851" s="4">
        <v>0</v>
      </c>
      <c r="X851" s="4">
        <v>0</v>
      </c>
      <c r="Y851" s="4">
        <v>0</v>
      </c>
      <c r="Z851" s="4">
        <v>0</v>
      </c>
      <c r="AA851" s="4">
        <v>0</v>
      </c>
      <c r="AB851" s="4">
        <v>0</v>
      </c>
      <c r="AC851" s="4">
        <v>0</v>
      </c>
      <c r="AD851" s="4">
        <v>0</v>
      </c>
      <c r="AE851" s="4">
        <v>0</v>
      </c>
      <c r="AF851">
        <v>869.87333333332208</v>
      </c>
      <c r="AG851">
        <v>991.92083333333721</v>
      </c>
      <c r="AH851">
        <v>1113.9683333333232</v>
      </c>
      <c r="AI851">
        <v>1236.0158333333384</v>
      </c>
      <c r="AJ851">
        <v>1358.0633333333244</v>
      </c>
      <c r="AK851">
        <v>1480.1108333333395</v>
      </c>
      <c r="AL851">
        <v>1602.1583333333256</v>
      </c>
      <c r="AM851">
        <v>1724.2058333333407</v>
      </c>
      <c r="AN851">
        <v>1846.2533333333267</v>
      </c>
      <c r="AO851">
        <v>1968.3008333333419</v>
      </c>
      <c r="AP851">
        <v>2090.3483333333279</v>
      </c>
      <c r="AQ851">
        <v>2212.3958333333139</v>
      </c>
      <c r="AR851">
        <v>2334.4433333333291</v>
      </c>
      <c r="AS851">
        <v>2456.4908333333151</v>
      </c>
      <c r="AT851">
        <v>2578.5383333333302</v>
      </c>
      <c r="AU851">
        <v>2700.5858333333163</v>
      </c>
      <c r="AV851">
        <v>2822.6333333333314</v>
      </c>
      <c r="AW851">
        <v>2944.6808333333174</v>
      </c>
      <c r="AX851">
        <v>3066.7283333333326</v>
      </c>
      <c r="AY851">
        <v>3188.7758333333186</v>
      </c>
      <c r="AZ851">
        <v>3310.8233333333337</v>
      </c>
      <c r="BA851">
        <v>3432.8708333333198</v>
      </c>
      <c r="BB851">
        <v>3554.9183333333349</v>
      </c>
      <c r="BC851">
        <v>3676.9658333333209</v>
      </c>
      <c r="BD851">
        <v>3799.013333333336</v>
      </c>
      <c r="BE851">
        <v>3921.0608333333221</v>
      </c>
      <c r="BF851">
        <v>4043.1083333333372</v>
      </c>
      <c r="BG851">
        <v>4165.1558333333232</v>
      </c>
      <c r="BH851">
        <v>4287.2033333333384</v>
      </c>
      <c r="BI851">
        <v>4409.2508333333244</v>
      </c>
      <c r="BJ851">
        <v>4531.2983333333395</v>
      </c>
      <c r="BK851">
        <v>4653.3458333333256</v>
      </c>
      <c r="BL851">
        <v>4775.3933333333407</v>
      </c>
      <c r="BM851">
        <v>4897.4408333333267</v>
      </c>
      <c r="BN851">
        <v>5019.4883333333419</v>
      </c>
      <c r="BO851">
        <v>5141.5358333333279</v>
      </c>
      <c r="BP851">
        <v>5263.5833333333139</v>
      </c>
      <c r="BQ851">
        <v>5385.6308333333291</v>
      </c>
      <c r="BR851">
        <v>5507.6783333333151</v>
      </c>
      <c r="BS851">
        <v>5629.7258333333302</v>
      </c>
      <c r="BT851">
        <v>5751.7733333333163</v>
      </c>
      <c r="BU851">
        <v>5873.8208333333314</v>
      </c>
      <c r="BV851">
        <v>5995.8683333333174</v>
      </c>
      <c r="BW851">
        <v>6117.9158333333326</v>
      </c>
      <c r="BX851">
        <v>6239.9633333333186</v>
      </c>
      <c r="BY851">
        <v>6362.0108333333337</v>
      </c>
      <c r="BZ851">
        <v>6484.0583333333198</v>
      </c>
      <c r="CA851">
        <v>6606.1058333333349</v>
      </c>
      <c r="CB851">
        <v>6728.1533333333209</v>
      </c>
      <c r="CC851">
        <v>6850.200833333336</v>
      </c>
      <c r="CD851">
        <v>6972.2483333333221</v>
      </c>
      <c r="CE851">
        <v>7094.2958333333372</v>
      </c>
      <c r="CF851">
        <v>7216.3433333333232</v>
      </c>
      <c r="CG851">
        <v>7338.3908333333384</v>
      </c>
      <c r="CH851">
        <v>7460.4383333333244</v>
      </c>
      <c r="CI851">
        <v>7582.4858333333395</v>
      </c>
      <c r="CJ851">
        <v>7704.5333333333256</v>
      </c>
      <c r="CK851">
        <v>7826.5808333333407</v>
      </c>
      <c r="CL851">
        <v>7948.6283333333267</v>
      </c>
      <c r="CM851">
        <v>8070.6758333333128</v>
      </c>
      <c r="CN851">
        <v>8192.7233333333279</v>
      </c>
    </row>
    <row r="852" spans="1:92" x14ac:dyDescent="0.25">
      <c r="A852" s="99" t="s">
        <v>1</v>
      </c>
      <c r="B852" s="4">
        <v>0</v>
      </c>
      <c r="C852" s="4">
        <v>0</v>
      </c>
      <c r="D852" s="4">
        <v>0</v>
      </c>
      <c r="E852" s="4">
        <v>0</v>
      </c>
      <c r="F852" s="4">
        <v>0</v>
      </c>
      <c r="G852" s="4">
        <v>0</v>
      </c>
      <c r="H852" s="4">
        <v>0</v>
      </c>
      <c r="I852" s="4">
        <v>0</v>
      </c>
      <c r="J852" s="4">
        <v>0</v>
      </c>
      <c r="K852" s="4">
        <v>0</v>
      </c>
      <c r="L852" s="4">
        <v>0</v>
      </c>
      <c r="M852" s="4">
        <v>0</v>
      </c>
      <c r="N852" s="4">
        <v>0</v>
      </c>
      <c r="O852" s="4">
        <v>0</v>
      </c>
      <c r="P852" s="4">
        <v>0</v>
      </c>
      <c r="Q852" s="4">
        <v>0</v>
      </c>
      <c r="R852" s="4">
        <v>0</v>
      </c>
      <c r="S852" s="4">
        <v>0</v>
      </c>
      <c r="T852" s="4">
        <v>0</v>
      </c>
      <c r="U852" s="4">
        <v>0</v>
      </c>
      <c r="V852" s="4">
        <v>0</v>
      </c>
      <c r="W852" s="4">
        <v>0</v>
      </c>
      <c r="X852" s="4">
        <v>0</v>
      </c>
      <c r="Y852" s="4">
        <v>0</v>
      </c>
      <c r="Z852" s="4">
        <v>0</v>
      </c>
      <c r="AA852" s="4">
        <v>0</v>
      </c>
      <c r="AB852" s="4">
        <v>0</v>
      </c>
      <c r="AC852" s="4">
        <v>0</v>
      </c>
      <c r="AD852" s="4">
        <v>0</v>
      </c>
      <c r="AE852" s="4">
        <v>0</v>
      </c>
      <c r="AF852">
        <v>2905.7906666666968</v>
      </c>
      <c r="AG852">
        <v>3205.672499999986</v>
      </c>
      <c r="AH852">
        <v>3505.5543333333917</v>
      </c>
      <c r="AI852">
        <v>3805.4361666666809</v>
      </c>
      <c r="AJ852">
        <v>4105.3179999999702</v>
      </c>
      <c r="AK852">
        <v>4405.1998333333759</v>
      </c>
      <c r="AL852">
        <v>4705.0816666666651</v>
      </c>
      <c r="AM852">
        <v>5004.9635000000708</v>
      </c>
      <c r="AN852">
        <v>5304.84533333336</v>
      </c>
      <c r="AO852">
        <v>5604.7271666666493</v>
      </c>
      <c r="AP852">
        <v>5904.6090000000549</v>
      </c>
      <c r="AQ852">
        <v>6204.4908333333442</v>
      </c>
      <c r="AR852">
        <v>6504.3726666667499</v>
      </c>
      <c r="AS852">
        <v>6804.2545000000391</v>
      </c>
      <c r="AT852">
        <v>7104.1363333333284</v>
      </c>
      <c r="AU852">
        <v>7404.018166666734</v>
      </c>
      <c r="AV852">
        <v>7703.9000000000233</v>
      </c>
      <c r="AW852">
        <v>8003.7818333333125</v>
      </c>
      <c r="AX852">
        <v>8303.6636666667182</v>
      </c>
      <c r="AY852">
        <v>8603.5455000000075</v>
      </c>
      <c r="AZ852">
        <v>8903.4273333334131</v>
      </c>
      <c r="BA852">
        <v>9203.3091666667024</v>
      </c>
      <c r="BB852">
        <v>9503.1909999999916</v>
      </c>
      <c r="BC852">
        <v>9803.0728333333973</v>
      </c>
      <c r="BD852">
        <v>10102.954666666687</v>
      </c>
      <c r="BE852">
        <v>10402.836499999976</v>
      </c>
      <c r="BF852">
        <v>10702.718333333381</v>
      </c>
      <c r="BG852">
        <v>11002.600166666671</v>
      </c>
      <c r="BH852">
        <v>11302.482000000076</v>
      </c>
      <c r="BI852">
        <v>11602.363833333366</v>
      </c>
      <c r="BJ852">
        <v>11902.245666666655</v>
      </c>
      <c r="BK852">
        <v>12202.127500000061</v>
      </c>
      <c r="BL852">
        <v>12502.00933333335</v>
      </c>
      <c r="BM852">
        <v>12801.891166666755</v>
      </c>
      <c r="BN852">
        <v>13101.773000000045</v>
      </c>
      <c r="BO852">
        <v>13401.654833333334</v>
      </c>
      <c r="BP852">
        <v>13701.53666666674</v>
      </c>
      <c r="BQ852">
        <v>14001.418500000029</v>
      </c>
      <c r="BR852">
        <v>14301.300333333318</v>
      </c>
      <c r="BS852">
        <v>14601.182166666724</v>
      </c>
      <c r="BT852">
        <v>14901.064000000013</v>
      </c>
      <c r="BU852">
        <v>15200.945833333419</v>
      </c>
      <c r="BV852">
        <v>15500.827666666708</v>
      </c>
      <c r="BW852">
        <v>15800.709499999997</v>
      </c>
      <c r="BX852">
        <v>16100.591333333403</v>
      </c>
      <c r="BY852">
        <v>16400.473166666692</v>
      </c>
      <c r="BZ852">
        <v>16700.354999999981</v>
      </c>
      <c r="CA852">
        <v>17000.236833333387</v>
      </c>
      <c r="CB852">
        <v>17300.118666666676</v>
      </c>
      <c r="CC852">
        <v>17600.000500000082</v>
      </c>
      <c r="CD852">
        <v>17899.882333333371</v>
      </c>
      <c r="CE852">
        <v>18199.76416666666</v>
      </c>
      <c r="CF852">
        <v>18499.646000000066</v>
      </c>
      <c r="CG852">
        <v>18799.527833333355</v>
      </c>
      <c r="CH852">
        <v>19099.409666666645</v>
      </c>
      <c r="CI852">
        <v>19399.29150000005</v>
      </c>
      <c r="CJ852">
        <v>19699.17333333334</v>
      </c>
      <c r="CK852">
        <v>19999.055166666745</v>
      </c>
      <c r="CL852">
        <v>20298.937000000034</v>
      </c>
      <c r="CM852">
        <v>20598.818833333324</v>
      </c>
      <c r="CN852">
        <v>20898.700666666729</v>
      </c>
    </row>
    <row r="853" spans="1:92" x14ac:dyDescent="0.25">
      <c r="A853" s="99" t="s">
        <v>1</v>
      </c>
      <c r="B853" s="4">
        <v>0</v>
      </c>
      <c r="C853" s="4">
        <v>0</v>
      </c>
      <c r="D853" s="4">
        <v>0</v>
      </c>
      <c r="E853" s="4">
        <v>0</v>
      </c>
      <c r="F853" s="4">
        <v>0</v>
      </c>
      <c r="G853" s="4">
        <v>0</v>
      </c>
      <c r="H853" s="4">
        <v>0</v>
      </c>
      <c r="I853" s="4">
        <v>0</v>
      </c>
      <c r="J853" s="4">
        <v>0</v>
      </c>
      <c r="K853" s="4">
        <v>0</v>
      </c>
      <c r="L853" s="4">
        <v>0</v>
      </c>
      <c r="M853" s="4">
        <v>0</v>
      </c>
      <c r="N853" s="4">
        <v>0</v>
      </c>
      <c r="O853" s="4">
        <v>0</v>
      </c>
      <c r="P853" s="4">
        <v>0</v>
      </c>
      <c r="Q853" s="4">
        <v>0</v>
      </c>
      <c r="R853" s="4">
        <v>0</v>
      </c>
      <c r="S853" s="4">
        <v>0</v>
      </c>
      <c r="T853" s="4">
        <v>0</v>
      </c>
      <c r="U853" s="4">
        <v>0</v>
      </c>
      <c r="V853" s="4">
        <v>0</v>
      </c>
      <c r="W853" s="4">
        <v>0</v>
      </c>
      <c r="X853" s="4">
        <v>0</v>
      </c>
      <c r="Y853" s="4">
        <v>0</v>
      </c>
      <c r="Z853" s="4">
        <v>0</v>
      </c>
      <c r="AA853" s="4">
        <v>0</v>
      </c>
      <c r="AB853" s="4">
        <v>0</v>
      </c>
      <c r="AC853" s="4">
        <v>0</v>
      </c>
      <c r="AD853" s="4">
        <v>0</v>
      </c>
      <c r="AE853" s="4">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0</v>
      </c>
    </row>
    <row r="854" spans="1:92" x14ac:dyDescent="0.25">
      <c r="A854" s="99" t="s">
        <v>1</v>
      </c>
      <c r="B854" s="4">
        <v>0</v>
      </c>
      <c r="C854" s="4">
        <v>0</v>
      </c>
      <c r="D854" s="4">
        <v>0</v>
      </c>
      <c r="E854" s="4">
        <v>0</v>
      </c>
      <c r="F854" s="4">
        <v>0</v>
      </c>
      <c r="G854" s="4">
        <v>0</v>
      </c>
      <c r="H854" s="4">
        <v>0</v>
      </c>
      <c r="I854" s="4">
        <v>0</v>
      </c>
      <c r="J854" s="4">
        <v>0</v>
      </c>
      <c r="K854" s="4">
        <v>0</v>
      </c>
      <c r="L854" s="4">
        <v>0</v>
      </c>
      <c r="M854" s="4">
        <v>0</v>
      </c>
      <c r="N854" s="4">
        <v>0</v>
      </c>
      <c r="O854" s="4">
        <v>0</v>
      </c>
      <c r="P854" s="4">
        <v>0</v>
      </c>
      <c r="Q854" s="4">
        <v>0</v>
      </c>
      <c r="R854" s="4">
        <v>0</v>
      </c>
      <c r="S854" s="4">
        <v>0</v>
      </c>
      <c r="T854" s="4">
        <v>0</v>
      </c>
      <c r="U854" s="4">
        <v>0</v>
      </c>
      <c r="V854" s="4">
        <v>0</v>
      </c>
      <c r="W854" s="4">
        <v>0</v>
      </c>
      <c r="X854" s="4">
        <v>0</v>
      </c>
      <c r="Y854" s="4">
        <v>0</v>
      </c>
      <c r="Z854" s="4">
        <v>0</v>
      </c>
      <c r="AA854" s="4">
        <v>0</v>
      </c>
      <c r="AB854" s="4">
        <v>0</v>
      </c>
      <c r="AC854" s="4">
        <v>0</v>
      </c>
      <c r="AD854" s="4">
        <v>0</v>
      </c>
      <c r="AE854" s="4">
        <v>0</v>
      </c>
      <c r="AF854">
        <v>9025.6986666664016</v>
      </c>
      <c r="AG854">
        <v>9829.9799999997485</v>
      </c>
      <c r="AH854">
        <v>10634.261333333096</v>
      </c>
      <c r="AI854">
        <v>11438.542666666443</v>
      </c>
      <c r="AJ854">
        <v>12242.82399999979</v>
      </c>
      <c r="AK854">
        <v>13047.105333333137</v>
      </c>
      <c r="AL854">
        <v>13851.386666666484</v>
      </c>
      <c r="AM854">
        <v>14655.66799999983</v>
      </c>
      <c r="AN854">
        <v>15459.949333333177</v>
      </c>
      <c r="AO854">
        <v>16264.230666666524</v>
      </c>
      <c r="AP854">
        <v>17068.511999999871</v>
      </c>
      <c r="AQ854">
        <v>17872.793333333218</v>
      </c>
      <c r="AR854">
        <v>18677.074666666565</v>
      </c>
      <c r="AS854">
        <v>19481.355999999912</v>
      </c>
      <c r="AT854">
        <v>20285.637333333259</v>
      </c>
      <c r="AU854">
        <v>21089.918666666606</v>
      </c>
      <c r="AV854">
        <v>21894.199999999953</v>
      </c>
      <c r="AW854">
        <v>22698.481333333068</v>
      </c>
      <c r="AX854">
        <v>23502.762666666415</v>
      </c>
      <c r="AY854">
        <v>24307.043999999762</v>
      </c>
      <c r="AZ854">
        <v>25111.325333333109</v>
      </c>
      <c r="BA854">
        <v>25915.606666666456</v>
      </c>
      <c r="BB854">
        <v>26719.887999999803</v>
      </c>
      <c r="BC854">
        <v>27524.16933333315</v>
      </c>
      <c r="BD854">
        <v>28328.450666666497</v>
      </c>
      <c r="BE854">
        <v>29132.731999999844</v>
      </c>
      <c r="BF854">
        <v>29937.013333333191</v>
      </c>
      <c r="BG854">
        <v>30741.294666666538</v>
      </c>
      <c r="BH854">
        <v>31545.575999999885</v>
      </c>
      <c r="BI854">
        <v>32349.857333333232</v>
      </c>
      <c r="BJ854">
        <v>33154.138666666579</v>
      </c>
      <c r="BK854">
        <v>33958.419999999925</v>
      </c>
      <c r="BL854">
        <v>34762.701333333272</v>
      </c>
      <c r="BM854">
        <v>35566.982666666619</v>
      </c>
      <c r="BN854">
        <v>36371.263999999734</v>
      </c>
      <c r="BO854">
        <v>37175.545333333081</v>
      </c>
      <c r="BP854">
        <v>37979.826666666428</v>
      </c>
      <c r="BQ854">
        <v>38784.107999999775</v>
      </c>
      <c r="BR854">
        <v>39588.389333333122</v>
      </c>
      <c r="BS854">
        <v>40392.670666666469</v>
      </c>
      <c r="BT854">
        <v>41196.951999999816</v>
      </c>
      <c r="BU854">
        <v>42001.233333333163</v>
      </c>
      <c r="BV854">
        <v>42805.51466666651</v>
      </c>
      <c r="BW854">
        <v>43609.795999999857</v>
      </c>
      <c r="BX854">
        <v>44414.077333333204</v>
      </c>
      <c r="BY854">
        <v>45218.358666666551</v>
      </c>
      <c r="BZ854">
        <v>46022.639999999898</v>
      </c>
      <c r="CA854">
        <v>46826.921333333245</v>
      </c>
      <c r="CB854">
        <v>47631.202666666592</v>
      </c>
      <c r="CC854">
        <v>48435.483999999939</v>
      </c>
      <c r="CD854">
        <v>49239.765333333053</v>
      </c>
      <c r="CE854">
        <v>50044.0466666664</v>
      </c>
      <c r="CF854">
        <v>50848.327999999747</v>
      </c>
      <c r="CG854">
        <v>51652.609333333094</v>
      </c>
      <c r="CH854">
        <v>52456.890666666441</v>
      </c>
      <c r="CI854">
        <v>53261.171999999788</v>
      </c>
      <c r="CJ854">
        <v>54065.453333333135</v>
      </c>
      <c r="CK854">
        <v>54869.734666666482</v>
      </c>
      <c r="CL854">
        <v>55674.015999999829</v>
      </c>
      <c r="CM854">
        <v>56478.297333333176</v>
      </c>
      <c r="CN854">
        <v>57282.578666666523</v>
      </c>
    </row>
    <row r="855" spans="1:92" x14ac:dyDescent="0.25">
      <c r="A855" s="99" t="s">
        <v>1</v>
      </c>
      <c r="B855" s="4">
        <v>0</v>
      </c>
      <c r="C855" s="4">
        <v>0</v>
      </c>
      <c r="D855" s="4">
        <v>0</v>
      </c>
      <c r="E855" s="4">
        <v>0</v>
      </c>
      <c r="F855" s="4">
        <v>0</v>
      </c>
      <c r="G855" s="4">
        <v>0</v>
      </c>
      <c r="H855" s="4">
        <v>0</v>
      </c>
      <c r="I855" s="4">
        <v>0</v>
      </c>
      <c r="J855" s="4">
        <v>0</v>
      </c>
      <c r="K855" s="4">
        <v>0</v>
      </c>
      <c r="L855" s="4">
        <v>0</v>
      </c>
      <c r="M855" s="4">
        <v>0</v>
      </c>
      <c r="N855" s="4">
        <v>0</v>
      </c>
      <c r="O855" s="4">
        <v>0</v>
      </c>
      <c r="P855" s="4">
        <v>0</v>
      </c>
      <c r="Q855" s="4">
        <v>0</v>
      </c>
      <c r="R855" s="4">
        <v>0</v>
      </c>
      <c r="S855" s="4">
        <v>0</v>
      </c>
      <c r="T855" s="4">
        <v>0</v>
      </c>
      <c r="U855" s="4">
        <v>0</v>
      </c>
      <c r="V855" s="4">
        <v>0</v>
      </c>
      <c r="W855" s="4">
        <v>0</v>
      </c>
      <c r="X855" s="4">
        <v>0</v>
      </c>
      <c r="Y855" s="4">
        <v>0</v>
      </c>
      <c r="Z855" s="4">
        <v>0</v>
      </c>
      <c r="AA855" s="4">
        <v>0</v>
      </c>
      <c r="AB855" s="4">
        <v>0</v>
      </c>
      <c r="AC855" s="4">
        <v>0</v>
      </c>
      <c r="AD855" s="4">
        <v>0</v>
      </c>
      <c r="AE855" s="4">
        <v>0</v>
      </c>
      <c r="AF855">
        <v>125.34666666667908</v>
      </c>
      <c r="AG855">
        <v>197.34583333332557</v>
      </c>
      <c r="AH855">
        <v>269.34500000000116</v>
      </c>
      <c r="AI855">
        <v>341.34416666667676</v>
      </c>
      <c r="AJ855">
        <v>413.34333333335235</v>
      </c>
      <c r="AK855">
        <v>485.34249999999884</v>
      </c>
      <c r="AL855">
        <v>557.34166666667443</v>
      </c>
      <c r="AM855">
        <v>629.34083333335002</v>
      </c>
      <c r="AN855">
        <v>701.33999999999651</v>
      </c>
      <c r="AO855">
        <v>773.3391666666721</v>
      </c>
      <c r="AP855">
        <v>845.33833333334769</v>
      </c>
      <c r="AQ855">
        <v>917.33749999999418</v>
      </c>
      <c r="AR855">
        <v>989.33666666666977</v>
      </c>
      <c r="AS855">
        <v>1061.3358333333454</v>
      </c>
      <c r="AT855">
        <v>1133.3349999999919</v>
      </c>
      <c r="AU855">
        <v>1205.3341666666674</v>
      </c>
      <c r="AV855">
        <v>1277.333333333343</v>
      </c>
      <c r="AW855">
        <v>1349.3325000000186</v>
      </c>
      <c r="AX855">
        <v>1421.3316666666651</v>
      </c>
      <c r="AY855">
        <v>1493.3308333333407</v>
      </c>
      <c r="AZ855">
        <v>1565.3300000000163</v>
      </c>
      <c r="BA855">
        <v>1637.3291666666628</v>
      </c>
      <c r="BB855">
        <v>1709.3283333333384</v>
      </c>
      <c r="BC855">
        <v>1781.327500000014</v>
      </c>
      <c r="BD855">
        <v>1853.3266666666605</v>
      </c>
      <c r="BE855">
        <v>1925.325833333336</v>
      </c>
      <c r="BF855">
        <v>1997.3250000000116</v>
      </c>
      <c r="BG855">
        <v>2069.3241666666581</v>
      </c>
      <c r="BH855">
        <v>2141.3233333333337</v>
      </c>
      <c r="BI855">
        <v>2213.3225000000093</v>
      </c>
      <c r="BJ855">
        <v>2285.3216666666849</v>
      </c>
      <c r="BK855">
        <v>2357.3208333333314</v>
      </c>
      <c r="BL855">
        <v>2429.320000000007</v>
      </c>
      <c r="BM855">
        <v>2501.3191666666826</v>
      </c>
      <c r="BN855">
        <v>2573.3183333333291</v>
      </c>
      <c r="BO855">
        <v>2645.3175000000047</v>
      </c>
      <c r="BP855">
        <v>2717.3166666666802</v>
      </c>
      <c r="BQ855">
        <v>2789.3158333333267</v>
      </c>
      <c r="BR855">
        <v>2861.3150000000023</v>
      </c>
      <c r="BS855">
        <v>2933.3141666666779</v>
      </c>
      <c r="BT855">
        <v>3005.3133333333535</v>
      </c>
      <c r="BU855">
        <v>3077.3125</v>
      </c>
      <c r="BV855">
        <v>3149.3116666666756</v>
      </c>
      <c r="BW855">
        <v>3221.3108333333512</v>
      </c>
      <c r="BX855">
        <v>3293.3099999999977</v>
      </c>
      <c r="BY855">
        <v>3365.3091666666733</v>
      </c>
      <c r="BZ855">
        <v>3437.3083333333489</v>
      </c>
      <c r="CA855">
        <v>3509.3074999999953</v>
      </c>
      <c r="CB855">
        <v>3581.3066666666709</v>
      </c>
      <c r="CC855">
        <v>3653.3058333333465</v>
      </c>
      <c r="CD855">
        <v>3725.304999999993</v>
      </c>
      <c r="CE855">
        <v>3797.3041666666686</v>
      </c>
      <c r="CF855">
        <v>3869.3033333333442</v>
      </c>
      <c r="CG855">
        <v>3941.3025000000198</v>
      </c>
      <c r="CH855">
        <v>4013.3016666666663</v>
      </c>
      <c r="CI855">
        <v>4085.3008333333419</v>
      </c>
      <c r="CJ855">
        <v>4157.3000000000175</v>
      </c>
      <c r="CK855">
        <v>4229.299166666664</v>
      </c>
      <c r="CL855">
        <v>4301.2983333333395</v>
      </c>
      <c r="CM855">
        <v>4373.2975000000151</v>
      </c>
      <c r="CN855">
        <v>4445.2966666666616</v>
      </c>
    </row>
    <row r="856" spans="1:92" x14ac:dyDescent="0.25">
      <c r="A856" s="99"/>
    </row>
    <row r="857" spans="1:92" x14ac:dyDescent="0.25">
      <c r="A857" s="99" t="s">
        <v>333</v>
      </c>
      <c r="B857" s="4">
        <v>0</v>
      </c>
      <c r="C857" s="4">
        <v>0</v>
      </c>
      <c r="D857" s="4">
        <v>0</v>
      </c>
      <c r="E857" s="4">
        <v>0</v>
      </c>
      <c r="F857" s="4">
        <v>0</v>
      </c>
      <c r="G857" s="4">
        <v>0</v>
      </c>
      <c r="H857" s="4">
        <v>0</v>
      </c>
      <c r="I857" s="4">
        <v>0</v>
      </c>
      <c r="J857" s="4">
        <v>0</v>
      </c>
      <c r="K857" s="4">
        <v>0</v>
      </c>
      <c r="L857" s="4">
        <v>0</v>
      </c>
      <c r="M857" s="4">
        <v>0</v>
      </c>
      <c r="N857" s="4">
        <v>0</v>
      </c>
      <c r="O857" s="4">
        <v>0</v>
      </c>
      <c r="P857" s="4">
        <v>0</v>
      </c>
      <c r="Q857" s="4">
        <v>0</v>
      </c>
      <c r="R857" s="4">
        <v>0</v>
      </c>
      <c r="S857" s="4">
        <v>0</v>
      </c>
      <c r="T857" s="4">
        <v>0</v>
      </c>
      <c r="U857" s="4">
        <v>0</v>
      </c>
      <c r="V857" s="4">
        <v>0</v>
      </c>
      <c r="W857" s="4">
        <v>0</v>
      </c>
      <c r="X857" s="4">
        <v>0</v>
      </c>
      <c r="Y857" s="4">
        <v>0</v>
      </c>
      <c r="Z857" s="4">
        <v>0</v>
      </c>
      <c r="AA857" s="4">
        <v>0</v>
      </c>
      <c r="AB857" s="4">
        <v>0</v>
      </c>
      <c r="AC857" s="4">
        <v>0</v>
      </c>
      <c r="AD857" s="4">
        <v>0</v>
      </c>
      <c r="AE857" s="4">
        <v>0</v>
      </c>
      <c r="AF857">
        <v>2736.7293333333218</v>
      </c>
      <c r="AG857">
        <v>2856.4191666666593</v>
      </c>
      <c r="AH857">
        <v>2976.1089999999967</v>
      </c>
      <c r="AI857">
        <v>3095.7988333333342</v>
      </c>
      <c r="AJ857">
        <v>3215.4886666666716</v>
      </c>
      <c r="AK857">
        <v>3335.1785000000091</v>
      </c>
      <c r="AL857">
        <v>3454.8683333333174</v>
      </c>
      <c r="AM857">
        <v>3574.5581666666549</v>
      </c>
      <c r="AN857">
        <v>3694.2479999999923</v>
      </c>
      <c r="AO857">
        <v>3813.9378333333298</v>
      </c>
      <c r="AP857">
        <v>3933.6276666666672</v>
      </c>
      <c r="AQ857">
        <v>4053.3175000000047</v>
      </c>
      <c r="AR857">
        <v>4173.0073333333421</v>
      </c>
      <c r="AS857">
        <v>4292.6971666666504</v>
      </c>
      <c r="AT857">
        <v>4412.3869999999879</v>
      </c>
      <c r="AU857">
        <v>4532.0768333333253</v>
      </c>
      <c r="AV857">
        <v>4651.7666666666628</v>
      </c>
      <c r="AW857">
        <v>4771.4565000000002</v>
      </c>
      <c r="AX857">
        <v>4891.1463333333377</v>
      </c>
      <c r="AY857">
        <v>5010.8361666666751</v>
      </c>
      <c r="AZ857">
        <v>5130.5259999999835</v>
      </c>
      <c r="BA857">
        <v>5250.2158333333209</v>
      </c>
      <c r="BB857">
        <v>5369.9056666666584</v>
      </c>
      <c r="BC857">
        <v>5489.5954999999958</v>
      </c>
      <c r="BD857">
        <v>5609.2853333333333</v>
      </c>
      <c r="BE857">
        <v>5728.9751666666707</v>
      </c>
      <c r="BF857">
        <v>5848.6650000000081</v>
      </c>
      <c r="BG857">
        <v>5968.3548333333165</v>
      </c>
      <c r="BH857">
        <v>6088.0446666666539</v>
      </c>
      <c r="BI857">
        <v>6207.7344999999914</v>
      </c>
      <c r="BJ857">
        <v>6327.4243333333288</v>
      </c>
      <c r="BK857">
        <v>6447.1141666666663</v>
      </c>
      <c r="BL857">
        <v>6566.8040000000037</v>
      </c>
      <c r="BM857">
        <v>6686.4938333333412</v>
      </c>
      <c r="BN857">
        <v>6806.1836666666495</v>
      </c>
      <c r="BO857">
        <v>6925.873499999987</v>
      </c>
      <c r="BP857">
        <v>7045.5633333333244</v>
      </c>
      <c r="BQ857">
        <v>7165.2531666666619</v>
      </c>
      <c r="BR857">
        <v>7284.9429999999993</v>
      </c>
      <c r="BS857">
        <v>7404.6328333333367</v>
      </c>
      <c r="BT857">
        <v>7524.3226666666742</v>
      </c>
      <c r="BU857">
        <v>7644.0124999999825</v>
      </c>
      <c r="BV857">
        <v>7763.70233333332</v>
      </c>
      <c r="BW857">
        <v>7883.3921666666574</v>
      </c>
      <c r="BX857">
        <v>8003.0819999999949</v>
      </c>
      <c r="BY857">
        <v>8122.7718333333323</v>
      </c>
      <c r="BZ857">
        <v>8242.4616666666698</v>
      </c>
      <c r="CA857">
        <v>8362.1515000000072</v>
      </c>
      <c r="CB857">
        <v>8481.8413333333156</v>
      </c>
      <c r="CC857">
        <v>8601.531166666653</v>
      </c>
      <c r="CD857">
        <v>8721.2209999999905</v>
      </c>
      <c r="CE857">
        <v>8840.9108333333279</v>
      </c>
      <c r="CF857">
        <v>8960.6006666666653</v>
      </c>
      <c r="CG857">
        <v>9080.2905000000028</v>
      </c>
      <c r="CH857">
        <v>9199.9803333333402</v>
      </c>
      <c r="CI857">
        <v>9319.6701666666486</v>
      </c>
      <c r="CJ857">
        <v>9439.359999999986</v>
      </c>
      <c r="CK857">
        <v>9559.0498333333235</v>
      </c>
      <c r="CL857">
        <v>9678.7396666666609</v>
      </c>
      <c r="CM857">
        <v>9798.4294999999984</v>
      </c>
      <c r="CN857">
        <v>9918.1193333333358</v>
      </c>
    </row>
    <row r="858" spans="1:92" x14ac:dyDescent="0.25">
      <c r="A858" s="99"/>
    </row>
    <row r="859" spans="1:92" s="50" customFormat="1" x14ac:dyDescent="0.25">
      <c r="A859" s="99" t="s">
        <v>334</v>
      </c>
      <c r="B859" s="4">
        <v>0</v>
      </c>
      <c r="C859" s="4">
        <v>0</v>
      </c>
      <c r="D859" s="4">
        <v>0</v>
      </c>
      <c r="E859" s="4">
        <v>0</v>
      </c>
      <c r="F859" s="4">
        <v>0</v>
      </c>
      <c r="G859" s="4">
        <v>0</v>
      </c>
      <c r="H859" s="4">
        <v>0</v>
      </c>
      <c r="I859" s="4">
        <v>0</v>
      </c>
      <c r="J859" s="4">
        <v>0</v>
      </c>
      <c r="K859" s="4">
        <v>0</v>
      </c>
      <c r="L859" s="4">
        <v>0</v>
      </c>
      <c r="M859" s="4">
        <v>0</v>
      </c>
      <c r="N859" s="4">
        <v>0</v>
      </c>
      <c r="O859" s="4">
        <v>0</v>
      </c>
      <c r="P859" s="4">
        <v>0</v>
      </c>
      <c r="Q859" s="4">
        <v>0</v>
      </c>
      <c r="R859" s="4">
        <v>0</v>
      </c>
      <c r="S859" s="4">
        <v>0</v>
      </c>
      <c r="T859" s="4">
        <v>0</v>
      </c>
      <c r="U859" s="4">
        <v>0</v>
      </c>
      <c r="V859" s="4">
        <v>0</v>
      </c>
      <c r="W859" s="4">
        <v>0</v>
      </c>
      <c r="X859" s="4">
        <v>0</v>
      </c>
      <c r="Y859" s="4">
        <v>0</v>
      </c>
      <c r="Z859" s="4">
        <v>0</v>
      </c>
      <c r="AA859" s="4">
        <v>0</v>
      </c>
      <c r="AB859" s="4">
        <v>0</v>
      </c>
      <c r="AC859" s="4">
        <v>0</v>
      </c>
      <c r="AD859" s="4">
        <v>0</v>
      </c>
      <c r="AE859" s="4">
        <v>0</v>
      </c>
      <c r="AF859" s="50">
        <v>4996.4562908803346</v>
      </c>
      <c r="AG859" s="50">
        <v>5316.3062508875737</v>
      </c>
      <c r="AH859" s="50">
        <v>5636.1562108946964</v>
      </c>
      <c r="AI859" s="50">
        <v>5956.0061709018191</v>
      </c>
      <c r="AJ859" s="50">
        <v>6275.8561309089419</v>
      </c>
      <c r="AK859" s="50">
        <v>6595.706090916181</v>
      </c>
      <c r="AL859" s="50">
        <v>6915.5560509233037</v>
      </c>
      <c r="AM859" s="50">
        <v>7235.4060109304264</v>
      </c>
      <c r="AN859" s="50">
        <v>7555.2559709375491</v>
      </c>
      <c r="AO859" s="50">
        <v>7875.1059309447883</v>
      </c>
      <c r="AP859" s="50">
        <v>8194.955890951911</v>
      </c>
      <c r="AQ859" s="50">
        <v>8514.8058509590337</v>
      </c>
      <c r="AR859" s="50">
        <v>8834.6558109661564</v>
      </c>
      <c r="AS859" s="50">
        <v>9154.5057709732791</v>
      </c>
      <c r="AT859" s="50">
        <v>9474.3557309805183</v>
      </c>
      <c r="AU859" s="50">
        <v>9794.205690987641</v>
      </c>
      <c r="AV859" s="50">
        <v>10114.055650994764</v>
      </c>
      <c r="AW859" s="50">
        <v>10433.905611001886</v>
      </c>
      <c r="AX859" s="50">
        <v>10753.755571009126</v>
      </c>
      <c r="AY859" s="50">
        <v>11073.605531016248</v>
      </c>
      <c r="AZ859" s="50">
        <v>11393.455491023371</v>
      </c>
      <c r="BA859" s="50">
        <v>11713.305451030494</v>
      </c>
      <c r="BB859" s="50">
        <v>12033.155411037733</v>
      </c>
      <c r="BC859" s="50">
        <v>12353.005371044856</v>
      </c>
      <c r="BD859" s="50">
        <v>12672.855331051978</v>
      </c>
      <c r="BE859" s="50">
        <v>12992.705291059101</v>
      </c>
      <c r="BF859" s="50">
        <v>13312.555251066224</v>
      </c>
      <c r="BG859" s="50">
        <v>13632.405211073463</v>
      </c>
      <c r="BH859" s="50">
        <v>13952.255171080586</v>
      </c>
      <c r="BI859" s="50">
        <v>14272.105131087708</v>
      </c>
      <c r="BJ859" s="50">
        <v>14591.955091094831</v>
      </c>
      <c r="BK859" s="50">
        <v>14911.80505110207</v>
      </c>
      <c r="BL859" s="50">
        <v>15231.655011109193</v>
      </c>
      <c r="BM859" s="50">
        <v>15551.504971116316</v>
      </c>
      <c r="BN859" s="50">
        <v>15871.354931123438</v>
      </c>
      <c r="BO859" s="50">
        <v>16191.204891130677</v>
      </c>
      <c r="BP859" s="50">
        <v>16511.0548511378</v>
      </c>
      <c r="BQ859" s="50">
        <v>16830.904811144923</v>
      </c>
      <c r="BR859" s="50">
        <v>17150.754771152046</v>
      </c>
      <c r="BS859" s="50">
        <v>17470.604731159285</v>
      </c>
      <c r="BT859" s="50">
        <v>17790.454691166407</v>
      </c>
      <c r="BU859" s="50">
        <v>18110.30465117353</v>
      </c>
      <c r="BV859" s="50">
        <v>18430.154611180653</v>
      </c>
      <c r="BW859" s="50">
        <v>18750.004571187776</v>
      </c>
      <c r="BX859" s="50">
        <v>19069.854531195015</v>
      </c>
      <c r="BY859" s="50">
        <v>19389.704491202137</v>
      </c>
      <c r="BZ859" s="50">
        <v>19709.55445120926</v>
      </c>
      <c r="CA859" s="50">
        <v>20029.404411216383</v>
      </c>
      <c r="CB859" s="50">
        <v>20349.254371223622</v>
      </c>
      <c r="CC859" s="50">
        <v>20669.104331230745</v>
      </c>
      <c r="CD859" s="50">
        <v>20988.954291237867</v>
      </c>
      <c r="CE859" s="50">
        <v>21308.80425124499</v>
      </c>
      <c r="CF859" s="50">
        <v>21628.654211252229</v>
      </c>
      <c r="CG859" s="50">
        <v>21948.504171259352</v>
      </c>
      <c r="CH859" s="50">
        <v>22268.354131266475</v>
      </c>
      <c r="CI859" s="50">
        <v>22588.204091273597</v>
      </c>
      <c r="CJ859" s="50">
        <v>22908.054051280837</v>
      </c>
      <c r="CK859" s="50">
        <v>23227.904011287959</v>
      </c>
      <c r="CL859" s="50">
        <v>23547.753971295082</v>
      </c>
      <c r="CM859" s="50">
        <v>23867.603931302205</v>
      </c>
      <c r="CN859" s="50">
        <v>24187.453891309327</v>
      </c>
    </row>
    <row r="860" spans="1:92" s="50" customFormat="1" x14ac:dyDescent="0.25">
      <c r="A860" s="9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92" x14ac:dyDescent="0.25">
      <c r="A861" s="99" t="s">
        <v>335</v>
      </c>
      <c r="B861" s="4">
        <v>0</v>
      </c>
      <c r="C861" s="4">
        <v>0</v>
      </c>
      <c r="D861" s="4">
        <v>0</v>
      </c>
      <c r="E861" s="4">
        <v>0</v>
      </c>
      <c r="F861" s="4">
        <v>0</v>
      </c>
      <c r="G861" s="4">
        <v>0</v>
      </c>
      <c r="H861" s="4">
        <v>0</v>
      </c>
      <c r="I861" s="4">
        <v>0</v>
      </c>
      <c r="J861" s="4">
        <v>0</v>
      </c>
      <c r="K861" s="4">
        <v>0</v>
      </c>
      <c r="L861" s="4">
        <v>0</v>
      </c>
      <c r="M861" s="4">
        <v>0</v>
      </c>
      <c r="N861" s="4">
        <v>0</v>
      </c>
      <c r="O861" s="4">
        <v>0</v>
      </c>
      <c r="P861" s="4">
        <v>0</v>
      </c>
      <c r="Q861" s="4">
        <v>0</v>
      </c>
      <c r="R861" s="4">
        <v>0</v>
      </c>
      <c r="S861" s="4">
        <v>0</v>
      </c>
      <c r="T861" s="4">
        <v>0</v>
      </c>
      <c r="U861" s="4">
        <v>0</v>
      </c>
      <c r="V861" s="4">
        <v>0</v>
      </c>
      <c r="W861" s="4">
        <v>0</v>
      </c>
      <c r="X861" s="4">
        <v>0</v>
      </c>
      <c r="Y861" s="4">
        <v>0</v>
      </c>
      <c r="Z861" s="4">
        <v>0</v>
      </c>
      <c r="AA861" s="4">
        <v>0</v>
      </c>
      <c r="AB861" s="4">
        <v>0</v>
      </c>
      <c r="AC861" s="4">
        <v>0</v>
      </c>
      <c r="AD861" s="4">
        <v>0</v>
      </c>
      <c r="AE861" s="4">
        <v>0</v>
      </c>
      <c r="AF861">
        <v>11665.049333333969</v>
      </c>
      <c r="AG861">
        <v>14466.719166667201</v>
      </c>
      <c r="AH861">
        <v>17268.389000000432</v>
      </c>
      <c r="AI861">
        <v>20070.058833333664</v>
      </c>
      <c r="AJ861">
        <v>22871.728666666895</v>
      </c>
      <c r="AK861">
        <v>25673.398500000127</v>
      </c>
      <c r="AL861">
        <v>28475.068333333358</v>
      </c>
      <c r="AM861">
        <v>31276.73816666659</v>
      </c>
      <c r="AN861">
        <v>34078.408000000753</v>
      </c>
      <c r="AO861">
        <v>36880.077833333984</v>
      </c>
      <c r="AP861">
        <v>39681.747666667216</v>
      </c>
      <c r="AQ861">
        <v>42483.417500000447</v>
      </c>
      <c r="AR861">
        <v>45285.087333333679</v>
      </c>
      <c r="AS861">
        <v>48086.75716666691</v>
      </c>
      <c r="AT861">
        <v>50888.427000000142</v>
      </c>
      <c r="AU861">
        <v>53690.096833333373</v>
      </c>
      <c r="AV861">
        <v>56491.766666666605</v>
      </c>
      <c r="AW861">
        <v>59293.436500000767</v>
      </c>
      <c r="AX861">
        <v>62095.106333333999</v>
      </c>
      <c r="AY861">
        <v>64896.77616666723</v>
      </c>
      <c r="AZ861">
        <v>67698.446000000462</v>
      </c>
      <c r="BA861">
        <v>70500.115833333693</v>
      </c>
      <c r="BB861">
        <v>73301.785666666925</v>
      </c>
      <c r="BC861">
        <v>76103.455500000156</v>
      </c>
      <c r="BD861">
        <v>78905.125333333388</v>
      </c>
      <c r="BE861">
        <v>81706.795166666619</v>
      </c>
      <c r="BF861">
        <v>84508.465000000782</v>
      </c>
      <c r="BG861">
        <v>87310.134833334014</v>
      </c>
      <c r="BH861">
        <v>90111.804666667245</v>
      </c>
      <c r="BI861">
        <v>92913.474500000477</v>
      </c>
      <c r="BJ861">
        <v>95715.144333333708</v>
      </c>
      <c r="BK861">
        <v>98516.81416666694</v>
      </c>
      <c r="BL861">
        <v>101318.48400000017</v>
      </c>
      <c r="BM861">
        <v>104120.1538333334</v>
      </c>
      <c r="BN861">
        <v>106921.82366666663</v>
      </c>
      <c r="BO861">
        <v>109723.4935000008</v>
      </c>
      <c r="BP861">
        <v>112525.16333333403</v>
      </c>
      <c r="BQ861">
        <v>115326.83316666726</v>
      </c>
      <c r="BR861">
        <v>118128.50300000049</v>
      </c>
      <c r="BS861">
        <v>120930.17283333372</v>
      </c>
      <c r="BT861">
        <v>123731.84266666695</v>
      </c>
      <c r="BU861">
        <v>126533.51250000019</v>
      </c>
      <c r="BV861">
        <v>129335.18233333342</v>
      </c>
      <c r="BW861">
        <v>132136.85216666665</v>
      </c>
      <c r="BX861">
        <v>134938.52199999988</v>
      </c>
      <c r="BY861">
        <v>137740.19183333404</v>
      </c>
      <c r="BZ861">
        <v>140541.86166666728</v>
      </c>
      <c r="CA861">
        <v>143343.53150000051</v>
      </c>
      <c r="CB861">
        <v>146145.20133333374</v>
      </c>
      <c r="CC861">
        <v>148946.87116666697</v>
      </c>
      <c r="CD861">
        <v>151748.5410000002</v>
      </c>
      <c r="CE861">
        <v>154550.21083333343</v>
      </c>
      <c r="CF861">
        <v>157351.88066666666</v>
      </c>
      <c r="CG861">
        <v>160153.5504999999</v>
      </c>
      <c r="CH861">
        <v>162955.22033333406</v>
      </c>
      <c r="CI861">
        <v>165756.89016666729</v>
      </c>
      <c r="CJ861">
        <v>168558.56000000052</v>
      </c>
      <c r="CK861">
        <v>171360.22983333375</v>
      </c>
      <c r="CL861">
        <v>174161.89966666698</v>
      </c>
      <c r="CM861">
        <v>176963.56950000022</v>
      </c>
      <c r="CN861">
        <v>179765.23933333345</v>
      </c>
    </row>
    <row r="862" spans="1:92" x14ac:dyDescent="0.25">
      <c r="A862" s="99"/>
    </row>
    <row r="863" spans="1:92" s="50" customFormat="1" x14ac:dyDescent="0.25">
      <c r="A863" s="99" t="s">
        <v>336</v>
      </c>
      <c r="B863" s="4">
        <v>0</v>
      </c>
      <c r="C863" s="4">
        <v>0</v>
      </c>
      <c r="D863" s="4">
        <v>0</v>
      </c>
      <c r="E863" s="4">
        <v>0</v>
      </c>
      <c r="F863" s="4">
        <v>0</v>
      </c>
      <c r="G863" s="4">
        <v>0</v>
      </c>
      <c r="H863" s="4">
        <v>0</v>
      </c>
      <c r="I863" s="4">
        <v>0</v>
      </c>
      <c r="J863" s="4">
        <v>0</v>
      </c>
      <c r="K863" s="4">
        <v>0</v>
      </c>
      <c r="L863" s="4">
        <v>0</v>
      </c>
      <c r="M863" s="4">
        <v>0</v>
      </c>
      <c r="N863" s="4">
        <v>0</v>
      </c>
      <c r="O863" s="4">
        <v>0</v>
      </c>
      <c r="P863" s="4">
        <v>0</v>
      </c>
      <c r="Q863" s="4">
        <v>0</v>
      </c>
      <c r="R863" s="4">
        <v>0</v>
      </c>
      <c r="S863" s="4">
        <v>0</v>
      </c>
      <c r="T863" s="4">
        <v>0</v>
      </c>
      <c r="U863" s="4">
        <v>0</v>
      </c>
      <c r="V863" s="4">
        <v>0</v>
      </c>
      <c r="W863" s="4">
        <v>0</v>
      </c>
      <c r="X863" s="4">
        <v>0</v>
      </c>
      <c r="Y863" s="4">
        <v>0</v>
      </c>
      <c r="Z863" s="4">
        <v>0</v>
      </c>
      <c r="AA863" s="4">
        <v>0</v>
      </c>
      <c r="AB863" s="4">
        <v>0</v>
      </c>
      <c r="AC863" s="4">
        <v>0</v>
      </c>
      <c r="AD863" s="4">
        <v>0</v>
      </c>
      <c r="AE863" s="4">
        <v>0</v>
      </c>
      <c r="AF863" s="50">
        <v>939.08770911955799</v>
      </c>
      <c r="AG863" s="50">
        <v>999.20374911240651</v>
      </c>
      <c r="AH863" s="50">
        <v>1059.3197891052696</v>
      </c>
      <c r="AI863" s="50">
        <v>1119.4358290981181</v>
      </c>
      <c r="AJ863" s="50">
        <v>1179.5518690909666</v>
      </c>
      <c r="AK863" s="50">
        <v>1239.6679090838152</v>
      </c>
      <c r="AL863" s="50">
        <v>1299.7839490766637</v>
      </c>
      <c r="AM863" s="50">
        <v>1359.8999890695122</v>
      </c>
      <c r="AN863" s="50">
        <v>1420.0160290623608</v>
      </c>
      <c r="AO863" s="50">
        <v>1480.1320690552093</v>
      </c>
      <c r="AP863" s="50">
        <v>1540.2481090480724</v>
      </c>
      <c r="AQ863" s="50">
        <v>1600.3641490409209</v>
      </c>
      <c r="AR863" s="50">
        <v>1660.4801890337694</v>
      </c>
      <c r="AS863" s="50">
        <v>1720.5962290266179</v>
      </c>
      <c r="AT863" s="50">
        <v>1780.7122690194665</v>
      </c>
      <c r="AU863" s="50">
        <v>1840.828309012315</v>
      </c>
      <c r="AV863" s="50">
        <v>1900.9443490051635</v>
      </c>
      <c r="AW863" s="50">
        <v>1961.0603889980266</v>
      </c>
      <c r="AX863" s="50">
        <v>2021.1764289908751</v>
      </c>
      <c r="AY863" s="50">
        <v>2081.2924689837237</v>
      </c>
      <c r="AZ863" s="50">
        <v>2141.4085089765722</v>
      </c>
      <c r="BA863" s="50">
        <v>2201.5245489694207</v>
      </c>
      <c r="BB863" s="50">
        <v>2261.6405889622692</v>
      </c>
      <c r="BC863" s="50">
        <v>2321.7566289551178</v>
      </c>
      <c r="BD863" s="50">
        <v>2381.8726689479663</v>
      </c>
      <c r="BE863" s="50">
        <v>2441.9887089408294</v>
      </c>
      <c r="BF863" s="50">
        <v>2502.1047489336779</v>
      </c>
      <c r="BG863" s="50">
        <v>2562.2207889265264</v>
      </c>
      <c r="BH863" s="50">
        <v>2622.336828919375</v>
      </c>
      <c r="BI863" s="50">
        <v>2682.4528689122235</v>
      </c>
      <c r="BJ863" s="50">
        <v>2742.568908905072</v>
      </c>
      <c r="BK863" s="50">
        <v>2802.6849488979205</v>
      </c>
      <c r="BL863" s="50">
        <v>2862.8009888907836</v>
      </c>
      <c r="BM863" s="50">
        <v>2922.9170288836322</v>
      </c>
      <c r="BN863" s="50">
        <v>2983.0330688764807</v>
      </c>
      <c r="BO863" s="50">
        <v>3043.1491088693292</v>
      </c>
      <c r="BP863" s="50">
        <v>3103.2651488621777</v>
      </c>
      <c r="BQ863" s="50">
        <v>3163.3811888550263</v>
      </c>
      <c r="BR863" s="50">
        <v>3223.4972288478748</v>
      </c>
      <c r="BS863" s="50">
        <v>3283.6132688407233</v>
      </c>
      <c r="BT863" s="50">
        <v>3343.7293088335864</v>
      </c>
      <c r="BU863" s="50">
        <v>3403.8453488264349</v>
      </c>
      <c r="BV863" s="50">
        <v>3463.9613888192835</v>
      </c>
      <c r="BW863" s="50">
        <v>3524.077428812132</v>
      </c>
      <c r="BX863" s="50">
        <v>3584.1934688049805</v>
      </c>
      <c r="BY863" s="50">
        <v>3644.309508797829</v>
      </c>
      <c r="BZ863" s="50">
        <v>3704.4255487906776</v>
      </c>
      <c r="CA863" s="50">
        <v>3764.5415887835406</v>
      </c>
      <c r="CB863" s="50">
        <v>3824.6576287763892</v>
      </c>
      <c r="CC863" s="50">
        <v>3884.7736687692377</v>
      </c>
      <c r="CD863" s="50">
        <v>3944.8897087620862</v>
      </c>
      <c r="CE863" s="50">
        <v>4005.0057487549348</v>
      </c>
      <c r="CF863" s="50">
        <v>4065.1217887477833</v>
      </c>
      <c r="CG863" s="50">
        <v>4125.2378287406318</v>
      </c>
      <c r="CH863" s="50">
        <v>4185.3538687334803</v>
      </c>
      <c r="CI863" s="50">
        <v>4245.4699087263434</v>
      </c>
      <c r="CJ863" s="50">
        <v>4305.5859487191919</v>
      </c>
      <c r="CK863" s="50">
        <v>4365.7019887120405</v>
      </c>
      <c r="CL863" s="50">
        <v>4425.818028704889</v>
      </c>
      <c r="CM863" s="50">
        <v>4485.9340686977375</v>
      </c>
      <c r="CN863" s="50">
        <v>4546.0501086905861</v>
      </c>
    </row>
    <row r="864" spans="1:92" s="50" customFormat="1" x14ac:dyDescent="0.25">
      <c r="A864" s="9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92" x14ac:dyDescent="0.25">
      <c r="A865" s="99" t="s">
        <v>337</v>
      </c>
      <c r="B865" s="4">
        <v>0</v>
      </c>
      <c r="C865" s="4">
        <v>0</v>
      </c>
      <c r="D865" s="4">
        <v>0</v>
      </c>
      <c r="E865" s="4">
        <v>0</v>
      </c>
      <c r="F865" s="4">
        <v>0</v>
      </c>
      <c r="G865" s="4">
        <v>0</v>
      </c>
      <c r="H865" s="4">
        <v>0</v>
      </c>
      <c r="I865" s="4">
        <v>0</v>
      </c>
      <c r="J865" s="4">
        <v>0</v>
      </c>
      <c r="K865" s="4">
        <v>0</v>
      </c>
      <c r="L865" s="4">
        <v>0</v>
      </c>
      <c r="M865" s="4">
        <v>0</v>
      </c>
      <c r="N865" s="4">
        <v>0</v>
      </c>
      <c r="O865" s="4">
        <v>0</v>
      </c>
      <c r="P865" s="4">
        <v>0</v>
      </c>
      <c r="Q865" s="4">
        <v>0</v>
      </c>
      <c r="R865" s="4">
        <v>0</v>
      </c>
      <c r="S865" s="4">
        <v>0</v>
      </c>
      <c r="T865" s="4">
        <v>0</v>
      </c>
      <c r="U865" s="4">
        <v>0</v>
      </c>
      <c r="V865" s="4">
        <v>0</v>
      </c>
      <c r="W865" s="4">
        <v>0</v>
      </c>
      <c r="X865" s="4">
        <v>0</v>
      </c>
      <c r="Y865" s="4">
        <v>0</v>
      </c>
      <c r="Z865" s="4">
        <v>0</v>
      </c>
      <c r="AA865" s="4">
        <v>0</v>
      </c>
      <c r="AB865" s="4">
        <v>0</v>
      </c>
      <c r="AC865" s="4">
        <v>0</v>
      </c>
      <c r="AD865" s="4">
        <v>0</v>
      </c>
      <c r="AE865" s="4">
        <v>0</v>
      </c>
      <c r="AF865">
        <v>-2069.9746666667052</v>
      </c>
      <c r="AG865">
        <v>-1492.7616666667163</v>
      </c>
      <c r="AH865">
        <v>-915.54866666672751</v>
      </c>
      <c r="AI865">
        <v>-338.33566666673869</v>
      </c>
      <c r="AJ865">
        <v>238.87733333325014</v>
      </c>
      <c r="AK865">
        <v>816.09033333323896</v>
      </c>
      <c r="AL865">
        <v>1393.3033333334606</v>
      </c>
      <c r="AM865">
        <v>1970.5163333334494</v>
      </c>
      <c r="AN865">
        <v>2547.7293333334383</v>
      </c>
      <c r="AO865">
        <v>3124.9423333334271</v>
      </c>
      <c r="AP865">
        <v>3702.1553333334159</v>
      </c>
      <c r="AQ865">
        <v>4279.3683333334047</v>
      </c>
      <c r="AR865">
        <v>4856.5813333333936</v>
      </c>
      <c r="AS865">
        <v>5433.7943333333824</v>
      </c>
      <c r="AT865">
        <v>6011.0073333333712</v>
      </c>
      <c r="AU865">
        <v>6588.22033333336</v>
      </c>
      <c r="AV865">
        <v>7165.4333333333489</v>
      </c>
      <c r="AW865">
        <v>7742.6463333333377</v>
      </c>
      <c r="AX865">
        <v>8319.8593333333265</v>
      </c>
      <c r="AY865">
        <v>8897.0723333333153</v>
      </c>
      <c r="AZ865">
        <v>9474.2853333333042</v>
      </c>
      <c r="BA865">
        <v>10051.498333333293</v>
      </c>
      <c r="BB865">
        <v>10628.711333333282</v>
      </c>
      <c r="BC865">
        <v>11205.924333333271</v>
      </c>
      <c r="BD865">
        <v>11783.137333333259</v>
      </c>
      <c r="BE865">
        <v>12360.350333333248</v>
      </c>
      <c r="BF865">
        <v>12937.563333333237</v>
      </c>
      <c r="BG865">
        <v>13514.776333333459</v>
      </c>
      <c r="BH865">
        <v>14091.989333333448</v>
      </c>
      <c r="BI865">
        <v>14669.202333333436</v>
      </c>
      <c r="BJ865">
        <v>15246.415333333425</v>
      </c>
      <c r="BK865">
        <v>15823.628333333414</v>
      </c>
      <c r="BL865">
        <v>16400.841333333403</v>
      </c>
      <c r="BM865">
        <v>16978.054333333392</v>
      </c>
      <c r="BN865">
        <v>17555.267333333381</v>
      </c>
      <c r="BO865">
        <v>18132.480333333369</v>
      </c>
      <c r="BP865">
        <v>18709.693333333358</v>
      </c>
      <c r="BQ865">
        <v>19286.906333333347</v>
      </c>
      <c r="BR865">
        <v>19864.119333333336</v>
      </c>
      <c r="BS865">
        <v>20441.332333333325</v>
      </c>
      <c r="BT865">
        <v>21018.545333333313</v>
      </c>
      <c r="BU865">
        <v>21595.758333333302</v>
      </c>
      <c r="BV865">
        <v>22172.971333333291</v>
      </c>
      <c r="BW865">
        <v>22750.18433333328</v>
      </c>
      <c r="BX865">
        <v>23327.397333333269</v>
      </c>
      <c r="BY865">
        <v>23904.610333333258</v>
      </c>
      <c r="BZ865">
        <v>24481.823333333246</v>
      </c>
      <c r="CA865">
        <v>25059.036333333235</v>
      </c>
      <c r="CB865">
        <v>25636.249333333457</v>
      </c>
      <c r="CC865">
        <v>26213.462333333446</v>
      </c>
      <c r="CD865">
        <v>26790.675333333435</v>
      </c>
      <c r="CE865">
        <v>27367.888333333423</v>
      </c>
      <c r="CF865">
        <v>27945.101333333412</v>
      </c>
      <c r="CG865">
        <v>28522.314333333401</v>
      </c>
      <c r="CH865">
        <v>29099.52733333339</v>
      </c>
      <c r="CI865">
        <v>29676.740333333379</v>
      </c>
      <c r="CJ865">
        <v>30253.953333333367</v>
      </c>
      <c r="CK865">
        <v>30831.166333333356</v>
      </c>
      <c r="CL865">
        <v>31408.379333333345</v>
      </c>
      <c r="CM865">
        <v>31985.592333333334</v>
      </c>
      <c r="CN865">
        <v>32562.805333333323</v>
      </c>
    </row>
    <row r="866" spans="1:92" x14ac:dyDescent="0.25">
      <c r="A866" s="99" t="s">
        <v>1</v>
      </c>
      <c r="B866" s="4">
        <v>0</v>
      </c>
      <c r="C866" s="4">
        <v>0</v>
      </c>
      <c r="D866" s="4">
        <v>0</v>
      </c>
      <c r="E866" s="4">
        <v>0</v>
      </c>
      <c r="F866" s="4">
        <v>0</v>
      </c>
      <c r="G866" s="4">
        <v>0</v>
      </c>
      <c r="H866" s="4">
        <v>0</v>
      </c>
      <c r="I866" s="4">
        <v>0</v>
      </c>
      <c r="J866" s="4">
        <v>0</v>
      </c>
      <c r="K866" s="4">
        <v>0</v>
      </c>
      <c r="L866" s="4">
        <v>0</v>
      </c>
      <c r="M866" s="4">
        <v>0</v>
      </c>
      <c r="N866" s="4">
        <v>0</v>
      </c>
      <c r="O866" s="4">
        <v>0</v>
      </c>
      <c r="P866" s="4">
        <v>0</v>
      </c>
      <c r="Q866" s="4">
        <v>0</v>
      </c>
      <c r="R866" s="4">
        <v>0</v>
      </c>
      <c r="S866" s="4">
        <v>0</v>
      </c>
      <c r="T866" s="4">
        <v>0</v>
      </c>
      <c r="U866" s="4">
        <v>0</v>
      </c>
      <c r="V866" s="4">
        <v>0</v>
      </c>
      <c r="W866" s="4">
        <v>0</v>
      </c>
      <c r="X866" s="4">
        <v>0</v>
      </c>
      <c r="Y866" s="4">
        <v>0</v>
      </c>
      <c r="Z866" s="4">
        <v>0</v>
      </c>
      <c r="AA866" s="4">
        <v>0</v>
      </c>
      <c r="AB866" s="4">
        <v>0</v>
      </c>
      <c r="AC866" s="4">
        <v>0</v>
      </c>
      <c r="AD866" s="4">
        <v>0</v>
      </c>
      <c r="AE866" s="4">
        <v>0</v>
      </c>
      <c r="AF866">
        <v>660.20133333327249</v>
      </c>
      <c r="AG866">
        <v>1424.690833333414</v>
      </c>
      <c r="AH866">
        <v>2189.1803333333228</v>
      </c>
      <c r="AI866">
        <v>2953.6698333332315</v>
      </c>
      <c r="AJ866">
        <v>3718.1593333333731</v>
      </c>
      <c r="AK866">
        <v>4482.6488333332818</v>
      </c>
      <c r="AL866">
        <v>5247.1383333334234</v>
      </c>
      <c r="AM866">
        <v>6011.6278333333321</v>
      </c>
      <c r="AN866">
        <v>6776.1173333332408</v>
      </c>
      <c r="AO866">
        <v>7540.6068333333824</v>
      </c>
      <c r="AP866">
        <v>8305.0963333332911</v>
      </c>
      <c r="AQ866">
        <v>9069.5858333334327</v>
      </c>
      <c r="AR866">
        <v>9834.0753333333414</v>
      </c>
      <c r="AS866">
        <v>10598.56483333325</v>
      </c>
      <c r="AT866">
        <v>11363.054333333392</v>
      </c>
      <c r="AU866">
        <v>12127.5438333333</v>
      </c>
      <c r="AV866">
        <v>12892.033333333442</v>
      </c>
      <c r="AW866">
        <v>13656.522833333351</v>
      </c>
      <c r="AX866">
        <v>14421.012333333259</v>
      </c>
      <c r="AY866">
        <v>15185.501833333401</v>
      </c>
      <c r="AZ866">
        <v>15949.99133333331</v>
      </c>
      <c r="BA866">
        <v>16714.480833333451</v>
      </c>
      <c r="BB866">
        <v>17478.97033333336</v>
      </c>
      <c r="BC866">
        <v>18243.459833333269</v>
      </c>
      <c r="BD866">
        <v>19007.94933333341</v>
      </c>
      <c r="BE866">
        <v>19772.438833333319</v>
      </c>
      <c r="BF866">
        <v>20536.928333333228</v>
      </c>
      <c r="BG866">
        <v>21301.417833333369</v>
      </c>
      <c r="BH866">
        <v>22065.907333333278</v>
      </c>
      <c r="BI866">
        <v>22830.39683333342</v>
      </c>
      <c r="BJ866">
        <v>23594.886333333328</v>
      </c>
      <c r="BK866">
        <v>24359.375833333237</v>
      </c>
      <c r="BL866">
        <v>25123.865333333379</v>
      </c>
      <c r="BM866">
        <v>25888.354833333287</v>
      </c>
      <c r="BN866">
        <v>26652.844333333429</v>
      </c>
      <c r="BO866">
        <v>27417.333833333338</v>
      </c>
      <c r="BP866">
        <v>28181.823333333246</v>
      </c>
      <c r="BQ866">
        <v>28946.312833333388</v>
      </c>
      <c r="BR866">
        <v>29710.802333333297</v>
      </c>
      <c r="BS866">
        <v>30475.291833333438</v>
      </c>
      <c r="BT866">
        <v>31239.781333333347</v>
      </c>
      <c r="BU866">
        <v>32004.270833333256</v>
      </c>
      <c r="BV866">
        <v>32768.760333333397</v>
      </c>
      <c r="BW866">
        <v>33533.249833333306</v>
      </c>
      <c r="BX866">
        <v>34297.739333333448</v>
      </c>
      <c r="BY866">
        <v>35062.228833333356</v>
      </c>
      <c r="BZ866">
        <v>35826.718333333265</v>
      </c>
      <c r="CA866">
        <v>36591.207833333407</v>
      </c>
      <c r="CB866">
        <v>37355.697333333315</v>
      </c>
      <c r="CC866">
        <v>38120.186833333224</v>
      </c>
      <c r="CD866">
        <v>38884.676333333366</v>
      </c>
      <c r="CE866">
        <v>39649.165833333274</v>
      </c>
      <c r="CF866">
        <v>40413.655333333416</v>
      </c>
      <c r="CG866">
        <v>41178.144833333325</v>
      </c>
      <c r="CH866">
        <v>41942.634333333233</v>
      </c>
      <c r="CI866">
        <v>42707.123833333375</v>
      </c>
      <c r="CJ866">
        <v>43471.613333333284</v>
      </c>
      <c r="CK866">
        <v>44236.102833333425</v>
      </c>
      <c r="CL866">
        <v>45000.592333333334</v>
      </c>
      <c r="CM866">
        <v>45765.081833333243</v>
      </c>
      <c r="CN866">
        <v>46529.571333333384</v>
      </c>
    </row>
    <row r="867" spans="1:92" x14ac:dyDescent="0.25">
      <c r="A867" s="99" t="s">
        <v>1</v>
      </c>
      <c r="B867" s="4">
        <v>0</v>
      </c>
      <c r="C867" s="4">
        <v>0</v>
      </c>
      <c r="D867" s="4">
        <v>0</v>
      </c>
      <c r="E867" s="4">
        <v>0</v>
      </c>
      <c r="F867" s="4">
        <v>0</v>
      </c>
      <c r="G867" s="4">
        <v>0</v>
      </c>
      <c r="H867" s="4">
        <v>0</v>
      </c>
      <c r="I867" s="4">
        <v>0</v>
      </c>
      <c r="J867" s="4">
        <v>0</v>
      </c>
      <c r="K867" s="4">
        <v>0</v>
      </c>
      <c r="L867" s="4">
        <v>0</v>
      </c>
      <c r="M867" s="4">
        <v>0</v>
      </c>
      <c r="N867" s="4">
        <v>0</v>
      </c>
      <c r="O867" s="4">
        <v>0</v>
      </c>
      <c r="P867" s="4">
        <v>0</v>
      </c>
      <c r="Q867" s="4">
        <v>0</v>
      </c>
      <c r="R867" s="4">
        <v>0</v>
      </c>
      <c r="S867" s="4">
        <v>0</v>
      </c>
      <c r="T867" s="4">
        <v>0</v>
      </c>
      <c r="U867" s="4">
        <v>0</v>
      </c>
      <c r="V867" s="4">
        <v>0</v>
      </c>
      <c r="W867" s="4">
        <v>0</v>
      </c>
      <c r="X867" s="4">
        <v>0</v>
      </c>
      <c r="Y867" s="4">
        <v>0</v>
      </c>
      <c r="Z867" s="4">
        <v>0</v>
      </c>
      <c r="AA867" s="4">
        <v>0</v>
      </c>
      <c r="AB867" s="4">
        <v>0</v>
      </c>
      <c r="AC867" s="4">
        <v>0</v>
      </c>
      <c r="AD867" s="4">
        <v>0</v>
      </c>
      <c r="AE867" s="4">
        <v>0</v>
      </c>
      <c r="AF867">
        <v>246.13066666666418</v>
      </c>
      <c r="AG867">
        <v>232.96416666666482</v>
      </c>
      <c r="AH867">
        <v>219.79766666666546</v>
      </c>
      <c r="AI867">
        <v>206.6311666666661</v>
      </c>
      <c r="AJ867">
        <v>193.46466666666311</v>
      </c>
      <c r="AK867">
        <v>180.29816666666375</v>
      </c>
      <c r="AL867">
        <v>167.13166666666439</v>
      </c>
      <c r="AM867">
        <v>153.96516666666503</v>
      </c>
      <c r="AN867">
        <v>140.79866666666567</v>
      </c>
      <c r="AO867">
        <v>127.63216666666631</v>
      </c>
      <c r="AP867">
        <v>114.46566666666331</v>
      </c>
      <c r="AQ867">
        <v>101.29916666666395</v>
      </c>
      <c r="AR867">
        <v>88.132666666664591</v>
      </c>
      <c r="AS867">
        <v>74.966166666665231</v>
      </c>
      <c r="AT867">
        <v>61.799666666665871</v>
      </c>
      <c r="AU867">
        <v>48.633166666666511</v>
      </c>
      <c r="AV867">
        <v>35.466666666663514</v>
      </c>
      <c r="AW867">
        <v>22.300166666664154</v>
      </c>
      <c r="AX867">
        <v>9.1336666666647943</v>
      </c>
      <c r="AY867">
        <v>-4.0328333333345654</v>
      </c>
      <c r="AZ867">
        <v>-17.199333333333925</v>
      </c>
      <c r="BA867">
        <v>-30.365833333333285</v>
      </c>
      <c r="BB867">
        <v>-43.532333333336283</v>
      </c>
      <c r="BC867">
        <v>-56.698833333335642</v>
      </c>
      <c r="BD867">
        <v>-69.865333333335002</v>
      </c>
      <c r="BE867">
        <v>-83.031833333334362</v>
      </c>
      <c r="BF867">
        <v>-96.198333333333721</v>
      </c>
      <c r="BG867">
        <v>-109.36483333333672</v>
      </c>
      <c r="BH867">
        <v>-122.53133333333608</v>
      </c>
      <c r="BI867">
        <v>-135.69783333333544</v>
      </c>
      <c r="BJ867">
        <v>-148.8643333333348</v>
      </c>
      <c r="BK867">
        <v>-162.03083333333416</v>
      </c>
      <c r="BL867">
        <v>-175.19733333333352</v>
      </c>
      <c r="BM867">
        <v>-188.36383333333652</v>
      </c>
      <c r="BN867">
        <v>-201.53033333333588</v>
      </c>
      <c r="BO867">
        <v>-214.69683333333523</v>
      </c>
      <c r="BP867">
        <v>-227.86333333333459</v>
      </c>
      <c r="BQ867">
        <v>-241.02983333333395</v>
      </c>
      <c r="BR867">
        <v>-254.19633333333331</v>
      </c>
      <c r="BS867">
        <v>-267.36283333333631</v>
      </c>
      <c r="BT867">
        <v>-280.52933333333567</v>
      </c>
      <c r="BU867">
        <v>-293.69583333333503</v>
      </c>
      <c r="BV867">
        <v>-306.86233333333439</v>
      </c>
      <c r="BW867">
        <v>-320.02883333333375</v>
      </c>
      <c r="BX867">
        <v>-333.19533333333675</v>
      </c>
      <c r="BY867">
        <v>-346.36183333333611</v>
      </c>
      <c r="BZ867">
        <v>-359.52833333333547</v>
      </c>
      <c r="CA867">
        <v>-372.69483333333483</v>
      </c>
      <c r="CB867">
        <v>-385.86133333333419</v>
      </c>
      <c r="CC867">
        <v>-399.02783333333355</v>
      </c>
      <c r="CD867">
        <v>-412.19433333333654</v>
      </c>
      <c r="CE867">
        <v>-425.3608333333359</v>
      </c>
      <c r="CF867">
        <v>-438.52733333333526</v>
      </c>
      <c r="CG867">
        <v>-451.69383333333462</v>
      </c>
      <c r="CH867">
        <v>-464.86033333333398</v>
      </c>
      <c r="CI867">
        <v>-478.02683333333334</v>
      </c>
      <c r="CJ867">
        <v>-491.19333333333634</v>
      </c>
      <c r="CK867">
        <v>-504.3598333333357</v>
      </c>
      <c r="CL867">
        <v>-517.52633333333506</v>
      </c>
      <c r="CM867">
        <v>-530.69283333333442</v>
      </c>
      <c r="CN867">
        <v>-543.85933333333378</v>
      </c>
    </row>
    <row r="868" spans="1:92" x14ac:dyDescent="0.25">
      <c r="A868" s="99" t="s">
        <v>1</v>
      </c>
      <c r="B868" s="4">
        <v>0</v>
      </c>
      <c r="C868" s="4">
        <v>0</v>
      </c>
      <c r="D868" s="4">
        <v>0</v>
      </c>
      <c r="E868" s="4">
        <v>0</v>
      </c>
      <c r="F868" s="4">
        <v>0</v>
      </c>
      <c r="G868" s="4">
        <v>0</v>
      </c>
      <c r="H868" s="4">
        <v>0</v>
      </c>
      <c r="I868" s="4">
        <v>0</v>
      </c>
      <c r="J868" s="4">
        <v>0</v>
      </c>
      <c r="K868" s="4">
        <v>0</v>
      </c>
      <c r="L868" s="4">
        <v>0</v>
      </c>
      <c r="M868" s="4">
        <v>0</v>
      </c>
      <c r="N868" s="4">
        <v>0</v>
      </c>
      <c r="O868" s="4">
        <v>0</v>
      </c>
      <c r="P868" s="4">
        <v>0</v>
      </c>
      <c r="Q868" s="4">
        <v>0</v>
      </c>
      <c r="R868" s="4">
        <v>0</v>
      </c>
      <c r="S868" s="4">
        <v>0</v>
      </c>
      <c r="T868" s="4">
        <v>0</v>
      </c>
      <c r="U868" s="4">
        <v>0</v>
      </c>
      <c r="V868" s="4">
        <v>0</v>
      </c>
      <c r="W868" s="4">
        <v>0</v>
      </c>
      <c r="X868" s="4">
        <v>0</v>
      </c>
      <c r="Y868" s="4">
        <v>0</v>
      </c>
      <c r="Z868" s="4">
        <v>0</v>
      </c>
      <c r="AA868" s="4">
        <v>0</v>
      </c>
      <c r="AB868" s="4">
        <v>0</v>
      </c>
      <c r="AC868" s="4">
        <v>0</v>
      </c>
      <c r="AD868" s="4">
        <v>0</v>
      </c>
      <c r="AE868" s="4">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H868">
        <v>0</v>
      </c>
      <c r="CI868">
        <v>0</v>
      </c>
      <c r="CJ868">
        <v>0</v>
      </c>
      <c r="CK868">
        <v>0</v>
      </c>
      <c r="CL868">
        <v>0</v>
      </c>
      <c r="CM868">
        <v>0</v>
      </c>
      <c r="CN868">
        <v>0</v>
      </c>
    </row>
    <row r="869" spans="1:92" x14ac:dyDescent="0.25">
      <c r="A869" s="99" t="s">
        <v>1</v>
      </c>
      <c r="B869" s="4">
        <v>0</v>
      </c>
      <c r="C869" s="4">
        <v>0</v>
      </c>
      <c r="D869" s="4">
        <v>0</v>
      </c>
      <c r="E869" s="4">
        <v>0</v>
      </c>
      <c r="F869" s="4">
        <v>0</v>
      </c>
      <c r="G869" s="4">
        <v>0</v>
      </c>
      <c r="H869" s="4">
        <v>0</v>
      </c>
      <c r="I869" s="4">
        <v>0</v>
      </c>
      <c r="J869" s="4">
        <v>0</v>
      </c>
      <c r="K869" s="4">
        <v>0</v>
      </c>
      <c r="L869" s="4">
        <v>0</v>
      </c>
      <c r="M869" s="4">
        <v>0</v>
      </c>
      <c r="N869" s="4">
        <v>0</v>
      </c>
      <c r="O869" s="4">
        <v>0</v>
      </c>
      <c r="P869" s="4">
        <v>0</v>
      </c>
      <c r="Q869" s="4">
        <v>0</v>
      </c>
      <c r="R869" s="4">
        <v>0</v>
      </c>
      <c r="S869" s="4">
        <v>0</v>
      </c>
      <c r="T869" s="4">
        <v>0</v>
      </c>
      <c r="U869" s="4">
        <v>0</v>
      </c>
      <c r="V869" s="4">
        <v>0</v>
      </c>
      <c r="W869" s="4">
        <v>0</v>
      </c>
      <c r="X869" s="4">
        <v>0</v>
      </c>
      <c r="Y869" s="4">
        <v>0</v>
      </c>
      <c r="Z869" s="4">
        <v>0</v>
      </c>
      <c r="AA869" s="4">
        <v>0</v>
      </c>
      <c r="AB869" s="4">
        <v>0</v>
      </c>
      <c r="AC869" s="4">
        <v>0</v>
      </c>
      <c r="AD869" s="4">
        <v>0</v>
      </c>
      <c r="AE869" s="4">
        <v>0</v>
      </c>
      <c r="AF869">
        <v>649.86266666666779</v>
      </c>
      <c r="AG869">
        <v>715.5983333333279</v>
      </c>
      <c r="AH869">
        <v>781.33400000000256</v>
      </c>
      <c r="AI869">
        <v>847.06966666666267</v>
      </c>
      <c r="AJ869">
        <v>912.80533333333733</v>
      </c>
      <c r="AK869">
        <v>978.54100000001199</v>
      </c>
      <c r="AL869">
        <v>1044.2766666666575</v>
      </c>
      <c r="AM869">
        <v>1110.0123333333322</v>
      </c>
      <c r="AN869">
        <v>1175.7480000000069</v>
      </c>
      <c r="AO869">
        <v>1241.4836666666524</v>
      </c>
      <c r="AP869">
        <v>1307.2193333333271</v>
      </c>
      <c r="AQ869">
        <v>1372.9550000000017</v>
      </c>
      <c r="AR869">
        <v>1438.6906666666764</v>
      </c>
      <c r="AS869">
        <v>1504.426333333322</v>
      </c>
      <c r="AT869">
        <v>1570.1619999999966</v>
      </c>
      <c r="AU869">
        <v>1635.8976666666713</v>
      </c>
      <c r="AV869">
        <v>1701.6333333333459</v>
      </c>
      <c r="AW869">
        <v>1767.3689999999915</v>
      </c>
      <c r="AX869">
        <v>1833.1046666666662</v>
      </c>
      <c r="AY869">
        <v>1898.8403333333408</v>
      </c>
      <c r="AZ869">
        <v>1964.5759999999864</v>
      </c>
      <c r="BA869">
        <v>2030.311666666661</v>
      </c>
      <c r="BB869">
        <v>2096.0473333333357</v>
      </c>
      <c r="BC869">
        <v>2161.7830000000104</v>
      </c>
      <c r="BD869">
        <v>2227.5186666666559</v>
      </c>
      <c r="BE869">
        <v>2293.2543333333306</v>
      </c>
      <c r="BF869">
        <v>2358.9900000000052</v>
      </c>
      <c r="BG869">
        <v>2424.7256666666799</v>
      </c>
      <c r="BH869">
        <v>2490.4613333333255</v>
      </c>
      <c r="BI869">
        <v>2556.1970000000001</v>
      </c>
      <c r="BJ869">
        <v>2621.9326666666748</v>
      </c>
      <c r="BK869">
        <v>2687.6683333333203</v>
      </c>
      <c r="BL869">
        <v>2753.403999999995</v>
      </c>
      <c r="BM869">
        <v>2819.1396666666697</v>
      </c>
      <c r="BN869">
        <v>2884.8753333333443</v>
      </c>
      <c r="BO869">
        <v>2950.6109999999899</v>
      </c>
      <c r="BP869">
        <v>3016.3466666666645</v>
      </c>
      <c r="BQ869">
        <v>3082.0823333333392</v>
      </c>
      <c r="BR869">
        <v>3147.8179999999847</v>
      </c>
      <c r="BS869">
        <v>3213.5536666666594</v>
      </c>
      <c r="BT869">
        <v>3279.2893333333341</v>
      </c>
      <c r="BU869">
        <v>3345.0250000000087</v>
      </c>
      <c r="BV869">
        <v>3410.7606666666543</v>
      </c>
      <c r="BW869">
        <v>3476.4963333333289</v>
      </c>
      <c r="BX869">
        <v>3542.2320000000036</v>
      </c>
      <c r="BY869">
        <v>3607.9676666666783</v>
      </c>
      <c r="BZ869">
        <v>3673.7033333333238</v>
      </c>
      <c r="CA869">
        <v>3739.4389999999985</v>
      </c>
      <c r="CB869">
        <v>3805.1746666666731</v>
      </c>
      <c r="CC869">
        <v>3870.9103333333187</v>
      </c>
      <c r="CD869">
        <v>3936.6459999999934</v>
      </c>
      <c r="CE869">
        <v>4002.381666666668</v>
      </c>
      <c r="CF869">
        <v>4068.1173333333427</v>
      </c>
      <c r="CG869">
        <v>4133.8529999999882</v>
      </c>
      <c r="CH869">
        <v>4199.5886666666629</v>
      </c>
      <c r="CI869">
        <v>4265.3243333333376</v>
      </c>
      <c r="CJ869">
        <v>4331.0600000000122</v>
      </c>
      <c r="CK869">
        <v>4396.7956666666578</v>
      </c>
      <c r="CL869">
        <v>4462.5313333333324</v>
      </c>
      <c r="CM869">
        <v>4528.2670000000071</v>
      </c>
      <c r="CN869">
        <v>4594.0026666666527</v>
      </c>
    </row>
    <row r="870" spans="1:92" x14ac:dyDescent="0.25">
      <c r="A870" s="99" t="s">
        <v>1</v>
      </c>
      <c r="B870" s="4">
        <v>0</v>
      </c>
      <c r="C870" s="4">
        <v>0</v>
      </c>
      <c r="D870" s="4">
        <v>0</v>
      </c>
      <c r="E870" s="4">
        <v>0</v>
      </c>
      <c r="F870" s="4">
        <v>0</v>
      </c>
      <c r="G870" s="4">
        <v>0</v>
      </c>
      <c r="H870" s="4">
        <v>0</v>
      </c>
      <c r="I870" s="4">
        <v>0</v>
      </c>
      <c r="J870" s="4">
        <v>0</v>
      </c>
      <c r="K870" s="4">
        <v>0</v>
      </c>
      <c r="L870" s="4">
        <v>0</v>
      </c>
      <c r="M870" s="4">
        <v>0</v>
      </c>
      <c r="N870" s="4">
        <v>0</v>
      </c>
      <c r="O870" s="4">
        <v>0</v>
      </c>
      <c r="P870" s="4">
        <v>0</v>
      </c>
      <c r="Q870" s="4">
        <v>0</v>
      </c>
      <c r="R870" s="4">
        <v>0</v>
      </c>
      <c r="S870" s="4">
        <v>0</v>
      </c>
      <c r="T870" s="4">
        <v>0</v>
      </c>
      <c r="U870" s="4">
        <v>0</v>
      </c>
      <c r="V870" s="4">
        <v>0</v>
      </c>
      <c r="W870" s="4">
        <v>0</v>
      </c>
      <c r="X870" s="4">
        <v>0</v>
      </c>
      <c r="Y870" s="4">
        <v>0</v>
      </c>
      <c r="Z870" s="4">
        <v>0</v>
      </c>
      <c r="AA870" s="4">
        <v>0</v>
      </c>
      <c r="AB870" s="4">
        <v>0</v>
      </c>
      <c r="AC870" s="4">
        <v>0</v>
      </c>
      <c r="AD870" s="4">
        <v>0</v>
      </c>
      <c r="AE870" s="4">
        <v>0</v>
      </c>
      <c r="AF870">
        <v>189.36933333333218</v>
      </c>
      <c r="AG870">
        <v>204.41500000000087</v>
      </c>
      <c r="AH870">
        <v>219.46066666666593</v>
      </c>
      <c r="AI870">
        <v>234.50633333333462</v>
      </c>
      <c r="AJ870">
        <v>249.55199999999968</v>
      </c>
      <c r="AK870">
        <v>264.59766666666837</v>
      </c>
      <c r="AL870">
        <v>279.64333333333343</v>
      </c>
      <c r="AM870">
        <v>294.68899999999849</v>
      </c>
      <c r="AN870">
        <v>309.73466666666718</v>
      </c>
      <c r="AO870">
        <v>324.78033333333224</v>
      </c>
      <c r="AP870">
        <v>339.82600000000093</v>
      </c>
      <c r="AQ870">
        <v>354.87166666666599</v>
      </c>
      <c r="AR870">
        <v>369.91733333333468</v>
      </c>
      <c r="AS870">
        <v>384.96299999999974</v>
      </c>
      <c r="AT870">
        <v>400.00866666666843</v>
      </c>
      <c r="AU870">
        <v>415.05433333333349</v>
      </c>
      <c r="AV870">
        <v>430.09999999999854</v>
      </c>
      <c r="AW870">
        <v>445.14566666666724</v>
      </c>
      <c r="AX870">
        <v>460.1913333333323</v>
      </c>
      <c r="AY870">
        <v>475.23700000000099</v>
      </c>
      <c r="AZ870">
        <v>490.28266666666605</v>
      </c>
      <c r="BA870">
        <v>505.32833333333474</v>
      </c>
      <c r="BB870">
        <v>520.3739999999998</v>
      </c>
      <c r="BC870">
        <v>535.41966666666849</v>
      </c>
      <c r="BD870">
        <v>550.46533333333355</v>
      </c>
      <c r="BE870">
        <v>565.5109999999986</v>
      </c>
      <c r="BF870">
        <v>580.5566666666673</v>
      </c>
      <c r="BG870">
        <v>595.60233333333235</v>
      </c>
      <c r="BH870">
        <v>610.64800000000105</v>
      </c>
      <c r="BI870">
        <v>625.6936666666661</v>
      </c>
      <c r="BJ870">
        <v>640.7393333333348</v>
      </c>
      <c r="BK870">
        <v>655.78499999999985</v>
      </c>
      <c r="BL870">
        <v>670.83066666666491</v>
      </c>
      <c r="BM870">
        <v>685.8763333333336</v>
      </c>
      <c r="BN870">
        <v>700.92199999999866</v>
      </c>
      <c r="BO870">
        <v>715.96766666666736</v>
      </c>
      <c r="BP870">
        <v>731.01333333333241</v>
      </c>
      <c r="BQ870">
        <v>746.05900000000111</v>
      </c>
      <c r="BR870">
        <v>761.10466666666616</v>
      </c>
      <c r="BS870">
        <v>776.15033333333486</v>
      </c>
      <c r="BT870">
        <v>791.19599999999991</v>
      </c>
      <c r="BU870">
        <v>806.24166666666497</v>
      </c>
      <c r="BV870">
        <v>821.28733333333366</v>
      </c>
      <c r="BW870">
        <v>836.33299999999872</v>
      </c>
      <c r="BX870">
        <v>851.37866666666741</v>
      </c>
      <c r="BY870">
        <v>866.42433333333247</v>
      </c>
      <c r="BZ870">
        <v>881.47000000000116</v>
      </c>
      <c r="CA870">
        <v>896.51566666666622</v>
      </c>
      <c r="CB870">
        <v>911.56133333333491</v>
      </c>
      <c r="CC870">
        <v>926.60699999999997</v>
      </c>
      <c r="CD870">
        <v>941.65266666666503</v>
      </c>
      <c r="CE870">
        <v>956.69833333333372</v>
      </c>
      <c r="CF870">
        <v>971.74399999999878</v>
      </c>
      <c r="CG870">
        <v>986.78966666666747</v>
      </c>
      <c r="CH870">
        <v>1001.8353333333325</v>
      </c>
      <c r="CI870">
        <v>1016.8810000000012</v>
      </c>
      <c r="CJ870">
        <v>1031.9266666666663</v>
      </c>
      <c r="CK870">
        <v>1046.972333333335</v>
      </c>
      <c r="CL870">
        <v>1062.018</v>
      </c>
      <c r="CM870">
        <v>1077.0636666666651</v>
      </c>
      <c r="CN870">
        <v>1092.1093333333338</v>
      </c>
    </row>
    <row r="871" spans="1:92" x14ac:dyDescent="0.25">
      <c r="A871" s="44"/>
    </row>
    <row r="872" spans="1:92" x14ac:dyDescent="0.25">
      <c r="A872" s="99" t="s">
        <v>338</v>
      </c>
      <c r="B872" s="4">
        <v>0</v>
      </c>
      <c r="C872" s="4">
        <v>0</v>
      </c>
      <c r="D872" s="4">
        <v>0</v>
      </c>
      <c r="E872" s="4">
        <v>0</v>
      </c>
      <c r="F872" s="4">
        <v>0</v>
      </c>
      <c r="G872" s="4">
        <v>0</v>
      </c>
      <c r="H872" s="4">
        <v>0</v>
      </c>
      <c r="I872" s="4">
        <v>0</v>
      </c>
      <c r="J872" s="4">
        <v>0</v>
      </c>
      <c r="K872" s="4">
        <v>0</v>
      </c>
      <c r="L872" s="4">
        <v>0</v>
      </c>
      <c r="M872" s="4">
        <v>0</v>
      </c>
      <c r="N872" s="4">
        <v>0</v>
      </c>
      <c r="O872" s="4">
        <v>0</v>
      </c>
      <c r="P872" s="4">
        <v>0</v>
      </c>
      <c r="Q872" s="4">
        <v>0</v>
      </c>
      <c r="R872" s="4">
        <v>0</v>
      </c>
      <c r="S872" s="4">
        <v>0</v>
      </c>
      <c r="T872" s="4">
        <v>0</v>
      </c>
      <c r="U872" s="4">
        <v>0</v>
      </c>
      <c r="V872" s="4">
        <v>0</v>
      </c>
      <c r="W872" s="4">
        <v>0</v>
      </c>
      <c r="X872" s="4">
        <v>0</v>
      </c>
      <c r="Y872" s="4">
        <v>0</v>
      </c>
      <c r="Z872" s="4">
        <v>0</v>
      </c>
      <c r="AA872" s="4">
        <v>0</v>
      </c>
      <c r="AB872" s="4">
        <v>0</v>
      </c>
      <c r="AC872" s="4">
        <v>0</v>
      </c>
      <c r="AD872" s="4">
        <v>0</v>
      </c>
      <c r="AE872" s="4">
        <v>0</v>
      </c>
      <c r="AF872">
        <v>546.53466666666645</v>
      </c>
      <c r="AG872">
        <v>522.87416666666832</v>
      </c>
      <c r="AH872">
        <v>499.2136666666629</v>
      </c>
      <c r="AI872">
        <v>475.55316666666477</v>
      </c>
      <c r="AJ872">
        <v>451.89266666666663</v>
      </c>
      <c r="AK872">
        <v>428.23216666666849</v>
      </c>
      <c r="AL872">
        <v>404.57166666666308</v>
      </c>
      <c r="AM872">
        <v>380.91116666666494</v>
      </c>
      <c r="AN872">
        <v>357.2506666666668</v>
      </c>
      <c r="AO872">
        <v>333.59016666666867</v>
      </c>
      <c r="AP872">
        <v>309.92966666666325</v>
      </c>
      <c r="AQ872">
        <v>286.26916666666511</v>
      </c>
      <c r="AR872">
        <v>262.60866666666698</v>
      </c>
      <c r="AS872">
        <v>238.94816666666884</v>
      </c>
      <c r="AT872">
        <v>215.28766666666343</v>
      </c>
      <c r="AU872">
        <v>191.62716666666529</v>
      </c>
      <c r="AV872">
        <v>167.96666666666715</v>
      </c>
      <c r="AW872">
        <v>144.30616666666174</v>
      </c>
      <c r="AX872">
        <v>120.6456666666636</v>
      </c>
      <c r="AY872">
        <v>96.985166666665464</v>
      </c>
      <c r="AZ872">
        <v>73.324666666667326</v>
      </c>
      <c r="BA872">
        <v>49.664166666661913</v>
      </c>
      <c r="BB872">
        <v>26.003666666663776</v>
      </c>
      <c r="BC872">
        <v>49.664166666664336</v>
      </c>
      <c r="BD872">
        <v>41.777333333330006</v>
      </c>
      <c r="BE872">
        <v>39.148388888886039</v>
      </c>
      <c r="BF872">
        <v>43.529962962960127</v>
      </c>
      <c r="BG872">
        <v>41.485228395058726</v>
      </c>
      <c r="BH872">
        <v>41.387860082301636</v>
      </c>
      <c r="BI872">
        <v>42.134350480106832</v>
      </c>
      <c r="BJ872">
        <v>41.669146319155736</v>
      </c>
      <c r="BK872">
        <v>41.730452293854739</v>
      </c>
      <c r="BL872">
        <v>41.844649697705769</v>
      </c>
      <c r="BM872">
        <v>41.748082770238746</v>
      </c>
      <c r="BN872">
        <v>41.774394920599747</v>
      </c>
      <c r="BO872">
        <v>41.789042462848087</v>
      </c>
      <c r="BP872">
        <v>41.770506717895522</v>
      </c>
      <c r="BQ872">
        <v>41.77798136711445</v>
      </c>
      <c r="BR872">
        <v>41.779176849286017</v>
      </c>
      <c r="BS872">
        <v>41.775888311431999</v>
      </c>
      <c r="BT872">
        <v>41.777682175944157</v>
      </c>
      <c r="BU872">
        <v>41.77758244555406</v>
      </c>
      <c r="BV872">
        <v>41.777050977643405</v>
      </c>
      <c r="BW872">
        <v>41.77743853304721</v>
      </c>
      <c r="BX872">
        <v>41.777357318748223</v>
      </c>
      <c r="BY872">
        <v>41.77728227647961</v>
      </c>
      <c r="BZ872">
        <v>41.777359376091681</v>
      </c>
      <c r="CA872">
        <v>41.777332990439838</v>
      </c>
      <c r="CB872">
        <v>41.777324881003715</v>
      </c>
      <c r="CC872">
        <v>41.777339082511752</v>
      </c>
      <c r="CD872">
        <v>41.777332317985099</v>
      </c>
      <c r="CE872">
        <v>41.777332093833522</v>
      </c>
      <c r="CF872">
        <v>41.777334498110129</v>
      </c>
      <c r="CG872">
        <v>41.77733296997625</v>
      </c>
      <c r="CH872">
        <v>41.777333187306631</v>
      </c>
      <c r="CI872">
        <v>41.777333551797675</v>
      </c>
      <c r="CJ872">
        <v>41.777333236360185</v>
      </c>
      <c r="CK872">
        <v>41.777333325154835</v>
      </c>
      <c r="CL872">
        <v>41.777333371104227</v>
      </c>
      <c r="CM872">
        <v>41.777333310873082</v>
      </c>
      <c r="CN872">
        <v>41.777333335710715</v>
      </c>
    </row>
    <row r="873" spans="1:92" x14ac:dyDescent="0.25">
      <c r="A873" s="99"/>
    </row>
    <row r="874" spans="1:92" s="50" customFormat="1" x14ac:dyDescent="0.25">
      <c r="A874" s="99" t="s">
        <v>339</v>
      </c>
      <c r="B874" s="4">
        <v>0</v>
      </c>
      <c r="C874" s="4">
        <v>0</v>
      </c>
      <c r="D874" s="4">
        <v>0</v>
      </c>
      <c r="E874" s="4">
        <v>0</v>
      </c>
      <c r="F874" s="4">
        <v>0</v>
      </c>
      <c r="G874" s="4">
        <v>0</v>
      </c>
      <c r="H874" s="4">
        <v>0</v>
      </c>
      <c r="I874" s="4">
        <v>0</v>
      </c>
      <c r="J874" s="4">
        <v>0</v>
      </c>
      <c r="K874" s="4">
        <v>0</v>
      </c>
      <c r="L874" s="4">
        <v>0</v>
      </c>
      <c r="M874" s="4">
        <v>0</v>
      </c>
      <c r="N874" s="4">
        <v>0</v>
      </c>
      <c r="O874" s="4">
        <v>0</v>
      </c>
      <c r="P874" s="4">
        <v>0</v>
      </c>
      <c r="Q874" s="4">
        <v>0</v>
      </c>
      <c r="R874" s="4">
        <v>0</v>
      </c>
      <c r="S874" s="4">
        <v>0</v>
      </c>
      <c r="T874" s="4">
        <v>0</v>
      </c>
      <c r="U874" s="4">
        <v>0</v>
      </c>
      <c r="V874" s="4">
        <v>0</v>
      </c>
      <c r="W874" s="4">
        <v>0</v>
      </c>
      <c r="X874" s="4">
        <v>0</v>
      </c>
      <c r="Y874" s="4">
        <v>0</v>
      </c>
      <c r="Z874" s="4">
        <v>0</v>
      </c>
      <c r="AA874" s="4">
        <v>0</v>
      </c>
      <c r="AB874" s="4">
        <v>0</v>
      </c>
      <c r="AC874" s="4">
        <v>0</v>
      </c>
      <c r="AD874" s="4">
        <v>0</v>
      </c>
      <c r="AE874" s="4">
        <v>0</v>
      </c>
      <c r="AF874" s="50">
        <v>890.3243122217267</v>
      </c>
      <c r="AG874" s="50">
        <v>891.03359487547266</v>
      </c>
      <c r="AH874" s="50">
        <v>891.74287752921862</v>
      </c>
      <c r="AI874" s="50">
        <v>892.45216018296458</v>
      </c>
      <c r="AJ874" s="50">
        <v>893.16144283671053</v>
      </c>
      <c r="AK874" s="50">
        <v>893.87072549045627</v>
      </c>
      <c r="AL874" s="50">
        <v>894.58000814420222</v>
      </c>
      <c r="AM874" s="50">
        <v>895.28929079794818</v>
      </c>
      <c r="AN874" s="50">
        <v>895.99857345169391</v>
      </c>
      <c r="AO874" s="50">
        <v>896.70785610543987</v>
      </c>
      <c r="AP874" s="50">
        <v>897.41713875918583</v>
      </c>
      <c r="AQ874" s="50">
        <v>898.12642141293179</v>
      </c>
      <c r="AR874" s="50">
        <v>898.83570406667775</v>
      </c>
      <c r="AS874" s="50">
        <v>899.54498672042348</v>
      </c>
      <c r="AT874" s="50">
        <v>900.25426937416944</v>
      </c>
      <c r="AU874" s="50">
        <v>900.9635520279154</v>
      </c>
      <c r="AV874" s="50">
        <v>901.67283468166113</v>
      </c>
      <c r="AW874" s="50">
        <v>902.38211733540709</v>
      </c>
      <c r="AX874" s="50">
        <v>903.09139998915305</v>
      </c>
      <c r="AY874" s="50">
        <v>903.80068264289901</v>
      </c>
      <c r="AZ874" s="50">
        <v>904.50996529664496</v>
      </c>
      <c r="BA874" s="50">
        <v>905.2192479503907</v>
      </c>
      <c r="BB874" s="50">
        <v>905.92853060413665</v>
      </c>
      <c r="BC874" s="50">
        <v>906.63781325788261</v>
      </c>
      <c r="BD874" s="50">
        <v>907.34709591162834</v>
      </c>
      <c r="BE874" s="50">
        <v>908.0563785653743</v>
      </c>
      <c r="BF874" s="50">
        <v>908.76566121912026</v>
      </c>
      <c r="BG874" s="50">
        <v>909.47494387286622</v>
      </c>
      <c r="BH874" s="50">
        <v>910.18422652661218</v>
      </c>
      <c r="BI874" s="50">
        <v>910.89350918035791</v>
      </c>
      <c r="BJ874" s="50">
        <v>911.60279183410387</v>
      </c>
      <c r="BK874" s="50">
        <v>912.31207448784983</v>
      </c>
      <c r="BL874" s="50">
        <v>913.02135714159556</v>
      </c>
      <c r="BM874" s="50">
        <v>913.73063979534152</v>
      </c>
      <c r="BN874" s="50">
        <v>914.43992244908748</v>
      </c>
      <c r="BO874" s="50">
        <v>915.14920510283343</v>
      </c>
      <c r="BP874" s="50">
        <v>915.85848775657939</v>
      </c>
      <c r="BQ874" s="50">
        <v>916.56777041032512</v>
      </c>
      <c r="BR874" s="50">
        <v>917.27705306407108</v>
      </c>
      <c r="BS874" s="50">
        <v>917.98633571781704</v>
      </c>
      <c r="BT874" s="50">
        <v>918.69561837156277</v>
      </c>
      <c r="BU874" s="50">
        <v>919.40490102530873</v>
      </c>
      <c r="BV874" s="50">
        <v>920.11418367905469</v>
      </c>
      <c r="BW874" s="50">
        <v>920.82346633280065</v>
      </c>
      <c r="BX874" s="50">
        <v>921.53274898654661</v>
      </c>
      <c r="BY874" s="50">
        <v>922.24203164029234</v>
      </c>
      <c r="BZ874" s="50">
        <v>922.9513142940383</v>
      </c>
      <c r="CA874" s="50">
        <v>923.66059694778426</v>
      </c>
      <c r="CB874" s="50">
        <v>924.36987960152999</v>
      </c>
      <c r="CC874" s="50">
        <v>925.07916225527595</v>
      </c>
      <c r="CD874" s="50">
        <v>925.78844490902191</v>
      </c>
      <c r="CE874" s="50">
        <v>926.49772756276786</v>
      </c>
      <c r="CF874" s="50">
        <v>927.20701021651382</v>
      </c>
      <c r="CG874" s="50">
        <v>927.91629287025955</v>
      </c>
      <c r="CH874" s="50">
        <v>928.62557552400551</v>
      </c>
      <c r="CI874" s="50">
        <v>929.33485817775147</v>
      </c>
      <c r="CJ874" s="50">
        <v>930.0441408314972</v>
      </c>
      <c r="CK874" s="50">
        <v>930.75342348524316</v>
      </c>
      <c r="CL874" s="50">
        <v>931.46270613898912</v>
      </c>
      <c r="CM874" s="50">
        <v>932.17198879273508</v>
      </c>
      <c r="CN874" s="50">
        <v>932.88127144648104</v>
      </c>
    </row>
    <row r="875" spans="1:92" s="50" customFormat="1" x14ac:dyDescent="0.25">
      <c r="A875" s="9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92" x14ac:dyDescent="0.25">
      <c r="A876" s="99" t="s">
        <v>340</v>
      </c>
      <c r="B876" s="4">
        <v>0</v>
      </c>
      <c r="C876" s="4">
        <v>0</v>
      </c>
      <c r="D876" s="4">
        <v>0</v>
      </c>
      <c r="E876" s="4">
        <v>0</v>
      </c>
      <c r="F876" s="4">
        <v>0</v>
      </c>
      <c r="G876" s="4">
        <v>0</v>
      </c>
      <c r="H876" s="4">
        <v>0</v>
      </c>
      <c r="I876" s="4">
        <v>0</v>
      </c>
      <c r="J876" s="4">
        <v>0</v>
      </c>
      <c r="K876" s="4">
        <v>0</v>
      </c>
      <c r="L876" s="4">
        <v>0</v>
      </c>
      <c r="M876" s="4">
        <v>0</v>
      </c>
      <c r="N876" s="4">
        <v>0</v>
      </c>
      <c r="O876" s="4">
        <v>0</v>
      </c>
      <c r="P876" s="4">
        <v>0</v>
      </c>
      <c r="Q876" s="4">
        <v>0</v>
      </c>
      <c r="R876" s="4">
        <v>0</v>
      </c>
      <c r="S876" s="4">
        <v>0</v>
      </c>
      <c r="T876" s="4">
        <v>0</v>
      </c>
      <c r="U876" s="4">
        <v>0</v>
      </c>
      <c r="V876" s="4">
        <v>0</v>
      </c>
      <c r="W876" s="4">
        <v>0</v>
      </c>
      <c r="X876" s="4">
        <v>0</v>
      </c>
      <c r="Y876" s="4">
        <v>0</v>
      </c>
      <c r="Z876" s="4">
        <v>0</v>
      </c>
      <c r="AA876" s="4">
        <v>0</v>
      </c>
      <c r="AB876" s="4">
        <v>0</v>
      </c>
      <c r="AC876" s="4">
        <v>0</v>
      </c>
      <c r="AD876" s="4">
        <v>0</v>
      </c>
      <c r="AE876" s="4">
        <v>0</v>
      </c>
      <c r="AF876">
        <v>-480.85600000002887</v>
      </c>
      <c r="AG876">
        <v>-339.2858333333279</v>
      </c>
      <c r="AH876">
        <v>-197.71566666668514</v>
      </c>
      <c r="AI876">
        <v>-56.145500000042375</v>
      </c>
      <c r="AJ876">
        <v>85.424666666658595</v>
      </c>
      <c r="AK876">
        <v>226.99483333330136</v>
      </c>
      <c r="AL876">
        <v>368.56500000000233</v>
      </c>
      <c r="AM876">
        <v>510.13516666664509</v>
      </c>
      <c r="AN876">
        <v>651.70533333328785</v>
      </c>
      <c r="AO876">
        <v>793.27549999998882</v>
      </c>
      <c r="AP876">
        <v>934.84566666663159</v>
      </c>
      <c r="AQ876">
        <v>1076.4158333333326</v>
      </c>
      <c r="AR876">
        <v>1217.9859999999753</v>
      </c>
      <c r="AS876">
        <v>1359.5561666666763</v>
      </c>
      <c r="AT876">
        <v>1501.1263333333191</v>
      </c>
      <c r="AU876">
        <v>1642.6964999999618</v>
      </c>
      <c r="AV876">
        <v>1784.2666666666628</v>
      </c>
      <c r="AW876">
        <v>1925.8368333333055</v>
      </c>
      <c r="AX876">
        <v>2067.4070000000065</v>
      </c>
      <c r="AY876">
        <v>2208.9771666666493</v>
      </c>
      <c r="AZ876">
        <v>2350.547333333292</v>
      </c>
      <c r="BA876">
        <v>2492.117499999993</v>
      </c>
      <c r="BB876">
        <v>2633.6876666666358</v>
      </c>
      <c r="BC876">
        <v>2775.2578333333367</v>
      </c>
      <c r="BD876">
        <v>2916.8279999999795</v>
      </c>
      <c r="BE876">
        <v>3058.3981666666223</v>
      </c>
      <c r="BF876">
        <v>3199.9683333333232</v>
      </c>
      <c r="BG876">
        <v>3341.538499999966</v>
      </c>
      <c r="BH876">
        <v>3483.108666666667</v>
      </c>
      <c r="BI876">
        <v>3624.6788333333097</v>
      </c>
      <c r="BJ876">
        <v>3766.2490000000107</v>
      </c>
      <c r="BK876">
        <v>3907.8191666666535</v>
      </c>
      <c r="BL876">
        <v>4049.3893333332962</v>
      </c>
      <c r="BM876">
        <v>4190.9594999999972</v>
      </c>
      <c r="BN876">
        <v>4332.52966666664</v>
      </c>
      <c r="BO876">
        <v>4474.0998333333409</v>
      </c>
      <c r="BP876">
        <v>4615.6699999999837</v>
      </c>
      <c r="BQ876">
        <v>4757.2401666666265</v>
      </c>
      <c r="BR876">
        <v>4898.8103333333274</v>
      </c>
      <c r="BS876">
        <v>5040.3804999999702</v>
      </c>
      <c r="BT876">
        <v>5181.9506666666712</v>
      </c>
      <c r="BU876">
        <v>5323.5208333333139</v>
      </c>
      <c r="BV876">
        <v>5465.0909999999567</v>
      </c>
      <c r="BW876">
        <v>5606.6611666666577</v>
      </c>
      <c r="BX876">
        <v>5748.2313333333004</v>
      </c>
      <c r="BY876">
        <v>5889.8015000000014</v>
      </c>
      <c r="BZ876">
        <v>6031.3716666666442</v>
      </c>
      <c r="CA876">
        <v>6172.9418333332869</v>
      </c>
      <c r="CB876">
        <v>6314.5119999999879</v>
      </c>
      <c r="CC876">
        <v>6456.0821666666307</v>
      </c>
      <c r="CD876">
        <v>6597.6523333333316</v>
      </c>
      <c r="CE876">
        <v>6739.2224999999744</v>
      </c>
      <c r="CF876">
        <v>6880.7926666666754</v>
      </c>
      <c r="CG876">
        <v>7022.3628333333181</v>
      </c>
      <c r="CH876">
        <v>7163.9329999999609</v>
      </c>
      <c r="CI876">
        <v>7305.5031666666619</v>
      </c>
      <c r="CJ876">
        <v>7447.0733333333046</v>
      </c>
      <c r="CK876">
        <v>7588.6435000000056</v>
      </c>
      <c r="CL876">
        <v>7730.2136666666484</v>
      </c>
      <c r="CM876">
        <v>7871.7838333332911</v>
      </c>
      <c r="CN876">
        <v>8013.3539999999921</v>
      </c>
    </row>
    <row r="877" spans="1:92" x14ac:dyDescent="0.25">
      <c r="A877" s="99"/>
    </row>
    <row r="878" spans="1:92" s="50" customFormat="1" x14ac:dyDescent="0.25">
      <c r="A878" s="99" t="s">
        <v>341</v>
      </c>
      <c r="B878" s="4">
        <v>0</v>
      </c>
      <c r="C878" s="4">
        <v>0</v>
      </c>
      <c r="D878" s="4">
        <v>0</v>
      </c>
      <c r="E878" s="4">
        <v>0</v>
      </c>
      <c r="F878" s="4">
        <v>0</v>
      </c>
      <c r="G878" s="4">
        <v>0</v>
      </c>
      <c r="H878" s="4">
        <v>0</v>
      </c>
      <c r="I878" s="4">
        <v>0</v>
      </c>
      <c r="J878" s="4">
        <v>0</v>
      </c>
      <c r="K878" s="4">
        <v>0</v>
      </c>
      <c r="L878" s="4">
        <v>0</v>
      </c>
      <c r="M878" s="4">
        <v>0</v>
      </c>
      <c r="N878" s="4">
        <v>0</v>
      </c>
      <c r="O878" s="4">
        <v>0</v>
      </c>
      <c r="P878" s="4">
        <v>0</v>
      </c>
      <c r="Q878" s="4">
        <v>0</v>
      </c>
      <c r="R878" s="4">
        <v>0</v>
      </c>
      <c r="S878" s="4">
        <v>0</v>
      </c>
      <c r="T878" s="4">
        <v>0</v>
      </c>
      <c r="U878" s="4">
        <v>0</v>
      </c>
      <c r="V878" s="4">
        <v>0</v>
      </c>
      <c r="W878" s="4">
        <v>0</v>
      </c>
      <c r="X878" s="4">
        <v>0</v>
      </c>
      <c r="Y878" s="4">
        <v>0</v>
      </c>
      <c r="Z878" s="4">
        <v>0</v>
      </c>
      <c r="AA878" s="4">
        <v>0</v>
      </c>
      <c r="AB878" s="4">
        <v>0</v>
      </c>
      <c r="AC878" s="4">
        <v>0</v>
      </c>
      <c r="AD878" s="4">
        <v>0</v>
      </c>
      <c r="AE878" s="4">
        <v>0</v>
      </c>
      <c r="AF878" s="50">
        <v>16311.150354444937</v>
      </c>
      <c r="AG878" s="50">
        <v>16324.144738457857</v>
      </c>
      <c r="AH878" s="50">
        <v>16337.139122470777</v>
      </c>
      <c r="AI878" s="50">
        <v>16350.1335064837</v>
      </c>
      <c r="AJ878" s="50">
        <v>16363.12789049662</v>
      </c>
      <c r="AK878" s="50">
        <v>16376.12227450954</v>
      </c>
      <c r="AL878" s="50">
        <v>16389.116658522464</v>
      </c>
      <c r="AM878" s="50">
        <v>16402.111042535384</v>
      </c>
      <c r="AN878" s="50">
        <v>16415.105426548304</v>
      </c>
      <c r="AO878" s="50">
        <v>16428.099810561227</v>
      </c>
      <c r="AP878" s="50">
        <v>16441.094194574147</v>
      </c>
      <c r="AQ878" s="50">
        <v>16454.088578587067</v>
      </c>
      <c r="AR878" s="50">
        <v>16467.08296259999</v>
      </c>
      <c r="AS878" s="50">
        <v>16480.07734661291</v>
      </c>
      <c r="AT878" s="50">
        <v>16493.07173062583</v>
      </c>
      <c r="AU878" s="50">
        <v>16506.066114638754</v>
      </c>
      <c r="AV878" s="50">
        <v>16519.060498651674</v>
      </c>
      <c r="AW878" s="50">
        <v>16532.054882664594</v>
      </c>
      <c r="AX878" s="50">
        <v>16545.049266677517</v>
      </c>
      <c r="AY878" s="50">
        <v>16558.043650690437</v>
      </c>
      <c r="AZ878" s="50">
        <v>16571.038034703357</v>
      </c>
      <c r="BA878" s="50">
        <v>16584.032418716281</v>
      </c>
      <c r="BB878" s="50">
        <v>16597.0268027292</v>
      </c>
      <c r="BC878" s="50">
        <v>16610.02118674212</v>
      </c>
      <c r="BD878" s="50">
        <v>16623.015570755044</v>
      </c>
      <c r="BE878" s="50">
        <v>16636.009954767964</v>
      </c>
      <c r="BF878" s="50">
        <v>16649.004338780884</v>
      </c>
      <c r="BG878" s="50">
        <v>16661.998722793807</v>
      </c>
      <c r="BH878" s="50">
        <v>16674.993106806727</v>
      </c>
      <c r="BI878" s="50">
        <v>16687.987490819647</v>
      </c>
      <c r="BJ878" s="50">
        <v>16700.981874832571</v>
      </c>
      <c r="BK878" s="50">
        <v>16713.976258845491</v>
      </c>
      <c r="BL878" s="50">
        <v>16726.97064285841</v>
      </c>
      <c r="BM878" s="50">
        <v>16739.965026871334</v>
      </c>
      <c r="BN878" s="50">
        <v>16752.959410884254</v>
      </c>
      <c r="BO878" s="50">
        <v>16765.953794897174</v>
      </c>
      <c r="BP878" s="50">
        <v>16778.948178910097</v>
      </c>
      <c r="BQ878" s="50">
        <v>16791.942562923017</v>
      </c>
      <c r="BR878" s="50">
        <v>16804.936946935937</v>
      </c>
      <c r="BS878" s="50">
        <v>16817.931330948861</v>
      </c>
      <c r="BT878" s="50">
        <v>16830.925714961781</v>
      </c>
      <c r="BU878" s="50">
        <v>16843.920098974701</v>
      </c>
      <c r="BV878" s="50">
        <v>16856.914482987624</v>
      </c>
      <c r="BW878" s="50">
        <v>16869.908867000544</v>
      </c>
      <c r="BX878" s="50">
        <v>16882.903251013464</v>
      </c>
      <c r="BY878" s="50">
        <v>16895.897635026387</v>
      </c>
      <c r="BZ878" s="50">
        <v>16908.892019039307</v>
      </c>
      <c r="CA878" s="50">
        <v>16921.886403052227</v>
      </c>
      <c r="CB878" s="50">
        <v>16934.880787065151</v>
      </c>
      <c r="CC878" s="50">
        <v>16947.875171078071</v>
      </c>
      <c r="CD878" s="50">
        <v>16960.869555090991</v>
      </c>
      <c r="CE878" s="50">
        <v>16973.863939103914</v>
      </c>
      <c r="CF878" s="50">
        <v>16986.858323116834</v>
      </c>
      <c r="CG878" s="50">
        <v>16999.852707129754</v>
      </c>
      <c r="CH878" s="50">
        <v>17012.847091142678</v>
      </c>
      <c r="CI878" s="50">
        <v>17025.841475155597</v>
      </c>
      <c r="CJ878" s="50">
        <v>17038.835859168517</v>
      </c>
      <c r="CK878" s="50">
        <v>17051.830243181441</v>
      </c>
      <c r="CL878" s="50">
        <v>17064.824627194361</v>
      </c>
      <c r="CM878" s="50">
        <v>17077.819011207281</v>
      </c>
      <c r="CN878" s="50">
        <v>17090.813395220204</v>
      </c>
    </row>
    <row r="879" spans="1:92" s="50" customFormat="1" x14ac:dyDescent="0.25">
      <c r="A879" s="10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M54"/>
  <sheetViews>
    <sheetView topLeftCell="A13" workbookViewId="0">
      <selection activeCell="AF2" sqref="AF2:CM28"/>
    </sheetView>
  </sheetViews>
  <sheetFormatPr defaultRowHeight="15" x14ac:dyDescent="0.25"/>
  <cols>
    <col min="1" max="1" width="47.5703125" style="21" customWidth="1"/>
    <col min="2" max="31" width="9.140625" style="4"/>
    <col min="32" max="16384" width="9.140625" style="21"/>
  </cols>
  <sheetData>
    <row r="1" spans="1:91" x14ac:dyDescent="0.25">
      <c r="B1" s="4">
        <v>1961</v>
      </c>
      <c r="C1" s="4">
        <v>1962</v>
      </c>
      <c r="D1" s="4">
        <v>1963</v>
      </c>
      <c r="E1" s="4">
        <v>1964</v>
      </c>
      <c r="F1" s="4">
        <v>1965</v>
      </c>
      <c r="G1" s="4">
        <v>1966</v>
      </c>
      <c r="H1" s="4">
        <v>1967</v>
      </c>
      <c r="I1" s="4">
        <v>1968</v>
      </c>
      <c r="J1" s="4">
        <v>1969</v>
      </c>
      <c r="K1" s="4">
        <v>1970</v>
      </c>
      <c r="L1" s="4">
        <v>1971</v>
      </c>
      <c r="M1" s="4">
        <v>1972</v>
      </c>
      <c r="N1" s="4">
        <v>1973</v>
      </c>
      <c r="O1" s="4">
        <v>1974</v>
      </c>
      <c r="P1" s="4">
        <v>1975</v>
      </c>
      <c r="Q1" s="4">
        <v>1976</v>
      </c>
      <c r="R1" s="4">
        <v>1977</v>
      </c>
      <c r="S1" s="4">
        <v>1978</v>
      </c>
      <c r="T1" s="4">
        <v>1979</v>
      </c>
      <c r="U1" s="4">
        <v>1980</v>
      </c>
      <c r="V1" s="4">
        <v>1981</v>
      </c>
      <c r="W1" s="4">
        <v>1982</v>
      </c>
      <c r="X1" s="4">
        <v>1983</v>
      </c>
      <c r="Y1" s="4">
        <v>1984</v>
      </c>
      <c r="Z1" s="4">
        <v>1985</v>
      </c>
      <c r="AA1" s="4">
        <v>1986</v>
      </c>
      <c r="AB1" s="4">
        <v>1987</v>
      </c>
      <c r="AC1" s="4">
        <v>1988</v>
      </c>
      <c r="AD1" s="4">
        <v>1989</v>
      </c>
      <c r="AE1" s="4">
        <v>1990</v>
      </c>
      <c r="AF1" s="21">
        <v>1991</v>
      </c>
      <c r="AG1" s="21">
        <v>1992</v>
      </c>
      <c r="AH1" s="21">
        <v>1993</v>
      </c>
      <c r="AI1" s="21">
        <v>1994</v>
      </c>
      <c r="AJ1" s="21">
        <v>1995</v>
      </c>
      <c r="AK1" s="21">
        <v>1996</v>
      </c>
      <c r="AL1" s="21">
        <v>1997</v>
      </c>
      <c r="AM1" s="21">
        <v>1998</v>
      </c>
      <c r="AN1" s="21">
        <v>1999</v>
      </c>
      <c r="AO1" s="21">
        <v>2000</v>
      </c>
      <c r="AP1" s="21">
        <v>2001</v>
      </c>
      <c r="AQ1" s="21">
        <v>2002</v>
      </c>
      <c r="AR1" s="21">
        <v>2003</v>
      </c>
      <c r="AS1" s="21">
        <v>2004</v>
      </c>
      <c r="AT1" s="21">
        <v>2005</v>
      </c>
      <c r="AU1" s="21">
        <v>2006</v>
      </c>
      <c r="AV1" s="21">
        <v>2007</v>
      </c>
      <c r="AW1" s="21">
        <v>2008</v>
      </c>
      <c r="AX1" s="21">
        <v>2009</v>
      </c>
      <c r="AY1" s="21">
        <v>2010</v>
      </c>
      <c r="AZ1" s="21">
        <v>2011</v>
      </c>
      <c r="BA1" s="21">
        <v>2012</v>
      </c>
      <c r="BB1" s="21">
        <v>2013</v>
      </c>
      <c r="BC1" s="21">
        <v>2014</v>
      </c>
      <c r="BD1" s="21">
        <v>2015</v>
      </c>
      <c r="BE1" s="21">
        <v>2016</v>
      </c>
      <c r="BF1" s="21">
        <v>2017</v>
      </c>
      <c r="BG1" s="21">
        <v>2018</v>
      </c>
      <c r="BH1" s="21">
        <v>2019</v>
      </c>
      <c r="BI1" s="21">
        <v>2020</v>
      </c>
      <c r="BJ1" s="21">
        <v>2021</v>
      </c>
      <c r="BK1" s="21">
        <v>2022</v>
      </c>
      <c r="BL1" s="21">
        <v>2023</v>
      </c>
      <c r="BM1" s="21">
        <v>2024</v>
      </c>
      <c r="BN1" s="21">
        <v>2025</v>
      </c>
      <c r="BO1" s="21">
        <v>2026</v>
      </c>
      <c r="BP1" s="21">
        <v>2027</v>
      </c>
      <c r="BQ1" s="21">
        <v>2028</v>
      </c>
      <c r="BR1" s="21">
        <v>2029</v>
      </c>
      <c r="BS1" s="21">
        <v>2030</v>
      </c>
      <c r="BT1" s="21">
        <v>2031</v>
      </c>
      <c r="BU1" s="21">
        <v>2032</v>
      </c>
      <c r="BV1" s="21">
        <v>2033</v>
      </c>
      <c r="BW1" s="21">
        <v>2034</v>
      </c>
      <c r="BX1" s="21">
        <v>2035</v>
      </c>
      <c r="BY1" s="21">
        <v>2036</v>
      </c>
      <c r="BZ1" s="21">
        <v>2037</v>
      </c>
      <c r="CA1" s="21">
        <v>2038</v>
      </c>
      <c r="CB1" s="21">
        <v>2039</v>
      </c>
      <c r="CC1" s="21">
        <v>2040</v>
      </c>
      <c r="CD1" s="21">
        <v>2041</v>
      </c>
      <c r="CE1" s="21">
        <v>2042</v>
      </c>
      <c r="CF1" s="21">
        <v>2043</v>
      </c>
      <c r="CG1" s="21">
        <v>2044</v>
      </c>
      <c r="CH1" s="21">
        <v>2045</v>
      </c>
      <c r="CI1" s="21">
        <v>2046</v>
      </c>
      <c r="CJ1" s="21">
        <v>2047</v>
      </c>
      <c r="CK1" s="21">
        <v>2048</v>
      </c>
      <c r="CL1" s="21">
        <v>2049</v>
      </c>
      <c r="CM1" s="21">
        <v>2050</v>
      </c>
    </row>
    <row r="2" spans="1:91" x14ac:dyDescent="0.25">
      <c r="A2" s="21" t="s">
        <v>0</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20">
        <v>1.0508415631190336E-5</v>
      </c>
      <c r="AG2" s="20">
        <v>1.0527618537027347E-5</v>
      </c>
      <c r="AH2" s="20">
        <v>1.0524144816427411E-5</v>
      </c>
      <c r="AI2" s="20">
        <v>1.0522462802637258E-5</v>
      </c>
      <c r="AJ2" s="20">
        <v>1.05226809524005E-5</v>
      </c>
      <c r="AK2" s="20">
        <v>1.0524797835739828E-5</v>
      </c>
      <c r="AL2" s="20">
        <v>1.0528848568531622E-5</v>
      </c>
      <c r="AM2" s="20">
        <v>1.0535257891350468E-5</v>
      </c>
      <c r="AN2" s="20">
        <v>1.0544407835154982E-5</v>
      </c>
      <c r="AO2" s="20">
        <v>1.0556611219831291E-5</v>
      </c>
      <c r="AP2" s="20">
        <v>1.0571844928448045E-5</v>
      </c>
      <c r="AQ2" s="20">
        <v>1.0589980349233616E-5</v>
      </c>
      <c r="AR2" s="20">
        <v>1.0610719107102551E-5</v>
      </c>
      <c r="AS2" s="20">
        <v>1.0633798162037924E-5</v>
      </c>
      <c r="AT2" s="20">
        <v>1.0658934712118934E-5</v>
      </c>
      <c r="AU2" s="20">
        <v>1.0847332703046877E-5</v>
      </c>
      <c r="AV2" s="20">
        <v>1.0964836112430804E-5</v>
      </c>
      <c r="AW2" s="20">
        <v>1.1083992348417336E-5</v>
      </c>
      <c r="AX2" s="20">
        <v>1.1204770395154344E-5</v>
      </c>
      <c r="AY2" s="20">
        <v>1.1327126153256903E-5</v>
      </c>
      <c r="AZ2" s="20">
        <v>1.1451082991095796E-5</v>
      </c>
      <c r="BA2" s="20">
        <v>1.1576694440980276E-5</v>
      </c>
      <c r="BB2" s="20">
        <v>1.1703990120910524E-5</v>
      </c>
      <c r="BC2" s="20">
        <v>1.1833062981199678E-5</v>
      </c>
      <c r="BD2" s="20">
        <v>1.1963939200804165E-5</v>
      </c>
      <c r="BE2" s="20">
        <v>1.2096649107742124E-5</v>
      </c>
      <c r="BF2" s="20">
        <v>1.2231179027703737E-5</v>
      </c>
      <c r="BG2" s="20">
        <v>1.2367491102724216E-5</v>
      </c>
      <c r="BH2" s="20">
        <v>1.2505587125350255E-5</v>
      </c>
      <c r="BI2" s="20">
        <v>1.2645391460335783E-5</v>
      </c>
      <c r="BJ2" s="20">
        <v>1.2786912777983501E-5</v>
      </c>
      <c r="BK2" s="20">
        <v>1.2930111981195844E-5</v>
      </c>
      <c r="BL2" s="20">
        <v>1.3074987114622234E-5</v>
      </c>
      <c r="BM2" s="20">
        <v>1.3221532009949526E-5</v>
      </c>
      <c r="BN2" s="20">
        <v>1.336975621292177E-5</v>
      </c>
      <c r="BO2" s="20">
        <v>1.3519600210944814E-5</v>
      </c>
      <c r="BP2" s="20">
        <v>1.3671072306706926E-5</v>
      </c>
      <c r="BQ2" s="20">
        <v>1.3824160526861523E-5</v>
      </c>
      <c r="BR2" s="20">
        <v>1.3978932771532774E-5</v>
      </c>
      <c r="BS2" s="20">
        <v>1.4135376399489679E-5</v>
      </c>
      <c r="BT2" s="20">
        <v>1.4293509548508365E-5</v>
      </c>
      <c r="BU2" s="20">
        <v>1.4453326694501365E-5</v>
      </c>
      <c r="BV2" s="20">
        <v>1.461472877710608E-5</v>
      </c>
      <c r="BW2" s="20">
        <v>1.4777608887724497E-5</v>
      </c>
      <c r="BX2" s="20">
        <v>1.4941900379275375E-5</v>
      </c>
      <c r="BY2" s="20">
        <v>1.5107582006366144E-5</v>
      </c>
      <c r="BZ2" s="20">
        <v>1.5274650565041359E-5</v>
      </c>
      <c r="CA2" s="20">
        <v>1.5443152813069433E-5</v>
      </c>
      <c r="CB2" s="20">
        <v>1.561315753966831E-5</v>
      </c>
      <c r="CC2" s="20">
        <v>1.5784720843484096E-5</v>
      </c>
      <c r="CD2" s="20">
        <v>1.5957833983506664E-5</v>
      </c>
      <c r="CE2" s="20">
        <v>1.6132524720255121E-5</v>
      </c>
      <c r="CF2" s="20">
        <v>1.6308756580048994E-5</v>
      </c>
      <c r="CG2" s="20">
        <v>1.648651616536634E-5</v>
      </c>
      <c r="CH2" s="20">
        <v>1.6665822935154385E-5</v>
      </c>
      <c r="CI2" s="20">
        <v>1.6846654192520645E-5</v>
      </c>
      <c r="CJ2" s="20">
        <v>1.7029046477618662E-5</v>
      </c>
      <c r="CK2" s="20">
        <v>1.7213053532147078E-5</v>
      </c>
      <c r="CL2" s="20">
        <v>1.7398717254626916E-5</v>
      </c>
      <c r="CM2" s="20">
        <v>1.7586114631468625E-5</v>
      </c>
    </row>
    <row r="3" spans="1:91" x14ac:dyDescent="0.25">
      <c r="A3" s="21" t="s">
        <v>1</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20">
        <v>7.0000430409191978E-5</v>
      </c>
      <c r="AG3" s="20">
        <v>7.0630961246729871E-5</v>
      </c>
      <c r="AH3" s="20">
        <v>7.1066274150239037E-5</v>
      </c>
      <c r="AI3" s="20">
        <v>7.150778011594632E-5</v>
      </c>
      <c r="AJ3" s="20">
        <v>7.1952944698856812E-5</v>
      </c>
      <c r="AK3" s="20">
        <v>7.2400861735737981E-5</v>
      </c>
      <c r="AL3" s="20">
        <v>7.285284622485931E-5</v>
      </c>
      <c r="AM3" s="20">
        <v>7.3313273932656012E-5</v>
      </c>
      <c r="AN3" s="20">
        <v>7.3787111123243884E-5</v>
      </c>
      <c r="AO3" s="20">
        <v>7.4277957562576602E-5</v>
      </c>
      <c r="AP3" s="20">
        <v>7.478586235260993E-5</v>
      </c>
      <c r="AQ3" s="20">
        <v>7.5308758342790844E-5</v>
      </c>
      <c r="AR3" s="20">
        <v>7.5842609785929511E-5</v>
      </c>
      <c r="AS3" s="20">
        <v>7.6383079700261544E-5</v>
      </c>
      <c r="AT3" s="20">
        <v>7.6926134271035562E-5</v>
      </c>
      <c r="AU3" s="20">
        <v>7.8564814285327943E-5</v>
      </c>
      <c r="AV3" s="20">
        <v>7.975963310304218E-5</v>
      </c>
      <c r="AW3" s="20">
        <v>8.0954261880852003E-5</v>
      </c>
      <c r="AX3" s="20">
        <v>8.2147891965987329E-5</v>
      </c>
      <c r="AY3" s="20">
        <v>8.3339977261299875E-5</v>
      </c>
      <c r="AZ3" s="20">
        <v>8.4530221105783915E-5</v>
      </c>
      <c r="BA3" s="20">
        <v>8.5718612444647251E-5</v>
      </c>
      <c r="BB3" s="20">
        <v>8.6905669889591832E-5</v>
      </c>
      <c r="BC3" s="20">
        <v>8.8092572774455127E-5</v>
      </c>
      <c r="BD3" s="20">
        <v>8.9279966565095401E-5</v>
      </c>
      <c r="BE3" s="20">
        <v>9.0467983154341602E-5</v>
      </c>
      <c r="BF3" s="20">
        <v>9.1656451978961193E-5</v>
      </c>
      <c r="BG3" s="20">
        <v>9.2845626529475093E-5</v>
      </c>
      <c r="BH3" s="20">
        <v>9.4035979030347884E-5</v>
      </c>
      <c r="BI3" s="20">
        <v>9.5227510574324398E-5</v>
      </c>
      <c r="BJ3" s="20">
        <v>9.6420416442247414E-5</v>
      </c>
      <c r="BK3" s="20">
        <v>9.7614503715712849E-5</v>
      </c>
      <c r="BL3" s="20">
        <v>9.8809372181047912E-5</v>
      </c>
      <c r="BM3" s="20">
        <v>1.0000446419189215E-4</v>
      </c>
      <c r="BN3" s="20">
        <v>1.011995727197744E-4</v>
      </c>
      <c r="BO3" s="20">
        <v>1.0239414762549752E-4</v>
      </c>
      <c r="BP3" s="20">
        <v>1.0358838103355418E-4</v>
      </c>
      <c r="BQ3" s="20">
        <v>1.0478175869485435E-4</v>
      </c>
      <c r="BR3" s="20">
        <v>1.0597432428171442E-4</v>
      </c>
      <c r="BS3" s="20">
        <v>1.0716564825407785E-4</v>
      </c>
      <c r="BT3" s="20">
        <v>1.0822524976050468E-4</v>
      </c>
      <c r="BU3" s="20">
        <v>1.0928722791460635E-4</v>
      </c>
      <c r="BV3" s="20">
        <v>1.1035132417498938E-4</v>
      </c>
      <c r="BW3" s="20">
        <v>1.1141783799382022E-4</v>
      </c>
      <c r="BX3" s="20">
        <v>1.1248685991353272E-4</v>
      </c>
      <c r="BY3" s="20">
        <v>1.1355858475974895E-4</v>
      </c>
      <c r="BZ3" s="20">
        <v>1.1463260759244673E-4</v>
      </c>
      <c r="CA3" s="20">
        <v>1.157091962436633E-4</v>
      </c>
      <c r="CB3" s="20">
        <v>1.1678823506150475E-4</v>
      </c>
      <c r="CC3" s="20">
        <v>1.1786969517439455E-4</v>
      </c>
      <c r="CD3" s="20">
        <v>1.1895337378753631E-4</v>
      </c>
      <c r="CE3" s="20">
        <v>1.2003930941952695E-4</v>
      </c>
      <c r="CF3" s="20">
        <v>1.2112747901802054E-4</v>
      </c>
      <c r="CG3" s="20">
        <v>1.2221779370117183E-4</v>
      </c>
      <c r="CH3" s="20">
        <v>1.2331033229500272E-4</v>
      </c>
      <c r="CI3" s="20">
        <v>1.2440494790464076E-4</v>
      </c>
      <c r="CJ3" s="20">
        <v>1.2550153274019381E-4</v>
      </c>
      <c r="CK3" s="20">
        <v>1.2659968153820708E-4</v>
      </c>
      <c r="CL3" s="20">
        <v>1.276994691580742E-4</v>
      </c>
      <c r="CM3" s="20">
        <v>1.288003541120989E-4</v>
      </c>
    </row>
    <row r="4" spans="1:91" x14ac:dyDescent="0.25">
      <c r="A4" s="21" t="s">
        <v>2</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20">
        <v>1.3228986578653787E-5</v>
      </c>
      <c r="AG4" s="20">
        <v>1.3351004035312167E-5</v>
      </c>
      <c r="AH4" s="20">
        <v>1.3448210690384045E-5</v>
      </c>
      <c r="AI4" s="20">
        <v>1.3548882358160103E-5</v>
      </c>
      <c r="AJ4" s="20">
        <v>1.365327018224468E-5</v>
      </c>
      <c r="AK4" s="20">
        <v>1.3761500883312822E-5</v>
      </c>
      <c r="AL4" s="20">
        <v>1.387370090955609E-5</v>
      </c>
      <c r="AM4" s="20">
        <v>1.3990474699641369E-5</v>
      </c>
      <c r="AN4" s="20">
        <v>1.4112378817260886E-5</v>
      </c>
      <c r="AO4" s="20">
        <v>1.4239928335395459E-5</v>
      </c>
      <c r="AP4" s="20">
        <v>1.4373258842965937E-5</v>
      </c>
      <c r="AQ4" s="20">
        <v>1.4512396972370334E-5</v>
      </c>
      <c r="AR4" s="20">
        <v>1.4657165111117269E-5</v>
      </c>
      <c r="AS4" s="20">
        <v>1.4807426681632889E-5</v>
      </c>
      <c r="AT4" s="20">
        <v>1.4962997035753534E-5</v>
      </c>
      <c r="AU4" s="20">
        <v>1.5469466422515655E-5</v>
      </c>
      <c r="AV4" s="20">
        <v>1.5574976370094695E-5</v>
      </c>
      <c r="AW4" s="20">
        <v>1.5682744238183712E-5</v>
      </c>
      <c r="AX4" s="20">
        <v>1.579276536744829E-5</v>
      </c>
      <c r="AY4" s="20">
        <v>1.590501523153287E-5</v>
      </c>
      <c r="AZ4" s="20">
        <v>1.6019564264837292E-5</v>
      </c>
      <c r="BA4" s="20">
        <v>1.6136521123591277E-5</v>
      </c>
      <c r="BB4" s="20">
        <v>1.6255961000692786E-5</v>
      </c>
      <c r="BC4" s="20">
        <v>1.6378047391306338E-5</v>
      </c>
      <c r="BD4" s="20">
        <v>1.6502859414118649E-5</v>
      </c>
      <c r="BE4" s="20">
        <v>1.6630485774268858E-5</v>
      </c>
      <c r="BF4" s="20">
        <v>1.6760961637346351E-5</v>
      </c>
      <c r="BG4" s="20">
        <v>1.6894312433243585E-5</v>
      </c>
      <c r="BH4" s="20">
        <v>1.703062755161906E-5</v>
      </c>
      <c r="BI4" s="20">
        <v>1.716988964677118E-5</v>
      </c>
      <c r="BJ4" s="20">
        <v>1.7312207426551629E-5</v>
      </c>
      <c r="BK4" s="20">
        <v>1.7457606054617057E-5</v>
      </c>
      <c r="BL4" s="20">
        <v>1.7606171496817636E-5</v>
      </c>
      <c r="BM4" s="20">
        <v>1.7757977604245819E-5</v>
      </c>
      <c r="BN4" s="20">
        <v>1.7913133711696151E-5</v>
      </c>
      <c r="BO4" s="20">
        <v>1.8071652865918737E-5</v>
      </c>
      <c r="BP4" s="20">
        <v>1.8233635514169785E-5</v>
      </c>
      <c r="BQ4" s="20">
        <v>1.8399148666801222E-5</v>
      </c>
      <c r="BR4" s="20">
        <v>1.8568334276582576E-5</v>
      </c>
      <c r="BS4" s="20">
        <v>1.8741252850249103E-5</v>
      </c>
      <c r="BT4" s="20">
        <v>1.8917994086357809E-5</v>
      </c>
      <c r="BU4" s="20">
        <v>1.9098656551532022E-5</v>
      </c>
      <c r="BV4" s="20">
        <v>1.9283182040007754E-5</v>
      </c>
      <c r="BW4" s="20">
        <v>1.947151926724002E-5</v>
      </c>
      <c r="BX4" s="20">
        <v>1.9663666430494453E-5</v>
      </c>
      <c r="BY4" s="20">
        <v>1.9859684135003457E-5</v>
      </c>
      <c r="BZ4" s="20">
        <v>2.0059662924267403E-5</v>
      </c>
      <c r="CA4" s="20">
        <v>2.0263768203733196E-5</v>
      </c>
      <c r="CB4" s="20">
        <v>2.0472217863934785E-5</v>
      </c>
      <c r="CC4" s="20">
        <v>2.0685177630400022E-5</v>
      </c>
      <c r="CD4" s="20">
        <v>2.0902762801762623E-5</v>
      </c>
      <c r="CE4" s="20">
        <v>2.1125137609645198E-5</v>
      </c>
      <c r="CF4" s="20">
        <v>2.13523592396579E-5</v>
      </c>
      <c r="CG4" s="20">
        <v>2.1584550274591934E-5</v>
      </c>
      <c r="CH4" s="20">
        <v>2.1821849605301195E-5</v>
      </c>
      <c r="CI4" s="20">
        <v>2.2064400207881321E-5</v>
      </c>
      <c r="CJ4" s="20">
        <v>2.2312384995534275E-5</v>
      </c>
      <c r="CK4" s="20">
        <v>2.2566061124170165E-5</v>
      </c>
      <c r="CL4" s="20">
        <v>2.2825634709128289E-5</v>
      </c>
      <c r="CM4" s="20">
        <v>2.3091432921461527E-5</v>
      </c>
    </row>
    <row r="5" spans="1:91" x14ac:dyDescent="0.25">
      <c r="A5" s="21" t="s">
        <v>2</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20">
        <v>7.0121002027183778E-6</v>
      </c>
      <c r="AG5" s="20">
        <v>7.2210894119728063E-6</v>
      </c>
      <c r="AH5" s="20">
        <v>7.4202145751621905E-6</v>
      </c>
      <c r="AI5" s="20">
        <v>7.6288203120131999E-6</v>
      </c>
      <c r="AJ5" s="20">
        <v>7.8474396653895003E-6</v>
      </c>
      <c r="AK5" s="20">
        <v>8.0765895476182639E-6</v>
      </c>
      <c r="AL5" s="20">
        <v>8.3168765465417997E-6</v>
      </c>
      <c r="AM5" s="20">
        <v>8.569263350893212E-6</v>
      </c>
      <c r="AN5" s="20">
        <v>8.8347261253526665E-6</v>
      </c>
      <c r="AO5" s="20">
        <v>9.11421427809247E-6</v>
      </c>
      <c r="AP5" s="20">
        <v>9.4084016592827995E-6</v>
      </c>
      <c r="AQ5" s="20">
        <v>9.7178946223932155E-6</v>
      </c>
      <c r="AR5" s="20">
        <v>1.0043173749519153E-5</v>
      </c>
      <c r="AS5" s="20">
        <v>1.0384788452865011E-5</v>
      </c>
      <c r="AT5" s="20">
        <v>1.0743308883754397E-5</v>
      </c>
      <c r="AU5" s="20">
        <v>1.1732150845198387E-5</v>
      </c>
      <c r="AV5" s="20">
        <v>1.2029101934575739E-5</v>
      </c>
      <c r="AW5" s="20">
        <v>1.2330362812000245E-5</v>
      </c>
      <c r="AX5" s="20">
        <v>1.2636010643891824E-5</v>
      </c>
      <c r="AY5" s="20">
        <v>1.294610467098004E-5</v>
      </c>
      <c r="AZ5" s="20">
        <v>1.3260781122275616E-5</v>
      </c>
      <c r="BA5" s="20">
        <v>1.3580209329302407E-5</v>
      </c>
      <c r="BB5" s="20">
        <v>1.3904534506306729E-5</v>
      </c>
      <c r="BC5" s="20">
        <v>1.4233979095234456E-5</v>
      </c>
      <c r="BD5" s="20">
        <v>1.4568700292291712E-5</v>
      </c>
      <c r="BE5" s="20">
        <v>1.490886503450716E-5</v>
      </c>
      <c r="BF5" s="20">
        <v>1.5254594004074044E-5</v>
      </c>
      <c r="BG5" s="20">
        <v>1.5605990085826174E-5</v>
      </c>
      <c r="BH5" s="20">
        <v>1.5963210744890837E-5</v>
      </c>
      <c r="BI5" s="20">
        <v>1.6326321960921515E-5</v>
      </c>
      <c r="BJ5" s="20">
        <v>1.6695498066511173E-5</v>
      </c>
      <c r="BK5" s="20">
        <v>1.7070852196150819E-5</v>
      </c>
      <c r="BL5" s="20">
        <v>1.7452545021238879E-5</v>
      </c>
      <c r="BM5" s="20">
        <v>1.7840733475907901E-5</v>
      </c>
      <c r="BN5" s="20">
        <v>1.823560246986816E-5</v>
      </c>
      <c r="BO5" s="20">
        <v>1.8637252878765394E-5</v>
      </c>
      <c r="BP5" s="20">
        <v>1.9045873585162299E-5</v>
      </c>
      <c r="BQ5" s="20">
        <v>1.9461627645654656E-5</v>
      </c>
      <c r="BR5" s="20">
        <v>1.9884772486444035E-5</v>
      </c>
      <c r="BS5" s="20">
        <v>2.0315473648547058E-5</v>
      </c>
      <c r="BT5" s="20">
        <v>2.0753937998592071E-5</v>
      </c>
      <c r="BU5" s="20">
        <v>2.1200361852035525E-5</v>
      </c>
      <c r="BV5" s="20">
        <v>2.1654810170228369E-5</v>
      </c>
      <c r="BW5" s="20">
        <v>2.2117347207509639E-5</v>
      </c>
      <c r="BX5" s="20">
        <v>2.2588090468108009E-5</v>
      </c>
      <c r="BY5" s="20">
        <v>2.3067221764584342E-5</v>
      </c>
      <c r="BZ5" s="20">
        <v>2.3554948560878236E-5</v>
      </c>
      <c r="CA5" s="20">
        <v>2.4051560720881107E-5</v>
      </c>
      <c r="CB5" s="20">
        <v>2.455738921757222E-5</v>
      </c>
      <c r="CC5" s="20">
        <v>2.5072741724341258E-5</v>
      </c>
      <c r="CD5" s="20">
        <v>2.5597855940880496E-5</v>
      </c>
      <c r="CE5" s="20">
        <v>2.6133029556600889E-5</v>
      </c>
      <c r="CF5" s="20">
        <v>2.667846635816827E-5</v>
      </c>
      <c r="CG5" s="20">
        <v>2.7234421242270185E-5</v>
      </c>
      <c r="CH5" s="20">
        <v>2.7801191106722099E-5</v>
      </c>
      <c r="CI5" s="20">
        <v>2.8379045524085055E-5</v>
      </c>
      <c r="CJ5" s="20">
        <v>2.8968323511028758E-5</v>
      </c>
      <c r="CK5" s="20">
        <v>2.9569415819543594E-5</v>
      </c>
      <c r="CL5" s="20">
        <v>3.0182697084869239E-5</v>
      </c>
      <c r="CM5" s="20">
        <v>3.0808619936276061E-5</v>
      </c>
    </row>
    <row r="7" spans="1:91" x14ac:dyDescent="0.25">
      <c r="A7" s="21" t="s">
        <v>3</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20">
        <v>3.6843336955314182E-5</v>
      </c>
      <c r="AG7" s="20">
        <v>3.6790336088918271E-5</v>
      </c>
      <c r="AH7" s="20">
        <v>3.6735360620641035E-5</v>
      </c>
      <c r="AI7" s="20">
        <v>3.667954216924579E-5</v>
      </c>
      <c r="AJ7" s="20">
        <v>3.6623172446285202E-5</v>
      </c>
      <c r="AK7" s="20">
        <v>3.6566333390967918E-5</v>
      </c>
      <c r="AL7" s="20">
        <v>3.6509049093726465E-5</v>
      </c>
      <c r="AM7" s="20">
        <v>3.6451465927738483E-5</v>
      </c>
      <c r="AN7" s="20">
        <v>3.6393772236650164E-5</v>
      </c>
      <c r="AO7" s="20">
        <v>3.6336058437465606E-5</v>
      </c>
      <c r="AP7" s="20">
        <v>3.6278480991528786E-5</v>
      </c>
      <c r="AQ7" s="20">
        <v>3.6221086104825362E-5</v>
      </c>
      <c r="AR7" s="20">
        <v>3.6163908142653389E-5</v>
      </c>
      <c r="AS7" s="20">
        <v>3.6106967137093158E-5</v>
      </c>
      <c r="AT7" s="20">
        <v>3.6050252332744931E-5</v>
      </c>
      <c r="AU7" s="20">
        <v>3.6181023108186044E-5</v>
      </c>
      <c r="AV7" s="20">
        <v>3.6805880686838144E-5</v>
      </c>
      <c r="AW7" s="20">
        <v>3.7432182540437799E-5</v>
      </c>
      <c r="AX7" s="20">
        <v>3.80598402093277E-5</v>
      </c>
      <c r="AY7" s="20">
        <v>3.86887842668519E-5</v>
      </c>
      <c r="AZ7" s="20">
        <v>3.9318984814036444E-5</v>
      </c>
      <c r="BA7" s="20">
        <v>3.9950454324620326E-5</v>
      </c>
      <c r="BB7" s="20">
        <v>4.058323771919377E-5</v>
      </c>
      <c r="BC7" s="20">
        <v>4.1217413638741283E-5</v>
      </c>
      <c r="BD7" s="20">
        <v>4.1853031626262509E-5</v>
      </c>
      <c r="BE7" s="20">
        <v>4.2490101422829168E-5</v>
      </c>
      <c r="BF7" s="20">
        <v>4.3128576395727857E-5</v>
      </c>
      <c r="BG7" s="20">
        <v>4.3768429306014496E-5</v>
      </c>
      <c r="BH7" s="20">
        <v>4.4409623286892179E-5</v>
      </c>
      <c r="BI7" s="20">
        <v>4.5052144357670757E-5</v>
      </c>
      <c r="BJ7" s="20">
        <v>4.5695973254979865E-5</v>
      </c>
      <c r="BK7" s="20">
        <v>4.6341126684092635E-5</v>
      </c>
      <c r="BL7" s="20">
        <v>4.6987579201309435E-5</v>
      </c>
      <c r="BM7" s="20">
        <v>4.7635341292882607E-5</v>
      </c>
      <c r="BN7" s="20">
        <v>4.8284391676933665E-5</v>
      </c>
      <c r="BO7" s="20">
        <v>4.8934736165148652E-5</v>
      </c>
      <c r="BP7" s="20">
        <v>4.9586381811837859E-5</v>
      </c>
      <c r="BQ7" s="20">
        <v>5.0239352229828933E-5</v>
      </c>
      <c r="BR7" s="20">
        <v>5.0893684723365161E-5</v>
      </c>
      <c r="BS7" s="20">
        <v>5.1549385587840429E-5</v>
      </c>
      <c r="BT7" s="20">
        <v>5.1636306402230199E-5</v>
      </c>
      <c r="BU7" s="20">
        <v>5.1724550281244116E-5</v>
      </c>
      <c r="BV7" s="20">
        <v>5.1814122168769529E-5</v>
      </c>
      <c r="BW7" s="20">
        <v>5.1905017314471409E-5</v>
      </c>
      <c r="BX7" s="20">
        <v>5.1997226518439087E-5</v>
      </c>
      <c r="BY7" s="20">
        <v>5.209074305574026E-5</v>
      </c>
      <c r="BZ7" s="20">
        <v>5.2185571878579461E-5</v>
      </c>
      <c r="CA7" s="20">
        <v>5.2281706246236016E-5</v>
      </c>
      <c r="CB7" s="20">
        <v>5.2379129328157627E-5</v>
      </c>
      <c r="CC7" s="20">
        <v>5.2477845020516877E-5</v>
      </c>
      <c r="CD7" s="20">
        <v>5.2577842307954798E-5</v>
      </c>
      <c r="CE7" s="20">
        <v>5.2679112681640577E-5</v>
      </c>
      <c r="CF7" s="20">
        <v>5.2781651624729282E-5</v>
      </c>
      <c r="CG7" s="20">
        <v>5.2885444749710062E-5</v>
      </c>
      <c r="CH7" s="20">
        <v>5.2990487639432671E-5</v>
      </c>
      <c r="CI7" s="20">
        <v>5.3096775381587056E-5</v>
      </c>
      <c r="CJ7" s="20">
        <v>5.3204297991539445E-5</v>
      </c>
      <c r="CK7" s="20">
        <v>5.3313060712255301E-5</v>
      </c>
      <c r="CL7" s="20">
        <v>5.3423070555134916E-5</v>
      </c>
      <c r="CM7" s="20">
        <v>5.3534324193367958E-5</v>
      </c>
    </row>
    <row r="8" spans="1:91" x14ac:dyDescent="0.25">
      <c r="A8" s="21" t="s">
        <v>1</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20">
        <v>5.2769166477933858E-5</v>
      </c>
      <c r="AG8" s="20">
        <v>5.2693255559611984E-5</v>
      </c>
      <c r="AH8" s="20">
        <v>5.2614516501821335E-5</v>
      </c>
      <c r="AI8" s="20">
        <v>5.25345700746617E-5</v>
      </c>
      <c r="AJ8" s="20">
        <v>5.2453834084356881E-5</v>
      </c>
      <c r="AK8" s="20">
        <v>5.2372425888999203E-5</v>
      </c>
      <c r="AL8" s="20">
        <v>5.2290379992305006E-5</v>
      </c>
      <c r="AM8" s="20">
        <v>5.2207906038438337E-5</v>
      </c>
      <c r="AN8" s="20">
        <v>5.2125273784105413E-5</v>
      </c>
      <c r="AO8" s="20">
        <v>5.204261272978946E-5</v>
      </c>
      <c r="AP8" s="20">
        <v>5.1960146968512207E-5</v>
      </c>
      <c r="AQ8" s="20">
        <v>5.187794267916924E-5</v>
      </c>
      <c r="AR8" s="20">
        <v>5.1796049081735804E-5</v>
      </c>
      <c r="AS8" s="20">
        <v>5.1714494867320529E-5</v>
      </c>
      <c r="AT8" s="20">
        <v>5.1633264631415317E-5</v>
      </c>
      <c r="AU8" s="20">
        <v>5.1820562129143874E-5</v>
      </c>
      <c r="AV8" s="20">
        <v>5.1885131359856297E-5</v>
      </c>
      <c r="AW8" s="20">
        <v>5.1950214305834867E-5</v>
      </c>
      <c r="AX8" s="20">
        <v>5.2015700294839928E-5</v>
      </c>
      <c r="AY8" s="20">
        <v>5.2081507781076679E-5</v>
      </c>
      <c r="AZ8" s="20">
        <v>5.2147614632487234E-5</v>
      </c>
      <c r="BA8" s="20">
        <v>5.2214058561288894E-5</v>
      </c>
      <c r="BB8" s="20">
        <v>5.2280919174022914E-5</v>
      </c>
      <c r="BC8" s="20">
        <v>5.2348326142311333E-5</v>
      </c>
      <c r="BD8" s="20">
        <v>5.2416362295017331E-5</v>
      </c>
      <c r="BE8" s="20">
        <v>5.2485056095018153E-5</v>
      </c>
      <c r="BF8" s="20">
        <v>5.255435759938655E-5</v>
      </c>
      <c r="BG8" s="20">
        <v>5.2624226698379906E-5</v>
      </c>
      <c r="BH8" s="20">
        <v>5.2694616780850149E-5</v>
      </c>
      <c r="BI8" s="20">
        <v>5.2765502995160863E-5</v>
      </c>
      <c r="BJ8" s="20">
        <v>5.283686082478873E-5</v>
      </c>
      <c r="BK8" s="20">
        <v>5.2908715260658917E-5</v>
      </c>
      <c r="BL8" s="20">
        <v>5.2981037203205353E-5</v>
      </c>
      <c r="BM8" s="20">
        <v>5.3053843546664738E-5</v>
      </c>
      <c r="BN8" s="20">
        <v>5.3127112809578331E-5</v>
      </c>
      <c r="BO8" s="20">
        <v>5.3200845887448871E-5</v>
      </c>
      <c r="BP8" s="20">
        <v>5.3275066305476904E-5</v>
      </c>
      <c r="BQ8" s="20">
        <v>5.3349808273080411E-5</v>
      </c>
      <c r="BR8" s="20">
        <v>5.3425155494199776E-5</v>
      </c>
      <c r="BS8" s="20">
        <v>5.3501125356345247E-5</v>
      </c>
      <c r="BT8" s="20">
        <v>5.358589951393191E-5</v>
      </c>
      <c r="BU8" s="20">
        <v>5.3672282503609282E-5</v>
      </c>
      <c r="BV8" s="20">
        <v>5.3760270054983049E-5</v>
      </c>
      <c r="BW8" s="20">
        <v>5.3849853081464978E-5</v>
      </c>
      <c r="BX8" s="20">
        <v>5.3941017829373365E-5</v>
      </c>
      <c r="BY8" s="20">
        <v>5.4033763050466951E-5</v>
      </c>
      <c r="BZ8" s="20">
        <v>5.4128092228636533E-5</v>
      </c>
      <c r="CA8" s="20">
        <v>5.4224008946083018E-5</v>
      </c>
      <c r="CB8" s="20">
        <v>5.4321496723876302E-5</v>
      </c>
      <c r="CC8" s="20">
        <v>5.4420572901668634E-5</v>
      </c>
      <c r="CD8" s="20">
        <v>5.4521219352321004E-5</v>
      </c>
      <c r="CE8" s="20">
        <v>5.4623425888475123E-5</v>
      </c>
      <c r="CF8" s="20">
        <v>5.4727189212199551E-5</v>
      </c>
      <c r="CG8" s="20">
        <v>5.4832486288335323E-5</v>
      </c>
      <c r="CH8" s="20">
        <v>5.4939322222557939E-5</v>
      </c>
      <c r="CI8" s="20">
        <v>5.5047676022657148E-5</v>
      </c>
      <c r="CJ8" s="20">
        <v>5.5157543030486721E-5</v>
      </c>
      <c r="CK8" s="20">
        <v>5.5268920681017922E-5</v>
      </c>
      <c r="CL8" s="20">
        <v>5.5381826903601599E-5</v>
      </c>
      <c r="CM8" s="20">
        <v>5.5496247612017253E-5</v>
      </c>
    </row>
    <row r="9" spans="1:91" x14ac:dyDescent="0.25">
      <c r="A9" s="21" t="s">
        <v>1</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20">
        <v>3.755643379961059E-5</v>
      </c>
      <c r="AG9" s="20">
        <v>3.7502407109994121E-5</v>
      </c>
      <c r="AH9" s="20">
        <v>3.7446367600395375E-5</v>
      </c>
      <c r="AI9" s="20">
        <v>3.7389468791876361E-5</v>
      </c>
      <c r="AJ9" s="20">
        <v>3.7332008042019762E-5</v>
      </c>
      <c r="AK9" s="20">
        <v>3.7274068875954395E-5</v>
      </c>
      <c r="AL9" s="20">
        <v>3.7215675850379237E-5</v>
      </c>
      <c r="AM9" s="20">
        <v>3.7156978171501163E-5</v>
      </c>
      <c r="AN9" s="20">
        <v>3.7098167828327268E-5</v>
      </c>
      <c r="AO9" s="20">
        <v>3.7039336987868168E-5</v>
      </c>
      <c r="AP9" s="20">
        <v>3.6980645139751931E-5</v>
      </c>
      <c r="AQ9" s="20">
        <v>3.692213938427361E-5</v>
      </c>
      <c r="AR9" s="20">
        <v>3.6863854751866036E-5</v>
      </c>
      <c r="AS9" s="20">
        <v>3.6805811662327231E-5</v>
      </c>
      <c r="AT9" s="20">
        <v>3.6747999152088383E-5</v>
      </c>
      <c r="AU9" s="20">
        <v>3.6881300974796092E-5</v>
      </c>
      <c r="AV9" s="20">
        <v>3.6933062893627826E-5</v>
      </c>
      <c r="AW9" s="20">
        <v>3.6984803288137251E-5</v>
      </c>
      <c r="AX9" s="20">
        <v>3.7036437188603112E-5</v>
      </c>
      <c r="AY9" s="20">
        <v>3.7087901513367618E-5</v>
      </c>
      <c r="AZ9" s="20">
        <v>3.7139176923422152E-5</v>
      </c>
      <c r="BA9" s="20">
        <v>3.719028632859785E-5</v>
      </c>
      <c r="BB9" s="20">
        <v>3.7241283775133937E-5</v>
      </c>
      <c r="BC9" s="20">
        <v>3.7292262121969226E-5</v>
      </c>
      <c r="BD9" s="20">
        <v>3.7343280820957652E-5</v>
      </c>
      <c r="BE9" s="20">
        <v>3.7394359310285553E-5</v>
      </c>
      <c r="BF9" s="20">
        <v>3.7445462106810545E-5</v>
      </c>
      <c r="BG9" s="20">
        <v>3.7496556366296019E-5</v>
      </c>
      <c r="BH9" s="20">
        <v>3.7547608783536608E-5</v>
      </c>
      <c r="BI9" s="20">
        <v>3.7598597706895901E-5</v>
      </c>
      <c r="BJ9" s="20">
        <v>3.7649502569235385E-5</v>
      </c>
      <c r="BK9" s="20">
        <v>3.7700339228367647E-5</v>
      </c>
      <c r="BL9" s="20">
        <v>3.7751080142069215E-5</v>
      </c>
      <c r="BM9" s="20">
        <v>3.7801728334648505E-5</v>
      </c>
      <c r="BN9" s="20">
        <v>3.785226250308605E-5</v>
      </c>
      <c r="BO9" s="20">
        <v>3.7902673895436454E-5</v>
      </c>
      <c r="BP9" s="20">
        <v>3.7952979622613387E-5</v>
      </c>
      <c r="BQ9" s="20">
        <v>3.8003197609965645E-5</v>
      </c>
      <c r="BR9" s="20">
        <v>3.8053393767208994E-5</v>
      </c>
      <c r="BS9" s="20">
        <v>3.8103574826890966E-5</v>
      </c>
      <c r="BT9" s="20">
        <v>3.8156452560328051E-5</v>
      </c>
      <c r="BU9" s="20">
        <v>3.8210417968048391E-5</v>
      </c>
      <c r="BV9" s="20">
        <v>3.8265475695102741E-5</v>
      </c>
      <c r="BW9" s="20">
        <v>3.8321623685974469E-5</v>
      </c>
      <c r="BX9" s="20">
        <v>3.8378859609958136E-5</v>
      </c>
      <c r="BY9" s="20">
        <v>3.8437187893822393E-5</v>
      </c>
      <c r="BZ9" s="20">
        <v>3.8496607768899382E-5</v>
      </c>
      <c r="CA9" s="20">
        <v>3.8557127565013271E-5</v>
      </c>
      <c r="CB9" s="20">
        <v>3.8618733800416279E-5</v>
      </c>
      <c r="CC9" s="20">
        <v>3.8681442904030025E-5</v>
      </c>
      <c r="CD9" s="20">
        <v>3.8745238156913579E-5</v>
      </c>
      <c r="CE9" s="20">
        <v>3.8810115409190752E-5</v>
      </c>
      <c r="CF9" s="20">
        <v>3.8876073147932574E-5</v>
      </c>
      <c r="CG9" s="20">
        <v>3.894309386333759E-5</v>
      </c>
      <c r="CH9" s="20">
        <v>3.9011183503462591E-5</v>
      </c>
      <c r="CI9" s="20">
        <v>3.9080323898003936E-5</v>
      </c>
      <c r="CJ9" s="20">
        <v>3.9150511218413924E-5</v>
      </c>
      <c r="CK9" s="20">
        <v>3.9221737742214523E-5</v>
      </c>
      <c r="CL9" s="20">
        <v>3.9294017281482045E-5</v>
      </c>
      <c r="CM9" s="20">
        <v>3.936733039718203E-5</v>
      </c>
    </row>
    <row r="10" spans="1:91" x14ac:dyDescent="0.25">
      <c r="A10" s="21" t="s">
        <v>1</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20">
        <v>3.2802454837634565E-5</v>
      </c>
      <c r="AG10" s="20">
        <v>3.2755266969488529E-5</v>
      </c>
      <c r="AH10" s="20">
        <v>3.2706321068699752E-5</v>
      </c>
      <c r="AI10" s="20">
        <v>3.2656624641005933E-5</v>
      </c>
      <c r="AJ10" s="20">
        <v>3.260643740378941E-5</v>
      </c>
      <c r="AK10" s="20">
        <v>3.2555832309377881E-5</v>
      </c>
      <c r="AL10" s="20">
        <v>3.2504830806027448E-5</v>
      </c>
      <c r="AM10" s="20">
        <v>3.2453563213083297E-5</v>
      </c>
      <c r="AN10" s="20">
        <v>3.2402197217146604E-5</v>
      </c>
      <c r="AO10" s="20">
        <v>3.2350813318517766E-5</v>
      </c>
      <c r="AP10" s="20">
        <v>3.2299550818264349E-5</v>
      </c>
      <c r="AQ10" s="20">
        <v>3.2248450854618708E-5</v>
      </c>
      <c r="AR10" s="20">
        <v>3.2197544023781722E-5</v>
      </c>
      <c r="AS10" s="20">
        <v>3.2146848160766819E-5</v>
      </c>
      <c r="AT10" s="20">
        <v>3.2096353689798707E-5</v>
      </c>
      <c r="AU10" s="20">
        <v>3.2212781864062408E-5</v>
      </c>
      <c r="AV10" s="20">
        <v>3.2464153102729245E-5</v>
      </c>
      <c r="AW10" s="20">
        <v>3.271690581497304E-5</v>
      </c>
      <c r="AX10" s="20">
        <v>3.2970962421275322E-5</v>
      </c>
      <c r="AY10" s="20">
        <v>3.3226264413713801E-5</v>
      </c>
      <c r="AZ10" s="20">
        <v>3.3482789042779644E-5</v>
      </c>
      <c r="BA10" s="20">
        <v>3.3740550001192795E-5</v>
      </c>
      <c r="BB10" s="20">
        <v>3.3999587604779657E-5</v>
      </c>
      <c r="BC10" s="20">
        <v>3.425996881315825E-5</v>
      </c>
      <c r="BD10" s="20">
        <v>3.4521734016547037E-5</v>
      </c>
      <c r="BE10" s="20">
        <v>3.4784889445536507E-5</v>
      </c>
      <c r="BF10" s="20">
        <v>3.5049395121155097E-5</v>
      </c>
      <c r="BG10" s="20">
        <v>3.5315227950970887E-5</v>
      </c>
      <c r="BH10" s="20">
        <v>3.5582357866475032E-5</v>
      </c>
      <c r="BI10" s="20">
        <v>3.5850774182663768E-5</v>
      </c>
      <c r="BJ10" s="20">
        <v>3.6120462447432588E-5</v>
      </c>
      <c r="BK10" s="20">
        <v>3.6391436750654276E-5</v>
      </c>
      <c r="BL10" s="20">
        <v>3.6663678447313321E-5</v>
      </c>
      <c r="BM10" s="20">
        <v>3.6937197528123228E-5</v>
      </c>
      <c r="BN10" s="20">
        <v>3.7211979372309135E-5</v>
      </c>
      <c r="BO10" s="20">
        <v>3.7488031388110743E-5</v>
      </c>
      <c r="BP10" s="20">
        <v>3.7765360137229976E-5</v>
      </c>
      <c r="BQ10" s="20">
        <v>3.8043985474369211E-5</v>
      </c>
      <c r="BR10" s="20">
        <v>3.8323933618482537E-5</v>
      </c>
      <c r="BS10" s="20">
        <v>3.8605209547791053E-5</v>
      </c>
      <c r="BT10" s="20">
        <v>3.8677920059823958E-5</v>
      </c>
      <c r="BU10" s="20">
        <v>3.8751713009784551E-5</v>
      </c>
      <c r="BV10" s="20">
        <v>3.8826591933489533E-5</v>
      </c>
      <c r="BW10" s="20">
        <v>3.890255296099992E-5</v>
      </c>
      <c r="BX10" s="20">
        <v>3.8979588221708722E-5</v>
      </c>
      <c r="BY10" s="20">
        <v>3.9057691220618749E-5</v>
      </c>
      <c r="BZ10" s="20">
        <v>3.9136866220622919E-5</v>
      </c>
      <c r="CA10" s="20">
        <v>3.9217106232685925E-5</v>
      </c>
      <c r="CB10" s="20">
        <v>3.9298398757022331E-5</v>
      </c>
      <c r="CC10" s="20">
        <v>3.9380744857709663E-5</v>
      </c>
      <c r="CD10" s="20">
        <v>3.9464137259924096E-5</v>
      </c>
      <c r="CE10" s="20">
        <v>3.9548568806148973E-5</v>
      </c>
      <c r="CF10" s="20">
        <v>3.9634035486339887E-5</v>
      </c>
      <c r="CG10" s="20">
        <v>3.9720527015119885E-5</v>
      </c>
      <c r="CH10" s="20">
        <v>3.9808038587477014E-5</v>
      </c>
      <c r="CI10" s="20">
        <v>3.9896568115661278E-5</v>
      </c>
      <c r="CJ10" s="20">
        <v>3.998610769803857E-5</v>
      </c>
      <c r="CK10" s="20">
        <v>4.0076663427659374E-5</v>
      </c>
      <c r="CL10" s="20">
        <v>4.0168239548289989E-5</v>
      </c>
      <c r="CM10" s="20">
        <v>4.0260837211252985E-5</v>
      </c>
    </row>
    <row r="11" spans="1:91" x14ac:dyDescent="0.25">
      <c r="A11" s="21" t="s">
        <v>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20">
        <v>9.854236723099179E-6</v>
      </c>
      <c r="AG11" s="20">
        <v>9.9823313516283816E-6</v>
      </c>
      <c r="AH11" s="20">
        <v>1.0100376622903003E-5</v>
      </c>
      <c r="AI11" s="20">
        <v>1.0217954371032664E-5</v>
      </c>
      <c r="AJ11" s="20">
        <v>1.0335036222756833E-5</v>
      </c>
      <c r="AK11" s="20">
        <v>1.0451609591361124E-5</v>
      </c>
      <c r="AL11" s="20">
        <v>1.0567721275233579E-5</v>
      </c>
      <c r="AM11" s="20">
        <v>1.0683584645201572E-5</v>
      </c>
      <c r="AN11" s="20">
        <v>1.0799445063931594E-5</v>
      </c>
      <c r="AO11" s="20">
        <v>1.0915504194081234E-5</v>
      </c>
      <c r="AP11" s="20">
        <v>1.1031807456688384E-5</v>
      </c>
      <c r="AQ11" s="20">
        <v>1.1148309525294568E-5</v>
      </c>
      <c r="AR11" s="20">
        <v>1.1264870100794226E-5</v>
      </c>
      <c r="AS11" s="20">
        <v>1.1381328286422772E-5</v>
      </c>
      <c r="AT11" s="20">
        <v>1.1497512483415883E-5</v>
      </c>
      <c r="AU11" s="20">
        <v>1.1803464369167429E-5</v>
      </c>
      <c r="AV11" s="20">
        <v>1.2071076753421164E-5</v>
      </c>
      <c r="AW11" s="20">
        <v>1.2339032919941119E-5</v>
      </c>
      <c r="AX11" s="20">
        <v>1.2607263023161016E-5</v>
      </c>
      <c r="AY11" s="20">
        <v>1.2875722419325717E-5</v>
      </c>
      <c r="AZ11" s="20">
        <v>1.3144397729442386E-5</v>
      </c>
      <c r="BA11" s="20">
        <v>1.3413300071319038E-5</v>
      </c>
      <c r="BB11" s="20">
        <v>1.3682448844595694E-5</v>
      </c>
      <c r="BC11" s="20">
        <v>1.395188726793054E-5</v>
      </c>
      <c r="BD11" s="20">
        <v>1.4221622177317089E-5</v>
      </c>
      <c r="BE11" s="20">
        <v>1.4491643827531894E-5</v>
      </c>
      <c r="BF11" s="20">
        <v>1.4761924783512753E-5</v>
      </c>
      <c r="BG11" s="20">
        <v>1.503244380112934E-5</v>
      </c>
      <c r="BH11" s="20">
        <v>1.5303187831917682E-5</v>
      </c>
      <c r="BI11" s="20">
        <v>1.557412314738251E-5</v>
      </c>
      <c r="BJ11" s="20">
        <v>1.5845231954920686E-5</v>
      </c>
      <c r="BK11" s="20">
        <v>1.6116481807391817E-5</v>
      </c>
      <c r="BL11" s="20">
        <v>1.6387846539899619E-5</v>
      </c>
      <c r="BM11" s="20">
        <v>1.6659294228484215E-5</v>
      </c>
      <c r="BN11" s="20">
        <v>1.6930804678487053E-5</v>
      </c>
      <c r="BO11" s="20">
        <v>1.72023400226907E-5</v>
      </c>
      <c r="BP11" s="20">
        <v>1.7473889524296791E-5</v>
      </c>
      <c r="BQ11" s="20">
        <v>1.7745421916057434E-5</v>
      </c>
      <c r="BR11" s="20">
        <v>1.8016930836368059E-5</v>
      </c>
      <c r="BS11" s="20">
        <v>1.8288393046038396E-5</v>
      </c>
      <c r="BT11" s="20">
        <v>1.8537394223131596E-5</v>
      </c>
      <c r="BU11" s="20">
        <v>1.8786939369484812E-5</v>
      </c>
      <c r="BV11" s="20">
        <v>1.9037001323926226E-5</v>
      </c>
      <c r="BW11" s="20">
        <v>1.9287578920227342E-5</v>
      </c>
      <c r="BX11" s="20">
        <v>1.9538671131323192E-5</v>
      </c>
      <c r="BY11" s="20">
        <v>1.9790284246013519E-5</v>
      </c>
      <c r="BZ11" s="20">
        <v>2.0042405273308238E-5</v>
      </c>
      <c r="CA11" s="20">
        <v>2.0295033898328146E-5</v>
      </c>
      <c r="CB11" s="20">
        <v>2.0548156613124433E-5</v>
      </c>
      <c r="CC11" s="20">
        <v>2.0801758869785672E-5</v>
      </c>
      <c r="CD11" s="20">
        <v>2.1055828081857568E-5</v>
      </c>
      <c r="CE11" s="20">
        <v>2.1310346949605758E-5</v>
      </c>
      <c r="CF11" s="20">
        <v>2.1565314955439615E-5</v>
      </c>
      <c r="CG11" s="20">
        <v>2.1820723628412651E-5</v>
      </c>
      <c r="CH11" s="20">
        <v>2.2076567644162625E-5</v>
      </c>
      <c r="CI11" s="20">
        <v>2.2332826663134236E-5</v>
      </c>
      <c r="CJ11" s="20">
        <v>2.2589489050445082E-5</v>
      </c>
      <c r="CK11" s="20">
        <v>2.2846510383298265E-5</v>
      </c>
      <c r="CL11" s="20">
        <v>2.3103864648919468E-5</v>
      </c>
      <c r="CM11" s="20">
        <v>2.336149868724929E-5</v>
      </c>
    </row>
    <row r="12" spans="1:91" x14ac:dyDescent="0.25">
      <c r="A12" s="21" t="s">
        <v>1</v>
      </c>
      <c r="B12" s="4">
        <v>0</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20">
        <v>2.1546611417777664E-5</v>
      </c>
      <c r="AG12" s="20">
        <v>2.1548776353901259E-5</v>
      </c>
      <c r="AH12" s="20">
        <v>2.1529813843228388E-5</v>
      </c>
      <c r="AI12" s="20">
        <v>2.1511796280261009E-5</v>
      </c>
      <c r="AJ12" s="20">
        <v>2.1494294630538175E-5</v>
      </c>
      <c r="AK12" s="20">
        <v>2.1477258718884035E-5</v>
      </c>
      <c r="AL12" s="20">
        <v>2.1460780711870611E-5</v>
      </c>
      <c r="AM12" s="20">
        <v>2.1445238306112089E-5</v>
      </c>
      <c r="AN12" s="20">
        <v>2.1430974190250699E-5</v>
      </c>
      <c r="AO12" s="20">
        <v>2.1418246228484336E-5</v>
      </c>
      <c r="AP12" s="20">
        <v>2.1406989135757382E-5</v>
      </c>
      <c r="AQ12" s="20">
        <v>2.1396971476561034E-5</v>
      </c>
      <c r="AR12" s="20">
        <v>2.1387819441490876E-5</v>
      </c>
      <c r="AS12" s="20">
        <v>2.1379160748666734E-5</v>
      </c>
      <c r="AT12" s="20">
        <v>2.1370586114888923E-5</v>
      </c>
      <c r="AU12" s="20">
        <v>2.1564353450623786E-5</v>
      </c>
      <c r="AV12" s="20">
        <v>2.1793341436211772E-5</v>
      </c>
      <c r="AW12" s="20">
        <v>2.2022900015537084E-5</v>
      </c>
      <c r="AX12" s="20">
        <v>2.225291554480102E-5</v>
      </c>
      <c r="AY12" s="20">
        <v>2.248331696163916E-5</v>
      </c>
      <c r="AZ12" s="20">
        <v>2.2714121854788541E-5</v>
      </c>
      <c r="BA12" s="20">
        <v>2.2945369953573054E-5</v>
      </c>
      <c r="BB12" s="20">
        <v>2.317716854182256E-5</v>
      </c>
      <c r="BC12" s="20">
        <v>2.3409714567266966E-5</v>
      </c>
      <c r="BD12" s="20">
        <v>2.3643118283127092E-5</v>
      </c>
      <c r="BE12" s="20">
        <v>2.3877389487586614E-5</v>
      </c>
      <c r="BF12" s="20">
        <v>2.4112490073566627E-5</v>
      </c>
      <c r="BG12" s="20">
        <v>2.4348441491904624E-5</v>
      </c>
      <c r="BH12" s="20">
        <v>2.4585313440037396E-5</v>
      </c>
      <c r="BI12" s="20">
        <v>2.4823070699872917E-5</v>
      </c>
      <c r="BJ12" s="20">
        <v>2.5061723396556276E-5</v>
      </c>
      <c r="BK12" s="20">
        <v>2.5301222927894769E-5</v>
      </c>
      <c r="BL12" s="20">
        <v>2.5541470402580263E-5</v>
      </c>
      <c r="BM12" s="20">
        <v>2.5782356869015562E-5</v>
      </c>
      <c r="BN12" s="20">
        <v>2.602382674911267E-5</v>
      </c>
      <c r="BO12" s="20">
        <v>2.6265788224911583E-5</v>
      </c>
      <c r="BP12" s="20">
        <v>2.6508240428606932E-5</v>
      </c>
      <c r="BQ12" s="20">
        <v>2.6751112796108488E-5</v>
      </c>
      <c r="BR12" s="20">
        <v>2.6994398843226654E-5</v>
      </c>
      <c r="BS12" s="20">
        <v>2.7238015928863178E-5</v>
      </c>
      <c r="BT12" s="20">
        <v>2.7486278328480859E-5</v>
      </c>
      <c r="BU12" s="20">
        <v>2.7735066702356564E-5</v>
      </c>
      <c r="BV12" s="20">
        <v>2.7984373471102214E-5</v>
      </c>
      <c r="BW12" s="20">
        <v>2.8234185785609252E-5</v>
      </c>
      <c r="BX12" s="20">
        <v>2.848452661865839E-5</v>
      </c>
      <c r="BY12" s="20">
        <v>2.8735407812141995E-5</v>
      </c>
      <c r="BZ12" s="20">
        <v>2.8986784416274045E-5</v>
      </c>
      <c r="CA12" s="20">
        <v>2.923868910001958E-5</v>
      </c>
      <c r="CB12" s="20">
        <v>2.9491106015792109E-5</v>
      </c>
      <c r="CC12" s="20">
        <v>2.974403013996918E-5</v>
      </c>
      <c r="CD12" s="20">
        <v>2.9997418547630894E-5</v>
      </c>
      <c r="CE12" s="20">
        <v>3.0251285972614444E-5</v>
      </c>
      <c r="CF12" s="20">
        <v>3.0505605048150061E-5</v>
      </c>
      <c r="CG12" s="20">
        <v>3.0760361503078086E-5</v>
      </c>
      <c r="CH12" s="20">
        <v>3.1015537929679432E-5</v>
      </c>
      <c r="CI12" s="20">
        <v>3.1271124426628932E-5</v>
      </c>
      <c r="CJ12" s="20">
        <v>3.152708507740859E-5</v>
      </c>
      <c r="CK12" s="20">
        <v>3.1783371020349179E-5</v>
      </c>
      <c r="CL12" s="20">
        <v>3.2039952017257924E-5</v>
      </c>
      <c r="CM12" s="20">
        <v>3.2296747924272995E-5</v>
      </c>
    </row>
    <row r="14" spans="1:91" x14ac:dyDescent="0.25">
      <c r="A14" s="21" t="s">
        <v>4</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20">
        <v>7.2579400635636128E-5</v>
      </c>
      <c r="AG14" s="20">
        <v>7.2710750357848772E-5</v>
      </c>
      <c r="AH14" s="20">
        <v>7.2835631481469562E-5</v>
      </c>
      <c r="AI14" s="20">
        <v>7.2966844650889425E-5</v>
      </c>
      <c r="AJ14" s="20">
        <v>7.3104359921105733E-5</v>
      </c>
      <c r="AK14" s="20">
        <v>7.3248246864508071E-5</v>
      </c>
      <c r="AL14" s="20">
        <v>7.3398754505103175E-5</v>
      </c>
      <c r="AM14" s="20">
        <v>7.3555626460515322E-5</v>
      </c>
      <c r="AN14" s="20">
        <v>7.3718630250443402E-5</v>
      </c>
      <c r="AO14" s="20">
        <v>7.3887930394828121E-5</v>
      </c>
      <c r="AP14" s="20">
        <v>7.4063048210976443E-5</v>
      </c>
      <c r="AQ14" s="20">
        <v>7.4244147109695115E-5</v>
      </c>
      <c r="AR14" s="20">
        <v>7.4431632375143155E-5</v>
      </c>
      <c r="AS14" s="20">
        <v>7.4625871636400709E-5</v>
      </c>
      <c r="AT14" s="20">
        <v>7.4827372348252132E-5</v>
      </c>
      <c r="AU14" s="20">
        <v>7.5272799341533807E-5</v>
      </c>
      <c r="AV14" s="20">
        <v>7.5653421761369362E-5</v>
      </c>
      <c r="AW14" s="20">
        <v>7.6040193622583865E-5</v>
      </c>
      <c r="AX14" s="20">
        <v>7.6432190906052539E-5</v>
      </c>
      <c r="AY14" s="20">
        <v>7.6828880354967423E-5</v>
      </c>
      <c r="AZ14" s="20">
        <v>7.7229800876962352E-5</v>
      </c>
      <c r="BA14" s="20">
        <v>7.7634910652234077E-5</v>
      </c>
      <c r="BB14" s="20">
        <v>7.8043932027252886E-5</v>
      </c>
      <c r="BC14" s="20">
        <v>7.8456345254956117E-5</v>
      </c>
      <c r="BD14" s="20">
        <v>7.8871802407409408E-5</v>
      </c>
      <c r="BE14" s="20">
        <v>7.9290254340928318E-5</v>
      </c>
      <c r="BF14" s="20">
        <v>7.9711490722035377E-5</v>
      </c>
      <c r="BG14" s="20">
        <v>8.0135788621319673E-5</v>
      </c>
      <c r="BH14" s="20">
        <v>8.0562988302829418E-5</v>
      </c>
      <c r="BI14" s="20">
        <v>8.0993198348850272E-5</v>
      </c>
      <c r="BJ14" s="20">
        <v>8.1426526896724929E-5</v>
      </c>
      <c r="BK14" s="20">
        <v>8.1862876820251466E-5</v>
      </c>
      <c r="BL14" s="20">
        <v>8.2302563022349228E-5</v>
      </c>
      <c r="BM14" s="20">
        <v>8.2745948066426073E-5</v>
      </c>
      <c r="BN14" s="20">
        <v>8.3193150536952967E-5</v>
      </c>
      <c r="BO14" s="20">
        <v>8.3644366820044867E-5</v>
      </c>
      <c r="BP14" s="20">
        <v>8.4099276794272285E-5</v>
      </c>
      <c r="BQ14" s="20">
        <v>8.4557925721439917E-5</v>
      </c>
      <c r="BR14" s="20">
        <v>8.5019750842936146E-5</v>
      </c>
      <c r="BS14" s="20">
        <v>8.8421503654507531E-5</v>
      </c>
      <c r="BT14" s="20">
        <v>8.8842393838757668E-5</v>
      </c>
      <c r="BU14" s="20">
        <v>8.9265303631429454E-5</v>
      </c>
      <c r="BV14" s="20">
        <v>8.968966968738465E-5</v>
      </c>
      <c r="BW14" s="20">
        <v>9.0115191424142366E-5</v>
      </c>
      <c r="BX14" s="20">
        <v>9.0541413440371632E-5</v>
      </c>
      <c r="BY14" s="20">
        <v>9.0968056296699494E-5</v>
      </c>
      <c r="BZ14" s="20">
        <v>9.1395259359980312E-5</v>
      </c>
      <c r="CA14" s="20">
        <v>9.1822763544531668E-5</v>
      </c>
      <c r="CB14" s="20">
        <v>9.2250697448126019E-5</v>
      </c>
      <c r="CC14" s="20">
        <v>9.2678861236957113E-5</v>
      </c>
      <c r="CD14" s="20">
        <v>9.3107437683878698E-5</v>
      </c>
      <c r="CE14" s="20">
        <v>9.3536262752496986E-5</v>
      </c>
      <c r="CF14" s="20">
        <v>9.3965275259047813E-5</v>
      </c>
      <c r="CG14" s="20">
        <v>9.4394518640761839E-5</v>
      </c>
      <c r="CH14" s="20">
        <v>9.4823893052683463E-5</v>
      </c>
      <c r="CI14" s="20">
        <v>9.5253528751421097E-5</v>
      </c>
      <c r="CJ14" s="20">
        <v>9.5683465522345998E-5</v>
      </c>
      <c r="CK14" s="20">
        <v>9.611397100395814E-5</v>
      </c>
      <c r="CL14" s="20">
        <v>9.6545000653288165E-5</v>
      </c>
      <c r="CM14" s="20">
        <v>9.6976999883365017E-5</v>
      </c>
    </row>
    <row r="16" spans="1:91" x14ac:dyDescent="0.25">
      <c r="A16" s="21" t="s">
        <v>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19">
        <v>2.6047124150016419E-5</v>
      </c>
      <c r="AG16" s="19">
        <v>2.5931820509822103E-5</v>
      </c>
      <c r="AH16" s="19">
        <v>2.5817027287951345E-5</v>
      </c>
      <c r="AI16" s="19">
        <v>2.5702742224918969E-5</v>
      </c>
      <c r="AJ16" s="19">
        <v>2.5588963071241946E-5</v>
      </c>
      <c r="AK16" s="19">
        <v>2.5475687587395098E-5</v>
      </c>
      <c r="AL16" s="19">
        <v>2.5362913543767027E-5</v>
      </c>
      <c r="AM16" s="19">
        <v>2.5250638720616227E-5</v>
      </c>
      <c r="AN16" s="19">
        <v>2.5138860908027395E-5</v>
      </c>
      <c r="AO16" s="19">
        <v>2.5027577905867931E-5</v>
      </c>
      <c r="AP16" s="19">
        <v>2.4916787523744632E-5</v>
      </c>
      <c r="AQ16" s="19">
        <v>2.4806487580960574E-5</v>
      </c>
      <c r="AR16" s="19">
        <v>2.4696675906472202E-5</v>
      </c>
      <c r="AS16" s="19">
        <v>2.4587350338846587E-5</v>
      </c>
      <c r="AT16" s="19">
        <v>2.4478508726218878E-5</v>
      </c>
      <c r="AU16" s="24">
        <v>2.4527270636204891E-5</v>
      </c>
      <c r="AV16" s="24">
        <v>2.4548593876562171E-5</v>
      </c>
      <c r="AW16" s="24">
        <v>2.4569924732133882E-5</v>
      </c>
      <c r="AX16" s="24">
        <v>2.4591263205639672E-5</v>
      </c>
      <c r="AY16" s="24">
        <v>2.4612609299800146E-5</v>
      </c>
      <c r="AZ16" s="24">
        <v>2.4633963017336884E-5</v>
      </c>
      <c r="BA16" s="24">
        <v>2.4655324360972442E-5</v>
      </c>
      <c r="BB16" s="24">
        <v>2.467669333343034E-5</v>
      </c>
      <c r="BC16" s="24">
        <v>2.4698069937435075E-5</v>
      </c>
      <c r="BD16" s="24">
        <v>2.4719454175712123E-5</v>
      </c>
      <c r="BE16" s="24">
        <v>2.4740846050987925E-5</v>
      </c>
      <c r="BF16" s="24">
        <v>2.4762245565989893E-5</v>
      </c>
      <c r="BG16" s="24">
        <v>2.4783652723446429E-5</v>
      </c>
      <c r="BH16" s="24">
        <v>2.4805067526086899E-5</v>
      </c>
      <c r="BI16" s="24">
        <v>2.4826489976641633E-5</v>
      </c>
      <c r="BJ16" s="24">
        <v>2.4847920077841963E-5</v>
      </c>
      <c r="BK16" s="24">
        <v>2.4869357832420167E-5</v>
      </c>
      <c r="BL16" s="24">
        <v>2.4890803243109515E-5</v>
      </c>
      <c r="BM16" s="24">
        <v>2.491225631264425E-5</v>
      </c>
      <c r="BN16" s="24">
        <v>2.49337170437596E-5</v>
      </c>
      <c r="BO16" s="24">
        <v>2.4955185439191757E-5</v>
      </c>
      <c r="BP16" s="24">
        <v>2.497666150167789E-5</v>
      </c>
      <c r="BQ16" s="24">
        <v>2.4998145233956152E-5</v>
      </c>
      <c r="BR16" s="24">
        <v>2.5019636638765671E-5</v>
      </c>
      <c r="BS16" s="24">
        <v>2.5041135718846558E-5</v>
      </c>
      <c r="BT16" s="24">
        <v>2.5062642476939903E-5</v>
      </c>
      <c r="BU16" s="24">
        <v>2.5084156915787766E-5</v>
      </c>
      <c r="BV16" s="24">
        <v>2.5105679038133188E-5</v>
      </c>
      <c r="BW16" s="24">
        <v>2.5127208846720193E-5</v>
      </c>
      <c r="BX16" s="24">
        <v>2.5148746344293792E-5</v>
      </c>
      <c r="BY16" s="24">
        <v>2.5170291533599969E-5</v>
      </c>
      <c r="BZ16" s="24">
        <v>2.5191844417385685E-5</v>
      </c>
      <c r="CA16" s="24">
        <v>2.5213404998398886E-5</v>
      </c>
      <c r="CB16" s="24">
        <v>2.5234973279388503E-5</v>
      </c>
      <c r="CC16" s="24">
        <v>2.5256549263104441E-5</v>
      </c>
      <c r="CD16" s="24">
        <v>2.5278132952297586E-5</v>
      </c>
      <c r="CE16" s="24">
        <v>2.5299724349719819E-5</v>
      </c>
      <c r="CF16" s="24">
        <v>2.5321323458123997E-5</v>
      </c>
      <c r="CG16" s="24">
        <v>2.5342930280263964E-5</v>
      </c>
      <c r="CH16" s="24">
        <v>2.5364544818894534E-5</v>
      </c>
      <c r="CI16" s="24">
        <v>2.5386167076771516E-5</v>
      </c>
      <c r="CJ16" s="24">
        <v>2.5407797056651697E-5</v>
      </c>
      <c r="CK16" s="24">
        <v>2.5429434761292858E-5</v>
      </c>
      <c r="CL16" s="24">
        <v>2.5451080193453763E-5</v>
      </c>
      <c r="CM16" s="24">
        <v>2.5472733355894152E-5</v>
      </c>
    </row>
    <row r="17" spans="1:91" x14ac:dyDescent="0.25">
      <c r="A17" s="21" t="s">
        <v>1</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19">
        <v>2.0100000000000001E-4</v>
      </c>
      <c r="AG17" s="19">
        <v>2.0106666666666668E-4</v>
      </c>
      <c r="AH17" s="19">
        <v>2.0113333333333333E-4</v>
      </c>
      <c r="AI17" s="19">
        <v>2.0120000000000001E-4</v>
      </c>
      <c r="AJ17" s="19">
        <v>2.0126666666666666E-4</v>
      </c>
      <c r="AK17" s="19">
        <v>2.0133333333333334E-4</v>
      </c>
      <c r="AL17" s="19">
        <v>2.0140000000000002E-4</v>
      </c>
      <c r="AM17" s="19">
        <v>2.0146666666666667E-4</v>
      </c>
      <c r="AN17" s="19">
        <v>2.0153333333333334E-4</v>
      </c>
      <c r="AO17" s="19">
        <v>2.0159999999999999E-4</v>
      </c>
      <c r="AP17" s="19">
        <v>2.0166666666666667E-4</v>
      </c>
      <c r="AQ17" s="19">
        <v>2.0173333333333335E-4</v>
      </c>
      <c r="AR17" s="19">
        <v>2.018E-4</v>
      </c>
      <c r="AS17" s="19">
        <v>2.0186666666666668E-4</v>
      </c>
      <c r="AT17" s="19">
        <v>2.0193333333333333E-4</v>
      </c>
      <c r="AU17" s="24">
        <v>2.0209666666666669E-4</v>
      </c>
      <c r="AV17" s="24">
        <v>2.0342375000000006E-4</v>
      </c>
      <c r="AW17" s="24">
        <v>2.0475083333333335E-4</v>
      </c>
      <c r="AX17" s="24">
        <v>2.0607791666666671E-4</v>
      </c>
      <c r="AY17" s="24">
        <v>2.0740500000000008E-4</v>
      </c>
      <c r="AZ17" s="24">
        <v>2.0873208333333336E-4</v>
      </c>
      <c r="BA17" s="24">
        <v>2.1005916666666673E-4</v>
      </c>
      <c r="BB17" s="24">
        <v>2.113862500000001E-4</v>
      </c>
      <c r="BC17" s="24">
        <v>2.1271333333333338E-4</v>
      </c>
      <c r="BD17" s="24">
        <v>2.1404041666666675E-4</v>
      </c>
      <c r="BE17" s="24">
        <v>2.1536750000000012E-4</v>
      </c>
      <c r="BF17" s="24">
        <v>2.166945833333334E-4</v>
      </c>
      <c r="BG17" s="24">
        <v>2.1802166666666677E-4</v>
      </c>
      <c r="BH17" s="24">
        <v>2.1934875000000013E-4</v>
      </c>
      <c r="BI17" s="24">
        <v>2.2067583333333342E-4</v>
      </c>
      <c r="BJ17" s="24">
        <v>2.2200291666666679E-4</v>
      </c>
      <c r="BK17" s="24">
        <v>2.2333000000000015E-4</v>
      </c>
      <c r="BL17" s="24">
        <v>2.2465708333333344E-4</v>
      </c>
      <c r="BM17" s="24">
        <v>2.2598416666666681E-4</v>
      </c>
      <c r="BN17" s="24">
        <v>2.2731125000000017E-4</v>
      </c>
      <c r="BO17" s="24">
        <v>2.2863833333333346E-4</v>
      </c>
      <c r="BP17" s="24">
        <v>2.2996541666666682E-4</v>
      </c>
      <c r="BQ17" s="24">
        <v>2.3129250000000019E-4</v>
      </c>
      <c r="BR17" s="24">
        <v>2.3261958333333348E-4</v>
      </c>
      <c r="BS17" s="24">
        <v>2.3394666666666684E-4</v>
      </c>
      <c r="BT17" s="24">
        <v>2.3480416666666687E-4</v>
      </c>
      <c r="BU17" s="24">
        <v>2.3566166666666682E-4</v>
      </c>
      <c r="BV17" s="24">
        <v>2.3651916666666685E-4</v>
      </c>
      <c r="BW17" s="24">
        <v>2.3737666666666688E-4</v>
      </c>
      <c r="BX17" s="24">
        <v>2.3823416666666683E-4</v>
      </c>
      <c r="BY17" s="24">
        <v>2.3909166666666686E-4</v>
      </c>
      <c r="BZ17" s="24">
        <v>2.3994916666666689E-4</v>
      </c>
      <c r="CA17" s="24">
        <v>2.4080666666666692E-4</v>
      </c>
      <c r="CB17" s="24">
        <v>2.4166416666666687E-4</v>
      </c>
      <c r="CC17" s="24">
        <v>2.425216666666669E-4</v>
      </c>
      <c r="CD17" s="24">
        <v>2.4337916666666693E-4</v>
      </c>
      <c r="CE17" s="24">
        <v>2.4423666666666691E-4</v>
      </c>
      <c r="CF17" s="24">
        <v>2.4509416666666691E-4</v>
      </c>
      <c r="CG17" s="24">
        <v>2.4595166666666692E-4</v>
      </c>
      <c r="CH17" s="24">
        <v>2.4680916666666692E-4</v>
      </c>
      <c r="CI17" s="24">
        <v>2.4766666666666687E-4</v>
      </c>
      <c r="CJ17" s="24">
        <v>2.4852416666666687E-4</v>
      </c>
      <c r="CK17" s="24">
        <v>2.4938166666666687E-4</v>
      </c>
      <c r="CL17" s="24">
        <v>2.5023916666666682E-4</v>
      </c>
      <c r="CM17" s="24">
        <v>2.5109666666666683E-4</v>
      </c>
    </row>
    <row r="18" spans="1:91" x14ac:dyDescent="0.25">
      <c r="A18" s="21" t="s">
        <v>2</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19">
        <v>3.1090007506599416E-5</v>
      </c>
      <c r="AG18" s="19">
        <v>3.1214866974497405E-5</v>
      </c>
      <c r="AH18" s="19">
        <v>3.1340227886041568E-5</v>
      </c>
      <c r="AI18" s="19">
        <v>3.1466092255061819E-5</v>
      </c>
      <c r="AJ18" s="19">
        <v>3.1592462103475722E-5</v>
      </c>
      <c r="AK18" s="19">
        <v>3.1719339461321004E-5</v>
      </c>
      <c r="AL18" s="19">
        <v>3.1846726366788155E-5</v>
      </c>
      <c r="AM18" s="19">
        <v>3.1974624866253171E-5</v>
      </c>
      <c r="AN18" s="19">
        <v>3.2103037014310414E-5</v>
      </c>
      <c r="AO18" s="19">
        <v>3.2231964873805633E-5</v>
      </c>
      <c r="AP18" s="19">
        <v>3.2361410515869112E-5</v>
      </c>
      <c r="AQ18" s="19">
        <v>3.2491376019948906E-5</v>
      </c>
      <c r="AR18" s="19">
        <v>3.2621863473844284E-5</v>
      </c>
      <c r="AS18" s="19">
        <v>3.2752874973739242E-5</v>
      </c>
      <c r="AT18" s="19">
        <v>3.288441262423619E-5</v>
      </c>
      <c r="AU18" s="24">
        <v>3.3207974113912413E-5</v>
      </c>
      <c r="AV18" s="24">
        <v>3.3288864486331462E-5</v>
      </c>
      <c r="AW18" s="24">
        <v>3.3369835749122934E-5</v>
      </c>
      <c r="AX18" s="24">
        <v>3.3450887983177203E-5</v>
      </c>
      <c r="AY18" s="24">
        <v>3.3532021269465522E-5</v>
      </c>
      <c r="AZ18" s="24">
        <v>3.3613235689040128E-5</v>
      </c>
      <c r="BA18" s="24">
        <v>3.3694531323034302E-5</v>
      </c>
      <c r="BB18" s="24">
        <v>3.3775908252662486E-5</v>
      </c>
      <c r="BC18" s="24">
        <v>3.3857366559220299E-5</v>
      </c>
      <c r="BD18" s="24">
        <v>3.3938906324084656E-5</v>
      </c>
      <c r="BE18" s="24">
        <v>3.4020527628713876E-5</v>
      </c>
      <c r="BF18" s="24">
        <v>3.4102230554647727E-5</v>
      </c>
      <c r="BG18" s="24">
        <v>3.4184015183507524E-5</v>
      </c>
      <c r="BH18" s="24">
        <v>3.4265881596996182E-5</v>
      </c>
      <c r="BI18" s="24">
        <v>3.4347829876898322E-5</v>
      </c>
      <c r="BJ18" s="24">
        <v>3.4429860105080371E-5</v>
      </c>
      <c r="BK18" s="24">
        <v>3.4511972363490597E-5</v>
      </c>
      <c r="BL18" s="24">
        <v>3.4594166734159236E-5</v>
      </c>
      <c r="BM18" s="24">
        <v>3.4676443299198535E-5</v>
      </c>
      <c r="BN18" s="24">
        <v>3.4758802140802879E-5</v>
      </c>
      <c r="BO18" s="24">
        <v>3.4841243341248831E-5</v>
      </c>
      <c r="BP18" s="24">
        <v>3.4923766982895216E-5</v>
      </c>
      <c r="BQ18" s="24">
        <v>3.5006373148183261E-5</v>
      </c>
      <c r="BR18" s="24">
        <v>3.5089061919636589E-5</v>
      </c>
      <c r="BS18" s="24">
        <v>3.5171833379861369E-5</v>
      </c>
      <c r="BT18" s="24">
        <v>3.5254687611546367E-5</v>
      </c>
      <c r="BU18" s="24">
        <v>3.5337624697463061E-5</v>
      </c>
      <c r="BV18" s="24">
        <v>3.5420644720465657E-5</v>
      </c>
      <c r="BW18" s="24">
        <v>3.5503747763491259E-5</v>
      </c>
      <c r="BX18" s="24">
        <v>3.5586933909559896E-5</v>
      </c>
      <c r="BY18" s="24">
        <v>3.5670203241774602E-5</v>
      </c>
      <c r="BZ18" s="24">
        <v>3.575355584332152E-5</v>
      </c>
      <c r="CA18" s="24">
        <v>3.5836991797469985E-5</v>
      </c>
      <c r="CB18" s="24">
        <v>3.5920511187572593E-5</v>
      </c>
      <c r="CC18" s="24">
        <v>3.6004114097065308E-5</v>
      </c>
      <c r="CD18" s="24">
        <v>3.6087800609467511E-5</v>
      </c>
      <c r="CE18" s="24">
        <v>3.6171570808382118E-5</v>
      </c>
      <c r="CF18" s="24">
        <v>3.6255424777495646E-5</v>
      </c>
      <c r="CG18" s="24">
        <v>3.6339362600578278E-5</v>
      </c>
      <c r="CH18" s="24">
        <v>3.6423384361484006E-5</v>
      </c>
      <c r="CI18" s="24">
        <v>3.6507490144150623E-5</v>
      </c>
      <c r="CJ18" s="24">
        <v>3.6591680032599916E-5</v>
      </c>
      <c r="CK18" s="24">
        <v>3.6675954110937653E-5</v>
      </c>
      <c r="CL18" s="24">
        <v>3.6760312463353728E-5</v>
      </c>
      <c r="CM18" s="24">
        <v>3.6844755174122232E-5</v>
      </c>
    </row>
    <row r="19" spans="1:91" x14ac:dyDescent="0.25">
      <c r="A19" s="21" t="s">
        <v>2</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19">
        <v>1.9058062501626263E-5</v>
      </c>
      <c r="AG19" s="19">
        <v>1.9367949696774658E-5</v>
      </c>
      <c r="AH19" s="19">
        <v>1.9682875708104327E-5</v>
      </c>
      <c r="AI19" s="19">
        <v>2.0002922467585699E-5</v>
      </c>
      <c r="AJ19" s="19">
        <v>2.0328173239416362E-5</v>
      </c>
      <c r="AK19" s="19">
        <v>2.0658712641683296E-5</v>
      </c>
      <c r="AL19" s="19">
        <v>2.0994626668377332E-5</v>
      </c>
      <c r="AM19" s="19">
        <v>2.1336002711765583E-5</v>
      </c>
      <c r="AN19" s="19">
        <v>2.1682929585127624E-5</v>
      </c>
      <c r="AO19" s="19">
        <v>2.2035497545861405E-5</v>
      </c>
      <c r="AP19" s="19">
        <v>2.2393798318964842E-5</v>
      </c>
      <c r="AQ19" s="19">
        <v>2.2757925120899231E-5</v>
      </c>
      <c r="AR19" s="19">
        <v>2.3127972683840682E-5</v>
      </c>
      <c r="AS19" s="19">
        <v>2.3504037280325898E-5</v>
      </c>
      <c r="AT19" s="19">
        <v>2.3886216748298676E-5</v>
      </c>
      <c r="AU19" s="24">
        <v>2.483778148054797E-5</v>
      </c>
      <c r="AV19" s="24">
        <v>2.5254091050907037E-5</v>
      </c>
      <c r="AW19" s="24">
        <v>2.5673314788258621E-5</v>
      </c>
      <c r="AX19" s="24">
        <v>2.6095473091771663E-5</v>
      </c>
      <c r="AY19" s="24">
        <v>2.6520586503409295E-5</v>
      </c>
      <c r="AZ19" s="24">
        <v>2.6948675708928396E-5</v>
      </c>
      <c r="BA19" s="24">
        <v>2.737976153888613E-5</v>
      </c>
      <c r="BB19" s="24">
        <v>2.7813864969653563E-5</v>
      </c>
      <c r="BC19" s="24">
        <v>2.8251007124436367E-5</v>
      </c>
      <c r="BD19" s="24">
        <v>2.8691209274302657E-5</v>
      </c>
      <c r="BE19" s="24">
        <v>2.9134492839218006E-5</v>
      </c>
      <c r="BF19" s="24">
        <v>2.9580879389087765E-5</v>
      </c>
      <c r="BG19" s="24">
        <v>3.0030390644806612E-5</v>
      </c>
      <c r="BH19" s="24">
        <v>3.0483048479315491E-5</v>
      </c>
      <c r="BI19" s="24">
        <v>3.0938874918665932E-5</v>
      </c>
      <c r="BJ19" s="24">
        <v>3.1397892143091828E-5</v>
      </c>
      <c r="BK19" s="24">
        <v>3.1860122488088699E-5</v>
      </c>
      <c r="BL19" s="24">
        <v>3.2325588445500551E-5</v>
      </c>
      <c r="BM19" s="24">
        <v>3.279431266461429E-5</v>
      </c>
      <c r="BN19" s="24">
        <v>3.3266317953261819E-5</v>
      </c>
      <c r="BO19" s="24">
        <v>3.3741627278929884E-5</v>
      </c>
      <c r="BP19" s="24">
        <v>3.4220263769877625E-5</v>
      </c>
      <c r="BQ19" s="24">
        <v>3.4702250716261995E-5</v>
      </c>
      <c r="BR19" s="24">
        <v>3.5187611571271056E-5</v>
      </c>
      <c r="BS19" s="24">
        <v>3.5676369952265181E-5</v>
      </c>
      <c r="BT19" s="24">
        <v>3.6168549641926262E-5</v>
      </c>
      <c r="BU19" s="24">
        <v>3.6664174589414974E-5</v>
      </c>
      <c r="BV19" s="24">
        <v>3.7163268911536108E-5</v>
      </c>
      <c r="BW19" s="24">
        <v>3.7665856893912095E-5</v>
      </c>
      <c r="BX19" s="24">
        <v>3.8171962992164707E-5</v>
      </c>
      <c r="BY19" s="24">
        <v>3.8681611833105085E-5</v>
      </c>
      <c r="BZ19" s="24">
        <v>3.9194828215932059E-5</v>
      </c>
      <c r="CA19" s="24">
        <v>3.9711637113438815E-5</v>
      </c>
      <c r="CB19" s="24">
        <v>4.0232063673228111E-5</v>
      </c>
      <c r="CC19" s="24">
        <v>4.0756133218935944E-5</v>
      </c>
      <c r="CD19" s="24">
        <v>4.128387125146372E-5</v>
      </c>
      <c r="CE19" s="24">
        <v>4.1815303450219195E-5</v>
      </c>
      <c r="CF19" s="24">
        <v>4.2350455674365956E-5</v>
      </c>
      <c r="CG19" s="24">
        <v>4.2889353964081748E-5</v>
      </c>
      <c r="CH19" s="24">
        <v>4.3432024541825556E-5</v>
      </c>
      <c r="CI19" s="24">
        <v>4.397849381361356E-5</v>
      </c>
      <c r="CJ19" s="24">
        <v>4.4528788370304082E-5</v>
      </c>
      <c r="CK19" s="24">
        <v>4.5082934988891445E-5</v>
      </c>
      <c r="CL19" s="24">
        <v>4.5640960633808913E-5</v>
      </c>
      <c r="CM19" s="24">
        <v>4.6202892458240802E-5</v>
      </c>
    </row>
    <row r="21" spans="1:91" x14ac:dyDescent="0.25">
      <c r="A21" s="21" t="s">
        <v>6</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19">
        <v>3.7310549777117386E-5</v>
      </c>
      <c r="AG21" s="19">
        <v>3.7387320455671127E-5</v>
      </c>
      <c r="AH21" s="19">
        <v>3.7464091134224867E-5</v>
      </c>
      <c r="AI21" s="19">
        <v>3.7540861812778601E-5</v>
      </c>
      <c r="AJ21" s="19">
        <v>3.7617632491332342E-5</v>
      </c>
      <c r="AK21" s="19">
        <v>3.7694403169886082E-5</v>
      </c>
      <c r="AL21" s="19">
        <v>3.7771173848439823E-5</v>
      </c>
      <c r="AM21" s="19">
        <v>3.7847944526993563E-5</v>
      </c>
      <c r="AN21" s="19">
        <v>3.7924715205547297E-5</v>
      </c>
      <c r="AO21" s="19">
        <v>3.8001485884101038E-5</v>
      </c>
      <c r="AP21" s="19">
        <v>3.8078256562654778E-5</v>
      </c>
      <c r="AQ21" s="19">
        <v>3.8155027241208519E-5</v>
      </c>
      <c r="AR21" s="19">
        <v>3.823179791976226E-5</v>
      </c>
      <c r="AS21" s="19">
        <v>3.8308568598315993E-5</v>
      </c>
      <c r="AT21" s="19">
        <v>3.8385339276869734E-5</v>
      </c>
      <c r="AU21" s="24">
        <v>3.8573427439326397E-5</v>
      </c>
      <c r="AV21" s="24">
        <v>3.9132068857957175E-5</v>
      </c>
      <c r="AW21" s="24">
        <v>3.9690710276587974E-5</v>
      </c>
      <c r="AX21" s="24">
        <v>4.0249351695218752E-5</v>
      </c>
      <c r="AY21" s="24">
        <v>4.080799311384953E-5</v>
      </c>
      <c r="AZ21" s="24">
        <v>4.1366634532480307E-5</v>
      </c>
      <c r="BA21" s="24">
        <v>4.1925275951111085E-5</v>
      </c>
      <c r="BB21" s="24">
        <v>4.2483917369741884E-5</v>
      </c>
      <c r="BC21" s="24">
        <v>4.3042558788372662E-5</v>
      </c>
      <c r="BD21" s="24">
        <v>4.360120020700344E-5</v>
      </c>
      <c r="BE21" s="24">
        <v>4.4159841625634238E-5</v>
      </c>
      <c r="BF21" s="24">
        <v>4.4718483044265016E-5</v>
      </c>
      <c r="BG21" s="24">
        <v>4.5277124462895794E-5</v>
      </c>
      <c r="BH21" s="24">
        <v>4.5835765881526572E-5</v>
      </c>
      <c r="BI21" s="24">
        <v>4.639440730015735E-5</v>
      </c>
      <c r="BJ21" s="24">
        <v>4.6953048718788148E-5</v>
      </c>
      <c r="BK21" s="24">
        <v>4.7511690137418926E-5</v>
      </c>
      <c r="BL21" s="24">
        <v>4.8070331556049704E-5</v>
      </c>
      <c r="BM21" s="24">
        <v>4.8628972974680502E-5</v>
      </c>
      <c r="BN21" s="24">
        <v>4.918761439331128E-5</v>
      </c>
      <c r="BO21" s="24">
        <v>4.9746255811942058E-5</v>
      </c>
      <c r="BP21" s="24">
        <v>5.0304897230572836E-5</v>
      </c>
      <c r="BQ21" s="24">
        <v>5.0863538649203614E-5</v>
      </c>
      <c r="BR21" s="24">
        <v>5.1422180067834412E-5</v>
      </c>
      <c r="BS21" s="24">
        <v>5.198082148646519E-5</v>
      </c>
      <c r="BT21" s="24">
        <v>5.198082148646519E-5</v>
      </c>
      <c r="BU21" s="24">
        <v>5.198082148646519E-5</v>
      </c>
      <c r="BV21" s="24">
        <v>5.198082148646519E-5</v>
      </c>
      <c r="BW21" s="24">
        <v>5.198082148646519E-5</v>
      </c>
      <c r="BX21" s="24">
        <v>5.198082148646519E-5</v>
      </c>
      <c r="BY21" s="24">
        <v>5.198082148646519E-5</v>
      </c>
      <c r="BZ21" s="24">
        <v>5.198082148646519E-5</v>
      </c>
      <c r="CA21" s="24">
        <v>5.198082148646519E-5</v>
      </c>
      <c r="CB21" s="24">
        <v>5.198082148646519E-5</v>
      </c>
      <c r="CC21" s="24">
        <v>5.198082148646519E-5</v>
      </c>
      <c r="CD21" s="24">
        <v>5.198082148646519E-5</v>
      </c>
      <c r="CE21" s="24">
        <v>5.198082148646519E-5</v>
      </c>
      <c r="CF21" s="24">
        <v>5.198082148646519E-5</v>
      </c>
      <c r="CG21" s="24">
        <v>5.198082148646519E-5</v>
      </c>
      <c r="CH21" s="24">
        <v>5.198082148646519E-5</v>
      </c>
      <c r="CI21" s="24">
        <v>5.198082148646519E-5</v>
      </c>
      <c r="CJ21" s="24">
        <v>5.198082148646519E-5</v>
      </c>
      <c r="CK21" s="24">
        <v>5.198082148646519E-5</v>
      </c>
      <c r="CL21" s="24">
        <v>5.198082148646519E-5</v>
      </c>
      <c r="CM21" s="24">
        <v>5.198082148646519E-5</v>
      </c>
    </row>
    <row r="22" spans="1:91" x14ac:dyDescent="0.25">
      <c r="A22" s="21" t="s">
        <v>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19">
        <v>5.3438335809806834E-5</v>
      </c>
      <c r="AG22" s="19">
        <v>5.3548291233283803E-5</v>
      </c>
      <c r="AH22" s="19">
        <v>5.3658246656760772E-5</v>
      </c>
      <c r="AI22" s="19">
        <v>5.3768202080237741E-5</v>
      </c>
      <c r="AJ22" s="19">
        <v>5.3878157503714709E-5</v>
      </c>
      <c r="AK22" s="19">
        <v>5.3988112927191678E-5</v>
      </c>
      <c r="AL22" s="19">
        <v>5.4098068350668647E-5</v>
      </c>
      <c r="AM22" s="19">
        <v>5.4208023774145616E-5</v>
      </c>
      <c r="AN22" s="19">
        <v>5.4317979197622585E-5</v>
      </c>
      <c r="AO22" s="19">
        <v>5.4427934621099554E-5</v>
      </c>
      <c r="AP22" s="19">
        <v>5.4537890044576523E-5</v>
      </c>
      <c r="AQ22" s="19">
        <v>5.4647845468053492E-5</v>
      </c>
      <c r="AR22" s="19">
        <v>5.4757800891530461E-5</v>
      </c>
      <c r="AS22" s="19">
        <v>5.4867756315007429E-5</v>
      </c>
      <c r="AT22" s="19">
        <v>5.4977711738484398E-5</v>
      </c>
      <c r="AU22" s="24">
        <v>5.5247102526002975E-5</v>
      </c>
      <c r="AV22" s="24">
        <v>5.5324590418986889E-5</v>
      </c>
      <c r="AW22" s="24">
        <v>5.5402078311970795E-5</v>
      </c>
      <c r="AX22" s="24">
        <v>5.5479566204954709E-5</v>
      </c>
      <c r="AY22" s="24">
        <v>5.5557054097938623E-5</v>
      </c>
      <c r="AZ22" s="24">
        <v>5.5634541990922537E-5</v>
      </c>
      <c r="BA22" s="24">
        <v>5.5712029883906443E-5</v>
      </c>
      <c r="BB22" s="24">
        <v>5.5789517776890357E-5</v>
      </c>
      <c r="BC22" s="24">
        <v>5.5867005669874271E-5</v>
      </c>
      <c r="BD22" s="24">
        <v>5.5944493562858178E-5</v>
      </c>
      <c r="BE22" s="24">
        <v>5.6021981455842091E-5</v>
      </c>
      <c r="BF22" s="24">
        <v>5.6099469348826005E-5</v>
      </c>
      <c r="BG22" s="24">
        <v>5.6176957241809919E-5</v>
      </c>
      <c r="BH22" s="24">
        <v>5.6254445134793826E-5</v>
      </c>
      <c r="BI22" s="24">
        <v>5.633193302777774E-5</v>
      </c>
      <c r="BJ22" s="24">
        <v>5.6409420920761653E-5</v>
      </c>
      <c r="BK22" s="24">
        <v>5.648690881374556E-5</v>
      </c>
      <c r="BL22" s="24">
        <v>5.6564396706729474E-5</v>
      </c>
      <c r="BM22" s="24">
        <v>5.6641884599713388E-5</v>
      </c>
      <c r="BN22" s="24">
        <v>5.6719372492697294E-5</v>
      </c>
      <c r="BO22" s="24">
        <v>5.6796860385681208E-5</v>
      </c>
      <c r="BP22" s="24">
        <v>5.6874348278665122E-5</v>
      </c>
      <c r="BQ22" s="24">
        <v>5.6951836171649036E-5</v>
      </c>
      <c r="BR22" s="24">
        <v>5.7029324064632942E-5</v>
      </c>
      <c r="BS22" s="24">
        <v>5.7106811957616856E-5</v>
      </c>
      <c r="BT22" s="24">
        <v>5.7106811957616856E-5</v>
      </c>
      <c r="BU22" s="24">
        <v>5.7106811957616856E-5</v>
      </c>
      <c r="BV22" s="24">
        <v>5.7106811957616856E-5</v>
      </c>
      <c r="BW22" s="24">
        <v>5.7106811957616856E-5</v>
      </c>
      <c r="BX22" s="24">
        <v>5.7106811957616856E-5</v>
      </c>
      <c r="BY22" s="24">
        <v>5.7106811957616856E-5</v>
      </c>
      <c r="BZ22" s="24">
        <v>5.7106811957616856E-5</v>
      </c>
      <c r="CA22" s="24">
        <v>5.7106811957616856E-5</v>
      </c>
      <c r="CB22" s="24">
        <v>5.7106811957616856E-5</v>
      </c>
      <c r="CC22" s="24">
        <v>5.7106811957616856E-5</v>
      </c>
      <c r="CD22" s="24">
        <v>5.7106811957616856E-5</v>
      </c>
      <c r="CE22" s="24">
        <v>5.7106811957616856E-5</v>
      </c>
      <c r="CF22" s="24">
        <v>5.7106811957616856E-5</v>
      </c>
      <c r="CG22" s="24">
        <v>5.7106811957616856E-5</v>
      </c>
      <c r="CH22" s="24">
        <v>5.7106811957616856E-5</v>
      </c>
      <c r="CI22" s="24">
        <v>5.7106811957616856E-5</v>
      </c>
      <c r="CJ22" s="24">
        <v>5.7106811957616856E-5</v>
      </c>
      <c r="CK22" s="24">
        <v>5.7106811957616856E-5</v>
      </c>
      <c r="CL22" s="24">
        <v>5.7106811957616856E-5</v>
      </c>
      <c r="CM22" s="24">
        <v>5.7106811957616856E-5</v>
      </c>
    </row>
    <row r="23" spans="1:91" x14ac:dyDescent="0.25">
      <c r="A23" s="21" t="s">
        <v>1</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19">
        <v>3.8032689450222883E-5</v>
      </c>
      <c r="AG23" s="19">
        <v>3.8110946012877659E-5</v>
      </c>
      <c r="AH23" s="19">
        <v>3.8189202575532442E-5</v>
      </c>
      <c r="AI23" s="19">
        <v>3.8267459138187219E-5</v>
      </c>
      <c r="AJ23" s="19">
        <v>3.8345715700842002E-5</v>
      </c>
      <c r="AK23" s="19">
        <v>3.8423972263496778E-5</v>
      </c>
      <c r="AL23" s="19">
        <v>3.8502228826151561E-5</v>
      </c>
      <c r="AM23" s="19">
        <v>3.8580485388806337E-5</v>
      </c>
      <c r="AN23" s="19">
        <v>3.865874195146112E-5</v>
      </c>
      <c r="AO23" s="19">
        <v>3.8736998514115897E-5</v>
      </c>
      <c r="AP23" s="19">
        <v>3.881525507677068E-5</v>
      </c>
      <c r="AQ23" s="19">
        <v>3.8893511639425456E-5</v>
      </c>
      <c r="AR23" s="19">
        <v>3.8971768202080239E-5</v>
      </c>
      <c r="AS23" s="19">
        <v>3.9050024764735016E-5</v>
      </c>
      <c r="AT23" s="19">
        <v>3.9128281327389799E-5</v>
      </c>
      <c r="AU23" s="24">
        <v>3.9320009905894E-5</v>
      </c>
      <c r="AV23" s="24">
        <v>3.9396964005657025E-5</v>
      </c>
      <c r="AW23" s="24">
        <v>3.9473918105420051E-5</v>
      </c>
      <c r="AX23" s="24">
        <v>3.9550872205183077E-5</v>
      </c>
      <c r="AY23" s="24">
        <v>3.9627826304946103E-5</v>
      </c>
      <c r="AZ23" s="24">
        <v>3.9704780404709129E-5</v>
      </c>
      <c r="BA23" s="24">
        <v>3.9781734504472154E-5</v>
      </c>
      <c r="BB23" s="24">
        <v>3.985868860423518E-5</v>
      </c>
      <c r="BC23" s="24">
        <v>3.9935642703998206E-5</v>
      </c>
      <c r="BD23" s="24">
        <v>4.0012596803761232E-5</v>
      </c>
      <c r="BE23" s="24">
        <v>4.0089550903524258E-5</v>
      </c>
      <c r="BF23" s="24">
        <v>4.0166505003287283E-5</v>
      </c>
      <c r="BG23" s="24">
        <v>4.0243459103050309E-5</v>
      </c>
      <c r="BH23" s="24">
        <v>4.0320413202813335E-5</v>
      </c>
      <c r="BI23" s="24">
        <v>4.0397367302576361E-5</v>
      </c>
      <c r="BJ23" s="24">
        <v>4.0474321402339387E-5</v>
      </c>
      <c r="BK23" s="24">
        <v>4.0551275502102413E-5</v>
      </c>
      <c r="BL23" s="24">
        <v>4.0628229601865438E-5</v>
      </c>
      <c r="BM23" s="24">
        <v>4.0705183701628464E-5</v>
      </c>
      <c r="BN23" s="24">
        <v>4.078213780139149E-5</v>
      </c>
      <c r="BO23" s="24">
        <v>4.0859091901154516E-5</v>
      </c>
      <c r="BP23" s="24">
        <v>4.0936046000917542E-5</v>
      </c>
      <c r="BQ23" s="24">
        <v>4.1013000100680567E-5</v>
      </c>
      <c r="BR23" s="24">
        <v>4.1089954200443593E-5</v>
      </c>
      <c r="BS23" s="24">
        <v>4.1166908300206619E-5</v>
      </c>
      <c r="BT23" s="24">
        <v>4.1166908300206619E-5</v>
      </c>
      <c r="BU23" s="24">
        <v>4.1166908300206619E-5</v>
      </c>
      <c r="BV23" s="24">
        <v>4.1166908300206619E-5</v>
      </c>
      <c r="BW23" s="24">
        <v>4.1166908300206619E-5</v>
      </c>
      <c r="BX23" s="24">
        <v>4.1166908300206619E-5</v>
      </c>
      <c r="BY23" s="24">
        <v>4.1166908300206619E-5</v>
      </c>
      <c r="BZ23" s="24">
        <v>4.1166908300206619E-5</v>
      </c>
      <c r="CA23" s="24">
        <v>4.1166908300206619E-5</v>
      </c>
      <c r="CB23" s="24">
        <v>4.1166908300206619E-5</v>
      </c>
      <c r="CC23" s="24">
        <v>4.1166908300206619E-5</v>
      </c>
      <c r="CD23" s="24">
        <v>4.1166908300206619E-5</v>
      </c>
      <c r="CE23" s="24">
        <v>4.1166908300206619E-5</v>
      </c>
      <c r="CF23" s="24">
        <v>4.1166908300206619E-5</v>
      </c>
      <c r="CG23" s="24">
        <v>4.1166908300206619E-5</v>
      </c>
      <c r="CH23" s="24">
        <v>4.1166908300206619E-5</v>
      </c>
      <c r="CI23" s="24">
        <v>4.1166908300206619E-5</v>
      </c>
      <c r="CJ23" s="24">
        <v>4.1166908300206619E-5</v>
      </c>
      <c r="CK23" s="24">
        <v>4.1166908300206619E-5</v>
      </c>
      <c r="CL23" s="24">
        <v>4.1166908300206619E-5</v>
      </c>
      <c r="CM23" s="24">
        <v>4.1166908300206619E-5</v>
      </c>
    </row>
    <row r="24" spans="1:91" x14ac:dyDescent="0.25">
      <c r="A24" s="21" t="s">
        <v>1</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19">
        <v>3.3218424962852898E-5</v>
      </c>
      <c r="AG24" s="19">
        <v>3.3286775631500744E-5</v>
      </c>
      <c r="AH24" s="19">
        <v>3.3355126300148591E-5</v>
      </c>
      <c r="AI24" s="19">
        <v>3.3423476968796431E-5</v>
      </c>
      <c r="AJ24" s="19">
        <v>3.3491827637444278E-5</v>
      </c>
      <c r="AK24" s="19">
        <v>3.3560178306092124E-5</v>
      </c>
      <c r="AL24" s="19">
        <v>3.3628528974739971E-5</v>
      </c>
      <c r="AM24" s="19">
        <v>3.3696879643387817E-5</v>
      </c>
      <c r="AN24" s="19">
        <v>3.3765230312035657E-5</v>
      </c>
      <c r="AO24" s="19">
        <v>3.3833580980683504E-5</v>
      </c>
      <c r="AP24" s="19">
        <v>3.3901931649331351E-5</v>
      </c>
      <c r="AQ24" s="19">
        <v>3.3970282317979197E-5</v>
      </c>
      <c r="AR24" s="19">
        <v>3.4038632986627044E-5</v>
      </c>
      <c r="AS24" s="19">
        <v>3.4106983655274884E-5</v>
      </c>
      <c r="AT24" s="19">
        <v>3.417533432392273E-5</v>
      </c>
      <c r="AU24" s="24">
        <v>3.4342793462109958E-5</v>
      </c>
      <c r="AV24" s="24">
        <v>3.4522919559545845E-5</v>
      </c>
      <c r="AW24" s="24">
        <v>3.4703045656981732E-5</v>
      </c>
      <c r="AX24" s="24">
        <v>3.4883171754417618E-5</v>
      </c>
      <c r="AY24" s="24">
        <v>3.5063297851853505E-5</v>
      </c>
      <c r="AZ24" s="24">
        <v>3.5243423949289392E-5</v>
      </c>
      <c r="BA24" s="24">
        <v>3.5423550046725279E-5</v>
      </c>
      <c r="BB24" s="24">
        <v>3.5603676144161152E-5</v>
      </c>
      <c r="BC24" s="24">
        <v>3.5783802241597039E-5</v>
      </c>
      <c r="BD24" s="24">
        <v>3.5963928339032926E-5</v>
      </c>
      <c r="BE24" s="24">
        <v>3.6144054436468813E-5</v>
      </c>
      <c r="BF24" s="24">
        <v>3.63241805339047E-5</v>
      </c>
      <c r="BG24" s="24">
        <v>3.6504306631340587E-5</v>
      </c>
      <c r="BH24" s="24">
        <v>3.6684432728776473E-5</v>
      </c>
      <c r="BI24" s="24">
        <v>3.686455882621236E-5</v>
      </c>
      <c r="BJ24" s="24">
        <v>3.7044684923648247E-5</v>
      </c>
      <c r="BK24" s="24">
        <v>3.7224811021084134E-5</v>
      </c>
      <c r="BL24" s="24">
        <v>3.7404937118520021E-5</v>
      </c>
      <c r="BM24" s="24">
        <v>3.7585063215955894E-5</v>
      </c>
      <c r="BN24" s="24">
        <v>3.7765189313391781E-5</v>
      </c>
      <c r="BO24" s="24">
        <v>3.7945315410827668E-5</v>
      </c>
      <c r="BP24" s="24">
        <v>3.8125441508263555E-5</v>
      </c>
      <c r="BQ24" s="24">
        <v>3.8305567605699441E-5</v>
      </c>
      <c r="BR24" s="24">
        <v>3.8485693703135328E-5</v>
      </c>
      <c r="BS24" s="24">
        <v>3.8665819800571215E-5</v>
      </c>
      <c r="BT24" s="24">
        <v>3.8665819800571215E-5</v>
      </c>
      <c r="BU24" s="24">
        <v>3.8665819800571215E-5</v>
      </c>
      <c r="BV24" s="24">
        <v>3.8665819800571215E-5</v>
      </c>
      <c r="BW24" s="24">
        <v>3.8665819800571215E-5</v>
      </c>
      <c r="BX24" s="24">
        <v>3.8665819800571215E-5</v>
      </c>
      <c r="BY24" s="24">
        <v>3.8665819800571215E-5</v>
      </c>
      <c r="BZ24" s="24">
        <v>3.8665819800571215E-5</v>
      </c>
      <c r="CA24" s="24">
        <v>3.8665819800571215E-5</v>
      </c>
      <c r="CB24" s="24">
        <v>3.8665819800571215E-5</v>
      </c>
      <c r="CC24" s="24">
        <v>3.8665819800571215E-5</v>
      </c>
      <c r="CD24" s="24">
        <v>3.8665819800571215E-5</v>
      </c>
      <c r="CE24" s="24">
        <v>3.8665819800571215E-5</v>
      </c>
      <c r="CF24" s="24">
        <v>3.8665819800571215E-5</v>
      </c>
      <c r="CG24" s="24">
        <v>3.8665819800571215E-5</v>
      </c>
      <c r="CH24" s="24">
        <v>3.8665819800571215E-5</v>
      </c>
      <c r="CI24" s="24">
        <v>3.8665819800571215E-5</v>
      </c>
      <c r="CJ24" s="24">
        <v>3.8665819800571215E-5</v>
      </c>
      <c r="CK24" s="24">
        <v>3.8665819800571215E-5</v>
      </c>
      <c r="CL24" s="24">
        <v>3.8665819800571215E-5</v>
      </c>
      <c r="CM24" s="24">
        <v>3.8665819800571215E-5</v>
      </c>
    </row>
    <row r="25" spans="1:91" x14ac:dyDescent="0.25">
      <c r="A25" s="21" t="s">
        <v>1</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19">
        <v>1.5999999999999999E-5</v>
      </c>
      <c r="AG25" s="19">
        <v>1.6200000000000001E-5</v>
      </c>
      <c r="AH25" s="19">
        <v>1.6399999999999999E-5</v>
      </c>
      <c r="AI25" s="19">
        <v>1.66E-5</v>
      </c>
      <c r="AJ25" s="19">
        <v>1.6799999999999998E-5</v>
      </c>
      <c r="AK25" s="19">
        <v>1.7E-5</v>
      </c>
      <c r="AL25" s="19">
        <v>1.7200000000000001E-5</v>
      </c>
      <c r="AM25" s="19">
        <v>1.7399999999999999E-5</v>
      </c>
      <c r="AN25" s="19">
        <v>1.7600000000000001E-5</v>
      </c>
      <c r="AO25" s="19">
        <v>1.7799999999999999E-5</v>
      </c>
      <c r="AP25" s="19">
        <v>1.8E-5</v>
      </c>
      <c r="AQ25" s="19">
        <v>1.8200000000000002E-5</v>
      </c>
      <c r="AR25" s="19">
        <v>1.84E-5</v>
      </c>
      <c r="AS25" s="19">
        <v>1.8600000000000001E-5</v>
      </c>
      <c r="AT25" s="19">
        <v>1.88E-5</v>
      </c>
      <c r="AU25" s="24">
        <v>1.9290000000000003E-5</v>
      </c>
      <c r="AV25" s="24">
        <v>1.9392083333333337E-5</v>
      </c>
      <c r="AW25" s="24">
        <v>1.949416666666667E-5</v>
      </c>
      <c r="AX25" s="24">
        <v>1.9596250000000004E-5</v>
      </c>
      <c r="AY25" s="24">
        <v>1.9698333333333338E-5</v>
      </c>
      <c r="AZ25" s="24">
        <v>1.9800416666666671E-5</v>
      </c>
      <c r="BA25" s="24">
        <v>1.9902500000000005E-5</v>
      </c>
      <c r="BB25" s="24">
        <v>2.0004583333333338E-5</v>
      </c>
      <c r="BC25" s="24">
        <v>2.0106666666666672E-5</v>
      </c>
      <c r="BD25" s="24">
        <v>2.0208750000000005E-5</v>
      </c>
      <c r="BE25" s="24">
        <v>2.0310833333333339E-5</v>
      </c>
      <c r="BF25" s="24">
        <v>2.0412916666666672E-5</v>
      </c>
      <c r="BG25" s="24">
        <v>2.0515000000000006E-5</v>
      </c>
      <c r="BH25" s="24">
        <v>2.0617083333333346E-5</v>
      </c>
      <c r="BI25" s="24">
        <v>2.071916666666668E-5</v>
      </c>
      <c r="BJ25" s="24">
        <v>2.0821250000000013E-5</v>
      </c>
      <c r="BK25" s="24">
        <v>2.0923333333333347E-5</v>
      </c>
      <c r="BL25" s="24">
        <v>2.1025416666666681E-5</v>
      </c>
      <c r="BM25" s="24">
        <v>2.1127500000000014E-5</v>
      </c>
      <c r="BN25" s="24">
        <v>2.1229583333333348E-5</v>
      </c>
      <c r="BO25" s="24">
        <v>2.1331666666666681E-5</v>
      </c>
      <c r="BP25" s="24">
        <v>2.1433750000000015E-5</v>
      </c>
      <c r="BQ25" s="24">
        <v>2.1535833333333348E-5</v>
      </c>
      <c r="BR25" s="24">
        <v>2.1637916666666682E-5</v>
      </c>
      <c r="BS25" s="24">
        <v>2.1740000000000015E-5</v>
      </c>
      <c r="BT25" s="24">
        <v>2.186250000000002E-5</v>
      </c>
      <c r="BU25" s="24">
        <v>2.1985000000000014E-5</v>
      </c>
      <c r="BV25" s="24">
        <v>2.2107500000000018E-5</v>
      </c>
      <c r="BW25" s="24">
        <v>2.2230000000000012E-5</v>
      </c>
      <c r="BX25" s="24">
        <v>2.2352500000000017E-5</v>
      </c>
      <c r="BY25" s="24">
        <v>2.2475000000000021E-5</v>
      </c>
      <c r="BZ25" s="24">
        <v>2.2597500000000015E-5</v>
      </c>
      <c r="CA25" s="24">
        <v>2.272000000000002E-5</v>
      </c>
      <c r="CB25" s="24">
        <v>2.2842500000000014E-5</v>
      </c>
      <c r="CC25" s="24">
        <v>2.2965000000000018E-5</v>
      </c>
      <c r="CD25" s="24">
        <v>2.3087500000000022E-5</v>
      </c>
      <c r="CE25" s="24">
        <v>2.3210000000000017E-5</v>
      </c>
      <c r="CF25" s="24">
        <v>2.3332500000000021E-5</v>
      </c>
      <c r="CG25" s="24">
        <v>2.3455000000000015E-5</v>
      </c>
      <c r="CH25" s="24">
        <v>2.3577500000000019E-5</v>
      </c>
      <c r="CI25" s="24">
        <v>2.3700000000000024E-5</v>
      </c>
      <c r="CJ25" s="24">
        <v>2.3822500000000018E-5</v>
      </c>
      <c r="CK25" s="24">
        <v>2.3945000000000022E-5</v>
      </c>
      <c r="CL25" s="24">
        <v>2.4067500000000016E-5</v>
      </c>
      <c r="CM25" s="24">
        <v>2.4190000000000021E-5</v>
      </c>
    </row>
    <row r="26" spans="1:91" x14ac:dyDescent="0.25">
      <c r="A26" s="21" t="s">
        <v>1</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19">
        <v>3.6000000000000001E-5</v>
      </c>
      <c r="AG26" s="19">
        <v>3.5866666666666667E-5</v>
      </c>
      <c r="AH26" s="19">
        <v>3.5733333333333332E-5</v>
      </c>
      <c r="AI26" s="19">
        <v>3.5599999999999998E-5</v>
      </c>
      <c r="AJ26" s="19">
        <v>3.546666666666667E-5</v>
      </c>
      <c r="AK26" s="19">
        <v>3.5333333333333336E-5</v>
      </c>
      <c r="AL26" s="19">
        <v>3.5200000000000002E-5</v>
      </c>
      <c r="AM26" s="19">
        <v>3.5066666666666667E-5</v>
      </c>
      <c r="AN26" s="19">
        <v>3.4933333333333333E-5</v>
      </c>
      <c r="AO26" s="19">
        <v>3.4799999999999999E-5</v>
      </c>
      <c r="AP26" s="19">
        <v>3.4666666666666665E-5</v>
      </c>
      <c r="AQ26" s="19">
        <v>3.453333333333333E-5</v>
      </c>
      <c r="AR26" s="19">
        <v>3.4400000000000003E-5</v>
      </c>
      <c r="AS26" s="19">
        <v>3.4266666666666668E-5</v>
      </c>
      <c r="AT26" s="19">
        <v>3.4133333333333334E-5</v>
      </c>
      <c r="AU26" s="24">
        <v>3.4193333333333337E-5</v>
      </c>
      <c r="AV26" s="24">
        <v>3.4212083333333334E-5</v>
      </c>
      <c r="AW26" s="24">
        <v>3.4230833333333338E-5</v>
      </c>
      <c r="AX26" s="24">
        <v>3.4249583333333342E-5</v>
      </c>
      <c r="AY26" s="24">
        <v>3.4268333333333339E-5</v>
      </c>
      <c r="AZ26" s="24">
        <v>3.4287083333333336E-5</v>
      </c>
      <c r="BA26" s="24">
        <v>3.430583333333334E-5</v>
      </c>
      <c r="BB26" s="24">
        <v>3.4324583333333343E-5</v>
      </c>
      <c r="BC26" s="24">
        <v>3.4343333333333341E-5</v>
      </c>
      <c r="BD26" s="24">
        <v>3.4362083333333338E-5</v>
      </c>
      <c r="BE26" s="24">
        <v>3.4380833333333341E-5</v>
      </c>
      <c r="BF26" s="24">
        <v>3.4399583333333345E-5</v>
      </c>
      <c r="BG26" s="24">
        <v>3.4418333333333342E-5</v>
      </c>
      <c r="BH26" s="24">
        <v>3.4437083333333339E-5</v>
      </c>
      <c r="BI26" s="24">
        <v>3.4455833333333343E-5</v>
      </c>
      <c r="BJ26" s="24">
        <v>3.4474583333333347E-5</v>
      </c>
      <c r="BK26" s="24">
        <v>3.4493333333333344E-5</v>
      </c>
      <c r="BL26" s="24">
        <v>3.4512083333333341E-5</v>
      </c>
      <c r="BM26" s="24">
        <v>3.4530833333333345E-5</v>
      </c>
      <c r="BN26" s="24">
        <v>3.4549583333333349E-5</v>
      </c>
      <c r="BO26" s="24">
        <v>3.4568333333333346E-5</v>
      </c>
      <c r="BP26" s="24">
        <v>3.4587083333333343E-5</v>
      </c>
      <c r="BQ26" s="24">
        <v>3.4605833333333347E-5</v>
      </c>
      <c r="BR26" s="24">
        <v>3.4624583333333351E-5</v>
      </c>
      <c r="BS26" s="24">
        <v>3.4643333333333348E-5</v>
      </c>
      <c r="BT26" s="24">
        <v>3.4643333333333348E-5</v>
      </c>
      <c r="BU26" s="24">
        <v>3.4643333333333348E-5</v>
      </c>
      <c r="BV26" s="24">
        <v>3.4643333333333348E-5</v>
      </c>
      <c r="BW26" s="24">
        <v>3.4643333333333348E-5</v>
      </c>
      <c r="BX26" s="24">
        <v>3.4643333333333348E-5</v>
      </c>
      <c r="BY26" s="24">
        <v>3.4643333333333348E-5</v>
      </c>
      <c r="BZ26" s="24">
        <v>3.4643333333333348E-5</v>
      </c>
      <c r="CA26" s="24">
        <v>3.4643333333333348E-5</v>
      </c>
      <c r="CB26" s="24">
        <v>3.4643333333333348E-5</v>
      </c>
      <c r="CC26" s="24">
        <v>3.4643333333333348E-5</v>
      </c>
      <c r="CD26" s="24">
        <v>3.4643333333333348E-5</v>
      </c>
      <c r="CE26" s="24">
        <v>3.4643333333333348E-5</v>
      </c>
      <c r="CF26" s="24">
        <v>3.4643333333333348E-5</v>
      </c>
      <c r="CG26" s="24">
        <v>3.4643333333333348E-5</v>
      </c>
      <c r="CH26" s="24">
        <v>3.4643333333333348E-5</v>
      </c>
      <c r="CI26" s="24">
        <v>3.4643333333333348E-5</v>
      </c>
      <c r="CJ26" s="24">
        <v>3.4643333333333348E-5</v>
      </c>
      <c r="CK26" s="24">
        <v>3.4643333333333348E-5</v>
      </c>
      <c r="CL26" s="24">
        <v>3.4643333333333348E-5</v>
      </c>
      <c r="CM26" s="24">
        <v>3.4643333333333348E-5</v>
      </c>
    </row>
    <row r="28" spans="1:91" x14ac:dyDescent="0.25">
      <c r="A28" s="21" t="s">
        <v>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19">
        <v>8.0900000000000001E-5</v>
      </c>
      <c r="AG28" s="19">
        <v>8.0833333333333338E-5</v>
      </c>
      <c r="AH28" s="19">
        <v>8.0766666666666674E-5</v>
      </c>
      <c r="AI28" s="19">
        <v>8.0699999999999996E-5</v>
      </c>
      <c r="AJ28" s="19">
        <v>8.0633333333333333E-5</v>
      </c>
      <c r="AK28" s="19">
        <v>8.0566666666666669E-5</v>
      </c>
      <c r="AL28" s="19">
        <v>8.0500000000000005E-5</v>
      </c>
      <c r="AM28" s="19">
        <v>8.0433333333333341E-5</v>
      </c>
      <c r="AN28" s="19">
        <v>8.0366666666666664E-5</v>
      </c>
      <c r="AO28" s="19">
        <v>8.03E-5</v>
      </c>
      <c r="AP28" s="19">
        <v>8.0233333333333337E-5</v>
      </c>
      <c r="AQ28" s="19">
        <v>8.0166666666666673E-5</v>
      </c>
      <c r="AR28" s="19">
        <v>8.0100000000000009E-5</v>
      </c>
      <c r="AS28" s="19">
        <v>8.0033333333333332E-5</v>
      </c>
      <c r="AT28" s="19">
        <v>7.9966666666666668E-5</v>
      </c>
      <c r="AU28" s="24">
        <v>7.9996666666666666E-5</v>
      </c>
      <c r="AV28" s="24">
        <v>8.0045757575757575E-5</v>
      </c>
      <c r="AW28" s="24">
        <v>8.0094848484848485E-5</v>
      </c>
      <c r="AX28" s="24">
        <v>8.0143939393939395E-5</v>
      </c>
      <c r="AY28" s="24">
        <v>8.0193030303030304E-5</v>
      </c>
      <c r="AZ28" s="24">
        <v>8.0242121212121214E-5</v>
      </c>
      <c r="BA28" s="24">
        <v>8.0291212121212123E-5</v>
      </c>
      <c r="BB28" s="24">
        <v>8.0340303030303033E-5</v>
      </c>
      <c r="BC28" s="24">
        <v>8.0389393939393942E-5</v>
      </c>
      <c r="BD28" s="24">
        <v>8.0438484848484852E-5</v>
      </c>
      <c r="BE28" s="24">
        <v>8.0487575757575761E-5</v>
      </c>
      <c r="BF28" s="24">
        <v>8.0536666666666671E-5</v>
      </c>
      <c r="BG28" s="24">
        <v>8.058575757575758E-5</v>
      </c>
      <c r="BH28" s="24">
        <v>8.063484848484849E-5</v>
      </c>
      <c r="BI28" s="24">
        <v>8.06839393939394E-5</v>
      </c>
      <c r="BJ28" s="24">
        <v>8.0733030303030309E-5</v>
      </c>
      <c r="BK28" s="24">
        <v>8.0782121212121219E-5</v>
      </c>
      <c r="BL28" s="24">
        <v>8.0831212121212128E-5</v>
      </c>
      <c r="BM28" s="24">
        <v>8.0880303030303038E-5</v>
      </c>
      <c r="BN28" s="24">
        <v>8.0929393939393947E-5</v>
      </c>
      <c r="BO28" s="24">
        <v>8.0978484848484857E-5</v>
      </c>
      <c r="BP28" s="24">
        <v>8.1027575757575766E-5</v>
      </c>
      <c r="BQ28" s="24">
        <v>8.1076666666666676E-5</v>
      </c>
      <c r="BR28" s="24">
        <v>8.1125757575757585E-5</v>
      </c>
      <c r="BS28" s="24">
        <v>8.1751666666666679E-5</v>
      </c>
      <c r="BT28" s="24">
        <v>8.1771916666666686E-5</v>
      </c>
      <c r="BU28" s="24">
        <v>8.1792166666666693E-5</v>
      </c>
      <c r="BV28" s="24">
        <v>8.1812416666666687E-5</v>
      </c>
      <c r="BW28" s="24">
        <v>8.1832666666666694E-5</v>
      </c>
      <c r="BX28" s="24">
        <v>8.1852916666666701E-5</v>
      </c>
      <c r="BY28" s="24">
        <v>8.1873166666666694E-5</v>
      </c>
      <c r="BZ28" s="24">
        <v>8.1893416666666702E-5</v>
      </c>
      <c r="CA28" s="24">
        <v>8.1913666666666709E-5</v>
      </c>
      <c r="CB28" s="24">
        <v>8.1933916666666716E-5</v>
      </c>
      <c r="CC28" s="24">
        <v>8.1954166666666723E-5</v>
      </c>
      <c r="CD28" s="24">
        <v>8.1974416666666717E-5</v>
      </c>
      <c r="CE28" s="24">
        <v>8.1994666666666724E-5</v>
      </c>
      <c r="CF28" s="24">
        <v>8.2014916666666731E-5</v>
      </c>
      <c r="CG28" s="24">
        <v>8.2035166666666724E-5</v>
      </c>
      <c r="CH28" s="24">
        <v>8.2055416666666732E-5</v>
      </c>
      <c r="CI28" s="24">
        <v>8.2075666666666739E-5</v>
      </c>
      <c r="CJ28" s="24">
        <v>8.2095916666666746E-5</v>
      </c>
      <c r="CK28" s="24">
        <v>8.2116166666666753E-5</v>
      </c>
      <c r="CL28" s="24">
        <v>8.2136416666666747E-5</v>
      </c>
      <c r="CM28" s="24">
        <v>8.2156666666666754E-5</v>
      </c>
    </row>
    <row r="30" spans="1:91" x14ac:dyDescent="0.25">
      <c r="A30" s="13" t="s">
        <v>13</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2">
        <v>2.8586557155908612E-3</v>
      </c>
      <c r="AG30" s="42">
        <v>2.909963886131464E-3</v>
      </c>
      <c r="AH30" s="42">
        <v>2.9612720566720677E-3</v>
      </c>
      <c r="AI30" s="42">
        <v>3.0125802272126705E-3</v>
      </c>
      <c r="AJ30" s="42">
        <v>3.0638883977532742E-3</v>
      </c>
      <c r="AK30" s="42">
        <v>3.1151965682938766E-3</v>
      </c>
      <c r="AL30" s="42">
        <v>3.1665047388344802E-3</v>
      </c>
      <c r="AM30" s="42">
        <v>3.2178129093750835E-3</v>
      </c>
      <c r="AN30" s="42">
        <v>3.2691210799156863E-3</v>
      </c>
      <c r="AO30" s="42">
        <v>3.3204292504562887E-3</v>
      </c>
      <c r="AP30" s="42">
        <v>3.3717374209968911E-3</v>
      </c>
      <c r="AQ30" s="42">
        <v>3.4230455915374956E-3</v>
      </c>
      <c r="AR30" s="42">
        <v>3.474353762078098E-3</v>
      </c>
      <c r="AS30" s="42">
        <v>3.5256619326187004E-3</v>
      </c>
      <c r="AT30" s="42">
        <v>3.5769701031593041E-3</v>
      </c>
      <c r="AU30" s="42">
        <v>3.6282782736999073E-3</v>
      </c>
      <c r="AV30" s="42">
        <v>3.6601435786098075E-3</v>
      </c>
      <c r="AW30" s="42">
        <v>3.6920088835197063E-3</v>
      </c>
      <c r="AX30" s="42">
        <v>3.7238741884296055E-3</v>
      </c>
      <c r="AY30" s="42">
        <v>3.7557394933395052E-3</v>
      </c>
      <c r="AZ30" s="42">
        <v>3.7876047982494045E-3</v>
      </c>
      <c r="BA30" s="42">
        <v>3.8194701031593042E-3</v>
      </c>
      <c r="BB30" s="42">
        <v>3.8513354080692043E-3</v>
      </c>
      <c r="BC30" s="42">
        <v>3.8832007129791031E-3</v>
      </c>
      <c r="BD30" s="42">
        <v>3.9150660178890037E-3</v>
      </c>
      <c r="BE30" s="42">
        <v>3.9469313227989029E-3</v>
      </c>
      <c r="BF30" s="42">
        <v>3.9787966277088022E-3</v>
      </c>
      <c r="BG30" s="42">
        <v>4.0106619326187015E-3</v>
      </c>
      <c r="BH30" s="42">
        <v>4.0425272375286016E-3</v>
      </c>
      <c r="BI30" s="42">
        <v>4.0743925424385008E-3</v>
      </c>
      <c r="BJ30" s="42">
        <v>4.1062578473483992E-3</v>
      </c>
      <c r="BK30" s="42">
        <v>4.1381231522582993E-3</v>
      </c>
      <c r="BL30" s="42">
        <v>4.1699884571681986E-3</v>
      </c>
      <c r="BM30" s="42">
        <v>4.2018537620780979E-3</v>
      </c>
      <c r="BN30" s="42">
        <v>4.233719066987998E-3</v>
      </c>
      <c r="BO30" s="42">
        <v>4.2655843718978972E-3</v>
      </c>
      <c r="BP30" s="42">
        <v>4.2974496768077956E-3</v>
      </c>
      <c r="BQ30" s="42">
        <v>4.3293149817176958E-3</v>
      </c>
      <c r="BR30" s="42">
        <v>4.3611802866275959E-3</v>
      </c>
      <c r="BS30" s="42">
        <v>4.3930455915374969E-3</v>
      </c>
      <c r="BT30" s="42">
        <v>4.4249108964473944E-3</v>
      </c>
      <c r="BU30" s="42">
        <v>4.4567762013572945E-3</v>
      </c>
      <c r="BV30" s="42">
        <v>4.4886415062671938E-3</v>
      </c>
      <c r="BW30" s="42">
        <v>4.520506811177093E-3</v>
      </c>
      <c r="BX30" s="42">
        <v>4.5523721160869923E-3</v>
      </c>
      <c r="BY30" s="42">
        <v>4.5842374209968924E-3</v>
      </c>
      <c r="BZ30" s="42">
        <v>4.6161027259067908E-3</v>
      </c>
      <c r="CA30" s="42">
        <v>4.6479680308166918E-3</v>
      </c>
      <c r="CB30" s="42">
        <v>4.6798333357265902E-3</v>
      </c>
      <c r="CC30" s="42">
        <v>4.7116986406364903E-3</v>
      </c>
      <c r="CD30" s="42">
        <v>4.7435639455463896E-3</v>
      </c>
      <c r="CE30" s="42">
        <v>4.7754292504562897E-3</v>
      </c>
      <c r="CF30" s="42">
        <v>4.8072945553661881E-3</v>
      </c>
      <c r="CG30" s="42">
        <v>4.8391598602760891E-3</v>
      </c>
      <c r="CH30" s="42">
        <v>4.8710251651859866E-3</v>
      </c>
      <c r="CI30" s="42">
        <v>4.9028904700958876E-3</v>
      </c>
      <c r="CJ30" s="42">
        <v>4.9347557750057851E-3</v>
      </c>
      <c r="CK30" s="42">
        <v>4.9666210799156861E-3</v>
      </c>
      <c r="CL30" s="42">
        <v>4.9984863848255862E-3</v>
      </c>
      <c r="CM30" s="42">
        <v>5.0303516897354846E-3</v>
      </c>
    </row>
    <row r="31" spans="1:91" x14ac:dyDescent="0.25">
      <c r="A31" s="13" t="s">
        <v>1</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42">
        <v>2.21991625074704E-3</v>
      </c>
      <c r="AG31" s="42">
        <v>2.2566263371078163E-3</v>
      </c>
      <c r="AH31" s="42">
        <v>2.2933364234685931E-3</v>
      </c>
      <c r="AI31" s="42">
        <v>2.3300465098293689E-3</v>
      </c>
      <c r="AJ31" s="42">
        <v>2.3667565961901457E-3</v>
      </c>
      <c r="AK31" s="42">
        <v>2.403466682550922E-3</v>
      </c>
      <c r="AL31" s="42">
        <v>2.4401767689116983E-3</v>
      </c>
      <c r="AM31" s="42">
        <v>2.4768868552724754E-3</v>
      </c>
      <c r="AN31" s="42">
        <v>2.5135969416332517E-3</v>
      </c>
      <c r="AO31" s="42">
        <v>2.5503070279940276E-3</v>
      </c>
      <c r="AP31" s="42">
        <v>2.5870171143548043E-3</v>
      </c>
      <c r="AQ31" s="42">
        <v>2.6237272007155811E-3</v>
      </c>
      <c r="AR31" s="42">
        <v>2.6604372870763569E-3</v>
      </c>
      <c r="AS31" s="42">
        <v>2.6971473734371336E-3</v>
      </c>
      <c r="AT31" s="42">
        <v>2.7338574597979095E-3</v>
      </c>
      <c r="AU31" s="42">
        <v>2.7705675461586858E-3</v>
      </c>
      <c r="AV31" s="42">
        <v>2.7941732069956472E-3</v>
      </c>
      <c r="AW31" s="42">
        <v>2.8177788678326082E-3</v>
      </c>
      <c r="AX31" s="42">
        <v>2.8413845286695688E-3</v>
      </c>
      <c r="AY31" s="42">
        <v>2.8649901895065294E-3</v>
      </c>
      <c r="AZ31" s="42">
        <v>2.8885958503434904E-3</v>
      </c>
      <c r="BA31" s="42">
        <v>2.9122015111804514E-3</v>
      </c>
      <c r="BB31" s="42">
        <v>2.9358071720174115E-3</v>
      </c>
      <c r="BC31" s="42">
        <v>2.9594128328543738E-3</v>
      </c>
      <c r="BD31" s="42">
        <v>2.9830184936913344E-3</v>
      </c>
      <c r="BE31" s="42">
        <v>3.0066241545282949E-3</v>
      </c>
      <c r="BF31" s="42">
        <v>3.030229815365256E-3</v>
      </c>
      <c r="BG31" s="42">
        <v>3.0538354762022174E-3</v>
      </c>
      <c r="BH31" s="42">
        <v>3.0774411370391771E-3</v>
      </c>
      <c r="BI31" s="42">
        <v>3.1010467978761381E-3</v>
      </c>
      <c r="BJ31" s="42">
        <v>3.1246524587130987E-3</v>
      </c>
      <c r="BK31" s="42">
        <v>3.1482581195500597E-3</v>
      </c>
      <c r="BL31" s="42">
        <v>3.1718637803870211E-3</v>
      </c>
      <c r="BM31" s="42">
        <v>3.1954694412239821E-3</v>
      </c>
      <c r="BN31" s="42">
        <v>3.2190751020609435E-3</v>
      </c>
      <c r="BO31" s="42">
        <v>3.2426807628979037E-3</v>
      </c>
      <c r="BP31" s="42">
        <v>3.2662864237348651E-3</v>
      </c>
      <c r="BQ31" s="42">
        <v>3.2898920845718252E-3</v>
      </c>
      <c r="BR31" s="42">
        <v>3.3134977454087858E-3</v>
      </c>
      <c r="BS31" s="42">
        <v>3.3371034062457468E-3</v>
      </c>
      <c r="BT31" s="42">
        <v>3.3607090670827078E-3</v>
      </c>
      <c r="BU31" s="42">
        <v>3.3843147279196684E-3</v>
      </c>
      <c r="BV31" s="42">
        <v>3.4079203887566302E-3</v>
      </c>
      <c r="BW31" s="42">
        <v>3.4315260495935899E-3</v>
      </c>
      <c r="BX31" s="42">
        <v>3.4551317104305514E-3</v>
      </c>
      <c r="BY31" s="42">
        <v>3.4787373712675128E-3</v>
      </c>
      <c r="BZ31" s="42">
        <v>3.5023430321044729E-3</v>
      </c>
      <c r="CA31" s="42">
        <v>3.5259486929414339E-3</v>
      </c>
      <c r="CB31" s="42">
        <v>3.5495543537783945E-3</v>
      </c>
      <c r="CC31" s="42">
        <v>3.5731600146153551E-3</v>
      </c>
      <c r="CD31" s="42">
        <v>3.5967656754523165E-3</v>
      </c>
      <c r="CE31" s="42">
        <v>3.6203713362892771E-3</v>
      </c>
      <c r="CF31" s="42">
        <v>3.6439769971262381E-3</v>
      </c>
      <c r="CG31" s="42">
        <v>3.6675826579631995E-3</v>
      </c>
      <c r="CH31" s="42">
        <v>3.6911883188001609E-3</v>
      </c>
      <c r="CI31" s="42">
        <v>3.7147939796371206E-3</v>
      </c>
      <c r="CJ31" s="42">
        <v>3.7383996404740821E-3</v>
      </c>
      <c r="CK31" s="42">
        <v>3.7620053013110422E-3</v>
      </c>
      <c r="CL31" s="42">
        <v>3.7856109621480032E-3</v>
      </c>
      <c r="CM31" s="42">
        <v>3.8092166229849646E-3</v>
      </c>
    </row>
    <row r="32" spans="1:91" x14ac:dyDescent="0.25">
      <c r="A32" s="13" t="s">
        <v>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2">
        <v>3.2695631189309741E-3</v>
      </c>
      <c r="AG32" s="42">
        <v>3.3190680876783053E-3</v>
      </c>
      <c r="AH32" s="42">
        <v>3.3685730564256351E-3</v>
      </c>
      <c r="AI32" s="42">
        <v>3.4180780251729654E-3</v>
      </c>
      <c r="AJ32" s="42">
        <v>3.4675829939202975E-3</v>
      </c>
      <c r="AK32" s="42">
        <v>3.5170879626676278E-3</v>
      </c>
      <c r="AL32" s="42">
        <v>3.566592931414959E-3</v>
      </c>
      <c r="AM32" s="42">
        <v>3.6160979001622893E-3</v>
      </c>
      <c r="AN32" s="42">
        <v>3.66560286890962E-3</v>
      </c>
      <c r="AO32" s="42">
        <v>3.7151078376569512E-3</v>
      </c>
      <c r="AP32" s="42">
        <v>3.764612806404282E-3</v>
      </c>
      <c r="AQ32" s="42">
        <v>3.8141177751516123E-3</v>
      </c>
      <c r="AR32" s="42">
        <v>3.8636227438989435E-3</v>
      </c>
      <c r="AS32" s="42">
        <v>3.9131277126462733E-3</v>
      </c>
      <c r="AT32" s="42">
        <v>3.9626326813936045E-3</v>
      </c>
      <c r="AU32" s="42">
        <v>4.0121376501409357E-3</v>
      </c>
      <c r="AV32" s="42">
        <v>4.0409850921853223E-3</v>
      </c>
      <c r="AW32" s="42">
        <v>4.0698325342297097E-3</v>
      </c>
      <c r="AX32" s="42">
        <v>4.0986799762740963E-3</v>
      </c>
      <c r="AY32" s="42">
        <v>4.127527418318482E-3</v>
      </c>
      <c r="AZ32" s="42">
        <v>4.1563748603628704E-3</v>
      </c>
      <c r="BA32" s="42">
        <v>4.1852223024072561E-3</v>
      </c>
      <c r="BB32" s="42">
        <v>4.2140697444516435E-3</v>
      </c>
      <c r="BC32" s="42">
        <v>4.2429171864960301E-3</v>
      </c>
      <c r="BD32" s="42">
        <v>4.2717646285404158E-3</v>
      </c>
      <c r="BE32" s="42">
        <v>4.3006120705848042E-3</v>
      </c>
      <c r="BF32" s="42">
        <v>4.3294595126291899E-3</v>
      </c>
      <c r="BG32" s="42">
        <v>4.3583069546735782E-3</v>
      </c>
      <c r="BH32" s="42">
        <v>4.3871543967179639E-3</v>
      </c>
      <c r="BI32" s="42">
        <v>4.4160018387623514E-3</v>
      </c>
      <c r="BJ32" s="42">
        <v>4.444849280806738E-3</v>
      </c>
      <c r="BK32" s="42">
        <v>4.4736967228511245E-3</v>
      </c>
      <c r="BL32" s="42">
        <v>4.5025441648955111E-3</v>
      </c>
      <c r="BM32" s="42">
        <v>4.5313916069398994E-3</v>
      </c>
      <c r="BN32" s="42">
        <v>4.5602390489842852E-3</v>
      </c>
      <c r="BO32" s="42">
        <v>4.5890864910286726E-3</v>
      </c>
      <c r="BP32" s="42">
        <v>4.6179339330730601E-3</v>
      </c>
      <c r="BQ32" s="42">
        <v>4.6467813751174458E-3</v>
      </c>
      <c r="BR32" s="42">
        <v>4.6756288171618332E-3</v>
      </c>
      <c r="BS32" s="42">
        <v>4.7044762592062198E-3</v>
      </c>
      <c r="BT32" s="42">
        <v>4.7333237012506073E-3</v>
      </c>
      <c r="BU32" s="42">
        <v>4.762171143294993E-3</v>
      </c>
      <c r="BV32" s="42">
        <v>4.7910185853393805E-3</v>
      </c>
      <c r="BW32" s="42">
        <v>4.8198660273837679E-3</v>
      </c>
      <c r="BX32" s="42">
        <v>4.8487134694281545E-3</v>
      </c>
      <c r="BY32" s="42">
        <v>4.8775609114725419E-3</v>
      </c>
      <c r="BZ32" s="42">
        <v>4.9064083535169277E-3</v>
      </c>
      <c r="CA32" s="42">
        <v>4.9352557955613151E-3</v>
      </c>
      <c r="CB32" s="42">
        <v>4.9641032376057017E-3</v>
      </c>
      <c r="CC32" s="42">
        <v>4.9929506796500883E-3</v>
      </c>
      <c r="CD32" s="42">
        <v>5.0217981216944757E-3</v>
      </c>
      <c r="CE32" s="42">
        <v>5.0506455637388623E-3</v>
      </c>
      <c r="CF32" s="42">
        <v>5.0794930057832489E-3</v>
      </c>
      <c r="CG32" s="42">
        <v>5.1083404478276355E-3</v>
      </c>
      <c r="CH32" s="42">
        <v>5.1371878898720212E-3</v>
      </c>
      <c r="CI32" s="42">
        <v>5.1660353319164087E-3</v>
      </c>
      <c r="CJ32" s="42">
        <v>5.1948827739607961E-3</v>
      </c>
      <c r="CK32" s="42">
        <v>5.2237302160051836E-3</v>
      </c>
      <c r="CL32" s="42">
        <v>5.252577658049571E-3</v>
      </c>
      <c r="CM32" s="42">
        <v>5.2814251000939559E-3</v>
      </c>
    </row>
    <row r="33" spans="1:91" x14ac:dyDescent="0.25">
      <c r="A33" s="13" t="s">
        <v>1</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2">
        <v>1.4251346260975677E-3</v>
      </c>
      <c r="AG33" s="42">
        <v>1.4394010133432365E-3</v>
      </c>
      <c r="AH33" s="42">
        <v>1.4536674005889065E-3</v>
      </c>
      <c r="AI33" s="42">
        <v>1.4679337878345756E-3</v>
      </c>
      <c r="AJ33" s="42">
        <v>1.4822001750802451E-3</v>
      </c>
      <c r="AK33" s="42">
        <v>1.4964665623259147E-3</v>
      </c>
      <c r="AL33" s="42">
        <v>1.5107329495715842E-3</v>
      </c>
      <c r="AM33" s="42">
        <v>1.5249993368172535E-3</v>
      </c>
      <c r="AN33" s="42">
        <v>1.5392657240629226E-3</v>
      </c>
      <c r="AO33" s="42">
        <v>1.5535321113085924E-3</v>
      </c>
      <c r="AP33" s="42">
        <v>1.5677984985542617E-3</v>
      </c>
      <c r="AQ33" s="42">
        <v>1.5820648857999312E-3</v>
      </c>
      <c r="AR33" s="42">
        <v>1.5963312730456008E-3</v>
      </c>
      <c r="AS33" s="42">
        <v>1.6105976602912699E-3</v>
      </c>
      <c r="AT33" s="42">
        <v>1.6248640475369394E-3</v>
      </c>
      <c r="AU33" s="42">
        <v>1.6391304347826087E-3</v>
      </c>
      <c r="AV33" s="42">
        <v>1.6512056578914661E-3</v>
      </c>
      <c r="AW33" s="42">
        <v>1.6632808810003231E-3</v>
      </c>
      <c r="AX33" s="42">
        <v>1.6753561041091803E-3</v>
      </c>
      <c r="AY33" s="42">
        <v>1.6874313272180379E-3</v>
      </c>
      <c r="AZ33" s="42">
        <v>1.6995065503268951E-3</v>
      </c>
      <c r="BA33" s="42">
        <v>1.7115817734357521E-3</v>
      </c>
      <c r="BB33" s="42">
        <v>1.7236569965446093E-3</v>
      </c>
      <c r="BC33" s="42">
        <v>1.7357322196534667E-3</v>
      </c>
      <c r="BD33" s="42">
        <v>1.7478074427623236E-3</v>
      </c>
      <c r="BE33" s="42">
        <v>1.759882665871181E-3</v>
      </c>
      <c r="BF33" s="42">
        <v>1.7719578889800382E-3</v>
      </c>
      <c r="BG33" s="42">
        <v>1.7840331120888959E-3</v>
      </c>
      <c r="BH33" s="42">
        <v>1.7961083351977531E-3</v>
      </c>
      <c r="BI33" s="42">
        <v>1.8081835583066094E-3</v>
      </c>
      <c r="BJ33" s="42">
        <v>1.8202587814154672E-3</v>
      </c>
      <c r="BK33" s="42">
        <v>1.8323340045243244E-3</v>
      </c>
      <c r="BL33" s="42">
        <v>1.844409227633182E-3</v>
      </c>
      <c r="BM33" s="42">
        <v>1.8564844507420388E-3</v>
      </c>
      <c r="BN33" s="42">
        <v>1.8685596738508962E-3</v>
      </c>
      <c r="BO33" s="42">
        <v>1.8806348969597534E-3</v>
      </c>
      <c r="BP33" s="42">
        <v>1.8927101200686108E-3</v>
      </c>
      <c r="BQ33" s="42">
        <v>1.9047853431774678E-3</v>
      </c>
      <c r="BR33" s="42">
        <v>1.9168605662863256E-3</v>
      </c>
      <c r="BS33" s="42">
        <v>1.9289357893951824E-3</v>
      </c>
      <c r="BT33" s="42">
        <v>1.9410110125040402E-3</v>
      </c>
      <c r="BU33" s="42">
        <v>1.9530862356128972E-3</v>
      </c>
      <c r="BV33" s="42">
        <v>1.9651614587217541E-3</v>
      </c>
      <c r="BW33" s="42">
        <v>1.9772366818306113E-3</v>
      </c>
      <c r="BX33" s="42">
        <v>1.989311904939469E-3</v>
      </c>
      <c r="BY33" s="42">
        <v>2.0013871280483257E-3</v>
      </c>
      <c r="BZ33" s="42">
        <v>2.0134623511571829E-3</v>
      </c>
      <c r="CA33" s="42">
        <v>2.0255375742660405E-3</v>
      </c>
      <c r="CB33" s="42">
        <v>2.0376127973748973E-3</v>
      </c>
      <c r="CC33" s="42">
        <v>2.0496880204837549E-3</v>
      </c>
      <c r="CD33" s="42">
        <v>2.0617632435926121E-3</v>
      </c>
      <c r="CE33" s="42">
        <v>2.0738384667014697E-3</v>
      </c>
      <c r="CF33" s="42">
        <v>2.0859136898103261E-3</v>
      </c>
      <c r="CG33" s="42">
        <v>2.0979889129191837E-3</v>
      </c>
      <c r="CH33" s="42">
        <v>2.1100641360280409E-3</v>
      </c>
      <c r="CI33" s="42">
        <v>2.1221393591368985E-3</v>
      </c>
      <c r="CJ33" s="42">
        <v>2.1342145822457557E-3</v>
      </c>
      <c r="CK33" s="42">
        <v>2.1462898053546129E-3</v>
      </c>
      <c r="CL33" s="42">
        <v>2.1583650284634701E-3</v>
      </c>
      <c r="CM33" s="42">
        <v>2.1704402515723277E-3</v>
      </c>
    </row>
    <row r="34" spans="1:91" x14ac:dyDescent="0.25">
      <c r="A34" s="13" t="s">
        <v>1</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F34" s="42">
        <v>1.6577549140049134E-3</v>
      </c>
      <c r="AG34" s="42">
        <v>1.6804361179361179E-3</v>
      </c>
      <c r="AH34" s="42">
        <v>1.7031173218673219E-3</v>
      </c>
      <c r="AI34" s="42">
        <v>1.7257985257985258E-3</v>
      </c>
      <c r="AJ34" s="42">
        <v>1.7484797297297294E-3</v>
      </c>
      <c r="AK34" s="42">
        <v>1.7711609336609332E-3</v>
      </c>
      <c r="AL34" s="42">
        <v>1.7938421375921377E-3</v>
      </c>
      <c r="AM34" s="42">
        <v>1.8165233415233415E-3</v>
      </c>
      <c r="AN34" s="42">
        <v>1.8392045454545453E-3</v>
      </c>
      <c r="AO34" s="42">
        <v>1.8618857493857496E-3</v>
      </c>
      <c r="AP34" s="42">
        <v>1.8845669533169532E-3</v>
      </c>
      <c r="AQ34" s="42">
        <v>1.9072481572481575E-3</v>
      </c>
      <c r="AR34" s="42">
        <v>1.9299293611793611E-3</v>
      </c>
      <c r="AS34" s="42">
        <v>1.9526105651105647E-3</v>
      </c>
      <c r="AT34" s="42">
        <v>1.9752917690417696E-3</v>
      </c>
      <c r="AU34" s="42">
        <v>1.9979729729729728E-3</v>
      </c>
      <c r="AV34" s="42">
        <v>2.0184735872235877E-3</v>
      </c>
      <c r="AW34" s="42">
        <v>2.0389742014742013E-3</v>
      </c>
      <c r="AX34" s="42">
        <v>2.0594748157248153E-3</v>
      </c>
      <c r="AY34" s="42">
        <v>2.0799754299754298E-3</v>
      </c>
      <c r="AZ34" s="42">
        <v>2.1004760442260443E-3</v>
      </c>
      <c r="BA34" s="42">
        <v>2.1209766584766587E-3</v>
      </c>
      <c r="BB34" s="42">
        <v>2.1414772727272723E-3</v>
      </c>
      <c r="BC34" s="42">
        <v>2.1619778869778868E-3</v>
      </c>
      <c r="BD34" s="42">
        <v>2.1824785012285013E-3</v>
      </c>
      <c r="BE34" s="42">
        <v>2.2029791154791153E-3</v>
      </c>
      <c r="BF34" s="42">
        <v>2.2234797297297293E-3</v>
      </c>
      <c r="BG34" s="42">
        <v>2.2439803439803438E-3</v>
      </c>
      <c r="BH34" s="42">
        <v>2.2644809582309583E-3</v>
      </c>
      <c r="BI34" s="42">
        <v>2.2849815724815723E-3</v>
      </c>
      <c r="BJ34" s="42">
        <v>2.3054821867321868E-3</v>
      </c>
      <c r="BK34" s="42">
        <v>2.3259828009828008E-3</v>
      </c>
      <c r="BL34" s="42">
        <v>2.3464834152334153E-3</v>
      </c>
      <c r="BM34" s="42">
        <v>2.3669840294840293E-3</v>
      </c>
      <c r="BN34" s="42">
        <v>2.3874846437346438E-3</v>
      </c>
      <c r="BO34" s="42">
        <v>2.4079852579852574E-3</v>
      </c>
      <c r="BP34" s="42">
        <v>2.4284858722358718E-3</v>
      </c>
      <c r="BQ34" s="42">
        <v>2.4489864864864859E-3</v>
      </c>
      <c r="BR34" s="42">
        <v>2.4694871007371003E-3</v>
      </c>
      <c r="BS34" s="42">
        <v>2.4899877149877148E-3</v>
      </c>
      <c r="BT34" s="42">
        <v>2.5104883292383293E-3</v>
      </c>
      <c r="BU34" s="42">
        <v>2.5309889434889433E-3</v>
      </c>
      <c r="BV34" s="42">
        <v>2.5514895577395573E-3</v>
      </c>
      <c r="BW34" s="42">
        <v>2.5719901719901722E-3</v>
      </c>
      <c r="BX34" s="42">
        <v>2.5924907862407863E-3</v>
      </c>
      <c r="BY34" s="42">
        <v>2.6129914004914007E-3</v>
      </c>
      <c r="BZ34" s="42">
        <v>2.6334920147420139E-3</v>
      </c>
      <c r="CA34" s="42">
        <v>2.6539926289926284E-3</v>
      </c>
      <c r="CB34" s="42">
        <v>2.6744932432432428E-3</v>
      </c>
      <c r="CC34" s="42">
        <v>2.6949938574938573E-3</v>
      </c>
      <c r="CD34" s="42">
        <v>2.7154944717444713E-3</v>
      </c>
      <c r="CE34" s="42">
        <v>2.7359950859950858E-3</v>
      </c>
      <c r="CF34" s="42">
        <v>2.7564957002457007E-3</v>
      </c>
      <c r="CG34" s="42">
        <v>2.7769963144963143E-3</v>
      </c>
      <c r="CH34" s="42">
        <v>2.7974969287469288E-3</v>
      </c>
      <c r="CI34" s="42">
        <v>2.8179975429975424E-3</v>
      </c>
      <c r="CJ34" s="42">
        <v>2.8384981572481573E-3</v>
      </c>
      <c r="CK34" s="42">
        <v>2.8589987714987713E-3</v>
      </c>
      <c r="CL34" s="42">
        <v>2.8794993857493853E-3</v>
      </c>
      <c r="CM34" s="42">
        <v>2.8999999999999998E-3</v>
      </c>
    </row>
    <row r="35" spans="1:91" x14ac:dyDescent="0.25">
      <c r="A35" s="13" t="s">
        <v>1</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2">
        <v>6.1522727272727278E-2</v>
      </c>
      <c r="AG35" s="42">
        <v>6.1954545454545457E-2</v>
      </c>
      <c r="AH35" s="42">
        <v>6.2386363636363643E-2</v>
      </c>
      <c r="AI35" s="42">
        <v>6.2818181818181829E-2</v>
      </c>
      <c r="AJ35" s="42">
        <v>6.3250000000000001E-2</v>
      </c>
      <c r="AK35" s="42">
        <v>6.3681818181818187E-2</v>
      </c>
      <c r="AL35" s="42">
        <v>6.4113636363636373E-2</v>
      </c>
      <c r="AM35" s="42">
        <v>6.4545454545454545E-2</v>
      </c>
      <c r="AN35" s="42">
        <v>6.4977272727272731E-2</v>
      </c>
      <c r="AO35" s="42">
        <v>6.5409090909090917E-2</v>
      </c>
      <c r="AP35" s="42">
        <v>6.5840909090909089E-2</v>
      </c>
      <c r="AQ35" s="42">
        <v>6.6272727272727275E-2</v>
      </c>
      <c r="AR35" s="42">
        <v>6.6704545454545461E-2</v>
      </c>
      <c r="AS35" s="42">
        <v>6.7136363636363633E-2</v>
      </c>
      <c r="AT35" s="42">
        <v>6.7568181818181819E-2</v>
      </c>
      <c r="AU35" s="42">
        <v>6.8000000000000005E-2</v>
      </c>
      <c r="AV35" s="42">
        <v>6.881818181818182E-2</v>
      </c>
      <c r="AW35" s="42">
        <v>6.9636363636363635E-2</v>
      </c>
      <c r="AX35" s="42">
        <v>7.0454545454545464E-2</v>
      </c>
      <c r="AY35" s="42">
        <v>7.1272727272727279E-2</v>
      </c>
      <c r="AZ35" s="42">
        <v>7.2090909090909094E-2</v>
      </c>
      <c r="BA35" s="42">
        <v>7.290909090909091E-2</v>
      </c>
      <c r="BB35" s="42">
        <v>7.3727272727272725E-2</v>
      </c>
      <c r="BC35" s="42">
        <v>7.4545454545454554E-2</v>
      </c>
      <c r="BD35" s="42">
        <v>7.5363636363636369E-2</v>
      </c>
      <c r="BE35" s="42">
        <v>7.6181818181818184E-2</v>
      </c>
      <c r="BF35" s="42">
        <v>7.6999999999999999E-2</v>
      </c>
      <c r="BG35" s="42">
        <v>7.7818181818181814E-2</v>
      </c>
      <c r="BH35" s="42">
        <v>7.8636363636363643E-2</v>
      </c>
      <c r="BI35" s="42">
        <v>7.9454545454545458E-2</v>
      </c>
      <c r="BJ35" s="42">
        <v>8.0272727272727273E-2</v>
      </c>
      <c r="BK35" s="42">
        <v>8.1090909090909088E-2</v>
      </c>
      <c r="BL35" s="42">
        <v>8.1909090909090904E-2</v>
      </c>
      <c r="BM35" s="42">
        <v>8.2727272727272733E-2</v>
      </c>
      <c r="BN35" s="42">
        <v>8.3545454545454548E-2</v>
      </c>
      <c r="BO35" s="42">
        <v>8.4363636363636363E-2</v>
      </c>
      <c r="BP35" s="42">
        <v>8.5181818181818178E-2</v>
      </c>
      <c r="BQ35" s="42">
        <v>8.5999999999999993E-2</v>
      </c>
      <c r="BR35" s="42">
        <v>8.6818181818181822E-2</v>
      </c>
      <c r="BS35" s="42">
        <v>8.7636363636363637E-2</v>
      </c>
      <c r="BT35" s="42">
        <v>8.8454545454545452E-2</v>
      </c>
      <c r="BU35" s="42">
        <v>8.9272727272727267E-2</v>
      </c>
      <c r="BV35" s="42">
        <v>9.0090909090909083E-2</v>
      </c>
      <c r="BW35" s="42">
        <v>9.0909090909090912E-2</v>
      </c>
      <c r="BX35" s="42">
        <v>9.1727272727272727E-2</v>
      </c>
      <c r="BY35" s="42">
        <v>9.2545454545454542E-2</v>
      </c>
      <c r="BZ35" s="42">
        <v>9.3363636363636357E-2</v>
      </c>
      <c r="CA35" s="42">
        <v>9.4181818181818172E-2</v>
      </c>
      <c r="CB35" s="42">
        <v>9.5000000000000001E-2</v>
      </c>
      <c r="CC35" s="42">
        <v>9.5818181818181816E-2</v>
      </c>
      <c r="CD35" s="42">
        <v>9.6636363636363631E-2</v>
      </c>
      <c r="CE35" s="42">
        <v>9.7454545454545446E-2</v>
      </c>
      <c r="CF35" s="42">
        <v>9.8272727272727262E-2</v>
      </c>
      <c r="CG35" s="42">
        <v>9.9090909090909091E-2</v>
      </c>
      <c r="CH35" s="42">
        <v>9.9909090909090906E-2</v>
      </c>
      <c r="CI35" s="42">
        <v>0.10072727272727272</v>
      </c>
      <c r="CJ35" s="42">
        <v>0.10154545454545455</v>
      </c>
      <c r="CK35" s="42">
        <v>0.10236363636363635</v>
      </c>
      <c r="CL35" s="42">
        <v>0.10318181818181818</v>
      </c>
      <c r="CM35" s="42">
        <v>0.104</v>
      </c>
    </row>
    <row r="37" spans="1:91" x14ac:dyDescent="0.25">
      <c r="A37" s="13" t="s">
        <v>15</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15">
        <v>9.6590909090909095E-4</v>
      </c>
      <c r="AG37" s="15">
        <v>9.6818181818181823E-4</v>
      </c>
      <c r="AH37" s="15">
        <v>9.704545454545454E-4</v>
      </c>
      <c r="AI37" s="15">
        <v>9.7272727272727268E-4</v>
      </c>
      <c r="AJ37" s="15">
        <v>9.7499999999999996E-4</v>
      </c>
      <c r="AK37" s="15">
        <v>9.7727272727272723E-4</v>
      </c>
      <c r="AL37" s="15">
        <v>9.7954545454545451E-4</v>
      </c>
      <c r="AM37" s="15">
        <v>9.8181818181818179E-4</v>
      </c>
      <c r="AN37" s="15">
        <v>9.8409090909090907E-4</v>
      </c>
      <c r="AO37" s="15">
        <v>9.8636363636363635E-4</v>
      </c>
      <c r="AP37" s="15">
        <v>9.8863636363636363E-4</v>
      </c>
      <c r="AQ37" s="15">
        <v>9.9090909090909091E-4</v>
      </c>
      <c r="AR37" s="15">
        <v>9.9318181818181818E-4</v>
      </c>
      <c r="AS37" s="15">
        <v>9.9545454545454546E-4</v>
      </c>
      <c r="AT37" s="15">
        <v>9.9772727272727274E-4</v>
      </c>
      <c r="AU37" s="15">
        <v>1E-3</v>
      </c>
      <c r="AV37" s="15">
        <v>1.0363636363636365E-3</v>
      </c>
      <c r="AW37" s="15">
        <v>1.0727272727272727E-3</v>
      </c>
      <c r="AX37" s="15">
        <v>1.1090909090909092E-3</v>
      </c>
      <c r="AY37" s="15">
        <v>1.1454545454545454E-3</v>
      </c>
      <c r="AZ37" s="15">
        <v>1.1818181818181819E-3</v>
      </c>
      <c r="BA37" s="15">
        <v>1.2181818181818181E-3</v>
      </c>
      <c r="BB37" s="15">
        <v>1.2545454545454546E-3</v>
      </c>
      <c r="BC37" s="15">
        <v>1.2909090909090908E-3</v>
      </c>
      <c r="BD37" s="15">
        <v>1.3272727272727273E-3</v>
      </c>
      <c r="BE37" s="15">
        <v>1.3636363636363635E-3</v>
      </c>
      <c r="BF37" s="15">
        <v>1.4E-3</v>
      </c>
      <c r="BG37" s="15">
        <v>1.4363636363636362E-3</v>
      </c>
      <c r="BH37" s="15">
        <v>1.4727272727272727E-3</v>
      </c>
      <c r="BI37" s="15">
        <v>1.5090909090909091E-3</v>
      </c>
      <c r="BJ37" s="15">
        <v>1.5454545454545454E-3</v>
      </c>
      <c r="BK37" s="15">
        <v>1.5818181818181816E-3</v>
      </c>
      <c r="BL37" s="15">
        <v>1.6181818181818181E-3</v>
      </c>
      <c r="BM37" s="15">
        <v>1.6545454545454545E-3</v>
      </c>
      <c r="BN37" s="15">
        <v>1.6909090909090908E-3</v>
      </c>
      <c r="BO37" s="15">
        <v>1.727272727272727E-3</v>
      </c>
      <c r="BP37" s="15">
        <v>1.7636363636363635E-3</v>
      </c>
      <c r="BQ37" s="15">
        <v>1.8E-3</v>
      </c>
      <c r="BR37" s="15">
        <v>1.8363636363636362E-3</v>
      </c>
      <c r="BS37" s="15">
        <v>1.8727272727272727E-3</v>
      </c>
      <c r="BT37" s="15">
        <v>1.9090909090909089E-3</v>
      </c>
      <c r="BU37" s="15">
        <v>1.9454545454545454E-3</v>
      </c>
      <c r="BV37" s="15">
        <v>1.9818181818181818E-3</v>
      </c>
      <c r="BW37" s="15">
        <v>2.0181818181818183E-3</v>
      </c>
      <c r="BX37" s="15">
        <v>2.0545454545454543E-3</v>
      </c>
      <c r="BY37" s="15">
        <v>2.0909090909090908E-3</v>
      </c>
      <c r="BZ37" s="15">
        <v>2.1272727272727268E-3</v>
      </c>
      <c r="CA37" s="15">
        <v>2.1636363636363632E-3</v>
      </c>
      <c r="CB37" s="15">
        <v>2.1999999999999997E-3</v>
      </c>
      <c r="CC37" s="15">
        <v>2.2363636363636362E-3</v>
      </c>
      <c r="CD37" s="15">
        <v>2.2727272727272726E-3</v>
      </c>
      <c r="CE37" s="15">
        <v>2.3090909090909091E-3</v>
      </c>
      <c r="CF37" s="15">
        <v>2.3454545454545455E-3</v>
      </c>
      <c r="CG37" s="15">
        <v>2.3818181818181816E-3</v>
      </c>
      <c r="CH37" s="15">
        <v>2.418181818181818E-3</v>
      </c>
      <c r="CI37" s="15">
        <v>2.454545454545454E-3</v>
      </c>
      <c r="CJ37" s="15">
        <v>2.4909090909090905E-3</v>
      </c>
      <c r="CK37" s="15">
        <v>2.527272727272727E-3</v>
      </c>
      <c r="CL37" s="15">
        <v>2.5636363636363634E-3</v>
      </c>
      <c r="CM37" s="15">
        <v>2.5999999999999999E-3</v>
      </c>
    </row>
    <row r="38" spans="1:91" x14ac:dyDescent="0.25">
      <c r="A38" s="13"/>
    </row>
    <row r="39" spans="1:91" x14ac:dyDescent="0.25">
      <c r="A39" s="13" t="s">
        <v>14</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15">
        <v>8.6618671127481966E-4</v>
      </c>
      <c r="AG39" s="15">
        <v>8.7332065560907562E-4</v>
      </c>
      <c r="AH39" s="15">
        <v>8.8045459994333169E-4</v>
      </c>
      <c r="AI39" s="15">
        <v>8.8758854427758765E-4</v>
      </c>
      <c r="AJ39" s="15">
        <v>8.9472248861184372E-4</v>
      </c>
      <c r="AK39" s="15">
        <v>9.0185643294609969E-4</v>
      </c>
      <c r="AL39" s="15">
        <v>9.0899037728035576E-4</v>
      </c>
      <c r="AM39" s="15">
        <v>9.1612432161461172E-4</v>
      </c>
      <c r="AN39" s="15">
        <v>9.2325826594886768E-4</v>
      </c>
      <c r="AO39" s="15">
        <v>9.3039221028312375E-4</v>
      </c>
      <c r="AP39" s="15">
        <v>9.3752615461737982E-4</v>
      </c>
      <c r="AQ39" s="15">
        <v>9.4466009895163578E-4</v>
      </c>
      <c r="AR39" s="15">
        <v>9.5179404328589175E-4</v>
      </c>
      <c r="AS39" s="15">
        <v>9.5892798762014782E-4</v>
      </c>
      <c r="AT39" s="15">
        <v>9.6606193195440389E-4</v>
      </c>
      <c r="AU39" s="15">
        <v>9.7319587628865985E-4</v>
      </c>
      <c r="AV39" s="15">
        <v>9.9072164948453621E-4</v>
      </c>
      <c r="AW39" s="15">
        <v>1.0082474226804125E-3</v>
      </c>
      <c r="AX39" s="15">
        <v>1.0257731958762887E-3</v>
      </c>
      <c r="AY39" s="15">
        <v>1.043298969072165E-3</v>
      </c>
      <c r="AZ39" s="15">
        <v>1.0608247422680412E-3</v>
      </c>
      <c r="BA39" s="15">
        <v>1.0783505154639175E-3</v>
      </c>
      <c r="BB39" s="15">
        <v>1.095876288659794E-3</v>
      </c>
      <c r="BC39" s="15">
        <v>1.1134020618556702E-3</v>
      </c>
      <c r="BD39" s="15">
        <v>1.1309278350515465E-3</v>
      </c>
      <c r="BE39" s="15">
        <v>1.1484536082474227E-3</v>
      </c>
      <c r="BF39" s="15">
        <v>1.165979381443299E-3</v>
      </c>
      <c r="BG39" s="15">
        <v>1.1835051546391752E-3</v>
      </c>
      <c r="BH39" s="15">
        <v>1.2010309278350515E-3</v>
      </c>
      <c r="BI39" s="15">
        <v>1.2185567010309277E-3</v>
      </c>
      <c r="BJ39" s="15">
        <v>1.236082474226804E-3</v>
      </c>
      <c r="BK39" s="15">
        <v>1.2536082474226805E-3</v>
      </c>
      <c r="BL39" s="15">
        <v>1.2711340206185567E-3</v>
      </c>
      <c r="BM39" s="15">
        <v>1.288659793814433E-3</v>
      </c>
      <c r="BN39" s="15">
        <v>1.3061855670103092E-3</v>
      </c>
      <c r="BO39" s="15">
        <v>1.3237113402061855E-3</v>
      </c>
      <c r="BP39" s="15">
        <v>1.3412371134020619E-3</v>
      </c>
      <c r="BQ39" s="15">
        <v>1.3587628865979382E-3</v>
      </c>
      <c r="BR39" s="15">
        <v>1.3762886597938145E-3</v>
      </c>
      <c r="BS39" s="15">
        <v>1.3938144329896907E-3</v>
      </c>
      <c r="BT39" s="15">
        <v>1.411340206185567E-3</v>
      </c>
      <c r="BU39" s="15">
        <v>1.4288659793814432E-3</v>
      </c>
      <c r="BV39" s="15">
        <v>1.4463917525773195E-3</v>
      </c>
      <c r="BW39" s="15">
        <v>1.4639175257731957E-3</v>
      </c>
      <c r="BX39" s="15">
        <v>1.481443298969072E-3</v>
      </c>
      <c r="BY39" s="15">
        <v>1.4989690721649482E-3</v>
      </c>
      <c r="BZ39" s="15">
        <v>1.5164948453608247E-3</v>
      </c>
      <c r="CA39" s="15">
        <v>1.534020618556701E-3</v>
      </c>
      <c r="CB39" s="15">
        <v>1.5515463917525772E-3</v>
      </c>
      <c r="CC39" s="15">
        <v>1.5690721649484537E-3</v>
      </c>
      <c r="CD39" s="15">
        <v>1.5865979381443299E-3</v>
      </c>
      <c r="CE39" s="15">
        <v>1.6041237113402062E-3</v>
      </c>
      <c r="CF39" s="15">
        <v>1.6216494845360824E-3</v>
      </c>
      <c r="CG39" s="15">
        <v>1.6391752577319587E-3</v>
      </c>
      <c r="CH39" s="15">
        <v>1.656701030927835E-3</v>
      </c>
      <c r="CI39" s="15">
        <v>1.6742268041237112E-3</v>
      </c>
      <c r="CJ39" s="15">
        <v>1.6917525773195875E-3</v>
      </c>
      <c r="CK39" s="15">
        <v>1.7092783505154637E-3</v>
      </c>
      <c r="CL39" s="15">
        <v>1.72680412371134E-3</v>
      </c>
      <c r="CM39" s="15">
        <v>1.7443298969072164E-3</v>
      </c>
    </row>
    <row r="41" spans="1:91" x14ac:dyDescent="0.25">
      <c r="A41" s="13" t="s">
        <v>16</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15">
        <v>5.0675000000000008E-3</v>
      </c>
      <c r="AG41" s="15">
        <v>5.1450000000000003E-3</v>
      </c>
      <c r="AH41" s="15">
        <v>5.2225000000000006E-3</v>
      </c>
      <c r="AI41" s="15">
        <v>5.3000000000000009E-3</v>
      </c>
      <c r="AJ41" s="15">
        <v>5.3775000000000003E-3</v>
      </c>
      <c r="AK41" s="15">
        <v>5.4550000000000006E-3</v>
      </c>
      <c r="AL41" s="15">
        <v>5.532500000000001E-3</v>
      </c>
      <c r="AM41" s="15">
        <v>5.6100000000000004E-3</v>
      </c>
      <c r="AN41" s="15">
        <v>5.6874999999999998E-3</v>
      </c>
      <c r="AO41" s="15">
        <v>5.765000000000001E-3</v>
      </c>
      <c r="AP41" s="15">
        <v>5.8425000000000005E-3</v>
      </c>
      <c r="AQ41" s="15">
        <v>5.9199999999999999E-3</v>
      </c>
      <c r="AR41" s="15">
        <v>5.9975000000000011E-3</v>
      </c>
      <c r="AS41" s="15">
        <v>6.0750000000000005E-3</v>
      </c>
      <c r="AT41" s="15">
        <v>6.1525E-3</v>
      </c>
      <c r="AU41" s="15">
        <v>6.2300000000000003E-3</v>
      </c>
      <c r="AV41" s="15">
        <v>6.2575E-3</v>
      </c>
      <c r="AW41" s="15">
        <v>6.2850000000000007E-3</v>
      </c>
      <c r="AX41" s="15">
        <v>6.3125000000000004E-3</v>
      </c>
      <c r="AY41" s="15">
        <v>6.3400000000000001E-3</v>
      </c>
      <c r="AZ41" s="15">
        <v>6.3674999999999999E-3</v>
      </c>
      <c r="BA41" s="15">
        <v>6.3950000000000005E-3</v>
      </c>
      <c r="BB41" s="15">
        <v>6.4225000000000003E-3</v>
      </c>
      <c r="BC41" s="15">
        <v>6.45E-3</v>
      </c>
      <c r="BD41" s="15">
        <v>6.4774999999999998E-3</v>
      </c>
      <c r="BE41" s="15">
        <v>6.5050000000000004E-3</v>
      </c>
      <c r="BF41" s="15">
        <v>6.5325000000000001E-3</v>
      </c>
      <c r="BG41" s="15">
        <v>6.5599999999999999E-3</v>
      </c>
      <c r="BH41" s="15">
        <v>6.5875000000000005E-3</v>
      </c>
      <c r="BI41" s="15">
        <v>6.6150000000000002E-3</v>
      </c>
      <c r="BJ41" s="15">
        <v>6.6425E-3</v>
      </c>
      <c r="BK41" s="15">
        <v>6.6699999999999997E-3</v>
      </c>
      <c r="BL41" s="15">
        <v>6.6975000000000003E-3</v>
      </c>
      <c r="BM41" s="15">
        <v>6.7250000000000001E-3</v>
      </c>
      <c r="BN41" s="15">
        <v>6.7524999999999998E-3</v>
      </c>
      <c r="BO41" s="15">
        <v>6.7799999999999996E-3</v>
      </c>
      <c r="BP41" s="15">
        <v>6.8075000000000002E-3</v>
      </c>
      <c r="BQ41" s="15">
        <v>6.8349999999999999E-3</v>
      </c>
      <c r="BR41" s="15">
        <v>6.8624999999999997E-3</v>
      </c>
      <c r="BS41" s="15">
        <v>6.8900000000000003E-3</v>
      </c>
      <c r="BT41" s="15">
        <v>6.9175E-3</v>
      </c>
      <c r="BU41" s="15">
        <v>6.9449999999999998E-3</v>
      </c>
      <c r="BV41" s="15">
        <v>6.9724999999999995E-3</v>
      </c>
      <c r="BW41" s="15">
        <v>7.0000000000000001E-3</v>
      </c>
      <c r="BX41" s="15">
        <v>7.0274999999999999E-3</v>
      </c>
      <c r="BY41" s="15">
        <v>7.0549999999999996E-3</v>
      </c>
      <c r="BZ41" s="15">
        <v>7.0825000000000003E-3</v>
      </c>
      <c r="CA41" s="15">
        <v>7.11E-3</v>
      </c>
      <c r="CB41" s="15">
        <v>7.1374999999999997E-3</v>
      </c>
      <c r="CC41" s="15">
        <v>7.1649999999999995E-3</v>
      </c>
      <c r="CD41" s="15">
        <v>7.1925000000000001E-3</v>
      </c>
      <c r="CE41" s="15">
        <v>7.2199999999999999E-3</v>
      </c>
      <c r="CF41" s="15">
        <v>7.2474999999999996E-3</v>
      </c>
      <c r="CG41" s="15">
        <v>7.2750000000000002E-3</v>
      </c>
      <c r="CH41" s="15">
        <v>7.3025E-3</v>
      </c>
      <c r="CI41" s="15">
        <v>7.3299999999999997E-3</v>
      </c>
      <c r="CJ41" s="15">
        <v>7.3574999999999995E-3</v>
      </c>
      <c r="CK41" s="15">
        <v>7.3849999999999992E-3</v>
      </c>
      <c r="CL41" s="15">
        <v>7.4124999999999998E-3</v>
      </c>
      <c r="CM41" s="15">
        <v>7.4399999999999996E-3</v>
      </c>
    </row>
    <row r="42" spans="1:91" x14ac:dyDescent="0.25">
      <c r="A42" s="13" t="s">
        <v>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15">
        <v>2.3129545454545456E-3</v>
      </c>
      <c r="AG42" s="15">
        <v>2.3440909090909094E-3</v>
      </c>
      <c r="AH42" s="15">
        <v>2.3752272727272728E-3</v>
      </c>
      <c r="AI42" s="15">
        <v>2.4063636363636366E-3</v>
      </c>
      <c r="AJ42" s="15">
        <v>2.4375000000000004E-3</v>
      </c>
      <c r="AK42" s="15">
        <v>2.4686363636363638E-3</v>
      </c>
      <c r="AL42" s="15">
        <v>2.4997727272727276E-3</v>
      </c>
      <c r="AM42" s="15">
        <v>2.5309090909090915E-3</v>
      </c>
      <c r="AN42" s="15">
        <v>2.5620454545454549E-3</v>
      </c>
      <c r="AO42" s="15">
        <v>2.5931818181818183E-3</v>
      </c>
      <c r="AP42" s="15">
        <v>2.6243181818181821E-3</v>
      </c>
      <c r="AQ42" s="15">
        <v>2.6554545454545459E-3</v>
      </c>
      <c r="AR42" s="15">
        <v>2.6865909090909093E-3</v>
      </c>
      <c r="AS42" s="15">
        <v>2.7177272727272731E-3</v>
      </c>
      <c r="AT42" s="15">
        <v>2.748863636363637E-3</v>
      </c>
      <c r="AU42" s="15">
        <v>2.7800000000000004E-3</v>
      </c>
      <c r="AV42" s="15">
        <v>2.7993181818181823E-3</v>
      </c>
      <c r="AW42" s="15">
        <v>2.8186363636363639E-3</v>
      </c>
      <c r="AX42" s="15">
        <v>2.8379545454545459E-3</v>
      </c>
      <c r="AY42" s="15">
        <v>2.8572727272727274E-3</v>
      </c>
      <c r="AZ42" s="15">
        <v>2.8765909090909094E-3</v>
      </c>
      <c r="BA42" s="15">
        <v>2.8959090909090913E-3</v>
      </c>
      <c r="BB42" s="15">
        <v>2.9152272727272729E-3</v>
      </c>
      <c r="BC42" s="15">
        <v>2.9345454545454549E-3</v>
      </c>
      <c r="BD42" s="15">
        <v>2.9538636363636368E-3</v>
      </c>
      <c r="BE42" s="15">
        <v>2.9731818181818184E-3</v>
      </c>
      <c r="BF42" s="15">
        <v>2.9925000000000004E-3</v>
      </c>
      <c r="BG42" s="15">
        <v>3.0118181818181819E-3</v>
      </c>
      <c r="BH42" s="15">
        <v>3.0311363636363639E-3</v>
      </c>
      <c r="BI42" s="15">
        <v>3.0504545454545459E-3</v>
      </c>
      <c r="BJ42" s="15">
        <v>3.0697727272727274E-3</v>
      </c>
      <c r="BK42" s="15">
        <v>3.0890909090909094E-3</v>
      </c>
      <c r="BL42" s="15">
        <v>3.1084090909090914E-3</v>
      </c>
      <c r="BM42" s="15">
        <v>3.1277272727272729E-3</v>
      </c>
      <c r="BN42" s="15">
        <v>3.1470454545454549E-3</v>
      </c>
      <c r="BO42" s="15">
        <v>3.1663636363636364E-3</v>
      </c>
      <c r="BP42" s="15">
        <v>3.1856818181818184E-3</v>
      </c>
      <c r="BQ42" s="15">
        <v>3.2050000000000004E-3</v>
      </c>
      <c r="BR42" s="15">
        <v>3.2243181818181819E-3</v>
      </c>
      <c r="BS42" s="15">
        <v>3.2436363636363639E-3</v>
      </c>
      <c r="BT42" s="15">
        <v>3.2629545454545454E-3</v>
      </c>
      <c r="BU42" s="15">
        <v>3.2822727272727274E-3</v>
      </c>
      <c r="BV42" s="15">
        <v>3.3015909090909094E-3</v>
      </c>
      <c r="BW42" s="15">
        <v>3.3209090909090909E-3</v>
      </c>
      <c r="BX42" s="15">
        <v>3.3402272727272729E-3</v>
      </c>
      <c r="BY42" s="15">
        <v>3.3595454545454545E-3</v>
      </c>
      <c r="BZ42" s="15">
        <v>3.3788636363636364E-3</v>
      </c>
      <c r="CA42" s="15">
        <v>3.3981818181818184E-3</v>
      </c>
      <c r="CB42" s="15">
        <v>3.4175E-3</v>
      </c>
      <c r="CC42" s="15">
        <v>3.4368181818181819E-3</v>
      </c>
      <c r="CD42" s="15">
        <v>3.4561363636363635E-3</v>
      </c>
      <c r="CE42" s="15">
        <v>3.4754545454545455E-3</v>
      </c>
      <c r="CF42" s="15">
        <v>3.4947727272727274E-3</v>
      </c>
      <c r="CG42" s="15">
        <v>3.5140909090909094E-3</v>
      </c>
      <c r="CH42" s="15">
        <v>3.533409090909091E-3</v>
      </c>
      <c r="CI42" s="15">
        <v>3.5527272727272729E-3</v>
      </c>
      <c r="CJ42" s="15">
        <v>3.5720454545454545E-3</v>
      </c>
      <c r="CK42" s="15">
        <v>3.5913636363636365E-3</v>
      </c>
      <c r="CL42" s="15">
        <v>3.6106818181818184E-3</v>
      </c>
      <c r="CM42" s="15">
        <v>3.63E-3</v>
      </c>
    </row>
    <row r="43" spans="1:91" x14ac:dyDescent="0.25">
      <c r="A43" s="13" t="s">
        <v>1</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15">
        <v>3.4209090909090912E-3</v>
      </c>
      <c r="AG43" s="15">
        <v>3.4681818181818186E-3</v>
      </c>
      <c r="AH43" s="15">
        <v>3.5154545454545456E-3</v>
      </c>
      <c r="AI43" s="15">
        <v>3.562727272727273E-3</v>
      </c>
      <c r="AJ43" s="15">
        <v>3.6100000000000004E-3</v>
      </c>
      <c r="AK43" s="15">
        <v>3.6572727272727278E-3</v>
      </c>
      <c r="AL43" s="15">
        <v>3.7045454545454552E-3</v>
      </c>
      <c r="AM43" s="15">
        <v>3.7518181818181826E-3</v>
      </c>
      <c r="AN43" s="15">
        <v>3.7990909090909099E-3</v>
      </c>
      <c r="AO43" s="15">
        <v>3.8463636363636369E-3</v>
      </c>
      <c r="AP43" s="15">
        <v>3.8936363636363643E-3</v>
      </c>
      <c r="AQ43" s="15">
        <v>3.9409090909090913E-3</v>
      </c>
      <c r="AR43" s="15">
        <v>3.9881818181818187E-3</v>
      </c>
      <c r="AS43" s="15">
        <v>4.0354545454545461E-3</v>
      </c>
      <c r="AT43" s="15">
        <v>4.0827272727272735E-3</v>
      </c>
      <c r="AU43" s="15">
        <v>4.1300000000000009E-3</v>
      </c>
      <c r="AV43" s="15">
        <v>4.1579545454545463E-3</v>
      </c>
      <c r="AW43" s="15">
        <v>4.1859090909090917E-3</v>
      </c>
      <c r="AX43" s="15">
        <v>4.2138636363636371E-3</v>
      </c>
      <c r="AY43" s="15">
        <v>4.2418181818181825E-3</v>
      </c>
      <c r="AZ43" s="15">
        <v>4.269772727272728E-3</v>
      </c>
      <c r="BA43" s="15">
        <v>4.2977272727272734E-3</v>
      </c>
      <c r="BB43" s="15">
        <v>4.3256818181818188E-3</v>
      </c>
      <c r="BC43" s="15">
        <v>4.3536363636363642E-3</v>
      </c>
      <c r="BD43" s="15">
        <v>4.3815909090909096E-3</v>
      </c>
      <c r="BE43" s="15">
        <v>4.4095454545454551E-3</v>
      </c>
      <c r="BF43" s="15">
        <v>4.4375000000000005E-3</v>
      </c>
      <c r="BG43" s="15">
        <v>4.4654545454545459E-3</v>
      </c>
      <c r="BH43" s="15">
        <v>4.4934090909090913E-3</v>
      </c>
      <c r="BI43" s="15">
        <v>4.5213636363636367E-3</v>
      </c>
      <c r="BJ43" s="15">
        <v>4.5493181818181821E-3</v>
      </c>
      <c r="BK43" s="15">
        <v>4.5772727272727276E-3</v>
      </c>
      <c r="BL43" s="15">
        <v>4.605227272727273E-3</v>
      </c>
      <c r="BM43" s="15">
        <v>4.6331818181818184E-3</v>
      </c>
      <c r="BN43" s="15">
        <v>4.6611363636363638E-3</v>
      </c>
      <c r="BO43" s="15">
        <v>4.6890909090909101E-3</v>
      </c>
      <c r="BP43" s="15">
        <v>4.7170454545454547E-3</v>
      </c>
      <c r="BQ43" s="15">
        <v>4.745000000000001E-3</v>
      </c>
      <c r="BR43" s="15">
        <v>4.7729545454545455E-3</v>
      </c>
      <c r="BS43" s="15">
        <v>4.8009090909090918E-3</v>
      </c>
      <c r="BT43" s="15">
        <v>4.8288636363636372E-3</v>
      </c>
      <c r="BU43" s="15">
        <v>4.8568181818181826E-3</v>
      </c>
      <c r="BV43" s="15">
        <v>4.8847727272727281E-3</v>
      </c>
      <c r="BW43" s="15">
        <v>4.9127272727272735E-3</v>
      </c>
      <c r="BX43" s="15">
        <v>4.9406818181818189E-3</v>
      </c>
      <c r="BY43" s="15">
        <v>4.9686363636363643E-3</v>
      </c>
      <c r="BZ43" s="15">
        <v>4.9965909090909097E-3</v>
      </c>
      <c r="CA43" s="15">
        <v>5.0245454545454551E-3</v>
      </c>
      <c r="CB43" s="15">
        <v>5.0525000000000006E-3</v>
      </c>
      <c r="CC43" s="15">
        <v>5.080454545454546E-3</v>
      </c>
      <c r="CD43" s="15">
        <v>5.1084090909090914E-3</v>
      </c>
      <c r="CE43" s="15">
        <v>5.1363636363636368E-3</v>
      </c>
      <c r="CF43" s="15">
        <v>5.1643181818181822E-3</v>
      </c>
      <c r="CG43" s="15">
        <v>5.1922727272727277E-3</v>
      </c>
      <c r="CH43" s="15">
        <v>5.2202272727272731E-3</v>
      </c>
      <c r="CI43" s="15">
        <v>5.2481818181818185E-3</v>
      </c>
      <c r="CJ43" s="15">
        <v>5.2761363636363639E-3</v>
      </c>
      <c r="CK43" s="15">
        <v>5.3040909090909093E-3</v>
      </c>
      <c r="CL43" s="15">
        <v>5.3320454545454548E-3</v>
      </c>
      <c r="CM43" s="15">
        <v>5.3600000000000002E-3</v>
      </c>
    </row>
    <row r="44" spans="1:91" x14ac:dyDescent="0.25">
      <c r="A44" s="13" t="s">
        <v>1</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15">
        <v>1.4251346260975674E-3</v>
      </c>
      <c r="AG44" s="15">
        <v>1.4394010133432368E-3</v>
      </c>
      <c r="AH44" s="15">
        <v>1.4536674005889063E-3</v>
      </c>
      <c r="AI44" s="15">
        <v>1.4679337878345756E-3</v>
      </c>
      <c r="AJ44" s="15">
        <v>1.4822001750802451E-3</v>
      </c>
      <c r="AK44" s="15">
        <v>1.4964665623259145E-3</v>
      </c>
      <c r="AL44" s="15">
        <v>1.510732949571584E-3</v>
      </c>
      <c r="AM44" s="15">
        <v>1.5249993368172533E-3</v>
      </c>
      <c r="AN44" s="15">
        <v>1.5392657240629226E-3</v>
      </c>
      <c r="AO44" s="15">
        <v>1.5535321113085922E-3</v>
      </c>
      <c r="AP44" s="15">
        <v>1.5677984985542617E-3</v>
      </c>
      <c r="AQ44" s="15">
        <v>1.582064885799931E-3</v>
      </c>
      <c r="AR44" s="15">
        <v>1.5963312730456003E-3</v>
      </c>
      <c r="AS44" s="15">
        <v>1.6105976602912699E-3</v>
      </c>
      <c r="AT44" s="15">
        <v>1.6248640475369394E-3</v>
      </c>
      <c r="AU44" s="15">
        <v>1.6391304347826087E-3</v>
      </c>
      <c r="AV44" s="15">
        <v>1.6512056578914659E-3</v>
      </c>
      <c r="AW44" s="15">
        <v>1.6632808810003231E-3</v>
      </c>
      <c r="AX44" s="15">
        <v>1.6753561041091805E-3</v>
      </c>
      <c r="AY44" s="15">
        <v>1.6874313272180377E-3</v>
      </c>
      <c r="AZ44" s="15">
        <v>1.6995065503268949E-3</v>
      </c>
      <c r="BA44" s="15">
        <v>1.7115817734357521E-3</v>
      </c>
      <c r="BB44" s="15">
        <v>1.7236569965446095E-3</v>
      </c>
      <c r="BC44" s="15">
        <v>1.7357322196534667E-3</v>
      </c>
      <c r="BD44" s="15">
        <v>1.7478074427623239E-3</v>
      </c>
      <c r="BE44" s="15">
        <v>1.759882665871181E-3</v>
      </c>
      <c r="BF44" s="15">
        <v>1.7719578889800382E-3</v>
      </c>
      <c r="BG44" s="15">
        <v>1.7840331120888956E-3</v>
      </c>
      <c r="BH44" s="15">
        <v>1.7961083351977528E-3</v>
      </c>
      <c r="BI44" s="15">
        <v>1.80818355830661E-3</v>
      </c>
      <c r="BJ44" s="15">
        <v>1.8202587814154672E-3</v>
      </c>
      <c r="BK44" s="15">
        <v>1.8323340045243246E-3</v>
      </c>
      <c r="BL44" s="15">
        <v>1.8444092276331818E-3</v>
      </c>
      <c r="BM44" s="15">
        <v>1.856484450742039E-3</v>
      </c>
      <c r="BN44" s="15">
        <v>1.8685596738508962E-3</v>
      </c>
      <c r="BO44" s="15">
        <v>1.8806348969597534E-3</v>
      </c>
      <c r="BP44" s="15">
        <v>1.8927101200686108E-3</v>
      </c>
      <c r="BQ44" s="15">
        <v>1.904785343177468E-3</v>
      </c>
      <c r="BR44" s="15">
        <v>1.9168605662863252E-3</v>
      </c>
      <c r="BS44" s="15">
        <v>1.9289357893951826E-3</v>
      </c>
      <c r="BT44" s="15">
        <v>1.9410110125040398E-3</v>
      </c>
      <c r="BU44" s="15">
        <v>1.953086235612897E-3</v>
      </c>
      <c r="BV44" s="15">
        <v>1.9651614587217541E-3</v>
      </c>
      <c r="BW44" s="15">
        <v>1.9772366818306113E-3</v>
      </c>
      <c r="BX44" s="15">
        <v>1.9893119049394685E-3</v>
      </c>
      <c r="BY44" s="15">
        <v>2.0013871280483257E-3</v>
      </c>
      <c r="BZ44" s="15">
        <v>2.0134623511571829E-3</v>
      </c>
      <c r="CA44" s="15">
        <v>2.0255375742660405E-3</v>
      </c>
      <c r="CB44" s="15">
        <v>2.0376127973748977E-3</v>
      </c>
      <c r="CC44" s="15">
        <v>2.0496880204837549E-3</v>
      </c>
      <c r="CD44" s="15">
        <v>2.0617632435926121E-3</v>
      </c>
      <c r="CE44" s="15">
        <v>2.0738384667014693E-3</v>
      </c>
      <c r="CF44" s="15">
        <v>2.0859136898103265E-3</v>
      </c>
      <c r="CG44" s="15">
        <v>2.0979889129191837E-3</v>
      </c>
      <c r="CH44" s="15">
        <v>2.1100641360280409E-3</v>
      </c>
      <c r="CI44" s="15">
        <v>2.1221393591368985E-3</v>
      </c>
      <c r="CJ44" s="15">
        <v>2.1342145822457557E-3</v>
      </c>
      <c r="CK44" s="15">
        <v>2.1462898053546129E-3</v>
      </c>
      <c r="CL44" s="15">
        <v>2.1583650284634701E-3</v>
      </c>
      <c r="CM44" s="15">
        <v>2.1704402515723272E-3</v>
      </c>
    </row>
    <row r="45" spans="1:91" x14ac:dyDescent="0.25">
      <c r="A45" s="13" t="s">
        <v>1</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15">
        <v>1.6577549140049139E-3</v>
      </c>
      <c r="AG45" s="15">
        <v>1.6804361179361179E-3</v>
      </c>
      <c r="AH45" s="15">
        <v>1.7031173218673219E-3</v>
      </c>
      <c r="AI45" s="15">
        <v>1.7257985257985258E-3</v>
      </c>
      <c r="AJ45" s="15">
        <v>1.7484797297297296E-3</v>
      </c>
      <c r="AK45" s="15">
        <v>1.7711609336609336E-3</v>
      </c>
      <c r="AL45" s="15">
        <v>1.7938421375921377E-3</v>
      </c>
      <c r="AM45" s="15">
        <v>1.8165233415233415E-3</v>
      </c>
      <c r="AN45" s="15">
        <v>1.8392045454545453E-3</v>
      </c>
      <c r="AO45" s="15">
        <v>1.8618857493857494E-3</v>
      </c>
      <c r="AP45" s="15">
        <v>1.8845669533169532E-3</v>
      </c>
      <c r="AQ45" s="15">
        <v>1.907248157248157E-3</v>
      </c>
      <c r="AR45" s="15">
        <v>1.9299293611793611E-3</v>
      </c>
      <c r="AS45" s="15">
        <v>1.9526105651105651E-3</v>
      </c>
      <c r="AT45" s="15">
        <v>1.9752917690417692E-3</v>
      </c>
      <c r="AU45" s="15">
        <v>1.9979729729729728E-3</v>
      </c>
      <c r="AV45" s="15">
        <v>2.0184735872235873E-3</v>
      </c>
      <c r="AW45" s="15">
        <v>2.0389742014742013E-3</v>
      </c>
      <c r="AX45" s="15">
        <v>2.0594748157248153E-3</v>
      </c>
      <c r="AY45" s="15">
        <v>2.0799754299754298E-3</v>
      </c>
      <c r="AZ45" s="15">
        <v>2.1004760442260443E-3</v>
      </c>
      <c r="BA45" s="15">
        <v>2.1209766584766583E-3</v>
      </c>
      <c r="BB45" s="15">
        <v>2.1414772727272723E-3</v>
      </c>
      <c r="BC45" s="15">
        <v>2.1619778869778868E-3</v>
      </c>
      <c r="BD45" s="15">
        <v>2.1824785012285013E-3</v>
      </c>
      <c r="BE45" s="15">
        <v>2.2029791154791153E-3</v>
      </c>
      <c r="BF45" s="15">
        <v>2.2234797297297293E-3</v>
      </c>
      <c r="BG45" s="15">
        <v>2.2439803439803438E-3</v>
      </c>
      <c r="BH45" s="15">
        <v>2.2644809582309583E-3</v>
      </c>
      <c r="BI45" s="15">
        <v>2.2849815724815723E-3</v>
      </c>
      <c r="BJ45" s="15">
        <v>2.3054821867321863E-3</v>
      </c>
      <c r="BK45" s="15">
        <v>2.3259828009828008E-3</v>
      </c>
      <c r="BL45" s="15">
        <v>2.3464834152334153E-3</v>
      </c>
      <c r="BM45" s="15">
        <v>2.3669840294840293E-3</v>
      </c>
      <c r="BN45" s="15">
        <v>2.3874846437346433E-3</v>
      </c>
      <c r="BO45" s="15">
        <v>2.4079852579852578E-3</v>
      </c>
      <c r="BP45" s="15">
        <v>2.4284858722358723E-3</v>
      </c>
      <c r="BQ45" s="15">
        <v>2.4489864864864863E-3</v>
      </c>
      <c r="BR45" s="15">
        <v>2.4694871007371003E-3</v>
      </c>
      <c r="BS45" s="15">
        <v>2.4899877149877148E-3</v>
      </c>
      <c r="BT45" s="15">
        <v>2.5104883292383293E-3</v>
      </c>
      <c r="BU45" s="15">
        <v>2.5309889434889433E-3</v>
      </c>
      <c r="BV45" s="15">
        <v>2.5514895577395573E-3</v>
      </c>
      <c r="BW45" s="15">
        <v>2.5719901719901718E-3</v>
      </c>
      <c r="BX45" s="15">
        <v>2.5924907862407863E-3</v>
      </c>
      <c r="BY45" s="15">
        <v>2.6129914004914003E-3</v>
      </c>
      <c r="BZ45" s="15">
        <v>2.6334920147420143E-3</v>
      </c>
      <c r="CA45" s="15">
        <v>2.6539926289926288E-3</v>
      </c>
      <c r="CB45" s="15">
        <v>2.6744932432432433E-3</v>
      </c>
      <c r="CC45" s="15">
        <v>2.6949938574938573E-3</v>
      </c>
      <c r="CD45" s="15">
        <v>2.7154944717444713E-3</v>
      </c>
      <c r="CE45" s="15">
        <v>2.7359950859950858E-3</v>
      </c>
      <c r="CF45" s="15">
        <v>2.7564957002457003E-3</v>
      </c>
      <c r="CG45" s="15">
        <v>2.7769963144963143E-3</v>
      </c>
      <c r="CH45" s="15">
        <v>2.7974969287469283E-3</v>
      </c>
      <c r="CI45" s="15">
        <v>2.8179975429975428E-3</v>
      </c>
      <c r="CJ45" s="15">
        <v>2.8384981572481573E-3</v>
      </c>
      <c r="CK45" s="15">
        <v>2.8589987714987713E-3</v>
      </c>
      <c r="CL45" s="15">
        <v>2.8794993857493853E-3</v>
      </c>
      <c r="CM45" s="15">
        <v>2.8999999999999998E-3</v>
      </c>
    </row>
    <row r="46" spans="1:91" x14ac:dyDescent="0.25">
      <c r="A46" s="13" t="s">
        <v>1</v>
      </c>
      <c r="B46" s="4">
        <v>0</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0</v>
      </c>
      <c r="Y46" s="4">
        <v>0</v>
      </c>
      <c r="Z46" s="4">
        <v>0</v>
      </c>
      <c r="AA46" s="4">
        <v>0</v>
      </c>
      <c r="AB46" s="4">
        <v>0</v>
      </c>
      <c r="AC46" s="4">
        <v>0</v>
      </c>
      <c r="AD46" s="4">
        <v>0</v>
      </c>
      <c r="AE46" s="4">
        <v>0</v>
      </c>
      <c r="AF46" s="15">
        <v>6.1522727272727278E-2</v>
      </c>
      <c r="AG46" s="15">
        <v>6.1954545454545457E-2</v>
      </c>
      <c r="AH46" s="15">
        <v>6.2386363636363643E-2</v>
      </c>
      <c r="AI46" s="15">
        <v>6.2818181818181829E-2</v>
      </c>
      <c r="AJ46" s="15">
        <v>6.3250000000000001E-2</v>
      </c>
      <c r="AK46" s="15">
        <v>6.3681818181818187E-2</v>
      </c>
      <c r="AL46" s="15">
        <v>6.4113636363636373E-2</v>
      </c>
      <c r="AM46" s="15">
        <v>6.4545454545454545E-2</v>
      </c>
      <c r="AN46" s="15">
        <v>6.4977272727272731E-2</v>
      </c>
      <c r="AO46" s="15">
        <v>6.5409090909090917E-2</v>
      </c>
      <c r="AP46" s="15">
        <v>6.5840909090909089E-2</v>
      </c>
      <c r="AQ46" s="15">
        <v>6.6272727272727275E-2</v>
      </c>
      <c r="AR46" s="15">
        <v>6.6704545454545461E-2</v>
      </c>
      <c r="AS46" s="15">
        <v>6.7136363636363633E-2</v>
      </c>
      <c r="AT46" s="15">
        <v>6.7568181818181819E-2</v>
      </c>
      <c r="AU46" s="15">
        <v>6.8000000000000005E-2</v>
      </c>
      <c r="AV46" s="15">
        <v>6.881818181818182E-2</v>
      </c>
      <c r="AW46" s="15">
        <v>6.9636363636363635E-2</v>
      </c>
      <c r="AX46" s="15">
        <v>7.0454545454545464E-2</v>
      </c>
      <c r="AY46" s="15">
        <v>7.1272727272727279E-2</v>
      </c>
      <c r="AZ46" s="15">
        <v>7.2090909090909094E-2</v>
      </c>
      <c r="BA46" s="15">
        <v>7.290909090909091E-2</v>
      </c>
      <c r="BB46" s="15">
        <v>7.3727272727272725E-2</v>
      </c>
      <c r="BC46" s="15">
        <v>7.4545454545454554E-2</v>
      </c>
      <c r="BD46" s="15">
        <v>7.5363636363636369E-2</v>
      </c>
      <c r="BE46" s="15">
        <v>7.6181818181818184E-2</v>
      </c>
      <c r="BF46" s="15">
        <v>7.6999999999999999E-2</v>
      </c>
      <c r="BG46" s="15">
        <v>7.7818181818181814E-2</v>
      </c>
      <c r="BH46" s="15">
        <v>7.8636363636363643E-2</v>
      </c>
      <c r="BI46" s="15">
        <v>7.9454545454545458E-2</v>
      </c>
      <c r="BJ46" s="15">
        <v>8.0272727272727273E-2</v>
      </c>
      <c r="BK46" s="15">
        <v>8.1090909090909088E-2</v>
      </c>
      <c r="BL46" s="15">
        <v>8.1909090909090904E-2</v>
      </c>
      <c r="BM46" s="15">
        <v>8.2727272727272733E-2</v>
      </c>
      <c r="BN46" s="15">
        <v>8.3545454545454548E-2</v>
      </c>
      <c r="BO46" s="15">
        <v>8.4363636363636363E-2</v>
      </c>
      <c r="BP46" s="15">
        <v>8.5181818181818178E-2</v>
      </c>
      <c r="BQ46" s="15">
        <v>8.5999999999999993E-2</v>
      </c>
      <c r="BR46" s="15">
        <v>8.6818181818181822E-2</v>
      </c>
      <c r="BS46" s="15">
        <v>8.7636363636363637E-2</v>
      </c>
      <c r="BT46" s="15">
        <v>8.8454545454545452E-2</v>
      </c>
      <c r="BU46" s="15">
        <v>8.9272727272727267E-2</v>
      </c>
      <c r="BV46" s="15">
        <v>9.0090909090909083E-2</v>
      </c>
      <c r="BW46" s="15">
        <v>9.0909090909090912E-2</v>
      </c>
      <c r="BX46" s="15">
        <v>9.1727272727272727E-2</v>
      </c>
      <c r="BY46" s="15">
        <v>9.2545454545454542E-2</v>
      </c>
      <c r="BZ46" s="15">
        <v>9.3363636363636357E-2</v>
      </c>
      <c r="CA46" s="15">
        <v>9.4181818181818172E-2</v>
      </c>
      <c r="CB46" s="15">
        <v>9.5000000000000001E-2</v>
      </c>
      <c r="CC46" s="15">
        <v>9.5818181818181816E-2</v>
      </c>
      <c r="CD46" s="15">
        <v>9.6636363636363631E-2</v>
      </c>
      <c r="CE46" s="15">
        <v>9.7454545454545446E-2</v>
      </c>
      <c r="CF46" s="15">
        <v>9.8272727272727262E-2</v>
      </c>
      <c r="CG46" s="15">
        <v>9.9090909090909091E-2</v>
      </c>
      <c r="CH46" s="15">
        <v>9.9909090909090906E-2</v>
      </c>
      <c r="CI46" s="15">
        <v>0.10072727272727272</v>
      </c>
      <c r="CJ46" s="15">
        <v>0.10154545454545455</v>
      </c>
      <c r="CK46" s="15">
        <v>0.10236363636363635</v>
      </c>
      <c r="CL46" s="15">
        <v>0.10318181818181818</v>
      </c>
      <c r="CM46" s="15">
        <v>0.104</v>
      </c>
    </row>
    <row r="47" spans="1:91" x14ac:dyDescent="0.25">
      <c r="A47" s="13"/>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row>
    <row r="48" spans="1:91" x14ac:dyDescent="0.25">
      <c r="A48" s="13" t="s">
        <v>17</v>
      </c>
      <c r="B48" s="4">
        <v>0</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c r="Z48" s="4">
        <v>0</v>
      </c>
      <c r="AA48" s="4">
        <v>0</v>
      </c>
      <c r="AB48" s="4">
        <v>0</v>
      </c>
      <c r="AC48" s="4">
        <v>0</v>
      </c>
      <c r="AD48" s="4">
        <v>0</v>
      </c>
      <c r="AE48" s="4">
        <v>0</v>
      </c>
      <c r="AF48" s="15">
        <v>3.0288636363636368E-3</v>
      </c>
      <c r="AG48" s="15">
        <v>3.1022727272727278E-3</v>
      </c>
      <c r="AH48" s="15">
        <v>3.1756818181818188E-3</v>
      </c>
      <c r="AI48" s="15">
        <v>3.2490909090909098E-3</v>
      </c>
      <c r="AJ48" s="15">
        <v>3.3225000000000008E-3</v>
      </c>
      <c r="AK48" s="15">
        <v>3.3959090909090918E-3</v>
      </c>
      <c r="AL48" s="15">
        <v>3.4693181818181828E-3</v>
      </c>
      <c r="AM48" s="15">
        <v>3.5427272727272738E-3</v>
      </c>
      <c r="AN48" s="15">
        <v>3.6161363636363648E-3</v>
      </c>
      <c r="AO48" s="15">
        <v>3.6895454545454558E-3</v>
      </c>
      <c r="AP48" s="15">
        <v>3.7629545454545468E-3</v>
      </c>
      <c r="AQ48" s="15">
        <v>3.8363636363636378E-3</v>
      </c>
      <c r="AR48" s="15">
        <v>3.9097727272727287E-3</v>
      </c>
      <c r="AS48" s="15">
        <v>3.9831818181818197E-3</v>
      </c>
      <c r="AT48" s="15">
        <v>4.0565909090909107E-3</v>
      </c>
      <c r="AU48" s="15">
        <v>4.1300000000000009E-3</v>
      </c>
      <c r="AV48" s="15">
        <v>4.1579545454545463E-3</v>
      </c>
      <c r="AW48" s="15">
        <v>4.1859090909090917E-3</v>
      </c>
      <c r="AX48" s="15">
        <v>4.2138636363636371E-3</v>
      </c>
      <c r="AY48" s="15">
        <v>4.2418181818181825E-3</v>
      </c>
      <c r="AZ48" s="15">
        <v>4.269772727272728E-3</v>
      </c>
      <c r="BA48" s="15">
        <v>4.2977272727272734E-3</v>
      </c>
      <c r="BB48" s="15">
        <v>4.3256818181818188E-3</v>
      </c>
      <c r="BC48" s="15">
        <v>4.3536363636363642E-3</v>
      </c>
      <c r="BD48" s="15">
        <v>4.3815909090909096E-3</v>
      </c>
      <c r="BE48" s="15">
        <v>4.4095454545454551E-3</v>
      </c>
      <c r="BF48" s="15">
        <v>4.4375000000000005E-3</v>
      </c>
      <c r="BG48" s="15">
        <v>4.4654545454545459E-3</v>
      </c>
      <c r="BH48" s="15">
        <v>4.4934090909090913E-3</v>
      </c>
      <c r="BI48" s="15">
        <v>4.5213636363636367E-3</v>
      </c>
      <c r="BJ48" s="15">
        <v>4.5493181818181821E-3</v>
      </c>
      <c r="BK48" s="15">
        <v>4.5772727272727276E-3</v>
      </c>
      <c r="BL48" s="15">
        <v>4.605227272727273E-3</v>
      </c>
      <c r="BM48" s="15">
        <v>4.6331818181818184E-3</v>
      </c>
      <c r="BN48" s="15">
        <v>4.6611363636363638E-3</v>
      </c>
      <c r="BO48" s="15">
        <v>4.6890909090909101E-3</v>
      </c>
      <c r="BP48" s="15">
        <v>4.7170454545454547E-3</v>
      </c>
      <c r="BQ48" s="15">
        <v>4.745000000000001E-3</v>
      </c>
      <c r="BR48" s="15">
        <v>4.7729545454545455E-3</v>
      </c>
      <c r="BS48" s="15">
        <v>4.8009090909090918E-3</v>
      </c>
      <c r="BT48" s="15">
        <v>4.8288636363636372E-3</v>
      </c>
      <c r="BU48" s="15">
        <v>4.8568181818181826E-3</v>
      </c>
      <c r="BV48" s="15">
        <v>4.8847727272727281E-3</v>
      </c>
      <c r="BW48" s="15">
        <v>4.9127272727272735E-3</v>
      </c>
      <c r="BX48" s="15">
        <v>4.9406818181818189E-3</v>
      </c>
      <c r="BY48" s="15">
        <v>4.9686363636363643E-3</v>
      </c>
      <c r="BZ48" s="15">
        <v>4.9965909090909097E-3</v>
      </c>
      <c r="CA48" s="15">
        <v>5.0245454545454551E-3</v>
      </c>
      <c r="CB48" s="15">
        <v>5.0525000000000006E-3</v>
      </c>
      <c r="CC48" s="15">
        <v>5.080454545454546E-3</v>
      </c>
      <c r="CD48" s="15">
        <v>5.1084090909090914E-3</v>
      </c>
      <c r="CE48" s="15">
        <v>5.1363636363636368E-3</v>
      </c>
      <c r="CF48" s="15">
        <v>5.1643181818181822E-3</v>
      </c>
      <c r="CG48" s="15">
        <v>5.1922727272727277E-3</v>
      </c>
      <c r="CH48" s="15">
        <v>5.2202272727272731E-3</v>
      </c>
      <c r="CI48" s="15">
        <v>5.2481818181818185E-3</v>
      </c>
      <c r="CJ48" s="15">
        <v>5.2761363636363639E-3</v>
      </c>
      <c r="CK48" s="15">
        <v>5.3040909090909093E-3</v>
      </c>
      <c r="CL48" s="15">
        <v>5.3320454545454548E-3</v>
      </c>
      <c r="CM48" s="15">
        <v>5.3600000000000002E-3</v>
      </c>
    </row>
    <row r="49" spans="1:91" x14ac:dyDescent="0.25">
      <c r="A49" s="13"/>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row>
    <row r="50" spans="1:91" x14ac:dyDescent="0.25">
      <c r="A50" s="13" t="s">
        <v>18</v>
      </c>
      <c r="B50" s="4">
        <v>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15">
        <v>8.6618671127481966E-4</v>
      </c>
      <c r="AG50" s="15">
        <v>8.7332065560907562E-4</v>
      </c>
      <c r="AH50" s="15">
        <v>8.8045459994333169E-4</v>
      </c>
      <c r="AI50" s="15">
        <v>8.8758854427758765E-4</v>
      </c>
      <c r="AJ50" s="15">
        <v>8.9472248861184372E-4</v>
      </c>
      <c r="AK50" s="15">
        <v>9.0185643294609969E-4</v>
      </c>
      <c r="AL50" s="15">
        <v>9.0899037728035576E-4</v>
      </c>
      <c r="AM50" s="15">
        <v>9.1612432161461172E-4</v>
      </c>
      <c r="AN50" s="15">
        <v>9.2325826594886768E-4</v>
      </c>
      <c r="AO50" s="15">
        <v>9.3039221028312375E-4</v>
      </c>
      <c r="AP50" s="15">
        <v>9.3752615461737982E-4</v>
      </c>
      <c r="AQ50" s="15">
        <v>9.4466009895163578E-4</v>
      </c>
      <c r="AR50" s="15">
        <v>9.5179404328589175E-4</v>
      </c>
      <c r="AS50" s="15">
        <v>9.5892798762014782E-4</v>
      </c>
      <c r="AT50" s="15">
        <v>9.6606193195440389E-4</v>
      </c>
      <c r="AU50" s="15">
        <v>9.7319587628865985E-4</v>
      </c>
      <c r="AV50" s="15">
        <v>9.9072164948453621E-4</v>
      </c>
      <c r="AW50" s="15">
        <v>1.0082474226804125E-3</v>
      </c>
      <c r="AX50" s="15">
        <v>1.0257731958762887E-3</v>
      </c>
      <c r="AY50" s="15">
        <v>1.043298969072165E-3</v>
      </c>
      <c r="AZ50" s="15">
        <v>1.0608247422680412E-3</v>
      </c>
      <c r="BA50" s="15">
        <v>1.0783505154639175E-3</v>
      </c>
      <c r="BB50" s="15">
        <v>1.095876288659794E-3</v>
      </c>
      <c r="BC50" s="15">
        <v>1.1134020618556702E-3</v>
      </c>
      <c r="BD50" s="15">
        <v>1.1309278350515465E-3</v>
      </c>
      <c r="BE50" s="15">
        <v>1.1484536082474227E-3</v>
      </c>
      <c r="BF50" s="15">
        <v>1.165979381443299E-3</v>
      </c>
      <c r="BG50" s="15">
        <v>1.1835051546391752E-3</v>
      </c>
      <c r="BH50" s="15">
        <v>1.2010309278350515E-3</v>
      </c>
      <c r="BI50" s="15">
        <v>1.2185567010309277E-3</v>
      </c>
      <c r="BJ50" s="15">
        <v>1.236082474226804E-3</v>
      </c>
      <c r="BK50" s="15">
        <v>1.2536082474226805E-3</v>
      </c>
      <c r="BL50" s="15">
        <v>1.2711340206185567E-3</v>
      </c>
      <c r="BM50" s="15">
        <v>1.288659793814433E-3</v>
      </c>
      <c r="BN50" s="15">
        <v>1.3061855670103092E-3</v>
      </c>
      <c r="BO50" s="15">
        <v>1.3237113402061855E-3</v>
      </c>
      <c r="BP50" s="15">
        <v>1.3412371134020619E-3</v>
      </c>
      <c r="BQ50" s="15">
        <v>1.3587628865979382E-3</v>
      </c>
      <c r="BR50" s="15">
        <v>1.3762886597938145E-3</v>
      </c>
      <c r="BS50" s="15">
        <v>1.3938144329896907E-3</v>
      </c>
      <c r="BT50" s="15">
        <v>1.411340206185567E-3</v>
      </c>
      <c r="BU50" s="15">
        <v>1.4288659793814432E-3</v>
      </c>
      <c r="BV50" s="15">
        <v>1.4463917525773195E-3</v>
      </c>
      <c r="BW50" s="15">
        <v>1.4639175257731957E-3</v>
      </c>
      <c r="BX50" s="15">
        <v>1.481443298969072E-3</v>
      </c>
      <c r="BY50" s="15">
        <v>1.4989690721649482E-3</v>
      </c>
      <c r="BZ50" s="15">
        <v>1.5164948453608247E-3</v>
      </c>
      <c r="CA50" s="15">
        <v>1.534020618556701E-3</v>
      </c>
      <c r="CB50" s="15">
        <v>1.5515463917525772E-3</v>
      </c>
      <c r="CC50" s="15">
        <v>1.5690721649484537E-3</v>
      </c>
      <c r="CD50" s="15">
        <v>1.5865979381443299E-3</v>
      </c>
      <c r="CE50" s="15">
        <v>1.6041237113402062E-3</v>
      </c>
      <c r="CF50" s="15">
        <v>1.6216494845360824E-3</v>
      </c>
      <c r="CG50" s="15">
        <v>1.6391752577319587E-3</v>
      </c>
      <c r="CH50" s="15">
        <v>1.656701030927835E-3</v>
      </c>
      <c r="CI50" s="15">
        <v>1.6742268041237112E-3</v>
      </c>
      <c r="CJ50" s="15">
        <v>1.6917525773195875E-3</v>
      </c>
      <c r="CK50" s="15">
        <v>1.7092783505154637E-3</v>
      </c>
      <c r="CL50" s="15">
        <v>1.72680412371134E-3</v>
      </c>
      <c r="CM50" s="15">
        <v>1.7443298969072164E-3</v>
      </c>
    </row>
    <row r="52" spans="1:91" x14ac:dyDescent="0.25">
      <c r="A52" s="21" t="s">
        <v>33</v>
      </c>
      <c r="B52" s="4">
        <f>'WAO Scenario Ag'!B23</f>
        <v>0</v>
      </c>
      <c r="C52" s="4">
        <f>'WAO Scenario Ag'!C23</f>
        <v>0</v>
      </c>
      <c r="D52" s="4">
        <f>'WAO Scenario Ag'!D23</f>
        <v>0</v>
      </c>
      <c r="E52" s="4">
        <f>'WAO Scenario Ag'!E23</f>
        <v>0</v>
      </c>
      <c r="F52" s="4">
        <f>'WAO Scenario Ag'!F23</f>
        <v>0</v>
      </c>
      <c r="G52" s="4">
        <f>'WAO Scenario Ag'!G23</f>
        <v>0</v>
      </c>
      <c r="H52" s="4">
        <f>'WAO Scenario Ag'!H23</f>
        <v>0</v>
      </c>
      <c r="I52" s="4">
        <f>'WAO Scenario Ag'!I23</f>
        <v>0</v>
      </c>
      <c r="J52" s="4">
        <f>'WAO Scenario Ag'!J23</f>
        <v>0</v>
      </c>
      <c r="K52" s="4">
        <f>'WAO Scenario Ag'!K23</f>
        <v>0</v>
      </c>
      <c r="L52" s="4">
        <f>'WAO Scenario Ag'!L23</f>
        <v>0</v>
      </c>
      <c r="M52" s="4">
        <f>'WAO Scenario Ag'!M23</f>
        <v>0</v>
      </c>
      <c r="N52" s="4">
        <f>'WAO Scenario Ag'!N23</f>
        <v>0</v>
      </c>
      <c r="O52" s="4">
        <f>'WAO Scenario Ag'!O23</f>
        <v>0</v>
      </c>
      <c r="P52" s="4">
        <f>'WAO Scenario Ag'!P23</f>
        <v>0</v>
      </c>
      <c r="Q52" s="4">
        <f>'WAO Scenario Ag'!Q23</f>
        <v>0</v>
      </c>
      <c r="R52" s="4">
        <f>'WAO Scenario Ag'!R23</f>
        <v>0</v>
      </c>
      <c r="S52" s="4">
        <f>'WAO Scenario Ag'!S23</f>
        <v>0</v>
      </c>
      <c r="T52" s="4">
        <f>'WAO Scenario Ag'!T23</f>
        <v>0</v>
      </c>
      <c r="U52" s="4">
        <f>'WAO Scenario Ag'!U23</f>
        <v>0</v>
      </c>
      <c r="V52" s="4">
        <f>'WAO Scenario Ag'!V23</f>
        <v>0</v>
      </c>
      <c r="W52" s="4">
        <f>'WAO Scenario Ag'!W23</f>
        <v>0</v>
      </c>
      <c r="X52" s="4">
        <f>'WAO Scenario Ag'!X23</f>
        <v>0</v>
      </c>
      <c r="Y52" s="4">
        <f>'WAO Scenario Ag'!Y23</f>
        <v>0</v>
      </c>
      <c r="Z52" s="4">
        <f>'WAO Scenario Ag'!Z23</f>
        <v>0</v>
      </c>
      <c r="AA52" s="4">
        <f>'WAO Scenario Ag'!AA23</f>
        <v>0</v>
      </c>
      <c r="AB52" s="4">
        <f>'WAO Scenario Ag'!AB23</f>
        <v>0</v>
      </c>
      <c r="AC52" s="4">
        <f>'WAO Scenario Ag'!AC23</f>
        <v>0</v>
      </c>
      <c r="AD52" s="4">
        <f>'WAO Scenario Ag'!AD23</f>
        <v>0</v>
      </c>
      <c r="AE52" s="4">
        <f>'WAO Scenario Ag'!AE23</f>
        <v>0</v>
      </c>
      <c r="AF52" s="48">
        <f>'WAO Scenario Ag'!AF23</f>
        <v>264298.13384870189</v>
      </c>
      <c r="AG52" s="48">
        <f>'WAO Scenario Ag'!AG23</f>
        <v>520633.93324715138</v>
      </c>
      <c r="AH52" s="48">
        <f>'WAO Scenario Ag'!AH23</f>
        <v>769361.87263473251</v>
      </c>
      <c r="AI52" s="48">
        <f>'WAO Scenario Ag'!AI23</f>
        <v>1010815.693040224</v>
      </c>
      <c r="AJ52" s="48">
        <f>'WAO Scenario Ag'!AJ23</f>
        <v>1245309.8961211501</v>
      </c>
      <c r="AK52" s="48">
        <f>'WAO Scenario Ag'!AK23</f>
        <v>1473141.1108468894</v>
      </c>
      <c r="AL52" s="48">
        <f>'WAO Scenario Ag'!AL23</f>
        <v>1694589.3453137057</v>
      </c>
      <c r="AM52" s="48">
        <f>'WAO Scenario Ag'!AM23</f>
        <v>1909919.13479971</v>
      </c>
      <c r="AN52" s="48">
        <f>'WAO Scenario Ag'!AN23</f>
        <v>2119380.5959568662</v>
      </c>
      <c r="AO52" s="48">
        <f>'WAO Scenario Ag'!AO23</f>
        <v>2323210.3959727613</v>
      </c>
      <c r="AP52" s="48">
        <f>'WAO Scenario Ag'!AP23</f>
        <v>2528030.7295535938</v>
      </c>
      <c r="AQ52" s="48">
        <f>'WAO Scenario Ag'!AQ23</f>
        <v>3025243.1509060082</v>
      </c>
      <c r="AR52" s="48">
        <f>'WAO Scenario Ag'!AR23</f>
        <v>3914439.356290834</v>
      </c>
      <c r="AS52" s="48">
        <f>'WAO Scenario Ag'!AS23</f>
        <v>4710896.3697284199</v>
      </c>
      <c r="AT52" s="48">
        <f>'WAO Scenario Ag'!AT23</f>
        <v>5525197.0183615312</v>
      </c>
      <c r="AU52" s="48">
        <f>'WAO Scenario Ag'!AU23</f>
        <v>7231647.8086248199</v>
      </c>
      <c r="AV52" s="48">
        <f>'WAO Scenario Ag'!AV23</f>
        <v>10062408.411293173</v>
      </c>
      <c r="AW52" s="48">
        <f>'WAO Scenario Ag'!AW23</f>
        <v>13916648.357646741</v>
      </c>
      <c r="AX52" s="48">
        <f>'WAO Scenario Ag'!AX23</f>
        <v>14989749.552085569</v>
      </c>
      <c r="AY52" s="48">
        <f>'WAO Scenario Ag'!AY23</f>
        <v>16052595.374386443</v>
      </c>
      <c r="AZ52" s="48">
        <f>'WAO Scenario Ag'!AZ23</f>
        <v>17105346.28058739</v>
      </c>
      <c r="BA52" s="48">
        <f>'WAO Scenario Ag'!BA23</f>
        <v>18148158.904882386</v>
      </c>
      <c r="BB52" s="48">
        <f>'WAO Scenario Ag'!BB23</f>
        <v>19181186.192052074</v>
      </c>
      <c r="BC52" s="48">
        <f>'WAO Scenario Ag'!BC23</f>
        <v>20204577.523639631</v>
      </c>
      <c r="BD52" s="48">
        <f>'WAO Scenario Ag'!BD23</f>
        <v>21218478.838245515</v>
      </c>
      <c r="BE52" s="48">
        <f>'WAO Scenario Ag'!BE23</f>
        <v>22223032.746287949</v>
      </c>
      <c r="BF52" s="48">
        <f>'WAO Scenario Ag'!BF23</f>
        <v>23218378.639551979</v>
      </c>
      <c r="BG52" s="48">
        <f>'WAO Scenario Ag'!BG23</f>
        <v>24204652.795827199</v>
      </c>
      <c r="BH52" s="48">
        <f>'WAO Scenario Ag'!BH23</f>
        <v>25181987.072291125</v>
      </c>
      <c r="BI52" s="48">
        <f>'WAO Scenario Ag'!BI23</f>
        <v>25064612.762262426</v>
      </c>
      <c r="BJ52" s="48">
        <f>'WAO Scenario Ag'!BJ23</f>
        <v>24948435.012843952</v>
      </c>
      <c r="BK52" s="48">
        <f>'WAO Scenario Ag'!BK23</f>
        <v>24833433.107161608</v>
      </c>
      <c r="BL52" s="48">
        <f>'WAO Scenario Ag'!BL23</f>
        <v>24719586.874522451</v>
      </c>
      <c r="BM52" s="48">
        <f>'WAO Scenario Ag'!BM23</f>
        <v>24606876.670366194</v>
      </c>
      <c r="BN52" s="48">
        <f>'WAO Scenario Ag'!BN23</f>
        <v>24495283.357162248</v>
      </c>
      <c r="BO52" s="48">
        <f>'WAO Scenario Ag'!BO23</f>
        <v>24384788.286198508</v>
      </c>
      <c r="BP52" s="48">
        <f>'WAO Scenario Ag'!BP23</f>
        <v>24275373.280211478</v>
      </c>
      <c r="BQ52" s="48">
        <f>'WAO Scenario Ag'!BQ23</f>
        <v>24167020.616810769</v>
      </c>
      <c r="BR52" s="48">
        <f>'WAO Scenario Ag'!BR23</f>
        <v>24059713.012653835</v>
      </c>
      <c r="BS52" s="48">
        <f>'WAO Scenario Ag'!BS23</f>
        <v>23953433.608330019</v>
      </c>
      <c r="BT52" s="48">
        <f>'WAO Scenario Ag'!BT23</f>
        <v>23848165.953915156</v>
      </c>
      <c r="BU52" s="48">
        <f>'WAO Scenario Ag'!BU23</f>
        <v>23743893.99516074</v>
      </c>
      <c r="BV52" s="48">
        <f>'WAO Scenario Ag'!BV23</f>
        <v>23640602.060283817</v>
      </c>
      <c r="BW52" s="48">
        <f>'WAO Scenario Ag'!BW23</f>
        <v>23538274.847325832</v>
      </c>
      <c r="BX52" s="48">
        <f>'WAO Scenario Ag'!BX23</f>
        <v>23436897.412050642</v>
      </c>
      <c r="BY52" s="48">
        <f>'WAO Scenario Ag'!BY23</f>
        <v>23336455.156353746</v>
      </c>
      <c r="BZ52" s="48">
        <f>'WAO Scenario Ag'!BZ23</f>
        <v>23236933.81715643</v>
      </c>
      <c r="CA52" s="48">
        <f>'WAO Scenario Ag'!CA23</f>
        <v>23138319.455760162</v>
      </c>
      <c r="CB52" s="48">
        <f>'WAO Scenario Ag'!CB23</f>
        <v>23040598.447637934</v>
      </c>
      <c r="CC52" s="48">
        <f>'WAO Scenario Ag'!CC23</f>
        <v>22943757.472640749</v>
      </c>
      <c r="CD52" s="48">
        <f>'WAO Scenario Ag'!CD23</f>
        <v>22847783.505598642</v>
      </c>
      <c r="CE52" s="48">
        <f>'WAO Scenario Ag'!CE23</f>
        <v>22752663.807296842</v>
      </c>
      <c r="CF52" s="48">
        <f>'WAO Scenario Ag'!CF23</f>
        <v>22658385.915808756</v>
      </c>
      <c r="CG52" s="48">
        <f>'WAO Scenario Ag'!CG23</f>
        <v>22564937.638168637</v>
      </c>
      <c r="CH52" s="48">
        <f>'WAO Scenario Ag'!CH23</f>
        <v>22472307.042367555</v>
      </c>
      <c r="CI52" s="48">
        <f>'WAO Scenario Ag'!CI23</f>
        <v>22380482.449657399</v>
      </c>
      <c r="CJ52" s="48">
        <f>'WAO Scenario Ag'!CJ23</f>
        <v>22289452.427148387</v>
      </c>
      <c r="CK52" s="48">
        <f>'WAO Scenario Ag'!CK23</f>
        <v>22199205.780686386</v>
      </c>
      <c r="CL52" s="48">
        <f>'WAO Scenario Ag'!CL23</f>
        <v>22109731.547997098</v>
      </c>
      <c r="CM52" s="48">
        <f>'WAO Scenario Ag'!CM23</f>
        <v>22021018.992084838</v>
      </c>
    </row>
    <row r="53" spans="1:91" s="37" customFormat="1" x14ac:dyDescent="0.25">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row>
    <row r="54" spans="1:91" x14ac:dyDescent="0.25">
      <c r="A54" s="21" t="s">
        <v>22</v>
      </c>
      <c r="B54" s="4">
        <f>'WAO Scenario Ag'!B24</f>
        <v>0</v>
      </c>
      <c r="C54" s="4">
        <f>'WAO Scenario Ag'!C24</f>
        <v>0</v>
      </c>
      <c r="D54" s="4">
        <f>'WAO Scenario Ag'!D24</f>
        <v>0</v>
      </c>
      <c r="E54" s="4">
        <f>'WAO Scenario Ag'!E24</f>
        <v>0</v>
      </c>
      <c r="F54" s="4">
        <f>'WAO Scenario Ag'!F24</f>
        <v>0</v>
      </c>
      <c r="G54" s="4">
        <f>'WAO Scenario Ag'!G24</f>
        <v>0</v>
      </c>
      <c r="H54" s="4">
        <f>'WAO Scenario Ag'!H24</f>
        <v>0</v>
      </c>
      <c r="I54" s="4">
        <f>'WAO Scenario Ag'!I24</f>
        <v>0</v>
      </c>
      <c r="J54" s="4">
        <f>'WAO Scenario Ag'!J24</f>
        <v>0</v>
      </c>
      <c r="K54" s="4">
        <f>'WAO Scenario Ag'!K24</f>
        <v>0</v>
      </c>
      <c r="L54" s="4">
        <f>'WAO Scenario Ag'!L24</f>
        <v>0</v>
      </c>
      <c r="M54" s="4">
        <f>'WAO Scenario Ag'!M24</f>
        <v>0</v>
      </c>
      <c r="N54" s="4">
        <f>'WAO Scenario Ag'!N24</f>
        <v>0</v>
      </c>
      <c r="O54" s="4">
        <f>'WAO Scenario Ag'!O24</f>
        <v>0</v>
      </c>
      <c r="P54" s="4">
        <f>'WAO Scenario Ag'!P24</f>
        <v>0</v>
      </c>
      <c r="Q54" s="4">
        <f>'WAO Scenario Ag'!Q24</f>
        <v>0</v>
      </c>
      <c r="R54" s="4">
        <f>'WAO Scenario Ag'!R24</f>
        <v>0</v>
      </c>
      <c r="S54" s="4">
        <f>'WAO Scenario Ag'!S24</f>
        <v>0</v>
      </c>
      <c r="T54" s="4">
        <f>'WAO Scenario Ag'!T24</f>
        <v>0</v>
      </c>
      <c r="U54" s="4">
        <f>'WAO Scenario Ag'!U24</f>
        <v>0</v>
      </c>
      <c r="V54" s="4">
        <f>'WAO Scenario Ag'!V24</f>
        <v>0</v>
      </c>
      <c r="W54" s="4">
        <f>'WAO Scenario Ag'!W24</f>
        <v>0</v>
      </c>
      <c r="X54" s="4">
        <f>'WAO Scenario Ag'!X24</f>
        <v>0</v>
      </c>
      <c r="Y54" s="4">
        <f>'WAO Scenario Ag'!Y24</f>
        <v>0</v>
      </c>
      <c r="Z54" s="4">
        <f>'WAO Scenario Ag'!Z24</f>
        <v>0</v>
      </c>
      <c r="AA54" s="4">
        <f>'WAO Scenario Ag'!AA24</f>
        <v>0</v>
      </c>
      <c r="AB54" s="4">
        <f>'WAO Scenario Ag'!AB24</f>
        <v>0</v>
      </c>
      <c r="AC54" s="4">
        <f>'WAO Scenario Ag'!AC24</f>
        <v>0</v>
      </c>
      <c r="AD54" s="4">
        <f>'WAO Scenario Ag'!AD24</f>
        <v>0</v>
      </c>
      <c r="AE54" s="4">
        <f>'WAO Scenario Ag'!AE24</f>
        <v>0</v>
      </c>
      <c r="AF54" s="48">
        <f>'WAO Scenario Ag'!AF24</f>
        <v>777759.74624482286</v>
      </c>
      <c r="AG54" s="48">
        <f>'WAO Scenario Ag'!AG24</f>
        <v>1533792.1904538609</v>
      </c>
      <c r="AH54" s="48">
        <f>'WAO Scenario Ag'!AH24</f>
        <v>2269044.276230094</v>
      </c>
      <c r="AI54" s="48">
        <f>'WAO Scenario Ag'!AI24</f>
        <v>2984406.6930602789</v>
      </c>
      <c r="AJ54" s="48">
        <f>'WAO Scenario Ag'!AJ24</f>
        <v>3680718.1010939237</v>
      </c>
      <c r="AK54" s="48">
        <f>'WAO Scenario Ag'!AK24</f>
        <v>4358768.9738319088</v>
      </c>
      <c r="AL54" s="48">
        <f>'WAO Scenario Ag'!AL24</f>
        <v>5019305.098966619</v>
      </c>
      <c r="AM54" s="48">
        <f>'WAO Scenario Ag'!AM24</f>
        <v>5663030.772797944</v>
      </c>
      <c r="AN54" s="48">
        <f>'WAO Scenario Ag'!AN24</f>
        <v>6290611.7194757117</v>
      </c>
      <c r="AO54" s="48">
        <f>'WAO Scenario Ag'!AO24</f>
        <v>6902677.7626944361</v>
      </c>
      <c r="AP54" s="48">
        <f>'WAO Scenario Ag'!AP24</f>
        <v>7508541.5116121201</v>
      </c>
      <c r="AQ54" s="48">
        <f>'WAO Scenario Ag'!AQ24</f>
        <v>8605931.4565988872</v>
      </c>
      <c r="AR54" s="48">
        <f>'WAO Scenario Ag'!AR24</f>
        <v>10082151.800710507</v>
      </c>
      <c r="AS54" s="48">
        <f>'WAO Scenario Ag'!AS24</f>
        <v>10285869.821985975</v>
      </c>
      <c r="AT54" s="48">
        <f>'WAO Scenario Ag'!AT24</f>
        <v>12902610.85683178</v>
      </c>
      <c r="AU54" s="48">
        <f>'WAO Scenario Ag'!AU24</f>
        <v>17390371.995686293</v>
      </c>
      <c r="AV54" s="48">
        <f>'WAO Scenario Ag'!AV24</f>
        <v>22066463.194527514</v>
      </c>
      <c r="AW54" s="48">
        <f>'WAO Scenario Ag'!AW24</f>
        <v>30990901.786748089</v>
      </c>
      <c r="AX54" s="48">
        <f>'WAO Scenario Ag'!AX24</f>
        <v>35552080.06755881</v>
      </c>
      <c r="AY54" s="48">
        <f>'WAO Scenario Ag'!AY24</f>
        <v>40030396.551835775</v>
      </c>
      <c r="AZ54" s="48">
        <f>'WAO Scenario Ag'!AZ24</f>
        <v>44428125.276055232</v>
      </c>
      <c r="BA54" s="48">
        <f>'WAO Scenario Ag'!BA24</f>
        <v>48747456.841562301</v>
      </c>
      <c r="BB54" s="48">
        <f>'WAO Scenario Ag'!BB24</f>
        <v>52990502.245586351</v>
      </c>
      <c r="BC54" s="48">
        <f>'WAO Scenario Ag'!BC24</f>
        <v>57159296.501211599</v>
      </c>
      <c r="BD54" s="48">
        <f>'WAO Scenario Ag'!BD24</f>
        <v>61255802.059848338</v>
      </c>
      <c r="BE54" s="48">
        <f>'WAO Scenario Ag'!BE24</f>
        <v>65281912.04875882</v>
      </c>
      <c r="BF54" s="48">
        <f>'WAO Scenario Ag'!BF24</f>
        <v>69239453.335282221</v>
      </c>
      <c r="BG54" s="48">
        <f>'WAO Scenario Ag'!BG24</f>
        <v>73130189.428567305</v>
      </c>
      <c r="BH54" s="48">
        <f>'WAO Scenario Ag'!BH24</f>
        <v>76955814.75744161</v>
      </c>
      <c r="BI54" s="48">
        <f>'WAO Scenario Ag'!BI24</f>
        <v>76318164.428839087</v>
      </c>
      <c r="BJ54" s="48">
        <f>'WAO Scenario Ag'!BJ24</f>
        <v>75691155.723274812</v>
      </c>
      <c r="BK54" s="48">
        <f>'WAO Scenario Ag'!BK24</f>
        <v>75074521.600511879</v>
      </c>
      <c r="BL54" s="48">
        <f>'WAO Scenario Ag'!BL24</f>
        <v>74468003.965958089</v>
      </c>
      <c r="BM54" s="48">
        <f>'WAO Scenario Ag'!BM24</f>
        <v>73871353.296032876</v>
      </c>
      <c r="BN54" s="48">
        <f>'WAO Scenario Ag'!BN24</f>
        <v>73284328.282345057</v>
      </c>
      <c r="BO54" s="48">
        <f>'WAO Scenario Ag'!BO24</f>
        <v>72706695.493581548</v>
      </c>
      <c r="BP54" s="48">
        <f>'WAO Scenario Ag'!BP24</f>
        <v>72138229.054080173</v>
      </c>
      <c r="BQ54" s="48">
        <f>'WAO Scenario Ag'!BQ24</f>
        <v>71578710.338127732</v>
      </c>
      <c r="BR54" s="48">
        <f>'WAO Scenario Ag'!BR24</f>
        <v>71027927.679087177</v>
      </c>
      <c r="BS54" s="48">
        <f>'WAO Scenario Ag'!BS24</f>
        <v>70485676.092516273</v>
      </c>
      <c r="BT54" s="48">
        <f>'WAO Scenario Ag'!BT24</f>
        <v>69951757.012493655</v>
      </c>
      <c r="BU54" s="48">
        <f>'WAO Scenario Ag'!BU24</f>
        <v>69425978.04041858</v>
      </c>
      <c r="BV54" s="48">
        <f>'WAO Scenario Ag'!BV24</f>
        <v>68908152.705597222</v>
      </c>
      <c r="BW54" s="48">
        <f>'WAO Scenario Ag'!BW24</f>
        <v>68398100.236971125</v>
      </c>
      <c r="BX54" s="48">
        <f>'WAO Scenario Ag'!BX24</f>
        <v>67895645.345384061</v>
      </c>
      <c r="BY54" s="48">
        <f>'WAO Scenario Ag'!BY24</f>
        <v>67400618.015820414</v>
      </c>
      <c r="BZ54" s="48">
        <f>'WAO Scenario Ag'!BZ24</f>
        <v>66912853.309083536</v>
      </c>
      <c r="CA54" s="48">
        <f>'WAO Scenario Ag'!CA24</f>
        <v>66432191.172413953</v>
      </c>
      <c r="CB54" s="48">
        <f>'WAO Scenario Ag'!CB24</f>
        <v>65958476.258578815</v>
      </c>
      <c r="CC54" s="48">
        <f>'WAO Scenario Ag'!CC24</f>
        <v>65491557.75299038</v>
      </c>
      <c r="CD54" s="48">
        <f>'WAO Scenario Ag'!CD24</f>
        <v>65031289.208439164</v>
      </c>
      <c r="CE54" s="48">
        <f>'WAO Scenario Ag'!CE24</f>
        <v>64577528.387050763</v>
      </c>
      <c r="CF54" s="48">
        <f>'WAO Scenario Ag'!CF24</f>
        <v>64130137.109098673</v>
      </c>
      <c r="CG54" s="48">
        <f>'WAO Scenario Ag'!CG24</f>
        <v>63688981.108326808</v>
      </c>
      <c r="CH54" s="48">
        <f>'WAO Scenario Ag'!CH24</f>
        <v>63253929.893454954</v>
      </c>
      <c r="CI54" s="48">
        <f>'WAO Scenario Ag'!CI24</f>
        <v>62824856.615559742</v>
      </c>
      <c r="CJ54" s="48">
        <f>'WAO Scenario Ag'!CJ24</f>
        <v>62401637.941040576</v>
      </c>
      <c r="CK54" s="48">
        <f>'WAO Scenario Ag'!CK24</f>
        <v>61984153.929896623</v>
      </c>
      <c r="CL54" s="48">
        <f>'WAO Scenario Ag'!CL24</f>
        <v>61572287.919056296</v>
      </c>
      <c r="CM54" s="48">
        <f>'WAO Scenario Ag'!CM24</f>
        <v>61165926.410514846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M54"/>
  <sheetViews>
    <sheetView topLeftCell="AB10" workbookViewId="0">
      <selection activeCell="CM54" sqref="AF52:CM54"/>
    </sheetView>
  </sheetViews>
  <sheetFormatPr defaultRowHeight="15" x14ac:dyDescent="0.25"/>
  <cols>
    <col min="1" max="1" width="47.5703125" style="21" customWidth="1"/>
    <col min="2" max="31" width="9.140625" style="4"/>
    <col min="32" max="16384" width="9.140625" style="21"/>
  </cols>
  <sheetData>
    <row r="1" spans="1:91" x14ac:dyDescent="0.25">
      <c r="B1" s="4">
        <v>1961</v>
      </c>
      <c r="C1" s="4">
        <v>1962</v>
      </c>
      <c r="D1" s="4">
        <v>1963</v>
      </c>
      <c r="E1" s="4">
        <v>1964</v>
      </c>
      <c r="F1" s="4">
        <v>1965</v>
      </c>
      <c r="G1" s="4">
        <v>1966</v>
      </c>
      <c r="H1" s="4">
        <v>1967</v>
      </c>
      <c r="I1" s="4">
        <v>1968</v>
      </c>
      <c r="J1" s="4">
        <v>1969</v>
      </c>
      <c r="K1" s="4">
        <v>1970</v>
      </c>
      <c r="L1" s="4">
        <v>1971</v>
      </c>
      <c r="M1" s="4">
        <v>1972</v>
      </c>
      <c r="N1" s="4">
        <v>1973</v>
      </c>
      <c r="O1" s="4">
        <v>1974</v>
      </c>
      <c r="P1" s="4">
        <v>1975</v>
      </c>
      <c r="Q1" s="4">
        <v>1976</v>
      </c>
      <c r="R1" s="4">
        <v>1977</v>
      </c>
      <c r="S1" s="4">
        <v>1978</v>
      </c>
      <c r="T1" s="4">
        <v>1979</v>
      </c>
      <c r="U1" s="4">
        <v>1980</v>
      </c>
      <c r="V1" s="4">
        <v>1981</v>
      </c>
      <c r="W1" s="4">
        <v>1982</v>
      </c>
      <c r="X1" s="4">
        <v>1983</v>
      </c>
      <c r="Y1" s="4">
        <v>1984</v>
      </c>
      <c r="Z1" s="4">
        <v>1985</v>
      </c>
      <c r="AA1" s="4">
        <v>1986</v>
      </c>
      <c r="AB1" s="4">
        <v>1987</v>
      </c>
      <c r="AC1" s="4">
        <v>1988</v>
      </c>
      <c r="AD1" s="4">
        <v>1989</v>
      </c>
      <c r="AE1" s="4">
        <v>1990</v>
      </c>
      <c r="AF1" s="21">
        <v>1991</v>
      </c>
      <c r="AG1" s="21">
        <v>1992</v>
      </c>
      <c r="AH1" s="21">
        <v>1993</v>
      </c>
      <c r="AI1" s="21">
        <v>1994</v>
      </c>
      <c r="AJ1" s="21">
        <v>1995</v>
      </c>
      <c r="AK1" s="21">
        <v>1996</v>
      </c>
      <c r="AL1" s="21">
        <v>1997</v>
      </c>
      <c r="AM1" s="21">
        <v>1998</v>
      </c>
      <c r="AN1" s="21">
        <v>1999</v>
      </c>
      <c r="AO1" s="21">
        <v>2000</v>
      </c>
      <c r="AP1" s="21">
        <v>2001</v>
      </c>
      <c r="AQ1" s="21">
        <v>2002</v>
      </c>
      <c r="AR1" s="21">
        <v>2003</v>
      </c>
      <c r="AS1" s="21">
        <v>2004</v>
      </c>
      <c r="AT1" s="21">
        <v>2005</v>
      </c>
      <c r="AU1" s="21">
        <v>2006</v>
      </c>
      <c r="AV1" s="21">
        <v>2007</v>
      </c>
      <c r="AW1" s="21">
        <v>2008</v>
      </c>
      <c r="AX1" s="21">
        <v>2009</v>
      </c>
      <c r="AY1" s="21">
        <v>2010</v>
      </c>
      <c r="AZ1" s="21">
        <v>2011</v>
      </c>
      <c r="BA1" s="21">
        <v>2012</v>
      </c>
      <c r="BB1" s="21">
        <v>2013</v>
      </c>
      <c r="BC1" s="21">
        <v>2014</v>
      </c>
      <c r="BD1" s="21">
        <v>2015</v>
      </c>
      <c r="BE1" s="21">
        <v>2016</v>
      </c>
      <c r="BF1" s="21">
        <v>2017</v>
      </c>
      <c r="BG1" s="21">
        <v>2018</v>
      </c>
      <c r="BH1" s="21">
        <v>2019</v>
      </c>
      <c r="BI1" s="21">
        <v>2020</v>
      </c>
      <c r="BJ1" s="21">
        <v>2021</v>
      </c>
      <c r="BK1" s="21">
        <v>2022</v>
      </c>
      <c r="BL1" s="21">
        <v>2023</v>
      </c>
      <c r="BM1" s="21">
        <v>2024</v>
      </c>
      <c r="BN1" s="21">
        <v>2025</v>
      </c>
      <c r="BO1" s="21">
        <v>2026</v>
      </c>
      <c r="BP1" s="21">
        <v>2027</v>
      </c>
      <c r="BQ1" s="21">
        <v>2028</v>
      </c>
      <c r="BR1" s="21">
        <v>2029</v>
      </c>
      <c r="BS1" s="21">
        <v>2030</v>
      </c>
      <c r="BT1" s="21">
        <v>2031</v>
      </c>
      <c r="BU1" s="21">
        <v>2032</v>
      </c>
      <c r="BV1" s="21">
        <v>2033</v>
      </c>
      <c r="BW1" s="21">
        <v>2034</v>
      </c>
      <c r="BX1" s="21">
        <v>2035</v>
      </c>
      <c r="BY1" s="21">
        <v>2036</v>
      </c>
      <c r="BZ1" s="21">
        <v>2037</v>
      </c>
      <c r="CA1" s="21">
        <v>2038</v>
      </c>
      <c r="CB1" s="21">
        <v>2039</v>
      </c>
      <c r="CC1" s="21">
        <v>2040</v>
      </c>
      <c r="CD1" s="21">
        <v>2041</v>
      </c>
      <c r="CE1" s="21">
        <v>2042</v>
      </c>
      <c r="CF1" s="21">
        <v>2043</v>
      </c>
      <c r="CG1" s="21">
        <v>2044</v>
      </c>
      <c r="CH1" s="21">
        <v>2045</v>
      </c>
      <c r="CI1" s="21">
        <v>2046</v>
      </c>
      <c r="CJ1" s="21">
        <v>2047</v>
      </c>
      <c r="CK1" s="21">
        <v>2048</v>
      </c>
      <c r="CL1" s="21">
        <v>2049</v>
      </c>
      <c r="CM1" s="21">
        <v>2050</v>
      </c>
    </row>
    <row r="2" spans="1:91" x14ac:dyDescent="0.25">
      <c r="A2" s="21" t="s">
        <v>0</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15">
        <v>1.0508415631190336E-5</v>
      </c>
      <c r="AG2" s="15">
        <v>1.0527618537027347E-5</v>
      </c>
      <c r="AH2" s="15">
        <v>1.0524144816427411E-5</v>
      </c>
      <c r="AI2" s="15">
        <v>1.0522462802637258E-5</v>
      </c>
      <c r="AJ2" s="15">
        <v>1.05226809524005E-5</v>
      </c>
      <c r="AK2" s="15">
        <v>1.0524797835739828E-5</v>
      </c>
      <c r="AL2" s="15">
        <v>1.0528848568531622E-5</v>
      </c>
      <c r="AM2" s="15">
        <v>1.0535257891350468E-5</v>
      </c>
      <c r="AN2" s="15">
        <v>1.0544407835154982E-5</v>
      </c>
      <c r="AO2" s="15">
        <v>1.0556611219831291E-5</v>
      </c>
      <c r="AP2" s="15">
        <v>1.0571844928448045E-5</v>
      </c>
      <c r="AQ2" s="15">
        <v>1.0589980349233616E-5</v>
      </c>
      <c r="AR2" s="15">
        <v>1.0610719107102551E-5</v>
      </c>
      <c r="AS2" s="15">
        <v>1.0633798162037924E-5</v>
      </c>
      <c r="AT2" s="15">
        <v>1.0658934712118934E-5</v>
      </c>
      <c r="AU2" s="15">
        <v>1.0686103454816139E-5</v>
      </c>
      <c r="AV2" s="15">
        <v>1.0706788216627059E-5</v>
      </c>
      <c r="AW2" s="15">
        <v>1.0728456082251589E-5</v>
      </c>
      <c r="AX2" s="15">
        <v>1.0751065831749288E-5</v>
      </c>
      <c r="AY2" s="15">
        <v>1.0774563840598372E-5</v>
      </c>
      <c r="AZ2" s="15">
        <v>1.0798960435799681E-5</v>
      </c>
      <c r="BA2" s="15">
        <v>1.0824295861764934E-5</v>
      </c>
      <c r="BB2" s="15">
        <v>1.0850592739258354E-5</v>
      </c>
      <c r="BC2" s="15">
        <v>1.087794097409725E-5</v>
      </c>
      <c r="BD2" s="15">
        <v>1.0906365789103285E-5</v>
      </c>
      <c r="BE2" s="15">
        <v>1.0935892652571851E-5</v>
      </c>
      <c r="BF2" s="15">
        <v>1.0966502632073501E-5</v>
      </c>
      <c r="BG2" s="15">
        <v>1.0998165758669703E-5</v>
      </c>
      <c r="BH2" s="15">
        <v>1.1030890589946637E-5</v>
      </c>
      <c r="BI2" s="15">
        <v>1.1064614208349465E-5</v>
      </c>
      <c r="BJ2" s="15">
        <v>1.1099352516874274E-5</v>
      </c>
      <c r="BK2" s="15">
        <v>1.1135071273339653E-5</v>
      </c>
      <c r="BL2" s="15">
        <v>1.1171768757387381E-5</v>
      </c>
      <c r="BM2" s="15">
        <v>1.1209435882853366E-5</v>
      </c>
      <c r="BN2" s="15">
        <v>1.1248082102841903E-5</v>
      </c>
      <c r="BO2" s="15">
        <v>1.1287650747779458E-5</v>
      </c>
      <c r="BP2" s="15">
        <v>1.1328155361841512E-5</v>
      </c>
      <c r="BQ2" s="15">
        <v>1.1369577202897563E-5</v>
      </c>
      <c r="BR2" s="15">
        <v>1.14119698203685E-5</v>
      </c>
      <c r="BS2" s="15">
        <v>1.1455315468409502E-5</v>
      </c>
      <c r="BT2" s="15">
        <v>1.149961791242872E-5</v>
      </c>
      <c r="BU2" s="15">
        <v>1.1544883091286491E-5</v>
      </c>
      <c r="BV2" s="15">
        <v>1.1591014547387159E-5</v>
      </c>
      <c r="BW2" s="15">
        <v>1.1637937189213889E-5</v>
      </c>
      <c r="BX2" s="15">
        <v>1.1685595032168294E-5</v>
      </c>
      <c r="BY2" s="15">
        <v>1.1733977016655489E-5</v>
      </c>
      <c r="BZ2" s="15">
        <v>1.1783073058060966E-5</v>
      </c>
      <c r="CA2" s="15">
        <v>1.1832927264751691E-5</v>
      </c>
      <c r="CB2" s="15">
        <v>1.1883595175689448E-5</v>
      </c>
      <c r="CC2" s="15">
        <v>1.1935118009080345E-5</v>
      </c>
      <c r="CD2" s="15">
        <v>1.1987488987436226E-5</v>
      </c>
      <c r="CE2" s="15">
        <v>1.204072754074284E-5</v>
      </c>
      <c r="CF2" s="15">
        <v>1.2094807145257598E-5</v>
      </c>
      <c r="CG2" s="15">
        <v>1.2149716763064159E-5</v>
      </c>
      <c r="CH2" s="15">
        <v>1.2205477055080803E-5</v>
      </c>
      <c r="CI2" s="15">
        <v>1.2262068474249293E-5</v>
      </c>
      <c r="CJ2" s="15">
        <v>1.2319520822137554E-5</v>
      </c>
      <c r="CK2" s="15">
        <v>1.237786806722634E-5</v>
      </c>
      <c r="CL2" s="15">
        <v>1.2437151013296541E-5</v>
      </c>
      <c r="CM2" s="15">
        <v>1.2497422526767769E-5</v>
      </c>
    </row>
    <row r="3" spans="1:91" x14ac:dyDescent="0.25">
      <c r="A3" s="21" t="s">
        <v>1</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15">
        <v>7.0000430409191978E-5</v>
      </c>
      <c r="AG3" s="15">
        <v>7.0630961246729871E-5</v>
      </c>
      <c r="AH3" s="15">
        <v>7.1066274150239037E-5</v>
      </c>
      <c r="AI3" s="15">
        <v>7.150778011594632E-5</v>
      </c>
      <c r="AJ3" s="15">
        <v>7.1952944698856812E-5</v>
      </c>
      <c r="AK3" s="15">
        <v>7.2400861735737981E-5</v>
      </c>
      <c r="AL3" s="15">
        <v>7.285284622485931E-5</v>
      </c>
      <c r="AM3" s="15">
        <v>7.3313273932656012E-5</v>
      </c>
      <c r="AN3" s="15">
        <v>7.3787111123243884E-5</v>
      </c>
      <c r="AO3" s="15">
        <v>7.4277957562576602E-5</v>
      </c>
      <c r="AP3" s="15">
        <v>7.478586235260993E-5</v>
      </c>
      <c r="AQ3" s="15">
        <v>7.5308758342790844E-5</v>
      </c>
      <c r="AR3" s="15">
        <v>7.5842609785929511E-5</v>
      </c>
      <c r="AS3" s="15">
        <v>7.6383079700261544E-5</v>
      </c>
      <c r="AT3" s="15">
        <v>7.6926134271035562E-5</v>
      </c>
      <c r="AU3" s="15">
        <v>7.74708096795645E-5</v>
      </c>
      <c r="AV3" s="15">
        <v>7.7835708482740454E-5</v>
      </c>
      <c r="AW3" s="15">
        <v>7.8201471463656532E-5</v>
      </c>
      <c r="AX3" s="15">
        <v>7.8567368679820893E-5</v>
      </c>
      <c r="AY3" s="15">
        <v>7.8932911450597094E-5</v>
      </c>
      <c r="AZ3" s="15">
        <v>7.9297852098800776E-5</v>
      </c>
      <c r="BA3" s="15">
        <v>7.9662257933066125E-5</v>
      </c>
      <c r="BB3" s="15">
        <v>8.0026718781396811E-5</v>
      </c>
      <c r="BC3" s="15">
        <v>8.0392479033655488E-5</v>
      </c>
      <c r="BD3" s="15">
        <v>8.0760241330582992E-5</v>
      </c>
      <c r="BE3" s="15">
        <v>8.1130206649503354E-5</v>
      </c>
      <c r="BF3" s="15">
        <v>8.1502220208843951E-5</v>
      </c>
      <c r="BG3" s="15">
        <v>8.1876586623157236E-5</v>
      </c>
      <c r="BH3" s="15">
        <v>8.2253773652320511E-5</v>
      </c>
      <c r="BI3" s="15">
        <v>8.2633805686775901E-5</v>
      </c>
      <c r="BJ3" s="15">
        <v>8.3016912391095407E-5</v>
      </c>
      <c r="BK3" s="15">
        <v>8.3402934492782065E-5</v>
      </c>
      <c r="BL3" s="15">
        <v>8.379154793872499E-5</v>
      </c>
      <c r="BM3" s="15">
        <v>8.4182322844702172E-5</v>
      </c>
      <c r="BN3" s="15">
        <v>8.4575119602724896E-5</v>
      </c>
      <c r="BO3" s="15">
        <v>8.4969477988109616E-5</v>
      </c>
      <c r="BP3" s="15">
        <v>8.5365604263626746E-5</v>
      </c>
      <c r="BQ3" s="15">
        <v>8.5763088438758648E-5</v>
      </c>
      <c r="BR3" s="15">
        <v>8.6162014741530959E-5</v>
      </c>
      <c r="BS3" s="15">
        <v>8.6562046837841089E-5</v>
      </c>
      <c r="BT3" s="15">
        <v>8.6909831975358727E-5</v>
      </c>
      <c r="BU3" s="15">
        <v>8.7260257869877498E-5</v>
      </c>
      <c r="BV3" s="15">
        <v>8.7612980013969039E-5</v>
      </c>
      <c r="BW3" s="15">
        <v>8.7968210364206207E-5</v>
      </c>
      <c r="BX3" s="15">
        <v>8.8325924179781699E-5</v>
      </c>
      <c r="BY3" s="15">
        <v>8.8686259003845197E-5</v>
      </c>
      <c r="BZ3" s="15">
        <v>8.9048882229405665E-5</v>
      </c>
      <c r="CA3" s="15">
        <v>8.9414053805702252E-5</v>
      </c>
      <c r="CB3" s="15">
        <v>8.9781752363607951E-5</v>
      </c>
      <c r="CC3" s="15">
        <v>9.0152000277690048E-5</v>
      </c>
      <c r="CD3" s="15">
        <v>9.0524660714826535E-5</v>
      </c>
      <c r="CE3" s="15">
        <v>9.0899780625042673E-5</v>
      </c>
      <c r="CF3" s="15">
        <v>9.1277330608923702E-5</v>
      </c>
      <c r="CG3" s="15">
        <v>9.1657233421723404E-5</v>
      </c>
      <c r="CH3" s="15">
        <v>9.2039602584603042E-5</v>
      </c>
      <c r="CI3" s="15">
        <v>9.242432100084031E-5</v>
      </c>
      <c r="CJ3" s="15">
        <v>9.2811362732216811E-5</v>
      </c>
      <c r="CK3" s="15">
        <v>9.3200498186654245E-5</v>
      </c>
      <c r="CL3" s="15">
        <v>9.3591909887886761E-5</v>
      </c>
      <c r="CM3" s="15">
        <v>9.3985309441606062E-5</v>
      </c>
    </row>
    <row r="4" spans="1:91" x14ac:dyDescent="0.25">
      <c r="A4" s="21" t="s">
        <v>2</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15">
        <v>1.3228986578653787E-5</v>
      </c>
      <c r="AG4" s="15">
        <v>1.3351004035312167E-5</v>
      </c>
      <c r="AH4" s="15">
        <v>1.3448210690384045E-5</v>
      </c>
      <c r="AI4" s="15">
        <v>1.3548882358160103E-5</v>
      </c>
      <c r="AJ4" s="15">
        <v>1.365327018224468E-5</v>
      </c>
      <c r="AK4" s="15">
        <v>1.3761500883312822E-5</v>
      </c>
      <c r="AL4" s="15">
        <v>1.387370090955609E-5</v>
      </c>
      <c r="AM4" s="15">
        <v>1.3990474699641369E-5</v>
      </c>
      <c r="AN4" s="15">
        <v>1.4112378817260886E-5</v>
      </c>
      <c r="AO4" s="15">
        <v>1.4239928335395459E-5</v>
      </c>
      <c r="AP4" s="15">
        <v>1.4373258842965937E-5</v>
      </c>
      <c r="AQ4" s="15">
        <v>1.4512396972370334E-5</v>
      </c>
      <c r="AR4" s="15">
        <v>1.4657165111117269E-5</v>
      </c>
      <c r="AS4" s="15">
        <v>1.4807426681632889E-5</v>
      </c>
      <c r="AT4" s="15">
        <v>1.4962997035753534E-5</v>
      </c>
      <c r="AU4" s="15">
        <v>1.5124019551113483E-5</v>
      </c>
      <c r="AV4" s="15">
        <v>1.5129679469184749E-5</v>
      </c>
      <c r="AW4" s="15">
        <v>1.5136668183505505E-5</v>
      </c>
      <c r="AX4" s="15">
        <v>1.5144948109290246E-5</v>
      </c>
      <c r="AY4" s="15">
        <v>1.5154462024834499E-5</v>
      </c>
      <c r="AZ4" s="15">
        <v>1.5165243320731007E-5</v>
      </c>
      <c r="BA4" s="15">
        <v>1.5177362977126023E-5</v>
      </c>
      <c r="BB4" s="15">
        <v>1.5190865046527137E-5</v>
      </c>
      <c r="BC4" s="15">
        <v>1.5205885679193845E-5</v>
      </c>
      <c r="BD4" s="15">
        <v>1.5222476092568192E-5</v>
      </c>
      <c r="BE4" s="15">
        <v>1.5240690367872361E-5</v>
      </c>
      <c r="BF4" s="15">
        <v>1.5260525310550297E-5</v>
      </c>
      <c r="BG4" s="15">
        <v>1.5281970137911179E-5</v>
      </c>
      <c r="BH4" s="15">
        <v>1.5305072604409572E-5</v>
      </c>
      <c r="BI4" s="15">
        <v>1.5329779965360515E-5</v>
      </c>
      <c r="BJ4" s="15">
        <v>1.5356153846789519E-5</v>
      </c>
      <c r="BK4" s="15">
        <v>1.5384179273723803E-5</v>
      </c>
      <c r="BL4" s="15">
        <v>1.5413889957734609E-5</v>
      </c>
      <c r="BM4" s="15">
        <v>1.5445306992464522E-5</v>
      </c>
      <c r="BN4" s="15">
        <v>1.5478482896908194E-5</v>
      </c>
      <c r="BO4" s="15">
        <v>1.5513378357914852E-5</v>
      </c>
      <c r="BP4" s="15">
        <v>1.555004767317005E-5</v>
      </c>
      <c r="BQ4" s="15">
        <v>1.5588500151053576E-5</v>
      </c>
      <c r="BR4" s="15">
        <v>1.5628829986834069E-5</v>
      </c>
      <c r="BS4" s="15">
        <v>1.567104412217074E-5</v>
      </c>
      <c r="BT4" s="15">
        <v>1.5715175740897283E-5</v>
      </c>
      <c r="BU4" s="15">
        <v>1.576127411843068E-5</v>
      </c>
      <c r="BV4" s="15">
        <v>1.5809239413469278E-5</v>
      </c>
      <c r="BW4" s="15">
        <v>1.5859003238648446E-5</v>
      </c>
      <c r="BX4" s="15">
        <v>1.5910525374817119E-5</v>
      </c>
      <c r="BY4" s="15">
        <v>1.5963826475578374E-5</v>
      </c>
      <c r="BZ4" s="15">
        <v>1.6018932390953672E-5</v>
      </c>
      <c r="CA4" s="15">
        <v>1.6075946092514357E-5</v>
      </c>
      <c r="CB4" s="15">
        <v>1.6134996204646558E-5</v>
      </c>
      <c r="CC4" s="15">
        <v>1.619617700250283E-5</v>
      </c>
      <c r="CD4" s="15">
        <v>1.6259530794417312E-5</v>
      </c>
      <c r="CE4" s="15">
        <v>1.6325137705062302E-5</v>
      </c>
      <c r="CF4" s="15">
        <v>1.6393003462244631E-5</v>
      </c>
      <c r="CG4" s="15">
        <v>1.646317079761857E-5</v>
      </c>
      <c r="CH4" s="15">
        <v>1.6535713142124513E-5</v>
      </c>
      <c r="CI4" s="15">
        <v>1.6610675973681363E-5</v>
      </c>
      <c r="CJ4" s="15">
        <v>1.6688154385214631E-5</v>
      </c>
      <c r="CK4" s="15">
        <v>1.6768272358873779E-5</v>
      </c>
      <c r="CL4" s="15">
        <v>1.6851146193557374E-5</v>
      </c>
      <c r="CM4" s="15">
        <v>1.6936941244662474E-5</v>
      </c>
    </row>
    <row r="5" spans="1:91" x14ac:dyDescent="0.25">
      <c r="A5" s="21" t="s">
        <v>2</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15">
        <v>7.0121002027183778E-6</v>
      </c>
      <c r="AG5" s="15">
        <v>7.2210894119728063E-6</v>
      </c>
      <c r="AH5" s="15">
        <v>7.4202145751621905E-6</v>
      </c>
      <c r="AI5" s="15">
        <v>7.6288203120131999E-6</v>
      </c>
      <c r="AJ5" s="15">
        <v>7.8474396653895003E-6</v>
      </c>
      <c r="AK5" s="15">
        <v>8.0765895476182639E-6</v>
      </c>
      <c r="AL5" s="15">
        <v>8.3168765465417997E-6</v>
      </c>
      <c r="AM5" s="15">
        <v>8.569263350893212E-6</v>
      </c>
      <c r="AN5" s="15">
        <v>8.8347261253526665E-6</v>
      </c>
      <c r="AO5" s="15">
        <v>9.11421427809247E-6</v>
      </c>
      <c r="AP5" s="15">
        <v>9.4084016592827995E-6</v>
      </c>
      <c r="AQ5" s="15">
        <v>9.7178946223932155E-6</v>
      </c>
      <c r="AR5" s="15">
        <v>1.0043173749519153E-5</v>
      </c>
      <c r="AS5" s="15">
        <v>1.0384788452865011E-5</v>
      </c>
      <c r="AT5" s="15">
        <v>1.0743308883754397E-5</v>
      </c>
      <c r="AU5" s="15">
        <v>1.1119589377810111E-5</v>
      </c>
      <c r="AV5" s="15">
        <v>1.1213796586475904E-5</v>
      </c>
      <c r="AW5" s="15">
        <v>1.1310063229022583E-5</v>
      </c>
      <c r="AX5" s="15">
        <v>1.1408394646721938E-5</v>
      </c>
      <c r="AY5" s="15">
        <v>1.1508780806381498E-5</v>
      </c>
      <c r="AZ5" s="15">
        <v>1.1611279737027922E-5</v>
      </c>
      <c r="BA5" s="15">
        <v>1.1715979237498833E-5</v>
      </c>
      <c r="BB5" s="15">
        <v>1.1822947929307411E-5</v>
      </c>
      <c r="BC5" s="15">
        <v>1.1932326332599029E-5</v>
      </c>
      <c r="BD5" s="15">
        <v>1.2044191881680218E-5</v>
      </c>
      <c r="BE5" s="15">
        <v>1.2158625474257043E-5</v>
      </c>
      <c r="BF5" s="15">
        <v>1.2275663650896177E-5</v>
      </c>
      <c r="BG5" s="15">
        <v>1.2395333374645749E-5</v>
      </c>
      <c r="BH5" s="15">
        <v>1.2517706778337661E-5</v>
      </c>
      <c r="BI5" s="15">
        <v>1.2642778251082926E-5</v>
      </c>
      <c r="BJ5" s="15">
        <v>1.2770631328073203E-5</v>
      </c>
      <c r="BK5" s="15">
        <v>1.2901293894719471E-5</v>
      </c>
      <c r="BL5" s="15">
        <v>1.3034830919942682E-5</v>
      </c>
      <c r="BM5" s="15">
        <v>1.3171300126526274E-5</v>
      </c>
      <c r="BN5" s="15">
        <v>1.3310782826788613E-5</v>
      </c>
      <c r="BO5" s="15">
        <v>1.3453288136796965E-5</v>
      </c>
      <c r="BP5" s="15">
        <v>1.3598902811408791E-5</v>
      </c>
      <c r="BQ5" s="15">
        <v>1.3747680101340874E-5</v>
      </c>
      <c r="BR5" s="15">
        <v>1.3899750761434954E-5</v>
      </c>
      <c r="BS5" s="15">
        <v>1.4055169790404232E-5</v>
      </c>
      <c r="BT5" s="15">
        <v>1.4214018533221651E-5</v>
      </c>
      <c r="BU5" s="15">
        <v>1.4376384341841042E-5</v>
      </c>
      <c r="BV5" s="15">
        <v>1.454223838780701E-5</v>
      </c>
      <c r="BW5" s="15">
        <v>1.4711573778200049E-5</v>
      </c>
      <c r="BX5" s="15">
        <v>1.4884409820544955E-5</v>
      </c>
      <c r="BY5" s="15">
        <v>1.5060817919501827E-5</v>
      </c>
      <c r="BZ5" s="15">
        <v>1.5240874558207107E-5</v>
      </c>
      <c r="CA5" s="15">
        <v>1.5424723193414205E-5</v>
      </c>
      <c r="CB5" s="15">
        <v>1.5612527123797715E-5</v>
      </c>
      <c r="CC5" s="15">
        <v>1.5804430627085273E-5</v>
      </c>
      <c r="CD5" s="15">
        <v>1.6000527546420064E-5</v>
      </c>
      <c r="CE5" s="15">
        <v>1.6200948175775143E-5</v>
      </c>
      <c r="CF5" s="15">
        <v>1.6405763465364506E-5</v>
      </c>
      <c r="CG5" s="15">
        <v>1.6615072156938698E-5</v>
      </c>
      <c r="CH5" s="15">
        <v>1.6829007697501241E-5</v>
      </c>
      <c r="CI5" s="15">
        <v>1.7047670489944911E-5</v>
      </c>
      <c r="CJ5" s="15">
        <v>1.7271213764054107E-5</v>
      </c>
      <c r="CK5" s="15">
        <v>1.7499810138009306E-5</v>
      </c>
      <c r="CL5" s="15">
        <v>1.7733635779794166E-5</v>
      </c>
      <c r="CM5" s="15">
        <v>1.7972898028142205E-5</v>
      </c>
    </row>
    <row r="7" spans="1:91" x14ac:dyDescent="0.25">
      <c r="A7" s="21" t="s">
        <v>3</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15">
        <v>3.6843336955314182E-5</v>
      </c>
      <c r="AG7" s="15">
        <v>3.6790336088918271E-5</v>
      </c>
      <c r="AH7" s="15">
        <v>3.6735360620641035E-5</v>
      </c>
      <c r="AI7" s="15">
        <v>3.667954216924579E-5</v>
      </c>
      <c r="AJ7" s="15">
        <v>3.6623172446285202E-5</v>
      </c>
      <c r="AK7" s="15">
        <v>3.6566333390967918E-5</v>
      </c>
      <c r="AL7" s="15">
        <v>3.6509049093726465E-5</v>
      </c>
      <c r="AM7" s="15">
        <v>3.6451465927738483E-5</v>
      </c>
      <c r="AN7" s="15">
        <v>3.6393772236650164E-5</v>
      </c>
      <c r="AO7" s="15">
        <v>3.6336058437465606E-5</v>
      </c>
      <c r="AP7" s="15">
        <v>3.6278480991528786E-5</v>
      </c>
      <c r="AQ7" s="15">
        <v>3.6221086104825362E-5</v>
      </c>
      <c r="AR7" s="15">
        <v>3.6163908142653389E-5</v>
      </c>
      <c r="AS7" s="15">
        <v>3.6106967137093158E-5</v>
      </c>
      <c r="AT7" s="15">
        <v>3.6050252332744931E-5</v>
      </c>
      <c r="AU7" s="15">
        <v>3.5993815782955002E-5</v>
      </c>
      <c r="AV7" s="15">
        <v>3.6240761422145941E-5</v>
      </c>
      <c r="AW7" s="15">
        <v>3.6488319224976524E-5</v>
      </c>
      <c r="AX7" s="15">
        <v>3.6736401572061515E-5</v>
      </c>
      <c r="AY7" s="15">
        <v>3.6984942058821465E-5</v>
      </c>
      <c r="AZ7" s="15">
        <v>3.7233916194726742E-5</v>
      </c>
      <c r="BA7" s="15">
        <v>3.7483340931640341E-5</v>
      </c>
      <c r="BB7" s="15">
        <v>3.7733264583550239E-5</v>
      </c>
      <c r="BC7" s="15">
        <v>3.7983771721610727E-5</v>
      </c>
      <c r="BD7" s="15">
        <v>3.8234915476011561E-5</v>
      </c>
      <c r="BE7" s="15">
        <v>3.8486709306004642E-5</v>
      </c>
      <c r="BF7" s="15">
        <v>3.8739112982091046E-5</v>
      </c>
      <c r="BG7" s="15">
        <v>3.8992095716647596E-5</v>
      </c>
      <c r="BH7" s="15">
        <v>3.924562373175183E-5</v>
      </c>
      <c r="BI7" s="15">
        <v>3.9499678545098855E-5</v>
      </c>
      <c r="BJ7" s="15">
        <v>3.9754240321908044E-5</v>
      </c>
      <c r="BK7" s="15">
        <v>4.000932417248637E-5</v>
      </c>
      <c r="BL7" s="15">
        <v>4.026490274229546E-5</v>
      </c>
      <c r="BM7" s="15">
        <v>4.0520979757742613E-5</v>
      </c>
      <c r="BN7" s="15">
        <v>4.077753345059938E-5</v>
      </c>
      <c r="BO7" s="15">
        <v>4.103455970645964E-5</v>
      </c>
      <c r="BP7" s="15">
        <v>4.1292070796830004E-5</v>
      </c>
      <c r="BQ7" s="15">
        <v>4.1550084585070373E-5</v>
      </c>
      <c r="BR7" s="15">
        <v>4.1808652143139597E-5</v>
      </c>
      <c r="BS7" s="15">
        <v>4.2067777718082665E-5</v>
      </c>
      <c r="BT7" s="15">
        <v>4.205732655042336E-5</v>
      </c>
      <c r="BU7" s="15">
        <v>4.20475698536695E-5</v>
      </c>
      <c r="BV7" s="15">
        <v>4.2038515839406725E-5</v>
      </c>
      <c r="BW7" s="15">
        <v>4.2030165165065959E-5</v>
      </c>
      <c r="BX7" s="15">
        <v>4.2022517883421977E-5</v>
      </c>
      <c r="BY7" s="15">
        <v>4.2015578646874784E-5</v>
      </c>
      <c r="BZ7" s="15">
        <v>4.2009349904398449E-5</v>
      </c>
      <c r="CA7" s="15">
        <v>4.2003839410619271E-5</v>
      </c>
      <c r="CB7" s="15">
        <v>4.1999035700128213E-5</v>
      </c>
      <c r="CC7" s="15">
        <v>4.1994954482370675E-5</v>
      </c>
      <c r="CD7" s="15">
        <v>4.1991583571040976E-5</v>
      </c>
      <c r="CE7" s="15">
        <v>4.198892315455593E-5</v>
      </c>
      <c r="CF7" s="15">
        <v>4.1986974316149639E-5</v>
      </c>
      <c r="CG7" s="15">
        <v>4.1985724723765034E-5</v>
      </c>
      <c r="CH7" s="15">
        <v>4.1985181176711097E-5</v>
      </c>
      <c r="CI7" s="15">
        <v>4.1985334042555348E-5</v>
      </c>
      <c r="CJ7" s="15">
        <v>4.1986179969974803E-5</v>
      </c>
      <c r="CK7" s="15">
        <v>4.1987715798084247E-5</v>
      </c>
      <c r="CL7" s="15">
        <v>4.1989957362986156E-5</v>
      </c>
      <c r="CM7" s="15">
        <v>4.1992888143846221E-5</v>
      </c>
    </row>
    <row r="8" spans="1:91" x14ac:dyDescent="0.25">
      <c r="A8" s="21" t="s">
        <v>1</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15">
        <v>5.2769166477933858E-5</v>
      </c>
      <c r="AG8" s="15">
        <v>5.2693255559611984E-5</v>
      </c>
      <c r="AH8" s="15">
        <v>5.2614516501821335E-5</v>
      </c>
      <c r="AI8" s="15">
        <v>5.25345700746617E-5</v>
      </c>
      <c r="AJ8" s="15">
        <v>5.2453834084356881E-5</v>
      </c>
      <c r="AK8" s="15">
        <v>5.2372425888999203E-5</v>
      </c>
      <c r="AL8" s="15">
        <v>5.2290379992305006E-5</v>
      </c>
      <c r="AM8" s="15">
        <v>5.2207906038438337E-5</v>
      </c>
      <c r="AN8" s="15">
        <v>5.2125273784105413E-5</v>
      </c>
      <c r="AO8" s="15">
        <v>5.204261272978946E-5</v>
      </c>
      <c r="AP8" s="15">
        <v>5.1960146968512207E-5</v>
      </c>
      <c r="AQ8" s="15">
        <v>5.187794267916924E-5</v>
      </c>
      <c r="AR8" s="15">
        <v>5.1796049081735804E-5</v>
      </c>
      <c r="AS8" s="15">
        <v>5.1714494867320529E-5</v>
      </c>
      <c r="AT8" s="15">
        <v>5.1633264631415317E-5</v>
      </c>
      <c r="AU8" s="15">
        <v>5.1552432927845249E-5</v>
      </c>
      <c r="AV8" s="15">
        <v>5.1426673049312509E-5</v>
      </c>
      <c r="AW8" s="15">
        <v>5.1301940254642099E-5</v>
      </c>
      <c r="AX8" s="15">
        <v>5.1178110902497184E-5</v>
      </c>
      <c r="AY8" s="15">
        <v>5.105509507926116E-5</v>
      </c>
      <c r="AZ8" s="15">
        <v>5.0932863792962064E-5</v>
      </c>
      <c r="BA8" s="15">
        <v>5.0811445390446209E-5</v>
      </c>
      <c r="BB8" s="15">
        <v>5.0690909576079458E-5</v>
      </c>
      <c r="BC8" s="15">
        <v>5.0571372672563091E-5</v>
      </c>
      <c r="BD8" s="15">
        <v>5.0452904928954989E-5</v>
      </c>
      <c r="BE8" s="15">
        <v>5.0335521782884781E-5</v>
      </c>
      <c r="BF8" s="15">
        <v>5.0219168035245482E-5</v>
      </c>
      <c r="BG8" s="15">
        <v>5.0103801412425793E-5</v>
      </c>
      <c r="BH8" s="15">
        <v>4.9989377866887931E-5</v>
      </c>
      <c r="BI8" s="15">
        <v>4.9875873697931907E-5</v>
      </c>
      <c r="BJ8" s="15">
        <v>4.9763264739644714E-5</v>
      </c>
      <c r="BK8" s="15">
        <v>4.9651571402519582E-5</v>
      </c>
      <c r="BL8" s="15">
        <v>4.9540760809332245E-5</v>
      </c>
      <c r="BM8" s="15">
        <v>4.9430839326372468E-5</v>
      </c>
      <c r="BN8" s="15">
        <v>4.9321782578794245E-5</v>
      </c>
      <c r="BO8" s="15">
        <v>4.921358818595785E-5</v>
      </c>
      <c r="BP8" s="15">
        <v>4.9106274165759208E-5</v>
      </c>
      <c r="BQ8" s="15">
        <v>4.8999864266282466E-5</v>
      </c>
      <c r="BR8" s="15">
        <v>4.8894420639971825E-5</v>
      </c>
      <c r="BS8" s="15">
        <v>4.878994838437421E-5</v>
      </c>
      <c r="BT8" s="15">
        <v>4.8777827184769348E-5</v>
      </c>
      <c r="BU8" s="15">
        <v>4.8766511428224931E-5</v>
      </c>
      <c r="BV8" s="15">
        <v>4.8756010638487174E-5</v>
      </c>
      <c r="BW8" s="15">
        <v>4.8746325578040402E-5</v>
      </c>
      <c r="BX8" s="15">
        <v>4.8737456308092499E-5</v>
      </c>
      <c r="BY8" s="15">
        <v>4.872940822446818E-5</v>
      </c>
      <c r="BZ8" s="15">
        <v>4.8722184167472422E-5</v>
      </c>
      <c r="CA8" s="15">
        <v>4.8715793130872858E-5</v>
      </c>
      <c r="CB8" s="15">
        <v>4.8710221817159014E-5</v>
      </c>
      <c r="CC8" s="15">
        <v>4.8705488446048469E-5</v>
      </c>
      <c r="CD8" s="15">
        <v>4.8701578883939272E-5</v>
      </c>
      <c r="CE8" s="15">
        <v>4.8698493349356099E-5</v>
      </c>
      <c r="CF8" s="15">
        <v>4.8696233098627154E-5</v>
      </c>
      <c r="CG8" s="15">
        <v>4.8694783829108917E-5</v>
      </c>
      <c r="CH8" s="15">
        <v>4.8694153426597895E-5</v>
      </c>
      <c r="CI8" s="15">
        <v>4.8694330719458511E-5</v>
      </c>
      <c r="CJ8" s="15">
        <v>4.8695311820847057E-5</v>
      </c>
      <c r="CK8" s="15">
        <v>4.8697093064788418E-5</v>
      </c>
      <c r="CL8" s="15">
        <v>4.8699692817896317E-5</v>
      </c>
      <c r="CM8" s="15">
        <v>4.870309191940927E-5</v>
      </c>
    </row>
    <row r="9" spans="1:91" x14ac:dyDescent="0.25">
      <c r="A9" s="21" t="s">
        <v>1</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15">
        <v>3.755643379961059E-5</v>
      </c>
      <c r="AG9" s="15">
        <v>3.7502407109994121E-5</v>
      </c>
      <c r="AH9" s="15">
        <v>3.7446367600395375E-5</v>
      </c>
      <c r="AI9" s="15">
        <v>3.7389468791876361E-5</v>
      </c>
      <c r="AJ9" s="15">
        <v>3.7332008042019762E-5</v>
      </c>
      <c r="AK9" s="15">
        <v>3.7274068875954395E-5</v>
      </c>
      <c r="AL9" s="15">
        <v>3.7215675850379237E-5</v>
      </c>
      <c r="AM9" s="15">
        <v>3.7156978171501163E-5</v>
      </c>
      <c r="AN9" s="15">
        <v>3.7098167828327268E-5</v>
      </c>
      <c r="AO9" s="15">
        <v>3.7039336987868168E-5</v>
      </c>
      <c r="AP9" s="15">
        <v>3.6980645139751931E-5</v>
      </c>
      <c r="AQ9" s="15">
        <v>3.692213938427361E-5</v>
      </c>
      <c r="AR9" s="15">
        <v>3.6863854751866036E-5</v>
      </c>
      <c r="AS9" s="15">
        <v>3.6805811662327231E-5</v>
      </c>
      <c r="AT9" s="15">
        <v>3.6747999152088383E-5</v>
      </c>
      <c r="AU9" s="15">
        <v>3.6690470281979947E-5</v>
      </c>
      <c r="AV9" s="15">
        <v>3.6554387193524668E-5</v>
      </c>
      <c r="AW9" s="15">
        <v>3.6419049694988411E-5</v>
      </c>
      <c r="AX9" s="15">
        <v>3.6284369969327323E-5</v>
      </c>
      <c r="AY9" s="15">
        <v>3.6150284528647284E-5</v>
      </c>
      <c r="AZ9" s="15">
        <v>3.6016773330156356E-5</v>
      </c>
      <c r="BA9" s="15">
        <v>3.5883856943783344E-5</v>
      </c>
      <c r="BB9" s="15">
        <v>3.5751585028125387E-5</v>
      </c>
      <c r="BC9" s="15">
        <v>3.5620039904606293E-5</v>
      </c>
      <c r="BD9" s="15">
        <v>3.5489271002261883E-5</v>
      </c>
      <c r="BE9" s="15">
        <v>3.5359288935229114E-5</v>
      </c>
      <c r="BF9" s="15">
        <v>3.5230054652750892E-5</v>
      </c>
      <c r="BG9" s="15">
        <v>3.510153824522978E-5</v>
      </c>
      <c r="BH9" s="15">
        <v>3.497370878428771E-5</v>
      </c>
      <c r="BI9" s="15">
        <v>3.4846549671034063E-5</v>
      </c>
      <c r="BJ9" s="15">
        <v>3.4720044118473136E-5</v>
      </c>
      <c r="BK9" s="15">
        <v>3.4594206533365417E-5</v>
      </c>
      <c r="BL9" s="15">
        <v>3.4469014128796276E-5</v>
      </c>
      <c r="BM9" s="15">
        <v>3.434447153570656E-5</v>
      </c>
      <c r="BN9" s="15">
        <v>3.4220562067128782E-5</v>
      </c>
      <c r="BO9" s="15">
        <v>3.4097284369947345E-5</v>
      </c>
      <c r="BP9" s="15">
        <v>3.3974651310643246E-5</v>
      </c>
      <c r="BQ9" s="15">
        <v>3.3852679612556282E-5</v>
      </c>
      <c r="BR9" s="15">
        <v>3.3731412442074227E-5</v>
      </c>
      <c r="BS9" s="15">
        <v>3.3610853331457794E-5</v>
      </c>
      <c r="BT9" s="15">
        <v>3.3602503171729998E-5</v>
      </c>
      <c r="BU9" s="15">
        <v>3.359470787277717E-5</v>
      </c>
      <c r="BV9" s="15">
        <v>3.3587473995402277E-5</v>
      </c>
      <c r="BW9" s="15">
        <v>3.3580802064872276E-5</v>
      </c>
      <c r="BX9" s="15">
        <v>3.3574692123352602E-5</v>
      </c>
      <c r="BY9" s="15">
        <v>3.3569147887966958E-5</v>
      </c>
      <c r="BZ9" s="15">
        <v>3.3564171315369903E-5</v>
      </c>
      <c r="CA9" s="15">
        <v>3.3559768601267973E-5</v>
      </c>
      <c r="CB9" s="15">
        <v>3.3555930585153986E-5</v>
      </c>
      <c r="CC9" s="15">
        <v>3.3552669818388946E-5</v>
      </c>
      <c r="CD9" s="15">
        <v>3.3549976564491491E-5</v>
      </c>
      <c r="CE9" s="15">
        <v>3.3547850974000863E-5</v>
      </c>
      <c r="CF9" s="15">
        <v>3.3546293912387592E-5</v>
      </c>
      <c r="CG9" s="15">
        <v>3.3545295526719481E-5</v>
      </c>
      <c r="CH9" s="15">
        <v>3.3544861249434111E-5</v>
      </c>
      <c r="CI9" s="15">
        <v>3.354498338451587E-5</v>
      </c>
      <c r="CJ9" s="15">
        <v>3.3545659254361305E-5</v>
      </c>
      <c r="CK9" s="15">
        <v>3.3546886333520914E-5</v>
      </c>
      <c r="CL9" s="15">
        <v>3.3548677274550791E-5</v>
      </c>
      <c r="CM9" s="15">
        <v>3.3551018877815263E-5</v>
      </c>
    </row>
    <row r="10" spans="1:91" x14ac:dyDescent="0.25">
      <c r="A10" s="21" t="s">
        <v>1</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15">
        <v>3.2802454837634565E-5</v>
      </c>
      <c r="AG10" s="15">
        <v>3.2755266969488529E-5</v>
      </c>
      <c r="AH10" s="15">
        <v>3.2706321068699752E-5</v>
      </c>
      <c r="AI10" s="15">
        <v>3.2656624641005933E-5</v>
      </c>
      <c r="AJ10" s="15">
        <v>3.260643740378941E-5</v>
      </c>
      <c r="AK10" s="15">
        <v>3.2555832309377881E-5</v>
      </c>
      <c r="AL10" s="15">
        <v>3.2504830806027448E-5</v>
      </c>
      <c r="AM10" s="15">
        <v>3.2453563213083297E-5</v>
      </c>
      <c r="AN10" s="15">
        <v>3.2402197217146604E-5</v>
      </c>
      <c r="AO10" s="15">
        <v>3.2350813318517766E-5</v>
      </c>
      <c r="AP10" s="15">
        <v>3.2299550818264349E-5</v>
      </c>
      <c r="AQ10" s="15">
        <v>3.2248450854618708E-5</v>
      </c>
      <c r="AR10" s="15">
        <v>3.2197544023781722E-5</v>
      </c>
      <c r="AS10" s="15">
        <v>3.2146848160766819E-5</v>
      </c>
      <c r="AT10" s="15">
        <v>3.2096353689798707E-5</v>
      </c>
      <c r="AU10" s="15">
        <v>3.2046106955147048E-5</v>
      </c>
      <c r="AV10" s="15">
        <v>3.2141497387667968E-5</v>
      </c>
      <c r="AW10" s="15">
        <v>3.2237471864924206E-5</v>
      </c>
      <c r="AX10" s="15">
        <v>3.2333952858260567E-5</v>
      </c>
      <c r="AY10" s="15">
        <v>3.2430882594832423E-5</v>
      </c>
      <c r="AZ10" s="15">
        <v>3.252824084985104E-5</v>
      </c>
      <c r="BA10" s="15">
        <v>3.2626043771889077E-5</v>
      </c>
      <c r="BB10" s="15">
        <v>3.2724334507413949E-5</v>
      </c>
      <c r="BC10" s="15">
        <v>3.2823187104594656E-5</v>
      </c>
      <c r="BD10" s="15">
        <v>3.2922647348466289E-5</v>
      </c>
      <c r="BE10" s="15">
        <v>3.3022726225326942E-5</v>
      </c>
      <c r="BF10" s="15">
        <v>3.3123388546184533E-5</v>
      </c>
      <c r="BG10" s="15">
        <v>3.322460737319037E-5</v>
      </c>
      <c r="BH10" s="15">
        <v>3.3326353757518896E-5</v>
      </c>
      <c r="BI10" s="15">
        <v>3.3428611963271228E-5</v>
      </c>
      <c r="BJ10" s="15">
        <v>3.3531365432526505E-5</v>
      </c>
      <c r="BK10" s="15">
        <v>3.3634627298655102E-5</v>
      </c>
      <c r="BL10" s="15">
        <v>3.3738374843246775E-5</v>
      </c>
      <c r="BM10" s="15">
        <v>3.3842611651175989E-5</v>
      </c>
      <c r="BN10" s="15">
        <v>3.3947320107804405E-5</v>
      </c>
      <c r="BO10" s="15">
        <v>3.4052497461805553E-5</v>
      </c>
      <c r="BP10" s="15">
        <v>3.4158154753509541E-5</v>
      </c>
      <c r="BQ10" s="15">
        <v>3.4264307410199167E-5</v>
      </c>
      <c r="BR10" s="15">
        <v>3.4370998047757487E-5</v>
      </c>
      <c r="BS10" s="15">
        <v>3.4478230191624447E-5</v>
      </c>
      <c r="BT10" s="15">
        <v>3.4469664543903668E-5</v>
      </c>
      <c r="BU10" s="15">
        <v>3.4461668075945619E-5</v>
      </c>
      <c r="BV10" s="15">
        <v>3.4454247517864263E-5</v>
      </c>
      <c r="BW10" s="15">
        <v>3.4447403408481883E-5</v>
      </c>
      <c r="BX10" s="15">
        <v>3.4441135791052025E-5</v>
      </c>
      <c r="BY10" s="15">
        <v>3.4435448478624177E-5</v>
      </c>
      <c r="BZ10" s="15">
        <v>3.4430343478347179E-5</v>
      </c>
      <c r="CA10" s="15">
        <v>3.4425827145816816E-5</v>
      </c>
      <c r="CB10" s="15">
        <v>3.4421890084125702E-5</v>
      </c>
      <c r="CC10" s="15">
        <v>3.4418545168540914E-5</v>
      </c>
      <c r="CD10" s="15">
        <v>3.4415782411317079E-5</v>
      </c>
      <c r="CE10" s="15">
        <v>3.4413601966878305E-5</v>
      </c>
      <c r="CF10" s="15">
        <v>3.4412004723029851E-5</v>
      </c>
      <c r="CG10" s="15">
        <v>3.4410980572570303E-5</v>
      </c>
      <c r="CH10" s="15">
        <v>3.4410535088129198E-5</v>
      </c>
      <c r="CI10" s="15">
        <v>3.4410660375084007E-5</v>
      </c>
      <c r="CJ10" s="15">
        <v>3.441135368673192E-5</v>
      </c>
      <c r="CK10" s="15">
        <v>3.4412612432450478E-5</v>
      </c>
      <c r="CL10" s="15">
        <v>3.4414449591313397E-5</v>
      </c>
      <c r="CM10" s="15">
        <v>3.4416851623049204E-5</v>
      </c>
    </row>
    <row r="11" spans="1:91" x14ac:dyDescent="0.25">
      <c r="A11" s="21" t="s">
        <v>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15">
        <v>9.854236723099179E-6</v>
      </c>
      <c r="AG11" s="15">
        <v>9.9823313516283816E-6</v>
      </c>
      <c r="AH11" s="15">
        <v>1.0100376622903003E-5</v>
      </c>
      <c r="AI11" s="15">
        <v>1.0217954371032664E-5</v>
      </c>
      <c r="AJ11" s="15">
        <v>1.0335036222756833E-5</v>
      </c>
      <c r="AK11" s="15">
        <v>1.0451609591361124E-5</v>
      </c>
      <c r="AL11" s="15">
        <v>1.0567721275233579E-5</v>
      </c>
      <c r="AM11" s="15">
        <v>1.0683584645201572E-5</v>
      </c>
      <c r="AN11" s="15">
        <v>1.0799445063931594E-5</v>
      </c>
      <c r="AO11" s="15">
        <v>1.0915504194081234E-5</v>
      </c>
      <c r="AP11" s="15">
        <v>1.1031807456688384E-5</v>
      </c>
      <c r="AQ11" s="15">
        <v>1.1148309525294568E-5</v>
      </c>
      <c r="AR11" s="15">
        <v>1.1264870100794226E-5</v>
      </c>
      <c r="AS11" s="15">
        <v>1.1381328286422772E-5</v>
      </c>
      <c r="AT11" s="15">
        <v>1.1497512483415883E-5</v>
      </c>
      <c r="AU11" s="15">
        <v>1.1613397424679677E-5</v>
      </c>
      <c r="AV11" s="15">
        <v>1.1713798570050842E-5</v>
      </c>
      <c r="AW11" s="15">
        <v>1.1814470296277969E-5</v>
      </c>
      <c r="AX11" s="15">
        <v>1.191534638981658E-5</v>
      </c>
      <c r="AY11" s="15">
        <v>1.2016381020005536E-5</v>
      </c>
      <c r="AZ11" s="15">
        <v>1.2117558271218646E-5</v>
      </c>
      <c r="BA11" s="15">
        <v>1.2218890985596653E-5</v>
      </c>
      <c r="BB11" s="15">
        <v>1.2320406157975561E-5</v>
      </c>
      <c r="BC11" s="15">
        <v>1.2422163359147807E-5</v>
      </c>
      <c r="BD11" s="15">
        <v>1.2524187390788021E-5</v>
      </c>
      <c r="BE11" s="15">
        <v>1.2626483878628047E-5</v>
      </c>
      <c r="BF11" s="15">
        <v>1.2729030779148932E-5</v>
      </c>
      <c r="BG11" s="15">
        <v>1.2831824775562305E-5</v>
      </c>
      <c r="BH11" s="15">
        <v>1.293486824139877E-5</v>
      </c>
      <c r="BI11" s="15">
        <v>1.3038141931290572E-5</v>
      </c>
      <c r="BJ11" s="15">
        <v>1.3141646057248452E-5</v>
      </c>
      <c r="BK11" s="15">
        <v>1.324536198402301E-5</v>
      </c>
      <c r="BL11" s="15">
        <v>1.3349273223858244E-5</v>
      </c>
      <c r="BM11" s="15">
        <v>1.3453362055576217E-5</v>
      </c>
      <c r="BN11" s="15">
        <v>1.3557618363085972E-5</v>
      </c>
      <c r="BO11" s="15">
        <v>1.3662013491165603E-5</v>
      </c>
      <c r="BP11" s="15">
        <v>1.3766547886425956E-5</v>
      </c>
      <c r="BQ11" s="15">
        <v>1.3871201491620626E-5</v>
      </c>
      <c r="BR11" s="15">
        <v>1.3975979456877814E-5</v>
      </c>
      <c r="BS11" s="15">
        <v>1.408086503385868E-5</v>
      </c>
      <c r="BT11" s="15">
        <v>1.4176705987784486E-5</v>
      </c>
      <c r="BU11" s="15">
        <v>1.4272897661288029E-5</v>
      </c>
      <c r="BV11" s="15">
        <v>1.4369405170972683E-5</v>
      </c>
      <c r="BW11" s="15">
        <v>1.4466221110106797E-5</v>
      </c>
      <c r="BX11" s="15">
        <v>1.4563333182956466E-5</v>
      </c>
      <c r="BY11" s="15">
        <v>1.4660743453509237E-5</v>
      </c>
      <c r="BZ11" s="15">
        <v>1.4758440388510096E-5</v>
      </c>
      <c r="CA11" s="15">
        <v>1.485643337428682E-5</v>
      </c>
      <c r="CB11" s="15">
        <v>1.4954723711917591E-5</v>
      </c>
      <c r="CC11" s="15">
        <v>1.5053310912873919E-5</v>
      </c>
      <c r="CD11" s="15">
        <v>1.5152187297695958E-5</v>
      </c>
      <c r="CE11" s="15">
        <v>1.5251347954090991E-5</v>
      </c>
      <c r="CF11" s="15">
        <v>1.535078884672587E-5</v>
      </c>
      <c r="CG11" s="15">
        <v>1.5450503085557794E-5</v>
      </c>
      <c r="CH11" s="15">
        <v>1.5550493837403647E-5</v>
      </c>
      <c r="CI11" s="15">
        <v>1.5650748955160461E-5</v>
      </c>
      <c r="CJ11" s="15">
        <v>1.5751267258813495E-5</v>
      </c>
      <c r="CK11" s="15">
        <v>1.5852032855683394E-5</v>
      </c>
      <c r="CL11" s="15">
        <v>1.5953046526604541E-5</v>
      </c>
      <c r="CM11" s="15">
        <v>1.6054290103878199E-5</v>
      </c>
    </row>
    <row r="12" spans="1:91" x14ac:dyDescent="0.25">
      <c r="A12" s="21" t="s">
        <v>1</v>
      </c>
      <c r="B12" s="4">
        <v>0</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15">
        <v>2.1546611417777664E-5</v>
      </c>
      <c r="AG12" s="15">
        <v>2.1548776353901259E-5</v>
      </c>
      <c r="AH12" s="15">
        <v>2.1529813843228388E-5</v>
      </c>
      <c r="AI12" s="15">
        <v>2.1511796280261009E-5</v>
      </c>
      <c r="AJ12" s="15">
        <v>2.1494294630538175E-5</v>
      </c>
      <c r="AK12" s="15">
        <v>2.1477258718884035E-5</v>
      </c>
      <c r="AL12" s="15">
        <v>2.1460780711870611E-5</v>
      </c>
      <c r="AM12" s="15">
        <v>2.1445238306112089E-5</v>
      </c>
      <c r="AN12" s="15">
        <v>2.1430974190250699E-5</v>
      </c>
      <c r="AO12" s="15">
        <v>2.1418246228484336E-5</v>
      </c>
      <c r="AP12" s="15">
        <v>2.1406989135757382E-5</v>
      </c>
      <c r="AQ12" s="15">
        <v>2.1396971476561034E-5</v>
      </c>
      <c r="AR12" s="15">
        <v>2.1387819441490876E-5</v>
      </c>
      <c r="AS12" s="15">
        <v>2.1379160748666734E-5</v>
      </c>
      <c r="AT12" s="15">
        <v>2.1370586114888923E-5</v>
      </c>
      <c r="AU12" s="15">
        <v>2.136207988774734E-5</v>
      </c>
      <c r="AV12" s="15">
        <v>2.1431219936181367E-5</v>
      </c>
      <c r="AW12" s="15">
        <v>2.1500621928855455E-5</v>
      </c>
      <c r="AX12" s="15">
        <v>2.1570179413566521E-5</v>
      </c>
      <c r="AY12" s="15">
        <v>2.1639821924105715E-5</v>
      </c>
      <c r="AZ12" s="15">
        <v>2.1709567707921659E-5</v>
      </c>
      <c r="BA12" s="15">
        <v>2.1779462959994464E-5</v>
      </c>
      <c r="BB12" s="15">
        <v>2.1849626776714623E-5</v>
      </c>
      <c r="BC12" s="15">
        <v>2.1920278464497534E-5</v>
      </c>
      <c r="BD12" s="15">
        <v>2.1991551238002374E-5</v>
      </c>
      <c r="BE12" s="15">
        <v>2.2063475894961098E-5</v>
      </c>
      <c r="BF12" s="15">
        <v>2.2136022770592723E-5</v>
      </c>
      <c r="BG12" s="15">
        <v>2.2209233349265895E-5</v>
      </c>
      <c r="BH12" s="15">
        <v>2.2283196844612381E-5</v>
      </c>
      <c r="BI12" s="15">
        <v>2.2357890539718146E-5</v>
      </c>
      <c r="BJ12" s="15">
        <v>2.2433347003655922E-5</v>
      </c>
      <c r="BK12" s="15">
        <v>2.2509532403832295E-5</v>
      </c>
      <c r="BL12" s="15">
        <v>2.2586360106813801E-5</v>
      </c>
      <c r="BM12" s="15">
        <v>2.266373951206043E-5</v>
      </c>
      <c r="BN12" s="15">
        <v>2.2741629068060705E-5</v>
      </c>
      <c r="BO12" s="15">
        <v>2.2819945752611374E-5</v>
      </c>
      <c r="BP12" s="15">
        <v>2.2898700583336664E-5</v>
      </c>
      <c r="BQ12" s="15">
        <v>2.2977838939417841E-5</v>
      </c>
      <c r="BR12" s="15">
        <v>2.3057373635006435E-5</v>
      </c>
      <c r="BS12" s="15">
        <v>2.3137229080172518E-5</v>
      </c>
      <c r="BT12" s="15">
        <v>2.322088460377657E-5</v>
      </c>
      <c r="BU12" s="15">
        <v>2.3304856513304948E-5</v>
      </c>
      <c r="BV12" s="15">
        <v>2.3389124320775309E-5</v>
      </c>
      <c r="BW12" s="15">
        <v>2.3473652943025843E-5</v>
      </c>
      <c r="BX12" s="15">
        <v>2.3558450585572394E-5</v>
      </c>
      <c r="BY12" s="15">
        <v>2.3643525071400696E-5</v>
      </c>
      <c r="BZ12" s="15">
        <v>2.3728839924302104E-5</v>
      </c>
      <c r="CA12" s="15">
        <v>2.3814449363319564E-5</v>
      </c>
      <c r="CB12" s="15">
        <v>2.3900368603731259E-5</v>
      </c>
      <c r="CC12" s="15">
        <v>2.398661922121495E-5</v>
      </c>
      <c r="CD12" s="15">
        <v>2.4073166653929001E-5</v>
      </c>
      <c r="CE12" s="15">
        <v>2.4160049413654472E-5</v>
      </c>
      <c r="CF12" s="15">
        <v>2.4247233568978547E-5</v>
      </c>
      <c r="CG12" s="15">
        <v>2.4334710078056624E-5</v>
      </c>
      <c r="CH12" s="15">
        <v>2.4422475304205185E-5</v>
      </c>
      <c r="CI12" s="15">
        <v>2.4510534334148943E-5</v>
      </c>
      <c r="CJ12" s="15">
        <v>2.4598868961428005E-5</v>
      </c>
      <c r="CK12" s="15">
        <v>2.4687474773804851E-5</v>
      </c>
      <c r="CL12" s="15">
        <v>2.4776359815924639E-5</v>
      </c>
      <c r="CM12" s="15">
        <v>2.4865496205584895E-5</v>
      </c>
    </row>
    <row r="14" spans="1:91" x14ac:dyDescent="0.25">
      <c r="A14" s="21" t="s">
        <v>4</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15">
        <v>7.2579400635636128E-5</v>
      </c>
      <c r="AG14" s="15">
        <v>7.2710750357848772E-5</v>
      </c>
      <c r="AH14" s="15">
        <v>7.2835631481469562E-5</v>
      </c>
      <c r="AI14" s="15">
        <v>7.2966844650889425E-5</v>
      </c>
      <c r="AJ14" s="15">
        <v>7.3104359921105733E-5</v>
      </c>
      <c r="AK14" s="15">
        <v>7.3248246864508071E-5</v>
      </c>
      <c r="AL14" s="15">
        <v>7.3398754505103175E-5</v>
      </c>
      <c r="AM14" s="15">
        <v>7.3555626460515322E-5</v>
      </c>
      <c r="AN14" s="15">
        <v>7.3718630250443402E-5</v>
      </c>
      <c r="AO14" s="15">
        <v>7.3887930394828121E-5</v>
      </c>
      <c r="AP14" s="15">
        <v>7.4063048210976443E-5</v>
      </c>
      <c r="AQ14" s="15">
        <v>7.4244147109695115E-5</v>
      </c>
      <c r="AR14" s="15">
        <v>7.4431632375143155E-5</v>
      </c>
      <c r="AS14" s="15">
        <v>7.4625871636400709E-5</v>
      </c>
      <c r="AT14" s="15">
        <v>7.4827372348252132E-5</v>
      </c>
      <c r="AU14" s="15">
        <v>7.5036047961920654E-5</v>
      </c>
      <c r="AV14" s="15">
        <v>7.5196129754424222E-5</v>
      </c>
      <c r="AW14" s="15">
        <v>7.5362226892668419E-5</v>
      </c>
      <c r="AX14" s="15">
        <v>7.5533423136030673E-5</v>
      </c>
      <c r="AY14" s="15">
        <v>7.570918252286068E-5</v>
      </c>
      <c r="AZ14" s="15">
        <v>7.5889042320633371E-5</v>
      </c>
      <c r="BA14" s="15">
        <v>7.6072967370297419E-5</v>
      </c>
      <c r="BB14" s="15">
        <v>7.6260690065726422E-5</v>
      </c>
      <c r="BC14" s="15">
        <v>7.6451712192685824E-5</v>
      </c>
      <c r="BD14" s="15">
        <v>7.6645708716077289E-5</v>
      </c>
      <c r="BE14" s="15">
        <v>7.6842653727074298E-5</v>
      </c>
      <c r="BF14" s="15">
        <v>7.7042342470197924E-5</v>
      </c>
      <c r="BG14" s="15">
        <v>7.724507134193393E-5</v>
      </c>
      <c r="BH14" s="15">
        <v>7.7450697007099199E-5</v>
      </c>
      <c r="BI14" s="15">
        <v>7.7659336093488269E-5</v>
      </c>
      <c r="BJ14" s="15">
        <v>7.7871119041523682E-5</v>
      </c>
      <c r="BK14" s="15">
        <v>7.8085962512260875E-5</v>
      </c>
      <c r="BL14" s="15">
        <v>7.8304194048995108E-5</v>
      </c>
      <c r="BM14" s="15">
        <v>7.8526200171564843E-5</v>
      </c>
      <c r="BN14" s="15">
        <v>7.8752113447964735E-5</v>
      </c>
      <c r="BO14" s="15">
        <v>7.8982140394694782E-5</v>
      </c>
      <c r="BP14" s="15">
        <v>7.9215967873173866E-5</v>
      </c>
      <c r="BQ14" s="15">
        <v>7.9453663292605763E-5</v>
      </c>
      <c r="BR14" s="15">
        <v>7.9694685625893665E-5</v>
      </c>
      <c r="BS14" s="15">
        <v>8.0939140319541284E-5</v>
      </c>
      <c r="BT14" s="15">
        <v>8.1144580689791697E-5</v>
      </c>
      <c r="BU14" s="15">
        <v>8.1352255328899303E-5</v>
      </c>
      <c r="BV14" s="15">
        <v>8.1561589635048809E-5</v>
      </c>
      <c r="BW14" s="15">
        <v>8.1772238866018886E-5</v>
      </c>
      <c r="BX14" s="15">
        <v>8.1983732728382883E-5</v>
      </c>
      <c r="BY14" s="15">
        <v>8.2195784794655147E-5</v>
      </c>
      <c r="BZ14" s="15">
        <v>8.240854022039316E-5</v>
      </c>
      <c r="CA14" s="15">
        <v>8.2621769860770545E-5</v>
      </c>
      <c r="CB14" s="15">
        <v>8.2835636290142024E-5</v>
      </c>
      <c r="CC14" s="15">
        <v>8.3049975000763771E-5</v>
      </c>
      <c r="CD14" s="15">
        <v>8.3264965361052375E-5</v>
      </c>
      <c r="CE14" s="15">
        <v>8.3480476330671094E-5</v>
      </c>
      <c r="CF14" s="15">
        <v>8.3696427440170748E-5</v>
      </c>
      <c r="CG14" s="15">
        <v>8.3912861801149424E-5</v>
      </c>
      <c r="CH14" s="15">
        <v>8.4129687508903073E-5</v>
      </c>
      <c r="CI14" s="15">
        <v>8.4347050159480082E-5</v>
      </c>
      <c r="CJ14" s="15">
        <v>8.4564999780692071E-5</v>
      </c>
      <c r="CK14" s="15">
        <v>8.4783852786025421E-5</v>
      </c>
      <c r="CL14" s="15">
        <v>8.5003601175681514E-5</v>
      </c>
      <c r="CM14" s="15">
        <v>8.5224739069646827E-5</v>
      </c>
    </row>
    <row r="16" spans="1:91" x14ac:dyDescent="0.25">
      <c r="A16" s="21" t="s">
        <v>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21">
        <v>2.6047124150016419E-5</v>
      </c>
      <c r="AG16" s="21">
        <v>2.5931820509822103E-5</v>
      </c>
      <c r="AH16" s="21">
        <v>2.5817027287951345E-5</v>
      </c>
      <c r="AI16" s="21">
        <v>2.5702742224918969E-5</v>
      </c>
      <c r="AJ16" s="21">
        <v>2.5588963071241946E-5</v>
      </c>
      <c r="AK16" s="21">
        <v>2.5475687587395098E-5</v>
      </c>
      <c r="AL16" s="21">
        <v>2.5362913543767027E-5</v>
      </c>
      <c r="AM16" s="21">
        <v>2.5250638720616227E-5</v>
      </c>
      <c r="AN16" s="21">
        <v>2.5138860908027395E-5</v>
      </c>
      <c r="AO16" s="21">
        <v>2.5027577905867931E-5</v>
      </c>
      <c r="AP16" s="21">
        <v>2.4916787523744632E-5</v>
      </c>
      <c r="AQ16" s="21">
        <v>2.4806487580960574E-5</v>
      </c>
      <c r="AR16" s="21">
        <v>2.4696675906472202E-5</v>
      </c>
      <c r="AS16" s="21">
        <v>2.4587350338846587E-5</v>
      </c>
      <c r="AT16" s="21">
        <v>2.4478508726218878E-5</v>
      </c>
      <c r="AU16" s="21">
        <v>2.4370148926249962E-5</v>
      </c>
      <c r="AV16" s="21">
        <v>2.4378852289661097E-5</v>
      </c>
      <c r="AW16" s="21">
        <v>2.438755876132302E-5</v>
      </c>
      <c r="AX16" s="21">
        <v>2.4396268342345792E-5</v>
      </c>
      <c r="AY16" s="21">
        <v>2.4404981033839863E-5</v>
      </c>
      <c r="AZ16" s="21">
        <v>2.4413696836916083E-5</v>
      </c>
      <c r="BA16" s="21">
        <v>2.4422415752685697E-5</v>
      </c>
      <c r="BB16" s="21">
        <v>2.443113778226035E-5</v>
      </c>
      <c r="BC16" s="21">
        <v>2.4439862926752079E-5</v>
      </c>
      <c r="BD16" s="21">
        <v>2.4448591187273323E-5</v>
      </c>
      <c r="BE16" s="21">
        <v>2.4457322564936916E-5</v>
      </c>
      <c r="BF16" s="21">
        <v>2.4466057060856087E-5</v>
      </c>
      <c r="BG16" s="21">
        <v>2.4474794676144469E-5</v>
      </c>
      <c r="BH16" s="21">
        <v>2.4483535411916089E-5</v>
      </c>
      <c r="BI16" s="21">
        <v>2.4492279269285369E-5</v>
      </c>
      <c r="BJ16" s="21">
        <v>2.4501026249367136E-5</v>
      </c>
      <c r="BK16" s="21">
        <v>2.4509776353276607E-5</v>
      </c>
      <c r="BL16" s="21">
        <v>2.4518529582129402E-5</v>
      </c>
      <c r="BM16" s="21">
        <v>2.4527285937041538E-5</v>
      </c>
      <c r="BN16" s="21">
        <v>2.4536045419129436E-5</v>
      </c>
      <c r="BO16" s="21">
        <v>2.4544808029509907E-5</v>
      </c>
      <c r="BP16" s="21">
        <v>2.4553573769300165E-5</v>
      </c>
      <c r="BQ16" s="21">
        <v>2.4562342639617823E-5</v>
      </c>
      <c r="BR16" s="21">
        <v>2.4571114641580892E-5</v>
      </c>
      <c r="BS16" s="21">
        <v>2.4579889776307785E-5</v>
      </c>
      <c r="BT16" s="21">
        <v>2.4588668044917313E-5</v>
      </c>
      <c r="BU16" s="21">
        <v>2.4597449448528686E-5</v>
      </c>
      <c r="BV16" s="21">
        <v>2.460623398826151E-5</v>
      </c>
      <c r="BW16" s="21">
        <v>2.4615021665235799E-5</v>
      </c>
      <c r="BX16" s="21">
        <v>2.4623812480571962E-5</v>
      </c>
      <c r="BY16" s="21">
        <v>2.463260643539081E-5</v>
      </c>
      <c r="BZ16" s="21">
        <v>2.4641403530813551E-5</v>
      </c>
      <c r="CA16" s="21">
        <v>2.4650203767961796E-5</v>
      </c>
      <c r="CB16" s="21">
        <v>2.4659007147957558E-5</v>
      </c>
      <c r="CC16" s="21">
        <v>2.4667813671923248E-5</v>
      </c>
      <c r="CD16" s="21">
        <v>2.4676623340981674E-5</v>
      </c>
      <c r="CE16" s="21">
        <v>2.4685436156256055E-5</v>
      </c>
      <c r="CF16" s="21">
        <v>2.4694252118870006E-5</v>
      </c>
      <c r="CG16" s="21">
        <v>2.4703071229947542E-5</v>
      </c>
      <c r="CH16" s="21">
        <v>2.4711893490613081E-5</v>
      </c>
      <c r="CI16" s="21">
        <v>2.4720718901991441E-5</v>
      </c>
      <c r="CJ16" s="21">
        <v>2.4729547465207841E-5</v>
      </c>
      <c r="CK16" s="21">
        <v>2.4738379181387907E-5</v>
      </c>
      <c r="CL16" s="21">
        <v>2.4747214051657664E-5</v>
      </c>
      <c r="CM16" s="21">
        <v>2.4756052077143536E-5</v>
      </c>
    </row>
    <row r="17" spans="1:91" x14ac:dyDescent="0.25">
      <c r="A17" s="21" t="s">
        <v>1</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15">
        <v>2.0100000000000001E-4</v>
      </c>
      <c r="AG17" s="15">
        <v>2.0106666666666668E-4</v>
      </c>
      <c r="AH17" s="15">
        <v>2.0113333333333333E-4</v>
      </c>
      <c r="AI17" s="15">
        <v>2.0120000000000001E-4</v>
      </c>
      <c r="AJ17" s="15">
        <v>2.0126666666666666E-4</v>
      </c>
      <c r="AK17" s="15">
        <v>2.0133333333333334E-4</v>
      </c>
      <c r="AL17" s="15">
        <v>2.0140000000000002E-4</v>
      </c>
      <c r="AM17" s="15">
        <v>2.0146666666666667E-4</v>
      </c>
      <c r="AN17" s="15">
        <v>2.0153333333333334E-4</v>
      </c>
      <c r="AO17" s="15">
        <v>2.0159999999999999E-4</v>
      </c>
      <c r="AP17" s="15">
        <v>2.0166666666666667E-4</v>
      </c>
      <c r="AQ17" s="15">
        <v>2.0173333333333335E-4</v>
      </c>
      <c r="AR17" s="15">
        <v>2.018E-4</v>
      </c>
      <c r="AS17" s="15">
        <v>2.0186666666666668E-4</v>
      </c>
      <c r="AT17" s="15">
        <v>2.0193333333333333E-4</v>
      </c>
      <c r="AU17" s="15">
        <v>2.02E-4</v>
      </c>
      <c r="AV17" s="15">
        <v>2.0254166666666668E-4</v>
      </c>
      <c r="AW17" s="15">
        <v>2.0308333333333333E-4</v>
      </c>
      <c r="AX17" s="15">
        <v>2.03625E-4</v>
      </c>
      <c r="AY17" s="15">
        <v>2.0416666666666668E-4</v>
      </c>
      <c r="AZ17" s="15">
        <v>2.0470833333333333E-4</v>
      </c>
      <c r="BA17" s="15">
        <v>2.0525E-4</v>
      </c>
      <c r="BB17" s="15">
        <v>2.0579166666666668E-4</v>
      </c>
      <c r="BC17" s="15">
        <v>2.0633333333333333E-4</v>
      </c>
      <c r="BD17" s="15">
        <v>2.06875E-4</v>
      </c>
      <c r="BE17" s="15">
        <v>2.0741666666666668E-4</v>
      </c>
      <c r="BF17" s="15">
        <v>2.0795833333333332E-4</v>
      </c>
      <c r="BG17" s="15">
        <v>2.085E-4</v>
      </c>
      <c r="BH17" s="15">
        <v>2.0904166666666667E-4</v>
      </c>
      <c r="BI17" s="15">
        <v>2.0958333333333332E-4</v>
      </c>
      <c r="BJ17" s="15">
        <v>2.10125E-4</v>
      </c>
      <c r="BK17" s="15">
        <v>2.1066666666666667E-4</v>
      </c>
      <c r="BL17" s="15">
        <v>2.1120833333333332E-4</v>
      </c>
      <c r="BM17" s="15">
        <v>2.1175E-4</v>
      </c>
      <c r="BN17" s="15">
        <v>2.1229166666666667E-4</v>
      </c>
      <c r="BO17" s="15">
        <v>2.1283333333333332E-4</v>
      </c>
      <c r="BP17" s="15">
        <v>2.13375E-4</v>
      </c>
      <c r="BQ17" s="15">
        <v>2.1391666666666667E-4</v>
      </c>
      <c r="BR17" s="15">
        <v>2.1445833333333332E-4</v>
      </c>
      <c r="BS17" s="15">
        <v>2.1499999999999999E-4</v>
      </c>
      <c r="BT17" s="15">
        <v>2.1535E-4</v>
      </c>
      <c r="BU17" s="15">
        <v>2.1569999999999998E-4</v>
      </c>
      <c r="BV17" s="15">
        <v>2.1604999999999999E-4</v>
      </c>
      <c r="BW17" s="15">
        <v>2.164E-4</v>
      </c>
      <c r="BX17" s="15">
        <v>2.1674999999999998E-4</v>
      </c>
      <c r="BY17" s="15">
        <v>2.1709999999999999E-4</v>
      </c>
      <c r="BZ17" s="15">
        <v>2.1745E-4</v>
      </c>
      <c r="CA17" s="15">
        <v>2.1780000000000001E-4</v>
      </c>
      <c r="CB17" s="15">
        <v>2.1814999999999999E-4</v>
      </c>
      <c r="CC17" s="15">
        <v>2.185E-4</v>
      </c>
      <c r="CD17" s="15">
        <v>2.1885000000000001E-4</v>
      </c>
      <c r="CE17" s="15">
        <v>2.1919999999999999E-4</v>
      </c>
      <c r="CF17" s="15">
        <v>2.1955E-4</v>
      </c>
      <c r="CG17" s="15">
        <v>2.1990000000000001E-4</v>
      </c>
      <c r="CH17" s="15">
        <v>2.2025000000000001E-4</v>
      </c>
      <c r="CI17" s="15">
        <v>2.206E-4</v>
      </c>
      <c r="CJ17" s="15">
        <v>2.2095E-4</v>
      </c>
      <c r="CK17" s="15">
        <v>2.2130000000000001E-4</v>
      </c>
      <c r="CL17" s="15">
        <v>2.2164999999999999E-4</v>
      </c>
      <c r="CM17" s="15">
        <v>2.22E-4</v>
      </c>
    </row>
    <row r="18" spans="1:91" x14ac:dyDescent="0.25">
      <c r="A18" s="21" t="s">
        <v>2</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21">
        <v>3.1090007506599416E-5</v>
      </c>
      <c r="AG18" s="21">
        <v>3.1214866974497405E-5</v>
      </c>
      <c r="AH18" s="21">
        <v>3.1340227886041568E-5</v>
      </c>
      <c r="AI18" s="21">
        <v>3.1466092255061819E-5</v>
      </c>
      <c r="AJ18" s="21">
        <v>3.1592462103475722E-5</v>
      </c>
      <c r="AK18" s="21">
        <v>3.1719339461321004E-5</v>
      </c>
      <c r="AL18" s="21">
        <v>3.1846726366788155E-5</v>
      </c>
      <c r="AM18" s="21">
        <v>3.1974624866253171E-5</v>
      </c>
      <c r="AN18" s="21">
        <v>3.2103037014310414E-5</v>
      </c>
      <c r="AO18" s="21">
        <v>3.2231964873805633E-5</v>
      </c>
      <c r="AP18" s="21">
        <v>3.2361410515869112E-5</v>
      </c>
      <c r="AQ18" s="21">
        <v>3.2491376019948906E-5</v>
      </c>
      <c r="AR18" s="21">
        <v>3.2621863473844284E-5</v>
      </c>
      <c r="AS18" s="21">
        <v>3.2752874973739242E-5</v>
      </c>
      <c r="AT18" s="21">
        <v>3.288441262423619E-5</v>
      </c>
      <c r="AU18" s="21">
        <v>3.3016478538389752E-5</v>
      </c>
      <c r="AV18" s="21">
        <v>3.3049495016928139E-5</v>
      </c>
      <c r="AW18" s="21">
        <v>3.3082544511945068E-5</v>
      </c>
      <c r="AX18" s="21">
        <v>3.3115627056457015E-5</v>
      </c>
      <c r="AY18" s="21">
        <v>3.3148742683513472E-5</v>
      </c>
      <c r="AZ18" s="21">
        <v>3.3181891426196984E-5</v>
      </c>
      <c r="BA18" s="21">
        <v>3.3215073317623179E-5</v>
      </c>
      <c r="BB18" s="21">
        <v>3.3248288390940805E-5</v>
      </c>
      <c r="BC18" s="21">
        <v>3.3281536679331748E-5</v>
      </c>
      <c r="BD18" s="21">
        <v>3.3314818216011078E-5</v>
      </c>
      <c r="BE18" s="21">
        <v>3.3348133034227087E-5</v>
      </c>
      <c r="BF18" s="21">
        <v>3.3381481167261313E-5</v>
      </c>
      <c r="BG18" s="21">
        <v>3.3414862648428577E-5</v>
      </c>
      <c r="BH18" s="21">
        <v>3.3448277511077007E-5</v>
      </c>
      <c r="BI18" s="21">
        <v>3.3481725788588084E-5</v>
      </c>
      <c r="BJ18" s="21">
        <v>3.3515207514376674E-5</v>
      </c>
      <c r="BK18" s="21">
        <v>3.3548722721891052E-5</v>
      </c>
      <c r="BL18" s="21">
        <v>3.3582271444612947E-5</v>
      </c>
      <c r="BM18" s="21">
        <v>3.361585371605756E-5</v>
      </c>
      <c r="BN18" s="21">
        <v>3.3649469569773618E-5</v>
      </c>
      <c r="BO18" s="21">
        <v>3.3683119039343394E-5</v>
      </c>
      <c r="BP18" s="21">
        <v>3.3716802158382734E-5</v>
      </c>
      <c r="BQ18" s="21">
        <v>3.3750518960541119E-5</v>
      </c>
      <c r="BR18" s="21">
        <v>3.3784269479501661E-5</v>
      </c>
      <c r="BS18" s="21">
        <v>3.3818053748981164E-5</v>
      </c>
      <c r="BT18" s="21">
        <v>3.3851871802730143E-5</v>
      </c>
      <c r="BU18" s="21">
        <v>3.3885723674532874E-5</v>
      </c>
      <c r="BV18" s="21">
        <v>3.3919609398207405E-5</v>
      </c>
      <c r="BW18" s="21">
        <v>3.3953529007605609E-5</v>
      </c>
      <c r="BX18" s="21">
        <v>3.3987482536613218E-5</v>
      </c>
      <c r="BY18" s="21">
        <v>3.4021470019149833E-5</v>
      </c>
      <c r="BZ18" s="21">
        <v>3.4055491489168982E-5</v>
      </c>
      <c r="CA18" s="21">
        <v>3.4089546980658153E-5</v>
      </c>
      <c r="CB18" s="21">
        <v>3.412363652763881E-5</v>
      </c>
      <c r="CC18" s="21">
        <v>3.4157760164166448E-5</v>
      </c>
      <c r="CD18" s="21">
        <v>3.4191917924330613E-5</v>
      </c>
      <c r="CE18" s="21">
        <v>3.4226109842254942E-5</v>
      </c>
      <c r="CF18" s="21">
        <v>3.4260335952097197E-5</v>
      </c>
      <c r="CG18" s="21">
        <v>3.4294596288049293E-5</v>
      </c>
      <c r="CH18" s="21">
        <v>3.4328890884337344E-5</v>
      </c>
      <c r="CI18" s="21">
        <v>3.4363219775221679E-5</v>
      </c>
      <c r="CJ18" s="21">
        <v>3.4397582994996899E-5</v>
      </c>
      <c r="CK18" s="21">
        <v>3.4431980577991895E-5</v>
      </c>
      <c r="CL18" s="21">
        <v>3.4466412558569886E-5</v>
      </c>
      <c r="CM18" s="21">
        <v>3.4500878971128458E-5</v>
      </c>
    </row>
    <row r="19" spans="1:91" x14ac:dyDescent="0.25">
      <c r="A19" s="21" t="s">
        <v>2</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21">
        <v>1.9058062501626263E-5</v>
      </c>
      <c r="AG19" s="21">
        <v>1.9367949696774658E-5</v>
      </c>
      <c r="AH19" s="21">
        <v>1.9682875708104327E-5</v>
      </c>
      <c r="AI19" s="21">
        <v>2.0002922467585699E-5</v>
      </c>
      <c r="AJ19" s="21">
        <v>2.0328173239416362E-5</v>
      </c>
      <c r="AK19" s="21">
        <v>2.0658712641683296E-5</v>
      </c>
      <c r="AL19" s="21">
        <v>2.0994626668377332E-5</v>
      </c>
      <c r="AM19" s="21">
        <v>2.1336002711765583E-5</v>
      </c>
      <c r="AN19" s="21">
        <v>2.1682929585127624E-5</v>
      </c>
      <c r="AO19" s="21">
        <v>2.2035497545861405E-5</v>
      </c>
      <c r="AP19" s="21">
        <v>2.2393798318964842E-5</v>
      </c>
      <c r="AQ19" s="21">
        <v>2.2757925120899231E-5</v>
      </c>
      <c r="AR19" s="21">
        <v>2.3127972683840682E-5</v>
      </c>
      <c r="AS19" s="21">
        <v>2.3504037280325898E-5</v>
      </c>
      <c r="AT19" s="21">
        <v>2.3886216748298676E-5</v>
      </c>
      <c r="AU19" s="21">
        <v>2.4274610516563694E-5</v>
      </c>
      <c r="AV19" s="21">
        <v>2.4444532790179639E-5</v>
      </c>
      <c r="AW19" s="21">
        <v>2.4615644519710897E-5</v>
      </c>
      <c r="AX19" s="21">
        <v>2.4787954031348874E-5</v>
      </c>
      <c r="AY19" s="21">
        <v>2.4961469709568316E-5</v>
      </c>
      <c r="AZ19" s="21">
        <v>2.5136199997535295E-5</v>
      </c>
      <c r="BA19" s="21">
        <v>2.5312153397518044E-5</v>
      </c>
      <c r="BB19" s="21">
        <v>2.5489338471300669E-5</v>
      </c>
      <c r="BC19" s="21">
        <v>2.5667763840599773E-5</v>
      </c>
      <c r="BD19" s="21">
        <v>2.5847438187483973E-5</v>
      </c>
      <c r="BE19" s="21">
        <v>2.6028370254796361E-5</v>
      </c>
      <c r="BF19" s="21">
        <v>2.6210568846579936E-5</v>
      </c>
      <c r="BG19" s="21">
        <v>2.6394042828505995E-5</v>
      </c>
      <c r="BH19" s="21">
        <v>2.6578801128305539E-5</v>
      </c>
      <c r="BI19" s="21">
        <v>2.6764852736203677E-5</v>
      </c>
      <c r="BJ19" s="21">
        <v>2.6952206705357104E-5</v>
      </c>
      <c r="BK19" s="21">
        <v>2.7140872152294603E-5</v>
      </c>
      <c r="BL19" s="21">
        <v>2.7330858257360666E-5</v>
      </c>
      <c r="BM19" s="21">
        <v>2.7522174265162191E-5</v>
      </c>
      <c r="BN19" s="21">
        <v>2.7714829485018327E-5</v>
      </c>
      <c r="BO19" s="21">
        <v>2.7908833291413456E-5</v>
      </c>
      <c r="BP19" s="21">
        <v>2.8104195124453349E-5</v>
      </c>
      <c r="BQ19" s="21">
        <v>2.8300924490324521E-5</v>
      </c>
      <c r="BR19" s="21">
        <v>2.8499030961756792E-5</v>
      </c>
      <c r="BS19" s="21">
        <v>2.8698524178489089E-5</v>
      </c>
      <c r="BT19" s="21">
        <v>2.8899413847738511E-5</v>
      </c>
      <c r="BU19" s="21">
        <v>2.9101709744672679E-5</v>
      </c>
      <c r="BV19" s="21">
        <v>2.9305421712885388E-5</v>
      </c>
      <c r="BW19" s="21">
        <v>2.9510559664875587E-5</v>
      </c>
      <c r="BX19" s="21">
        <v>2.9717133582529715E-5</v>
      </c>
      <c r="BY19" s="21">
        <v>2.9925153517607422E-5</v>
      </c>
      <c r="BZ19" s="21">
        <v>3.0134629592230675E-5</v>
      </c>
      <c r="CA19" s="21">
        <v>3.0345571999376289E-5</v>
      </c>
      <c r="CB19" s="21">
        <v>3.0557991003371919E-5</v>
      </c>
      <c r="CC19" s="21">
        <v>3.0771896940395526E-5</v>
      </c>
      <c r="CD19" s="21">
        <v>3.0987300218978292E-5</v>
      </c>
      <c r="CE19" s="21">
        <v>3.120421132051114E-5</v>
      </c>
      <c r="CF19" s="21">
        <v>3.1422640799754715E-5</v>
      </c>
      <c r="CG19" s="21">
        <v>3.1642599285352998E-5</v>
      </c>
      <c r="CH19" s="21">
        <v>3.1864097480350471E-5</v>
      </c>
      <c r="CI19" s="21">
        <v>3.2087146162712921E-5</v>
      </c>
      <c r="CJ19" s="21">
        <v>3.2311756185851908E-5</v>
      </c>
      <c r="CK19" s="21">
        <v>3.2537938479152873E-5</v>
      </c>
      <c r="CL19" s="21">
        <v>3.2765704048506942E-5</v>
      </c>
      <c r="CM19" s="21">
        <v>3.299506397684649E-5</v>
      </c>
    </row>
    <row r="21" spans="1:91" x14ac:dyDescent="0.25">
      <c r="A21" s="21" t="s">
        <v>6</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21">
        <v>3.7310549777117386E-5</v>
      </c>
      <c r="AG21" s="15">
        <v>3.7387320455671127E-5</v>
      </c>
      <c r="AH21" s="15">
        <v>3.7464091134224867E-5</v>
      </c>
      <c r="AI21" s="15">
        <v>3.7540861812778601E-5</v>
      </c>
      <c r="AJ21" s="15">
        <v>3.7617632491332342E-5</v>
      </c>
      <c r="AK21" s="15">
        <v>3.7694403169886082E-5</v>
      </c>
      <c r="AL21" s="15">
        <v>3.7771173848439823E-5</v>
      </c>
      <c r="AM21" s="15">
        <v>3.7847944526993563E-5</v>
      </c>
      <c r="AN21" s="15">
        <v>3.7924715205547297E-5</v>
      </c>
      <c r="AO21" s="15">
        <v>3.8001485884101038E-5</v>
      </c>
      <c r="AP21" s="15">
        <v>3.8078256562654778E-5</v>
      </c>
      <c r="AQ21" s="15">
        <v>3.8155027241208519E-5</v>
      </c>
      <c r="AR21" s="15">
        <v>3.823179791976226E-5</v>
      </c>
      <c r="AS21" s="15">
        <v>3.8308568598315993E-5</v>
      </c>
      <c r="AT21" s="15">
        <v>3.8385339276869734E-5</v>
      </c>
      <c r="AU21" s="21">
        <v>3.8462109955423475E-5</v>
      </c>
      <c r="AV21" s="15">
        <v>3.8690126860987058E-5</v>
      </c>
      <c r="AW21" s="15">
        <v>3.8918143766550648E-5</v>
      </c>
      <c r="AX21" s="15">
        <v>3.9146160672114232E-5</v>
      </c>
      <c r="AY21" s="15">
        <v>3.9374177577677815E-5</v>
      </c>
      <c r="AZ21" s="15">
        <v>3.9602194483241399E-5</v>
      </c>
      <c r="BA21" s="15">
        <v>3.9830211388804982E-5</v>
      </c>
      <c r="BB21" s="15">
        <v>4.0058228294368573E-5</v>
      </c>
      <c r="BC21" s="15">
        <v>4.0286245199932156E-5</v>
      </c>
      <c r="BD21" s="15">
        <v>4.051426210549574E-5</v>
      </c>
      <c r="BE21" s="15">
        <v>4.074227901105933E-5</v>
      </c>
      <c r="BF21" s="15">
        <v>4.0970295916622914E-5</v>
      </c>
      <c r="BG21" s="15">
        <v>4.1198312822186497E-5</v>
      </c>
      <c r="BH21" s="15">
        <v>4.1426329727750081E-5</v>
      </c>
      <c r="BI21" s="15">
        <v>4.1654346633313664E-5</v>
      </c>
      <c r="BJ21" s="15">
        <v>4.1882363538877255E-5</v>
      </c>
      <c r="BK21" s="15">
        <v>4.2110380444440838E-5</v>
      </c>
      <c r="BL21" s="15">
        <v>4.2338397350004422E-5</v>
      </c>
      <c r="BM21" s="15">
        <v>4.2566414255568012E-5</v>
      </c>
      <c r="BN21" s="15">
        <v>4.2794431161131595E-5</v>
      </c>
      <c r="BO21" s="15">
        <v>4.3022448066695179E-5</v>
      </c>
      <c r="BP21" s="15">
        <v>4.3250464972258763E-5</v>
      </c>
      <c r="BQ21" s="15">
        <v>4.3478481877822346E-5</v>
      </c>
      <c r="BR21" s="15">
        <v>4.3706498783385936E-5</v>
      </c>
      <c r="BS21" s="21">
        <v>4.393451568894952E-5</v>
      </c>
      <c r="BT21" s="15">
        <v>4.393451568894952E-5</v>
      </c>
      <c r="BU21" s="15">
        <v>4.393451568894952E-5</v>
      </c>
      <c r="BV21" s="15">
        <v>4.393451568894952E-5</v>
      </c>
      <c r="BW21" s="15">
        <v>4.393451568894952E-5</v>
      </c>
      <c r="BX21" s="15">
        <v>4.393451568894952E-5</v>
      </c>
      <c r="BY21" s="15">
        <v>4.393451568894952E-5</v>
      </c>
      <c r="BZ21" s="15">
        <v>4.393451568894952E-5</v>
      </c>
      <c r="CA21" s="15">
        <v>4.393451568894952E-5</v>
      </c>
      <c r="CB21" s="15">
        <v>4.393451568894952E-5</v>
      </c>
      <c r="CC21" s="15">
        <v>4.393451568894952E-5</v>
      </c>
      <c r="CD21" s="15">
        <v>4.393451568894952E-5</v>
      </c>
      <c r="CE21" s="15">
        <v>4.393451568894952E-5</v>
      </c>
      <c r="CF21" s="15">
        <v>4.393451568894952E-5</v>
      </c>
      <c r="CG21" s="15">
        <v>4.393451568894952E-5</v>
      </c>
      <c r="CH21" s="15">
        <v>4.393451568894952E-5</v>
      </c>
      <c r="CI21" s="15">
        <v>4.393451568894952E-5</v>
      </c>
      <c r="CJ21" s="15">
        <v>4.393451568894952E-5</v>
      </c>
      <c r="CK21" s="15">
        <v>4.393451568894952E-5</v>
      </c>
      <c r="CL21" s="15">
        <v>4.393451568894952E-5</v>
      </c>
      <c r="CM21" s="21">
        <v>4.393451568894952E-5</v>
      </c>
    </row>
    <row r="22" spans="1:91" x14ac:dyDescent="0.25">
      <c r="A22" s="21" t="s">
        <v>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21">
        <v>5.3438335809806834E-5</v>
      </c>
      <c r="AG22" s="15">
        <v>5.3548291233283803E-5</v>
      </c>
      <c r="AH22" s="15">
        <v>5.3658246656760772E-5</v>
      </c>
      <c r="AI22" s="15">
        <v>5.3768202080237741E-5</v>
      </c>
      <c r="AJ22" s="15">
        <v>5.3878157503714709E-5</v>
      </c>
      <c r="AK22" s="15">
        <v>5.3988112927191678E-5</v>
      </c>
      <c r="AL22" s="15">
        <v>5.4098068350668647E-5</v>
      </c>
      <c r="AM22" s="15">
        <v>5.4208023774145616E-5</v>
      </c>
      <c r="AN22" s="15">
        <v>5.4317979197622585E-5</v>
      </c>
      <c r="AO22" s="15">
        <v>5.4427934621099554E-5</v>
      </c>
      <c r="AP22" s="15">
        <v>5.4537890044576523E-5</v>
      </c>
      <c r="AQ22" s="15">
        <v>5.4647845468053492E-5</v>
      </c>
      <c r="AR22" s="15">
        <v>5.4757800891530461E-5</v>
      </c>
      <c r="AS22" s="15">
        <v>5.4867756315007429E-5</v>
      </c>
      <c r="AT22" s="15">
        <v>5.4977711738484398E-5</v>
      </c>
      <c r="AU22" s="21">
        <v>5.5087667161961367E-5</v>
      </c>
      <c r="AV22" s="15">
        <v>5.4915471844219341E-5</v>
      </c>
      <c r="AW22" s="15">
        <v>5.4743276526477322E-5</v>
      </c>
      <c r="AX22" s="15">
        <v>5.4571081208735296E-5</v>
      </c>
      <c r="AY22" s="15">
        <v>5.439888589099327E-5</v>
      </c>
      <c r="AZ22" s="15">
        <v>5.4226690573251244E-5</v>
      </c>
      <c r="BA22" s="15">
        <v>5.4054495255509225E-5</v>
      </c>
      <c r="BB22" s="15">
        <v>5.3882299937767199E-5</v>
      </c>
      <c r="BC22" s="15">
        <v>5.3710104620025173E-5</v>
      </c>
      <c r="BD22" s="15">
        <v>5.3537909302283154E-5</v>
      </c>
      <c r="BE22" s="15">
        <v>5.3365713984541128E-5</v>
      </c>
      <c r="BF22" s="15">
        <v>5.3193518666799102E-5</v>
      </c>
      <c r="BG22" s="15">
        <v>5.3021323349057076E-5</v>
      </c>
      <c r="BH22" s="15">
        <v>5.2849128031315057E-5</v>
      </c>
      <c r="BI22" s="15">
        <v>5.2676932713573031E-5</v>
      </c>
      <c r="BJ22" s="15">
        <v>5.2504737395831005E-5</v>
      </c>
      <c r="BK22" s="15">
        <v>5.2332542078088986E-5</v>
      </c>
      <c r="BL22" s="15">
        <v>5.216034676034696E-5</v>
      </c>
      <c r="BM22" s="15">
        <v>5.1988151442604934E-5</v>
      </c>
      <c r="BN22" s="15">
        <v>5.1815956124862915E-5</v>
      </c>
      <c r="BO22" s="15">
        <v>5.1643760807120889E-5</v>
      </c>
      <c r="BP22" s="15">
        <v>5.1471565489378863E-5</v>
      </c>
      <c r="BQ22" s="15">
        <v>5.1299370171636837E-5</v>
      </c>
      <c r="BR22" s="15">
        <v>5.1127174853894818E-5</v>
      </c>
      <c r="BS22" s="21">
        <v>5.0954979536152792E-5</v>
      </c>
      <c r="BT22" s="15">
        <v>5.0954979536152792E-5</v>
      </c>
      <c r="BU22" s="15">
        <v>5.0954979536152792E-5</v>
      </c>
      <c r="BV22" s="15">
        <v>5.0954979536152792E-5</v>
      </c>
      <c r="BW22" s="15">
        <v>5.0954979536152792E-5</v>
      </c>
      <c r="BX22" s="15">
        <v>5.0954979536152792E-5</v>
      </c>
      <c r="BY22" s="15">
        <v>5.0954979536152792E-5</v>
      </c>
      <c r="BZ22" s="15">
        <v>5.0954979536152792E-5</v>
      </c>
      <c r="CA22" s="15">
        <v>5.0954979536152792E-5</v>
      </c>
      <c r="CB22" s="15">
        <v>5.0954979536152792E-5</v>
      </c>
      <c r="CC22" s="15">
        <v>5.0954979536152792E-5</v>
      </c>
      <c r="CD22" s="15">
        <v>5.0954979536152792E-5</v>
      </c>
      <c r="CE22" s="15">
        <v>5.0954979536152792E-5</v>
      </c>
      <c r="CF22" s="15">
        <v>5.0954979536152792E-5</v>
      </c>
      <c r="CG22" s="15">
        <v>5.0954979536152792E-5</v>
      </c>
      <c r="CH22" s="15">
        <v>5.0954979536152792E-5</v>
      </c>
      <c r="CI22" s="15">
        <v>5.0954979536152792E-5</v>
      </c>
      <c r="CJ22" s="15">
        <v>5.0954979536152792E-5</v>
      </c>
      <c r="CK22" s="15">
        <v>5.0954979536152792E-5</v>
      </c>
      <c r="CL22" s="15">
        <v>5.0954979536152792E-5</v>
      </c>
      <c r="CM22" s="21">
        <v>5.0954979536152792E-5</v>
      </c>
    </row>
    <row r="23" spans="1:91" x14ac:dyDescent="0.25">
      <c r="A23" s="21" t="s">
        <v>1</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21">
        <v>3.8032689450222883E-5</v>
      </c>
      <c r="AG23" s="15">
        <v>3.8110946012877659E-5</v>
      </c>
      <c r="AH23" s="15">
        <v>3.8189202575532442E-5</v>
      </c>
      <c r="AI23" s="15">
        <v>3.8267459138187219E-5</v>
      </c>
      <c r="AJ23" s="15">
        <v>3.8345715700842002E-5</v>
      </c>
      <c r="AK23" s="15">
        <v>3.8423972263496778E-5</v>
      </c>
      <c r="AL23" s="15">
        <v>3.8502228826151561E-5</v>
      </c>
      <c r="AM23" s="15">
        <v>3.8580485388806337E-5</v>
      </c>
      <c r="AN23" s="15">
        <v>3.865874195146112E-5</v>
      </c>
      <c r="AO23" s="15">
        <v>3.8736998514115897E-5</v>
      </c>
      <c r="AP23" s="15">
        <v>3.881525507677068E-5</v>
      </c>
      <c r="AQ23" s="15">
        <v>3.8893511639425456E-5</v>
      </c>
      <c r="AR23" s="15">
        <v>3.8971768202080239E-5</v>
      </c>
      <c r="AS23" s="15">
        <v>3.9050024764735016E-5</v>
      </c>
      <c r="AT23" s="15">
        <v>3.9128281327389799E-5</v>
      </c>
      <c r="AU23" s="21">
        <v>3.9206537890044575E-5</v>
      </c>
      <c r="AV23" s="15">
        <v>3.9035528779460066E-5</v>
      </c>
      <c r="AW23" s="15">
        <v>3.8864519668875558E-5</v>
      </c>
      <c r="AX23" s="15">
        <v>3.8693510558291049E-5</v>
      </c>
      <c r="AY23" s="15">
        <v>3.8522501447706541E-5</v>
      </c>
      <c r="AZ23" s="15">
        <v>3.8351492337122032E-5</v>
      </c>
      <c r="BA23" s="15">
        <v>3.8180483226537523E-5</v>
      </c>
      <c r="BB23" s="15">
        <v>3.8009474115953015E-5</v>
      </c>
      <c r="BC23" s="15">
        <v>3.7838465005368506E-5</v>
      </c>
      <c r="BD23" s="15">
        <v>3.7667455894783998E-5</v>
      </c>
      <c r="BE23" s="15">
        <v>3.7496446784199489E-5</v>
      </c>
      <c r="BF23" s="15">
        <v>3.7325437673614981E-5</v>
      </c>
      <c r="BG23" s="15">
        <v>3.7154428563030472E-5</v>
      </c>
      <c r="BH23" s="15">
        <v>3.6983419452445963E-5</v>
      </c>
      <c r="BI23" s="15">
        <v>3.6812410341861455E-5</v>
      </c>
      <c r="BJ23" s="15">
        <v>3.6641401231276946E-5</v>
      </c>
      <c r="BK23" s="15">
        <v>3.6470392120692438E-5</v>
      </c>
      <c r="BL23" s="15">
        <v>3.6299383010107929E-5</v>
      </c>
      <c r="BM23" s="15">
        <v>3.612837389952342E-5</v>
      </c>
      <c r="BN23" s="15">
        <v>3.5957364788938912E-5</v>
      </c>
      <c r="BO23" s="15">
        <v>3.5786355678354403E-5</v>
      </c>
      <c r="BP23" s="15">
        <v>3.5615346567769895E-5</v>
      </c>
      <c r="BQ23" s="15">
        <v>3.5444337457185386E-5</v>
      </c>
      <c r="BR23" s="15">
        <v>3.5273328346600878E-5</v>
      </c>
      <c r="BS23" s="21">
        <v>3.5102319236016369E-5</v>
      </c>
      <c r="BT23" s="15">
        <v>3.5102319236016369E-5</v>
      </c>
      <c r="BU23" s="15">
        <v>3.5102319236016369E-5</v>
      </c>
      <c r="BV23" s="15">
        <v>3.5102319236016369E-5</v>
      </c>
      <c r="BW23" s="15">
        <v>3.5102319236016369E-5</v>
      </c>
      <c r="BX23" s="15">
        <v>3.5102319236016369E-5</v>
      </c>
      <c r="BY23" s="15">
        <v>3.5102319236016369E-5</v>
      </c>
      <c r="BZ23" s="15">
        <v>3.5102319236016369E-5</v>
      </c>
      <c r="CA23" s="15">
        <v>3.5102319236016369E-5</v>
      </c>
      <c r="CB23" s="15">
        <v>3.5102319236016369E-5</v>
      </c>
      <c r="CC23" s="15">
        <v>3.5102319236016369E-5</v>
      </c>
      <c r="CD23" s="15">
        <v>3.5102319236016369E-5</v>
      </c>
      <c r="CE23" s="15">
        <v>3.5102319236016369E-5</v>
      </c>
      <c r="CF23" s="15">
        <v>3.5102319236016369E-5</v>
      </c>
      <c r="CG23" s="15">
        <v>3.5102319236016369E-5</v>
      </c>
      <c r="CH23" s="15">
        <v>3.5102319236016369E-5</v>
      </c>
      <c r="CI23" s="15">
        <v>3.5102319236016369E-5</v>
      </c>
      <c r="CJ23" s="15">
        <v>3.5102319236016369E-5</v>
      </c>
      <c r="CK23" s="15">
        <v>3.5102319236016369E-5</v>
      </c>
      <c r="CL23" s="15">
        <v>3.5102319236016369E-5</v>
      </c>
      <c r="CM23" s="21">
        <v>3.5102319236016369E-5</v>
      </c>
    </row>
    <row r="24" spans="1:91" x14ac:dyDescent="0.25">
      <c r="A24" s="21" t="s">
        <v>1</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21">
        <v>3.3218424962852898E-5</v>
      </c>
      <c r="AG24" s="15">
        <v>3.3286775631500744E-5</v>
      </c>
      <c r="AH24" s="15">
        <v>3.3355126300148591E-5</v>
      </c>
      <c r="AI24" s="15">
        <v>3.3423476968796431E-5</v>
      </c>
      <c r="AJ24" s="15">
        <v>3.3491827637444278E-5</v>
      </c>
      <c r="AK24" s="15">
        <v>3.3560178306092124E-5</v>
      </c>
      <c r="AL24" s="15">
        <v>3.3628528974739971E-5</v>
      </c>
      <c r="AM24" s="15">
        <v>3.3696879643387817E-5</v>
      </c>
      <c r="AN24" s="15">
        <v>3.3765230312035657E-5</v>
      </c>
      <c r="AO24" s="15">
        <v>3.3833580980683504E-5</v>
      </c>
      <c r="AP24" s="15">
        <v>3.3901931649331351E-5</v>
      </c>
      <c r="AQ24" s="15">
        <v>3.3970282317979197E-5</v>
      </c>
      <c r="AR24" s="15">
        <v>3.4038632986627044E-5</v>
      </c>
      <c r="AS24" s="15">
        <v>3.4106983655274884E-5</v>
      </c>
      <c r="AT24" s="15">
        <v>3.417533432392273E-5</v>
      </c>
      <c r="AU24" s="21">
        <v>3.4243684992570577E-5</v>
      </c>
      <c r="AV24" s="15">
        <v>3.4317205848666858E-5</v>
      </c>
      <c r="AW24" s="15">
        <v>3.4390726704763139E-5</v>
      </c>
      <c r="AX24" s="15">
        <v>3.446424756085942E-5</v>
      </c>
      <c r="AY24" s="15">
        <v>3.4537768416955701E-5</v>
      </c>
      <c r="AZ24" s="15">
        <v>3.4611289273051982E-5</v>
      </c>
      <c r="BA24" s="15">
        <v>3.4684810129148263E-5</v>
      </c>
      <c r="BB24" s="15">
        <v>3.4758330985244537E-5</v>
      </c>
      <c r="BC24" s="15">
        <v>3.4831851841340818E-5</v>
      </c>
      <c r="BD24" s="15">
        <v>3.4905372697437099E-5</v>
      </c>
      <c r="BE24" s="15">
        <v>3.497889355353338E-5</v>
      </c>
      <c r="BF24" s="15">
        <v>3.5052414409629662E-5</v>
      </c>
      <c r="BG24" s="15">
        <v>3.5125935265725943E-5</v>
      </c>
      <c r="BH24" s="15">
        <v>3.5199456121822224E-5</v>
      </c>
      <c r="BI24" s="15">
        <v>3.5272976977918505E-5</v>
      </c>
      <c r="BJ24" s="15">
        <v>3.5346497834014786E-5</v>
      </c>
      <c r="BK24" s="15">
        <v>3.5420018690111067E-5</v>
      </c>
      <c r="BL24" s="15">
        <v>3.5493539546207348E-5</v>
      </c>
      <c r="BM24" s="15">
        <v>3.5567060402303622E-5</v>
      </c>
      <c r="BN24" s="15">
        <v>3.5640581258399903E-5</v>
      </c>
      <c r="BO24" s="15">
        <v>3.5714102114496184E-5</v>
      </c>
      <c r="BP24" s="15">
        <v>3.5787622970592465E-5</v>
      </c>
      <c r="BQ24" s="15">
        <v>3.5861143826688746E-5</v>
      </c>
      <c r="BR24" s="15">
        <v>3.5934664682785027E-5</v>
      </c>
      <c r="BS24" s="21">
        <v>3.6008185538881308E-5</v>
      </c>
      <c r="BT24" s="15">
        <v>3.6008185538881308E-5</v>
      </c>
      <c r="BU24" s="15">
        <v>3.6008185538881308E-5</v>
      </c>
      <c r="BV24" s="15">
        <v>3.6008185538881308E-5</v>
      </c>
      <c r="BW24" s="15">
        <v>3.6008185538881308E-5</v>
      </c>
      <c r="BX24" s="15">
        <v>3.6008185538881308E-5</v>
      </c>
      <c r="BY24" s="15">
        <v>3.6008185538881308E-5</v>
      </c>
      <c r="BZ24" s="15">
        <v>3.6008185538881308E-5</v>
      </c>
      <c r="CA24" s="15">
        <v>3.6008185538881308E-5</v>
      </c>
      <c r="CB24" s="15">
        <v>3.6008185538881308E-5</v>
      </c>
      <c r="CC24" s="15">
        <v>3.6008185538881308E-5</v>
      </c>
      <c r="CD24" s="15">
        <v>3.6008185538881308E-5</v>
      </c>
      <c r="CE24" s="15">
        <v>3.6008185538881308E-5</v>
      </c>
      <c r="CF24" s="15">
        <v>3.6008185538881308E-5</v>
      </c>
      <c r="CG24" s="15">
        <v>3.6008185538881308E-5</v>
      </c>
      <c r="CH24" s="15">
        <v>3.6008185538881308E-5</v>
      </c>
      <c r="CI24" s="15">
        <v>3.6008185538881308E-5</v>
      </c>
      <c r="CJ24" s="15">
        <v>3.6008185538881308E-5</v>
      </c>
      <c r="CK24" s="15">
        <v>3.6008185538881308E-5</v>
      </c>
      <c r="CL24" s="15">
        <v>3.6008185538881308E-5</v>
      </c>
      <c r="CM24" s="21">
        <v>3.6008185538881308E-5</v>
      </c>
    </row>
    <row r="25" spans="1:91" x14ac:dyDescent="0.25">
      <c r="A25" s="21" t="s">
        <v>1</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21">
        <v>1.5999999999999999E-5</v>
      </c>
      <c r="AG25" s="15">
        <v>1.6200000000000001E-5</v>
      </c>
      <c r="AH25" s="15">
        <v>1.6399999999999999E-5</v>
      </c>
      <c r="AI25" s="15">
        <v>1.66E-5</v>
      </c>
      <c r="AJ25" s="15">
        <v>1.6799999999999998E-5</v>
      </c>
      <c r="AK25" s="15">
        <v>1.7E-5</v>
      </c>
      <c r="AL25" s="15">
        <v>1.7200000000000001E-5</v>
      </c>
      <c r="AM25" s="15">
        <v>1.7399999999999999E-5</v>
      </c>
      <c r="AN25" s="15">
        <v>1.7600000000000001E-5</v>
      </c>
      <c r="AO25" s="15">
        <v>1.7799999999999999E-5</v>
      </c>
      <c r="AP25" s="15">
        <v>1.8E-5</v>
      </c>
      <c r="AQ25" s="15">
        <v>1.8200000000000002E-5</v>
      </c>
      <c r="AR25" s="15">
        <v>1.84E-5</v>
      </c>
      <c r="AS25" s="15">
        <v>1.8600000000000001E-5</v>
      </c>
      <c r="AT25" s="15">
        <v>1.88E-5</v>
      </c>
      <c r="AU25" s="21">
        <v>1.9000000000000001E-5</v>
      </c>
      <c r="AV25" s="15">
        <v>1.9041666666666668E-5</v>
      </c>
      <c r="AW25" s="15">
        <v>1.9083333333333334E-5</v>
      </c>
      <c r="AX25" s="15">
        <v>1.9125000000000001E-5</v>
      </c>
      <c r="AY25" s="15">
        <v>1.9166666666666667E-5</v>
      </c>
      <c r="AZ25" s="15">
        <v>1.9208333333333334E-5</v>
      </c>
      <c r="BA25" s="15">
        <v>1.925E-5</v>
      </c>
      <c r="BB25" s="15">
        <v>1.9291666666666667E-5</v>
      </c>
      <c r="BC25" s="15">
        <v>1.9333333333333333E-5</v>
      </c>
      <c r="BD25" s="15">
        <v>1.9375E-5</v>
      </c>
      <c r="BE25" s="15">
        <v>1.9416666666666667E-5</v>
      </c>
      <c r="BF25" s="15">
        <v>1.9458333333333333E-5</v>
      </c>
      <c r="BG25" s="15">
        <v>1.95E-5</v>
      </c>
      <c r="BH25" s="15">
        <v>1.954166666666667E-5</v>
      </c>
      <c r="BI25" s="15">
        <v>1.9583333333333336E-5</v>
      </c>
      <c r="BJ25" s="15">
        <v>1.9625000000000003E-5</v>
      </c>
      <c r="BK25" s="15">
        <v>1.9666666666666669E-5</v>
      </c>
      <c r="BL25" s="15">
        <v>1.9708333333333336E-5</v>
      </c>
      <c r="BM25" s="15">
        <v>1.9750000000000002E-5</v>
      </c>
      <c r="BN25" s="15">
        <v>1.9791666666666669E-5</v>
      </c>
      <c r="BO25" s="15">
        <v>1.9833333333333335E-5</v>
      </c>
      <c r="BP25" s="15">
        <v>1.9875000000000002E-5</v>
      </c>
      <c r="BQ25" s="15">
        <v>1.9916666666666669E-5</v>
      </c>
      <c r="BR25" s="15">
        <v>1.9958333333333335E-5</v>
      </c>
      <c r="BS25" s="21">
        <v>2.0000000000000002E-5</v>
      </c>
      <c r="BT25" s="15">
        <v>2.0050000000000003E-5</v>
      </c>
      <c r="BU25" s="15">
        <v>2.0100000000000001E-5</v>
      </c>
      <c r="BV25" s="15">
        <v>2.0150000000000002E-5</v>
      </c>
      <c r="BW25" s="15">
        <v>2.02E-5</v>
      </c>
      <c r="BX25" s="15">
        <v>2.0250000000000001E-5</v>
      </c>
      <c r="BY25" s="15">
        <v>2.0300000000000002E-5</v>
      </c>
      <c r="BZ25" s="15">
        <v>2.035E-5</v>
      </c>
      <c r="CA25" s="15">
        <v>2.0400000000000001E-5</v>
      </c>
      <c r="CB25" s="15">
        <v>2.0449999999999999E-5</v>
      </c>
      <c r="CC25" s="15">
        <v>2.05E-5</v>
      </c>
      <c r="CD25" s="15">
        <v>2.0550000000000001E-5</v>
      </c>
      <c r="CE25" s="15">
        <v>2.0599999999999999E-5</v>
      </c>
      <c r="CF25" s="15">
        <v>2.065E-5</v>
      </c>
      <c r="CG25" s="15">
        <v>2.0699999999999998E-5</v>
      </c>
      <c r="CH25" s="15">
        <v>2.075E-5</v>
      </c>
      <c r="CI25" s="15">
        <v>2.0800000000000001E-5</v>
      </c>
      <c r="CJ25" s="15">
        <v>2.0849999999999999E-5</v>
      </c>
      <c r="CK25" s="15">
        <v>2.09E-5</v>
      </c>
      <c r="CL25" s="15">
        <v>2.0949999999999998E-5</v>
      </c>
      <c r="CM25" s="21">
        <v>2.0999999999999999E-5</v>
      </c>
    </row>
    <row r="26" spans="1:91" x14ac:dyDescent="0.25">
      <c r="A26" s="21" t="s">
        <v>1</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21">
        <v>3.6000000000000001E-5</v>
      </c>
      <c r="AG26" s="15">
        <v>3.5866666666666667E-5</v>
      </c>
      <c r="AH26" s="15">
        <v>3.5733333333333332E-5</v>
      </c>
      <c r="AI26" s="15">
        <v>3.5599999999999998E-5</v>
      </c>
      <c r="AJ26" s="15">
        <v>3.546666666666667E-5</v>
      </c>
      <c r="AK26" s="15">
        <v>3.5333333333333336E-5</v>
      </c>
      <c r="AL26" s="15">
        <v>3.5200000000000002E-5</v>
      </c>
      <c r="AM26" s="15">
        <v>3.5066666666666667E-5</v>
      </c>
      <c r="AN26" s="15">
        <v>3.4933333333333333E-5</v>
      </c>
      <c r="AO26" s="15">
        <v>3.4799999999999999E-5</v>
      </c>
      <c r="AP26" s="15">
        <v>3.4666666666666665E-5</v>
      </c>
      <c r="AQ26" s="15">
        <v>3.453333333333333E-5</v>
      </c>
      <c r="AR26" s="15">
        <v>3.4400000000000003E-5</v>
      </c>
      <c r="AS26" s="15">
        <v>3.4266666666666668E-5</v>
      </c>
      <c r="AT26" s="15">
        <v>3.4133333333333334E-5</v>
      </c>
      <c r="AU26" s="21">
        <v>3.4E-5</v>
      </c>
      <c r="AV26" s="15">
        <v>3.3958333333333337E-5</v>
      </c>
      <c r="AW26" s="15">
        <v>3.3916666666666667E-5</v>
      </c>
      <c r="AX26" s="15">
        <v>3.3874999999999997E-5</v>
      </c>
      <c r="AY26" s="15">
        <v>3.3833333333333334E-5</v>
      </c>
      <c r="AZ26" s="15">
        <v>3.379166666666667E-5</v>
      </c>
      <c r="BA26" s="15">
        <v>3.375E-5</v>
      </c>
      <c r="BB26" s="15">
        <v>3.370833333333333E-5</v>
      </c>
      <c r="BC26" s="15">
        <v>3.3666666666666667E-5</v>
      </c>
      <c r="BD26" s="15">
        <v>3.3625000000000004E-5</v>
      </c>
      <c r="BE26" s="15">
        <v>3.3583333333333334E-5</v>
      </c>
      <c r="BF26" s="15">
        <v>3.3541666666666664E-5</v>
      </c>
      <c r="BG26" s="15">
        <v>3.3500000000000001E-5</v>
      </c>
      <c r="BH26" s="15">
        <v>3.3458333333333338E-5</v>
      </c>
      <c r="BI26" s="15">
        <v>3.3416666666666668E-5</v>
      </c>
      <c r="BJ26" s="15">
        <v>3.3374999999999998E-5</v>
      </c>
      <c r="BK26" s="15">
        <v>3.3333333333333335E-5</v>
      </c>
      <c r="BL26" s="15">
        <v>3.3291666666666672E-5</v>
      </c>
      <c r="BM26" s="15">
        <v>3.3250000000000002E-5</v>
      </c>
      <c r="BN26" s="15">
        <v>3.3208333333333332E-5</v>
      </c>
      <c r="BO26" s="15">
        <v>3.3166666666666669E-5</v>
      </c>
      <c r="BP26" s="15">
        <v>3.3125000000000006E-5</v>
      </c>
      <c r="BQ26" s="15">
        <v>3.3083333333333336E-5</v>
      </c>
      <c r="BR26" s="15">
        <v>3.3041666666666666E-5</v>
      </c>
      <c r="BS26" s="21">
        <v>3.3000000000000003E-5</v>
      </c>
      <c r="BT26" s="15">
        <v>3.3000000000000003E-5</v>
      </c>
      <c r="BU26" s="15">
        <v>3.3000000000000003E-5</v>
      </c>
      <c r="BV26" s="15">
        <v>3.3000000000000003E-5</v>
      </c>
      <c r="BW26" s="15">
        <v>3.3000000000000003E-5</v>
      </c>
      <c r="BX26" s="15">
        <v>3.3000000000000003E-5</v>
      </c>
      <c r="BY26" s="15">
        <v>3.3000000000000003E-5</v>
      </c>
      <c r="BZ26" s="15">
        <v>3.3000000000000003E-5</v>
      </c>
      <c r="CA26" s="15">
        <v>3.3000000000000003E-5</v>
      </c>
      <c r="CB26" s="15">
        <v>3.3000000000000003E-5</v>
      </c>
      <c r="CC26" s="15">
        <v>3.3000000000000003E-5</v>
      </c>
      <c r="CD26" s="15">
        <v>3.3000000000000003E-5</v>
      </c>
      <c r="CE26" s="15">
        <v>3.3000000000000003E-5</v>
      </c>
      <c r="CF26" s="15">
        <v>3.3000000000000003E-5</v>
      </c>
      <c r="CG26" s="15">
        <v>3.3000000000000003E-5</v>
      </c>
      <c r="CH26" s="15">
        <v>3.3000000000000003E-5</v>
      </c>
      <c r="CI26" s="15">
        <v>3.3000000000000003E-5</v>
      </c>
      <c r="CJ26" s="15">
        <v>3.3000000000000003E-5</v>
      </c>
      <c r="CK26" s="15">
        <v>3.3000000000000003E-5</v>
      </c>
      <c r="CL26" s="15">
        <v>3.3000000000000003E-5</v>
      </c>
      <c r="CM26" s="21">
        <v>3.3000000000000003E-5</v>
      </c>
    </row>
    <row r="28" spans="1:91" x14ac:dyDescent="0.25">
      <c r="A28" s="21" t="s">
        <v>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21">
        <v>8.0900000000000001E-5</v>
      </c>
      <c r="AG28" s="15">
        <v>8.0833333333333338E-5</v>
      </c>
      <c r="AH28" s="15">
        <v>8.0766666666666674E-5</v>
      </c>
      <c r="AI28" s="15">
        <v>8.0699999999999996E-5</v>
      </c>
      <c r="AJ28" s="15">
        <v>8.0633333333333333E-5</v>
      </c>
      <c r="AK28" s="15">
        <v>8.0566666666666669E-5</v>
      </c>
      <c r="AL28" s="15">
        <v>8.0500000000000005E-5</v>
      </c>
      <c r="AM28" s="15">
        <v>8.0433333333333341E-5</v>
      </c>
      <c r="AN28" s="15">
        <v>8.0366666666666664E-5</v>
      </c>
      <c r="AO28" s="15">
        <v>8.03E-5</v>
      </c>
      <c r="AP28" s="15">
        <v>8.0233333333333337E-5</v>
      </c>
      <c r="AQ28" s="15">
        <v>8.0166666666666673E-5</v>
      </c>
      <c r="AR28" s="15">
        <v>8.0100000000000009E-5</v>
      </c>
      <c r="AS28" s="15">
        <v>8.0033333333333332E-5</v>
      </c>
      <c r="AT28" s="15">
        <v>7.9966666666666668E-5</v>
      </c>
      <c r="AU28" s="21">
        <v>7.9900000000000004E-5</v>
      </c>
      <c r="AV28" s="15">
        <v>7.9790909090909099E-5</v>
      </c>
      <c r="AW28" s="15">
        <v>7.9681818181818179E-5</v>
      </c>
      <c r="AX28" s="15">
        <v>7.9572727272727274E-5</v>
      </c>
      <c r="AY28" s="15">
        <v>7.9463636363636368E-5</v>
      </c>
      <c r="AZ28" s="15">
        <v>7.9354545454545463E-5</v>
      </c>
      <c r="BA28" s="15">
        <v>7.9245454545454544E-5</v>
      </c>
      <c r="BB28" s="15">
        <v>7.9136363636363638E-5</v>
      </c>
      <c r="BC28" s="15">
        <v>7.9027272727272732E-5</v>
      </c>
      <c r="BD28" s="15">
        <v>7.8918181818181827E-5</v>
      </c>
      <c r="BE28" s="15">
        <v>7.8809090909090908E-5</v>
      </c>
      <c r="BF28" s="15">
        <v>7.8700000000000002E-5</v>
      </c>
      <c r="BG28" s="15">
        <v>7.8590909090909096E-5</v>
      </c>
      <c r="BH28" s="15">
        <v>7.8481818181818177E-5</v>
      </c>
      <c r="BI28" s="15">
        <v>7.8372727272727272E-5</v>
      </c>
      <c r="BJ28" s="15">
        <v>7.8263636363636366E-5</v>
      </c>
      <c r="BK28" s="15">
        <v>7.8154545454545461E-5</v>
      </c>
      <c r="BL28" s="15">
        <v>7.8045454545454541E-5</v>
      </c>
      <c r="BM28" s="15">
        <v>7.7936363636363636E-5</v>
      </c>
      <c r="BN28" s="15">
        <v>7.782727272727273E-5</v>
      </c>
      <c r="BO28" s="15">
        <v>7.7718181818181825E-5</v>
      </c>
      <c r="BP28" s="15">
        <v>7.7609090909090906E-5</v>
      </c>
      <c r="BQ28" s="15">
        <v>7.75E-5</v>
      </c>
      <c r="BR28" s="15">
        <v>7.7390909090909094E-5</v>
      </c>
      <c r="BS28" s="21">
        <v>7.6000000000000004E-5</v>
      </c>
      <c r="BT28" s="15">
        <v>7.5955E-5</v>
      </c>
      <c r="BU28" s="15">
        <v>7.5909999999999997E-5</v>
      </c>
      <c r="BV28" s="15">
        <v>7.5865000000000006E-5</v>
      </c>
      <c r="BW28" s="15">
        <v>7.5820000000000003E-5</v>
      </c>
      <c r="BX28" s="15">
        <v>7.5774999999999999E-5</v>
      </c>
      <c r="BY28" s="15">
        <v>7.5730000000000008E-5</v>
      </c>
      <c r="BZ28" s="15">
        <v>7.5685000000000005E-5</v>
      </c>
      <c r="CA28" s="15">
        <v>7.5640000000000001E-5</v>
      </c>
      <c r="CB28" s="15">
        <v>7.5594999999999997E-5</v>
      </c>
      <c r="CC28" s="15">
        <v>7.5549999999999993E-5</v>
      </c>
      <c r="CD28" s="15">
        <v>7.5505000000000003E-5</v>
      </c>
      <c r="CE28" s="15">
        <v>7.5459999999999999E-5</v>
      </c>
      <c r="CF28" s="15">
        <v>7.5414999999999995E-5</v>
      </c>
      <c r="CG28" s="15">
        <v>7.5370000000000005E-5</v>
      </c>
      <c r="CH28" s="15">
        <v>7.5325000000000001E-5</v>
      </c>
      <c r="CI28" s="15">
        <v>7.5279999999999998E-5</v>
      </c>
      <c r="CJ28" s="15">
        <v>7.5234999999999994E-5</v>
      </c>
      <c r="CK28" s="15">
        <v>7.518999999999999E-5</v>
      </c>
      <c r="CL28" s="15">
        <v>7.5145E-5</v>
      </c>
      <c r="CM28" s="21">
        <v>7.5099999999999996E-5</v>
      </c>
    </row>
    <row r="30" spans="1:91" x14ac:dyDescent="0.25">
      <c r="A30" s="13" t="s">
        <v>13</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1">
        <v>2.8586557155908612E-3</v>
      </c>
      <c r="AG30" s="41">
        <v>2.909963886131464E-3</v>
      </c>
      <c r="AH30" s="41">
        <v>2.9612720566720677E-3</v>
      </c>
      <c r="AI30" s="41">
        <v>3.0125802272126705E-3</v>
      </c>
      <c r="AJ30" s="41">
        <v>3.0638883977532742E-3</v>
      </c>
      <c r="AK30" s="41">
        <v>3.1151965682938766E-3</v>
      </c>
      <c r="AL30" s="41">
        <v>3.1665047388344802E-3</v>
      </c>
      <c r="AM30" s="41">
        <v>3.2178129093750835E-3</v>
      </c>
      <c r="AN30" s="41">
        <v>3.2691210799156863E-3</v>
      </c>
      <c r="AO30" s="41">
        <v>3.3204292504562887E-3</v>
      </c>
      <c r="AP30" s="41">
        <v>3.3717374209968911E-3</v>
      </c>
      <c r="AQ30" s="41">
        <v>3.4230455915374956E-3</v>
      </c>
      <c r="AR30" s="41">
        <v>3.474353762078098E-3</v>
      </c>
      <c r="AS30" s="41">
        <v>3.5256619326187004E-3</v>
      </c>
      <c r="AT30" s="41">
        <v>3.5769701031593041E-3</v>
      </c>
      <c r="AU30" s="41">
        <v>3.6282782736999073E-3</v>
      </c>
      <c r="AV30" s="41">
        <v>3.6601435786098075E-3</v>
      </c>
      <c r="AW30" s="41">
        <v>3.6920088835197063E-3</v>
      </c>
      <c r="AX30" s="41">
        <v>3.7238741884296055E-3</v>
      </c>
      <c r="AY30" s="41">
        <v>3.7557394933395052E-3</v>
      </c>
      <c r="AZ30" s="41">
        <v>3.7876047982494045E-3</v>
      </c>
      <c r="BA30" s="41">
        <v>3.8194701031593042E-3</v>
      </c>
      <c r="BB30" s="41">
        <v>3.8513354080692043E-3</v>
      </c>
      <c r="BC30" s="41">
        <v>3.8832007129791031E-3</v>
      </c>
      <c r="BD30" s="41">
        <v>3.9150660178890037E-3</v>
      </c>
      <c r="BE30" s="41">
        <v>3.9469313227989029E-3</v>
      </c>
      <c r="BF30" s="41">
        <v>3.9787966277088022E-3</v>
      </c>
      <c r="BG30" s="41">
        <v>4.0106619326187015E-3</v>
      </c>
      <c r="BH30" s="41">
        <v>4.0425272375286016E-3</v>
      </c>
      <c r="BI30" s="41">
        <v>4.0743925424385008E-3</v>
      </c>
      <c r="BJ30" s="41">
        <v>4.1062578473483992E-3</v>
      </c>
      <c r="BK30" s="41">
        <v>4.1381231522582993E-3</v>
      </c>
      <c r="BL30" s="41">
        <v>4.1699884571681986E-3</v>
      </c>
      <c r="BM30" s="41">
        <v>4.2018537620780979E-3</v>
      </c>
      <c r="BN30" s="41">
        <v>4.233719066987998E-3</v>
      </c>
      <c r="BO30" s="41">
        <v>4.2655843718978972E-3</v>
      </c>
      <c r="BP30" s="41">
        <v>4.2974496768077956E-3</v>
      </c>
      <c r="BQ30" s="41">
        <v>4.3293149817176958E-3</v>
      </c>
      <c r="BR30" s="41">
        <v>4.3611802866275959E-3</v>
      </c>
      <c r="BS30" s="41">
        <v>4.3930455915374969E-3</v>
      </c>
      <c r="BT30" s="41">
        <v>4.4249108964473944E-3</v>
      </c>
      <c r="BU30" s="41">
        <v>4.4567762013572945E-3</v>
      </c>
      <c r="BV30" s="41">
        <v>4.4886415062671938E-3</v>
      </c>
      <c r="BW30" s="41">
        <v>4.520506811177093E-3</v>
      </c>
      <c r="BX30" s="41">
        <v>4.5523721160869923E-3</v>
      </c>
      <c r="BY30" s="41">
        <v>4.5842374209968924E-3</v>
      </c>
      <c r="BZ30" s="41">
        <v>4.6161027259067908E-3</v>
      </c>
      <c r="CA30" s="41">
        <v>4.6479680308166918E-3</v>
      </c>
      <c r="CB30" s="41">
        <v>4.6798333357265902E-3</v>
      </c>
      <c r="CC30" s="41">
        <v>4.7116986406364903E-3</v>
      </c>
      <c r="CD30" s="41">
        <v>4.7435639455463896E-3</v>
      </c>
      <c r="CE30" s="41">
        <v>4.7754292504562897E-3</v>
      </c>
      <c r="CF30" s="41">
        <v>4.8072945553661881E-3</v>
      </c>
      <c r="CG30" s="41">
        <v>4.8391598602760891E-3</v>
      </c>
      <c r="CH30" s="41">
        <v>4.8710251651859866E-3</v>
      </c>
      <c r="CI30" s="41">
        <v>4.9028904700958876E-3</v>
      </c>
      <c r="CJ30" s="41">
        <v>4.9347557750057851E-3</v>
      </c>
      <c r="CK30" s="41">
        <v>4.9666210799156861E-3</v>
      </c>
      <c r="CL30" s="41">
        <v>4.9984863848255862E-3</v>
      </c>
      <c r="CM30" s="41">
        <v>5.0303516897354846E-3</v>
      </c>
    </row>
    <row r="31" spans="1:91" x14ac:dyDescent="0.25">
      <c r="A31" s="13" t="s">
        <v>1</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41">
        <v>2.21991625074704E-3</v>
      </c>
      <c r="AG31" s="41">
        <v>2.2566263371078163E-3</v>
      </c>
      <c r="AH31" s="41">
        <v>2.2933364234685931E-3</v>
      </c>
      <c r="AI31" s="41">
        <v>2.3300465098293689E-3</v>
      </c>
      <c r="AJ31" s="41">
        <v>2.3667565961901457E-3</v>
      </c>
      <c r="AK31" s="41">
        <v>2.403466682550922E-3</v>
      </c>
      <c r="AL31" s="41">
        <v>2.4401767689116983E-3</v>
      </c>
      <c r="AM31" s="41">
        <v>2.4768868552724754E-3</v>
      </c>
      <c r="AN31" s="41">
        <v>2.5135969416332517E-3</v>
      </c>
      <c r="AO31" s="41">
        <v>2.5503070279940276E-3</v>
      </c>
      <c r="AP31" s="41">
        <v>2.5870171143548043E-3</v>
      </c>
      <c r="AQ31" s="41">
        <v>2.6237272007155811E-3</v>
      </c>
      <c r="AR31" s="41">
        <v>2.6604372870763569E-3</v>
      </c>
      <c r="AS31" s="41">
        <v>2.6971473734371336E-3</v>
      </c>
      <c r="AT31" s="41">
        <v>2.7338574597979095E-3</v>
      </c>
      <c r="AU31" s="41">
        <v>2.7705675461586858E-3</v>
      </c>
      <c r="AV31" s="41">
        <v>2.7941732069956472E-3</v>
      </c>
      <c r="AW31" s="41">
        <v>2.8177788678326082E-3</v>
      </c>
      <c r="AX31" s="41">
        <v>2.8413845286695688E-3</v>
      </c>
      <c r="AY31" s="41">
        <v>2.8649901895065294E-3</v>
      </c>
      <c r="AZ31" s="41">
        <v>2.8885958503434904E-3</v>
      </c>
      <c r="BA31" s="41">
        <v>2.9122015111804514E-3</v>
      </c>
      <c r="BB31" s="41">
        <v>2.9358071720174115E-3</v>
      </c>
      <c r="BC31" s="41">
        <v>2.9594128328543738E-3</v>
      </c>
      <c r="BD31" s="41">
        <v>2.9830184936913344E-3</v>
      </c>
      <c r="BE31" s="41">
        <v>3.0066241545282949E-3</v>
      </c>
      <c r="BF31" s="41">
        <v>3.030229815365256E-3</v>
      </c>
      <c r="BG31" s="41">
        <v>3.0538354762022174E-3</v>
      </c>
      <c r="BH31" s="41">
        <v>3.0774411370391771E-3</v>
      </c>
      <c r="BI31" s="41">
        <v>3.1010467978761381E-3</v>
      </c>
      <c r="BJ31" s="41">
        <v>3.1246524587130987E-3</v>
      </c>
      <c r="BK31" s="41">
        <v>3.1482581195500597E-3</v>
      </c>
      <c r="BL31" s="41">
        <v>3.1718637803870211E-3</v>
      </c>
      <c r="BM31" s="41">
        <v>3.1954694412239821E-3</v>
      </c>
      <c r="BN31" s="41">
        <v>3.2190751020609435E-3</v>
      </c>
      <c r="BO31" s="41">
        <v>3.2426807628979037E-3</v>
      </c>
      <c r="BP31" s="41">
        <v>3.2662864237348651E-3</v>
      </c>
      <c r="BQ31" s="41">
        <v>3.2898920845718252E-3</v>
      </c>
      <c r="BR31" s="41">
        <v>3.3134977454087858E-3</v>
      </c>
      <c r="BS31" s="41">
        <v>3.3371034062457468E-3</v>
      </c>
      <c r="BT31" s="41">
        <v>3.3607090670827078E-3</v>
      </c>
      <c r="BU31" s="41">
        <v>3.3843147279196684E-3</v>
      </c>
      <c r="BV31" s="41">
        <v>3.4079203887566302E-3</v>
      </c>
      <c r="BW31" s="41">
        <v>3.4315260495935899E-3</v>
      </c>
      <c r="BX31" s="41">
        <v>3.4551317104305514E-3</v>
      </c>
      <c r="BY31" s="41">
        <v>3.4787373712675128E-3</v>
      </c>
      <c r="BZ31" s="41">
        <v>3.5023430321044729E-3</v>
      </c>
      <c r="CA31" s="41">
        <v>3.5259486929414339E-3</v>
      </c>
      <c r="CB31" s="41">
        <v>3.5495543537783945E-3</v>
      </c>
      <c r="CC31" s="41">
        <v>3.5731600146153551E-3</v>
      </c>
      <c r="CD31" s="41">
        <v>3.5967656754523165E-3</v>
      </c>
      <c r="CE31" s="41">
        <v>3.6203713362892771E-3</v>
      </c>
      <c r="CF31" s="41">
        <v>3.6439769971262381E-3</v>
      </c>
      <c r="CG31" s="41">
        <v>3.6675826579631995E-3</v>
      </c>
      <c r="CH31" s="41">
        <v>3.6911883188001609E-3</v>
      </c>
      <c r="CI31" s="41">
        <v>3.7147939796371206E-3</v>
      </c>
      <c r="CJ31" s="41">
        <v>3.7383996404740821E-3</v>
      </c>
      <c r="CK31" s="41">
        <v>3.7620053013110422E-3</v>
      </c>
      <c r="CL31" s="41">
        <v>3.7856109621480032E-3</v>
      </c>
      <c r="CM31" s="41">
        <v>3.8092166229849646E-3</v>
      </c>
    </row>
    <row r="32" spans="1:91" x14ac:dyDescent="0.25">
      <c r="A32" s="13" t="s">
        <v>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1">
        <v>3.2695631189309741E-3</v>
      </c>
      <c r="AG32" s="41">
        <v>3.3190680876783053E-3</v>
      </c>
      <c r="AH32" s="41">
        <v>3.3685730564256351E-3</v>
      </c>
      <c r="AI32" s="41">
        <v>3.4180780251729654E-3</v>
      </c>
      <c r="AJ32" s="41">
        <v>3.4675829939202975E-3</v>
      </c>
      <c r="AK32" s="41">
        <v>3.5170879626676278E-3</v>
      </c>
      <c r="AL32" s="41">
        <v>3.566592931414959E-3</v>
      </c>
      <c r="AM32" s="41">
        <v>3.6160979001622893E-3</v>
      </c>
      <c r="AN32" s="41">
        <v>3.66560286890962E-3</v>
      </c>
      <c r="AO32" s="41">
        <v>3.7151078376569512E-3</v>
      </c>
      <c r="AP32" s="41">
        <v>3.764612806404282E-3</v>
      </c>
      <c r="AQ32" s="41">
        <v>3.8141177751516123E-3</v>
      </c>
      <c r="AR32" s="41">
        <v>3.8636227438989435E-3</v>
      </c>
      <c r="AS32" s="41">
        <v>3.9131277126462733E-3</v>
      </c>
      <c r="AT32" s="41">
        <v>3.9626326813936045E-3</v>
      </c>
      <c r="AU32" s="41">
        <v>4.0121376501409357E-3</v>
      </c>
      <c r="AV32" s="41">
        <v>4.0409850921853223E-3</v>
      </c>
      <c r="AW32" s="41">
        <v>4.0698325342297097E-3</v>
      </c>
      <c r="AX32" s="41">
        <v>4.0986799762740963E-3</v>
      </c>
      <c r="AY32" s="41">
        <v>4.127527418318482E-3</v>
      </c>
      <c r="AZ32" s="41">
        <v>4.1563748603628704E-3</v>
      </c>
      <c r="BA32" s="41">
        <v>4.1852223024072561E-3</v>
      </c>
      <c r="BB32" s="41">
        <v>4.2140697444516435E-3</v>
      </c>
      <c r="BC32" s="41">
        <v>4.2429171864960301E-3</v>
      </c>
      <c r="BD32" s="41">
        <v>4.2717646285404158E-3</v>
      </c>
      <c r="BE32" s="41">
        <v>4.3006120705848042E-3</v>
      </c>
      <c r="BF32" s="41">
        <v>4.3294595126291899E-3</v>
      </c>
      <c r="BG32" s="41">
        <v>4.3583069546735782E-3</v>
      </c>
      <c r="BH32" s="41">
        <v>4.3871543967179639E-3</v>
      </c>
      <c r="BI32" s="41">
        <v>4.4160018387623514E-3</v>
      </c>
      <c r="BJ32" s="41">
        <v>4.444849280806738E-3</v>
      </c>
      <c r="BK32" s="41">
        <v>4.4736967228511245E-3</v>
      </c>
      <c r="BL32" s="41">
        <v>4.5025441648955111E-3</v>
      </c>
      <c r="BM32" s="41">
        <v>4.5313916069398994E-3</v>
      </c>
      <c r="BN32" s="41">
        <v>4.5602390489842852E-3</v>
      </c>
      <c r="BO32" s="41">
        <v>4.5890864910286726E-3</v>
      </c>
      <c r="BP32" s="41">
        <v>4.6179339330730601E-3</v>
      </c>
      <c r="BQ32" s="41">
        <v>4.6467813751174458E-3</v>
      </c>
      <c r="BR32" s="41">
        <v>4.6756288171618332E-3</v>
      </c>
      <c r="BS32" s="41">
        <v>4.7044762592062198E-3</v>
      </c>
      <c r="BT32" s="41">
        <v>4.7333237012506073E-3</v>
      </c>
      <c r="BU32" s="41">
        <v>4.762171143294993E-3</v>
      </c>
      <c r="BV32" s="41">
        <v>4.7910185853393805E-3</v>
      </c>
      <c r="BW32" s="41">
        <v>4.8198660273837679E-3</v>
      </c>
      <c r="BX32" s="41">
        <v>4.8487134694281545E-3</v>
      </c>
      <c r="BY32" s="41">
        <v>4.8775609114725419E-3</v>
      </c>
      <c r="BZ32" s="41">
        <v>4.9064083535169277E-3</v>
      </c>
      <c r="CA32" s="41">
        <v>4.9352557955613151E-3</v>
      </c>
      <c r="CB32" s="41">
        <v>4.9641032376057017E-3</v>
      </c>
      <c r="CC32" s="41">
        <v>4.9929506796500883E-3</v>
      </c>
      <c r="CD32" s="41">
        <v>5.0217981216944757E-3</v>
      </c>
      <c r="CE32" s="41">
        <v>5.0506455637388623E-3</v>
      </c>
      <c r="CF32" s="41">
        <v>5.0794930057832489E-3</v>
      </c>
      <c r="CG32" s="41">
        <v>5.1083404478276355E-3</v>
      </c>
      <c r="CH32" s="41">
        <v>5.1371878898720212E-3</v>
      </c>
      <c r="CI32" s="41">
        <v>5.1660353319164087E-3</v>
      </c>
      <c r="CJ32" s="41">
        <v>5.1948827739607961E-3</v>
      </c>
      <c r="CK32" s="41">
        <v>5.2237302160051836E-3</v>
      </c>
      <c r="CL32" s="41">
        <v>5.252577658049571E-3</v>
      </c>
      <c r="CM32" s="41">
        <v>5.2814251000939559E-3</v>
      </c>
    </row>
    <row r="33" spans="1:91" x14ac:dyDescent="0.25">
      <c r="A33" s="13" t="s">
        <v>1</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1">
        <v>1.4251346260975677E-3</v>
      </c>
      <c r="AG33" s="41">
        <v>1.4394010133432365E-3</v>
      </c>
      <c r="AH33" s="41">
        <v>1.4536674005889065E-3</v>
      </c>
      <c r="AI33" s="41">
        <v>1.4679337878345756E-3</v>
      </c>
      <c r="AJ33" s="41">
        <v>1.4822001750802451E-3</v>
      </c>
      <c r="AK33" s="41">
        <v>1.4964665623259147E-3</v>
      </c>
      <c r="AL33" s="41">
        <v>1.5107329495715842E-3</v>
      </c>
      <c r="AM33" s="41">
        <v>1.5249993368172535E-3</v>
      </c>
      <c r="AN33" s="41">
        <v>1.5392657240629226E-3</v>
      </c>
      <c r="AO33" s="41">
        <v>1.5535321113085924E-3</v>
      </c>
      <c r="AP33" s="41">
        <v>1.5677984985542617E-3</v>
      </c>
      <c r="AQ33" s="41">
        <v>1.5820648857999312E-3</v>
      </c>
      <c r="AR33" s="41">
        <v>1.5963312730456008E-3</v>
      </c>
      <c r="AS33" s="41">
        <v>1.6105976602912699E-3</v>
      </c>
      <c r="AT33" s="41">
        <v>1.6248640475369394E-3</v>
      </c>
      <c r="AU33" s="41">
        <v>1.6391304347826087E-3</v>
      </c>
      <c r="AV33" s="41">
        <v>1.6512056578914661E-3</v>
      </c>
      <c r="AW33" s="41">
        <v>1.6632808810003231E-3</v>
      </c>
      <c r="AX33" s="41">
        <v>1.6753561041091803E-3</v>
      </c>
      <c r="AY33" s="41">
        <v>1.6874313272180379E-3</v>
      </c>
      <c r="AZ33" s="41">
        <v>1.6995065503268951E-3</v>
      </c>
      <c r="BA33" s="41">
        <v>1.7115817734357521E-3</v>
      </c>
      <c r="BB33" s="41">
        <v>1.7236569965446093E-3</v>
      </c>
      <c r="BC33" s="41">
        <v>1.7357322196534667E-3</v>
      </c>
      <c r="BD33" s="41">
        <v>1.7478074427623236E-3</v>
      </c>
      <c r="BE33" s="41">
        <v>1.759882665871181E-3</v>
      </c>
      <c r="BF33" s="41">
        <v>1.7719578889800382E-3</v>
      </c>
      <c r="BG33" s="41">
        <v>1.7840331120888959E-3</v>
      </c>
      <c r="BH33" s="41">
        <v>1.7961083351977531E-3</v>
      </c>
      <c r="BI33" s="41">
        <v>1.8081835583066094E-3</v>
      </c>
      <c r="BJ33" s="41">
        <v>1.8202587814154672E-3</v>
      </c>
      <c r="BK33" s="41">
        <v>1.8323340045243244E-3</v>
      </c>
      <c r="BL33" s="41">
        <v>1.844409227633182E-3</v>
      </c>
      <c r="BM33" s="41">
        <v>1.8564844507420388E-3</v>
      </c>
      <c r="BN33" s="41">
        <v>1.8685596738508962E-3</v>
      </c>
      <c r="BO33" s="41">
        <v>1.8806348969597534E-3</v>
      </c>
      <c r="BP33" s="41">
        <v>1.8927101200686108E-3</v>
      </c>
      <c r="BQ33" s="41">
        <v>1.9047853431774678E-3</v>
      </c>
      <c r="BR33" s="41">
        <v>1.9168605662863256E-3</v>
      </c>
      <c r="BS33" s="41">
        <v>1.9289357893951824E-3</v>
      </c>
      <c r="BT33" s="41">
        <v>1.9410110125040402E-3</v>
      </c>
      <c r="BU33" s="41">
        <v>1.9530862356128972E-3</v>
      </c>
      <c r="BV33" s="41">
        <v>1.9651614587217541E-3</v>
      </c>
      <c r="BW33" s="41">
        <v>1.9772366818306113E-3</v>
      </c>
      <c r="BX33" s="41">
        <v>1.989311904939469E-3</v>
      </c>
      <c r="BY33" s="41">
        <v>2.0013871280483257E-3</v>
      </c>
      <c r="BZ33" s="41">
        <v>2.0134623511571829E-3</v>
      </c>
      <c r="CA33" s="41">
        <v>2.0255375742660405E-3</v>
      </c>
      <c r="CB33" s="41">
        <v>2.0376127973748973E-3</v>
      </c>
      <c r="CC33" s="41">
        <v>2.0496880204837549E-3</v>
      </c>
      <c r="CD33" s="41">
        <v>2.0617632435926121E-3</v>
      </c>
      <c r="CE33" s="41">
        <v>2.0738384667014697E-3</v>
      </c>
      <c r="CF33" s="41">
        <v>2.0859136898103261E-3</v>
      </c>
      <c r="CG33" s="41">
        <v>2.0979889129191837E-3</v>
      </c>
      <c r="CH33" s="41">
        <v>2.1100641360280409E-3</v>
      </c>
      <c r="CI33" s="41">
        <v>2.1221393591368985E-3</v>
      </c>
      <c r="CJ33" s="41">
        <v>2.1342145822457557E-3</v>
      </c>
      <c r="CK33" s="41">
        <v>2.1462898053546129E-3</v>
      </c>
      <c r="CL33" s="41">
        <v>2.1583650284634701E-3</v>
      </c>
      <c r="CM33" s="41">
        <v>2.1704402515723277E-3</v>
      </c>
    </row>
    <row r="34" spans="1:91" x14ac:dyDescent="0.25">
      <c r="A34" s="13" t="s">
        <v>1</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F34" s="41">
        <v>1.6577549140049134E-3</v>
      </c>
      <c r="AG34" s="41">
        <v>1.6804361179361179E-3</v>
      </c>
      <c r="AH34" s="41">
        <v>1.7031173218673219E-3</v>
      </c>
      <c r="AI34" s="41">
        <v>1.7257985257985258E-3</v>
      </c>
      <c r="AJ34" s="41">
        <v>1.7484797297297294E-3</v>
      </c>
      <c r="AK34" s="41">
        <v>1.7711609336609332E-3</v>
      </c>
      <c r="AL34" s="41">
        <v>1.7938421375921377E-3</v>
      </c>
      <c r="AM34" s="41">
        <v>1.8165233415233415E-3</v>
      </c>
      <c r="AN34" s="41">
        <v>1.8392045454545453E-3</v>
      </c>
      <c r="AO34" s="41">
        <v>1.8618857493857496E-3</v>
      </c>
      <c r="AP34" s="41">
        <v>1.8845669533169532E-3</v>
      </c>
      <c r="AQ34" s="41">
        <v>1.9072481572481575E-3</v>
      </c>
      <c r="AR34" s="41">
        <v>1.9299293611793611E-3</v>
      </c>
      <c r="AS34" s="41">
        <v>1.9526105651105647E-3</v>
      </c>
      <c r="AT34" s="41">
        <v>1.9752917690417696E-3</v>
      </c>
      <c r="AU34" s="41">
        <v>1.9979729729729728E-3</v>
      </c>
      <c r="AV34" s="41">
        <v>2.0184735872235877E-3</v>
      </c>
      <c r="AW34" s="41">
        <v>2.0389742014742013E-3</v>
      </c>
      <c r="AX34" s="41">
        <v>2.0594748157248153E-3</v>
      </c>
      <c r="AY34" s="41">
        <v>2.0799754299754298E-3</v>
      </c>
      <c r="AZ34" s="41">
        <v>2.1004760442260443E-3</v>
      </c>
      <c r="BA34" s="41">
        <v>2.1209766584766587E-3</v>
      </c>
      <c r="BB34" s="41">
        <v>2.1414772727272723E-3</v>
      </c>
      <c r="BC34" s="41">
        <v>2.1619778869778868E-3</v>
      </c>
      <c r="BD34" s="41">
        <v>2.1824785012285013E-3</v>
      </c>
      <c r="BE34" s="41">
        <v>2.2029791154791153E-3</v>
      </c>
      <c r="BF34" s="41">
        <v>2.2234797297297293E-3</v>
      </c>
      <c r="BG34" s="41">
        <v>2.2439803439803438E-3</v>
      </c>
      <c r="BH34" s="41">
        <v>2.2644809582309583E-3</v>
      </c>
      <c r="BI34" s="41">
        <v>2.2849815724815723E-3</v>
      </c>
      <c r="BJ34" s="41">
        <v>2.3054821867321868E-3</v>
      </c>
      <c r="BK34" s="41">
        <v>2.3259828009828008E-3</v>
      </c>
      <c r="BL34" s="41">
        <v>2.3464834152334153E-3</v>
      </c>
      <c r="BM34" s="41">
        <v>2.3669840294840293E-3</v>
      </c>
      <c r="BN34" s="41">
        <v>2.3874846437346438E-3</v>
      </c>
      <c r="BO34" s="41">
        <v>2.4079852579852574E-3</v>
      </c>
      <c r="BP34" s="41">
        <v>2.4284858722358718E-3</v>
      </c>
      <c r="BQ34" s="41">
        <v>2.4489864864864859E-3</v>
      </c>
      <c r="BR34" s="41">
        <v>2.4694871007371003E-3</v>
      </c>
      <c r="BS34" s="41">
        <v>2.4899877149877148E-3</v>
      </c>
      <c r="BT34" s="41">
        <v>2.5104883292383293E-3</v>
      </c>
      <c r="BU34" s="41">
        <v>2.5309889434889433E-3</v>
      </c>
      <c r="BV34" s="41">
        <v>2.5514895577395573E-3</v>
      </c>
      <c r="BW34" s="41">
        <v>2.5719901719901722E-3</v>
      </c>
      <c r="BX34" s="41">
        <v>2.5924907862407863E-3</v>
      </c>
      <c r="BY34" s="41">
        <v>2.6129914004914007E-3</v>
      </c>
      <c r="BZ34" s="41">
        <v>2.6334920147420139E-3</v>
      </c>
      <c r="CA34" s="41">
        <v>2.6539926289926284E-3</v>
      </c>
      <c r="CB34" s="41">
        <v>2.6744932432432428E-3</v>
      </c>
      <c r="CC34" s="41">
        <v>2.6949938574938573E-3</v>
      </c>
      <c r="CD34" s="41">
        <v>2.7154944717444713E-3</v>
      </c>
      <c r="CE34" s="41">
        <v>2.7359950859950858E-3</v>
      </c>
      <c r="CF34" s="41">
        <v>2.7564957002457007E-3</v>
      </c>
      <c r="CG34" s="41">
        <v>2.7769963144963143E-3</v>
      </c>
      <c r="CH34" s="41">
        <v>2.7974969287469288E-3</v>
      </c>
      <c r="CI34" s="41">
        <v>2.8179975429975424E-3</v>
      </c>
      <c r="CJ34" s="41">
        <v>2.8384981572481573E-3</v>
      </c>
      <c r="CK34" s="41">
        <v>2.8589987714987713E-3</v>
      </c>
      <c r="CL34" s="41">
        <v>2.8794993857493853E-3</v>
      </c>
      <c r="CM34" s="41">
        <v>2.8999999999999998E-3</v>
      </c>
    </row>
    <row r="35" spans="1:91" x14ac:dyDescent="0.25">
      <c r="A35" s="13" t="s">
        <v>1</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1">
        <v>6.1522727272727278E-2</v>
      </c>
      <c r="AG35" s="41">
        <v>6.1954545454545457E-2</v>
      </c>
      <c r="AH35" s="41">
        <v>6.2386363636363643E-2</v>
      </c>
      <c r="AI35" s="41">
        <v>6.2818181818181829E-2</v>
      </c>
      <c r="AJ35" s="41">
        <v>6.3250000000000001E-2</v>
      </c>
      <c r="AK35" s="41">
        <v>6.3681818181818187E-2</v>
      </c>
      <c r="AL35" s="41">
        <v>6.4113636363636373E-2</v>
      </c>
      <c r="AM35" s="41">
        <v>6.4545454545454545E-2</v>
      </c>
      <c r="AN35" s="41">
        <v>6.4977272727272731E-2</v>
      </c>
      <c r="AO35" s="41">
        <v>6.5409090909090917E-2</v>
      </c>
      <c r="AP35" s="41">
        <v>6.5840909090909089E-2</v>
      </c>
      <c r="AQ35" s="41">
        <v>6.6272727272727275E-2</v>
      </c>
      <c r="AR35" s="41">
        <v>6.6704545454545461E-2</v>
      </c>
      <c r="AS35" s="41">
        <v>6.7136363636363633E-2</v>
      </c>
      <c r="AT35" s="41">
        <v>6.7568181818181819E-2</v>
      </c>
      <c r="AU35" s="41">
        <v>6.8000000000000005E-2</v>
      </c>
      <c r="AV35" s="41">
        <v>6.881818181818182E-2</v>
      </c>
      <c r="AW35" s="41">
        <v>6.9636363636363635E-2</v>
      </c>
      <c r="AX35" s="41">
        <v>7.0454545454545464E-2</v>
      </c>
      <c r="AY35" s="41">
        <v>7.1272727272727279E-2</v>
      </c>
      <c r="AZ35" s="41">
        <v>7.2090909090909094E-2</v>
      </c>
      <c r="BA35" s="41">
        <v>7.290909090909091E-2</v>
      </c>
      <c r="BB35" s="41">
        <v>7.3727272727272725E-2</v>
      </c>
      <c r="BC35" s="41">
        <v>7.4545454545454554E-2</v>
      </c>
      <c r="BD35" s="41">
        <v>7.5363636363636369E-2</v>
      </c>
      <c r="BE35" s="41">
        <v>7.6181818181818184E-2</v>
      </c>
      <c r="BF35" s="41">
        <v>7.6999999999999999E-2</v>
      </c>
      <c r="BG35" s="41">
        <v>7.7818181818181814E-2</v>
      </c>
      <c r="BH35" s="41">
        <v>7.8636363636363643E-2</v>
      </c>
      <c r="BI35" s="41">
        <v>7.9454545454545458E-2</v>
      </c>
      <c r="BJ35" s="41">
        <v>8.0272727272727273E-2</v>
      </c>
      <c r="BK35" s="41">
        <v>8.1090909090909088E-2</v>
      </c>
      <c r="BL35" s="41">
        <v>8.1909090909090904E-2</v>
      </c>
      <c r="BM35" s="41">
        <v>8.2727272727272733E-2</v>
      </c>
      <c r="BN35" s="41">
        <v>8.3545454545454548E-2</v>
      </c>
      <c r="BO35" s="41">
        <v>8.4363636363636363E-2</v>
      </c>
      <c r="BP35" s="41">
        <v>8.5181818181818178E-2</v>
      </c>
      <c r="BQ35" s="41">
        <v>8.5999999999999993E-2</v>
      </c>
      <c r="BR35" s="41">
        <v>8.6818181818181822E-2</v>
      </c>
      <c r="BS35" s="41">
        <v>8.7636363636363637E-2</v>
      </c>
      <c r="BT35" s="41">
        <v>8.8454545454545452E-2</v>
      </c>
      <c r="BU35" s="41">
        <v>8.9272727272727267E-2</v>
      </c>
      <c r="BV35" s="41">
        <v>9.0090909090909083E-2</v>
      </c>
      <c r="BW35" s="41">
        <v>9.0909090909090912E-2</v>
      </c>
      <c r="BX35" s="41">
        <v>9.1727272727272727E-2</v>
      </c>
      <c r="BY35" s="41">
        <v>9.2545454545454542E-2</v>
      </c>
      <c r="BZ35" s="41">
        <v>9.3363636363636357E-2</v>
      </c>
      <c r="CA35" s="41">
        <v>9.4181818181818172E-2</v>
      </c>
      <c r="CB35" s="41">
        <v>9.5000000000000001E-2</v>
      </c>
      <c r="CC35" s="41">
        <v>9.5818181818181816E-2</v>
      </c>
      <c r="CD35" s="41">
        <v>9.6636363636363631E-2</v>
      </c>
      <c r="CE35" s="41">
        <v>9.7454545454545446E-2</v>
      </c>
      <c r="CF35" s="41">
        <v>9.8272727272727262E-2</v>
      </c>
      <c r="CG35" s="41">
        <v>9.9090909090909091E-2</v>
      </c>
      <c r="CH35" s="41">
        <v>9.9909090909090906E-2</v>
      </c>
      <c r="CI35" s="41">
        <v>0.10072727272727272</v>
      </c>
      <c r="CJ35" s="41">
        <v>0.10154545454545455</v>
      </c>
      <c r="CK35" s="41">
        <v>0.10236363636363635</v>
      </c>
      <c r="CL35" s="41">
        <v>0.10318181818181818</v>
      </c>
      <c r="CM35" s="41">
        <v>0.104</v>
      </c>
    </row>
    <row r="37" spans="1:91" x14ac:dyDescent="0.25">
      <c r="A37" s="13" t="s">
        <v>15</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15">
        <v>9.6590909090909095E-4</v>
      </c>
      <c r="AG37" s="15">
        <v>9.6818181818181823E-4</v>
      </c>
      <c r="AH37" s="15">
        <v>9.704545454545454E-4</v>
      </c>
      <c r="AI37" s="15">
        <v>9.7272727272727268E-4</v>
      </c>
      <c r="AJ37" s="15">
        <v>9.7499999999999996E-4</v>
      </c>
      <c r="AK37" s="15">
        <v>9.7727272727272723E-4</v>
      </c>
      <c r="AL37" s="15">
        <v>9.7954545454545451E-4</v>
      </c>
      <c r="AM37" s="15">
        <v>9.8181818181818179E-4</v>
      </c>
      <c r="AN37" s="15">
        <v>9.8409090909090907E-4</v>
      </c>
      <c r="AO37" s="15">
        <v>9.8636363636363635E-4</v>
      </c>
      <c r="AP37" s="15">
        <v>9.8863636363636363E-4</v>
      </c>
      <c r="AQ37" s="15">
        <v>9.9090909090909091E-4</v>
      </c>
      <c r="AR37" s="15">
        <v>9.9318181818181818E-4</v>
      </c>
      <c r="AS37" s="15">
        <v>9.9545454545454546E-4</v>
      </c>
      <c r="AT37" s="15">
        <v>9.9772727272727274E-4</v>
      </c>
      <c r="AU37" s="15">
        <v>1E-3</v>
      </c>
      <c r="AV37" s="15">
        <v>1.0363636363636365E-3</v>
      </c>
      <c r="AW37" s="15">
        <v>1.0727272727272727E-3</v>
      </c>
      <c r="AX37" s="15">
        <v>1.1090909090909092E-3</v>
      </c>
      <c r="AY37" s="15">
        <v>1.1454545454545454E-3</v>
      </c>
      <c r="AZ37" s="15">
        <v>1.1818181818181819E-3</v>
      </c>
      <c r="BA37" s="15">
        <v>1.2181818181818181E-3</v>
      </c>
      <c r="BB37" s="15">
        <v>1.2545454545454546E-3</v>
      </c>
      <c r="BC37" s="15">
        <v>1.2909090909090908E-3</v>
      </c>
      <c r="BD37" s="15">
        <v>1.3272727272727273E-3</v>
      </c>
      <c r="BE37" s="15">
        <v>1.3636363636363635E-3</v>
      </c>
      <c r="BF37" s="15">
        <v>1.4E-3</v>
      </c>
      <c r="BG37" s="15">
        <v>1.4363636363636362E-3</v>
      </c>
      <c r="BH37" s="15">
        <v>1.4727272727272727E-3</v>
      </c>
      <c r="BI37" s="15">
        <v>1.5090909090909091E-3</v>
      </c>
      <c r="BJ37" s="15">
        <v>1.5454545454545454E-3</v>
      </c>
      <c r="BK37" s="15">
        <v>1.5818181818181816E-3</v>
      </c>
      <c r="BL37" s="15">
        <v>1.6181818181818181E-3</v>
      </c>
      <c r="BM37" s="15">
        <v>1.6545454545454545E-3</v>
      </c>
      <c r="BN37" s="15">
        <v>1.6909090909090908E-3</v>
      </c>
      <c r="BO37" s="15">
        <v>1.727272727272727E-3</v>
      </c>
      <c r="BP37" s="15">
        <v>1.7636363636363635E-3</v>
      </c>
      <c r="BQ37" s="15">
        <v>1.8E-3</v>
      </c>
      <c r="BR37" s="15">
        <v>1.8363636363636362E-3</v>
      </c>
      <c r="BS37" s="15">
        <v>1.8727272727272727E-3</v>
      </c>
      <c r="BT37" s="15">
        <v>1.9090909090909089E-3</v>
      </c>
      <c r="BU37" s="15">
        <v>1.9454545454545454E-3</v>
      </c>
      <c r="BV37" s="15">
        <v>1.9818181818181818E-3</v>
      </c>
      <c r="BW37" s="15">
        <v>2.0181818181818183E-3</v>
      </c>
      <c r="BX37" s="15">
        <v>2.0545454545454543E-3</v>
      </c>
      <c r="BY37" s="15">
        <v>2.0909090909090908E-3</v>
      </c>
      <c r="BZ37" s="15">
        <v>2.1272727272727268E-3</v>
      </c>
      <c r="CA37" s="15">
        <v>2.1636363636363632E-3</v>
      </c>
      <c r="CB37" s="15">
        <v>2.1999999999999997E-3</v>
      </c>
      <c r="CC37" s="15">
        <v>2.2363636363636362E-3</v>
      </c>
      <c r="CD37" s="15">
        <v>2.2727272727272726E-3</v>
      </c>
      <c r="CE37" s="15">
        <v>2.3090909090909091E-3</v>
      </c>
      <c r="CF37" s="15">
        <v>2.3454545454545455E-3</v>
      </c>
      <c r="CG37" s="15">
        <v>2.3818181818181816E-3</v>
      </c>
      <c r="CH37" s="15">
        <v>2.418181818181818E-3</v>
      </c>
      <c r="CI37" s="15">
        <v>2.454545454545454E-3</v>
      </c>
      <c r="CJ37" s="15">
        <v>2.4909090909090905E-3</v>
      </c>
      <c r="CK37" s="15">
        <v>2.527272727272727E-3</v>
      </c>
      <c r="CL37" s="15">
        <v>2.5636363636363634E-3</v>
      </c>
      <c r="CM37" s="15">
        <v>2.5999999999999999E-3</v>
      </c>
    </row>
    <row r="38" spans="1:91" x14ac:dyDescent="0.25">
      <c r="A38" s="13"/>
    </row>
    <row r="39" spans="1:91" x14ac:dyDescent="0.25">
      <c r="A39" s="13" t="s">
        <v>14</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15">
        <v>8.6618671127481966E-4</v>
      </c>
      <c r="AG39" s="15">
        <v>8.7332065560907562E-4</v>
      </c>
      <c r="AH39" s="15">
        <v>8.8045459994333169E-4</v>
      </c>
      <c r="AI39" s="15">
        <v>8.8758854427758765E-4</v>
      </c>
      <c r="AJ39" s="15">
        <v>8.9472248861184372E-4</v>
      </c>
      <c r="AK39" s="15">
        <v>9.0185643294609969E-4</v>
      </c>
      <c r="AL39" s="15">
        <v>9.0899037728035576E-4</v>
      </c>
      <c r="AM39" s="15">
        <v>9.1612432161461172E-4</v>
      </c>
      <c r="AN39" s="15">
        <v>9.2325826594886768E-4</v>
      </c>
      <c r="AO39" s="15">
        <v>9.3039221028312375E-4</v>
      </c>
      <c r="AP39" s="15">
        <v>9.3752615461737982E-4</v>
      </c>
      <c r="AQ39" s="15">
        <v>9.4466009895163578E-4</v>
      </c>
      <c r="AR39" s="15">
        <v>9.5179404328589175E-4</v>
      </c>
      <c r="AS39" s="15">
        <v>9.5892798762014782E-4</v>
      </c>
      <c r="AT39" s="15">
        <v>9.6606193195440389E-4</v>
      </c>
      <c r="AU39" s="15">
        <v>9.7319587628865985E-4</v>
      </c>
      <c r="AV39" s="15">
        <v>9.9072164948453621E-4</v>
      </c>
      <c r="AW39" s="15">
        <v>1.0082474226804125E-3</v>
      </c>
      <c r="AX39" s="15">
        <v>1.0257731958762887E-3</v>
      </c>
      <c r="AY39" s="15">
        <v>1.043298969072165E-3</v>
      </c>
      <c r="AZ39" s="15">
        <v>1.0608247422680412E-3</v>
      </c>
      <c r="BA39" s="15">
        <v>1.0783505154639175E-3</v>
      </c>
      <c r="BB39" s="15">
        <v>1.095876288659794E-3</v>
      </c>
      <c r="BC39" s="15">
        <v>1.1134020618556702E-3</v>
      </c>
      <c r="BD39" s="15">
        <v>1.1309278350515465E-3</v>
      </c>
      <c r="BE39" s="15">
        <v>1.1484536082474227E-3</v>
      </c>
      <c r="BF39" s="15">
        <v>1.165979381443299E-3</v>
      </c>
      <c r="BG39" s="15">
        <v>1.1835051546391752E-3</v>
      </c>
      <c r="BH39" s="15">
        <v>1.2010309278350515E-3</v>
      </c>
      <c r="BI39" s="15">
        <v>1.2185567010309277E-3</v>
      </c>
      <c r="BJ39" s="15">
        <v>1.236082474226804E-3</v>
      </c>
      <c r="BK39" s="15">
        <v>1.2536082474226805E-3</v>
      </c>
      <c r="BL39" s="15">
        <v>1.2711340206185567E-3</v>
      </c>
      <c r="BM39" s="15">
        <v>1.288659793814433E-3</v>
      </c>
      <c r="BN39" s="15">
        <v>1.3061855670103092E-3</v>
      </c>
      <c r="BO39" s="15">
        <v>1.3237113402061855E-3</v>
      </c>
      <c r="BP39" s="15">
        <v>1.3412371134020619E-3</v>
      </c>
      <c r="BQ39" s="15">
        <v>1.3587628865979382E-3</v>
      </c>
      <c r="BR39" s="15">
        <v>1.3762886597938145E-3</v>
      </c>
      <c r="BS39" s="15">
        <v>1.3938144329896907E-3</v>
      </c>
      <c r="BT39" s="15">
        <v>1.411340206185567E-3</v>
      </c>
      <c r="BU39" s="15">
        <v>1.4288659793814432E-3</v>
      </c>
      <c r="BV39" s="15">
        <v>1.4463917525773195E-3</v>
      </c>
      <c r="BW39" s="15">
        <v>1.4639175257731957E-3</v>
      </c>
      <c r="BX39" s="15">
        <v>1.481443298969072E-3</v>
      </c>
      <c r="BY39" s="15">
        <v>1.4989690721649482E-3</v>
      </c>
      <c r="BZ39" s="15">
        <v>1.5164948453608247E-3</v>
      </c>
      <c r="CA39" s="15">
        <v>1.534020618556701E-3</v>
      </c>
      <c r="CB39" s="15">
        <v>1.5515463917525772E-3</v>
      </c>
      <c r="CC39" s="15">
        <v>1.5690721649484537E-3</v>
      </c>
      <c r="CD39" s="15">
        <v>1.5865979381443299E-3</v>
      </c>
      <c r="CE39" s="15">
        <v>1.6041237113402062E-3</v>
      </c>
      <c r="CF39" s="15">
        <v>1.6216494845360824E-3</v>
      </c>
      <c r="CG39" s="15">
        <v>1.6391752577319587E-3</v>
      </c>
      <c r="CH39" s="15">
        <v>1.656701030927835E-3</v>
      </c>
      <c r="CI39" s="15">
        <v>1.6742268041237112E-3</v>
      </c>
      <c r="CJ39" s="15">
        <v>1.6917525773195875E-3</v>
      </c>
      <c r="CK39" s="15">
        <v>1.7092783505154637E-3</v>
      </c>
      <c r="CL39" s="15">
        <v>1.72680412371134E-3</v>
      </c>
      <c r="CM39" s="15">
        <v>1.7443298969072164E-3</v>
      </c>
    </row>
    <row r="41" spans="1:91" x14ac:dyDescent="0.25">
      <c r="A41" s="13" t="s">
        <v>16</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15">
        <v>5.0675000000000008E-3</v>
      </c>
      <c r="AG41" s="15">
        <v>5.1450000000000003E-3</v>
      </c>
      <c r="AH41" s="15">
        <v>5.2225000000000006E-3</v>
      </c>
      <c r="AI41" s="15">
        <v>5.3000000000000009E-3</v>
      </c>
      <c r="AJ41" s="15">
        <v>5.3775000000000003E-3</v>
      </c>
      <c r="AK41" s="15">
        <v>5.4550000000000006E-3</v>
      </c>
      <c r="AL41" s="15">
        <v>5.532500000000001E-3</v>
      </c>
      <c r="AM41" s="15">
        <v>5.6100000000000004E-3</v>
      </c>
      <c r="AN41" s="15">
        <v>5.6874999999999998E-3</v>
      </c>
      <c r="AO41" s="15">
        <v>5.765000000000001E-3</v>
      </c>
      <c r="AP41" s="15">
        <v>5.8425000000000005E-3</v>
      </c>
      <c r="AQ41" s="15">
        <v>5.9199999999999999E-3</v>
      </c>
      <c r="AR41" s="15">
        <v>5.9975000000000011E-3</v>
      </c>
      <c r="AS41" s="15">
        <v>6.0750000000000005E-3</v>
      </c>
      <c r="AT41" s="15">
        <v>6.1525E-3</v>
      </c>
      <c r="AU41" s="15">
        <v>6.2300000000000003E-3</v>
      </c>
      <c r="AV41" s="15">
        <v>6.2575E-3</v>
      </c>
      <c r="AW41" s="15">
        <v>6.2850000000000007E-3</v>
      </c>
      <c r="AX41" s="15">
        <v>6.3125000000000004E-3</v>
      </c>
      <c r="AY41" s="15">
        <v>6.3400000000000001E-3</v>
      </c>
      <c r="AZ41" s="15">
        <v>6.3674999999999999E-3</v>
      </c>
      <c r="BA41" s="15">
        <v>6.3950000000000005E-3</v>
      </c>
      <c r="BB41" s="15">
        <v>6.4225000000000003E-3</v>
      </c>
      <c r="BC41" s="15">
        <v>6.45E-3</v>
      </c>
      <c r="BD41" s="15">
        <v>6.4774999999999998E-3</v>
      </c>
      <c r="BE41" s="15">
        <v>6.5050000000000004E-3</v>
      </c>
      <c r="BF41" s="15">
        <v>6.5325000000000001E-3</v>
      </c>
      <c r="BG41" s="15">
        <v>6.5599999999999999E-3</v>
      </c>
      <c r="BH41" s="15">
        <v>6.5875000000000005E-3</v>
      </c>
      <c r="BI41" s="15">
        <v>6.6150000000000002E-3</v>
      </c>
      <c r="BJ41" s="15">
        <v>6.6425E-3</v>
      </c>
      <c r="BK41" s="15">
        <v>6.6699999999999997E-3</v>
      </c>
      <c r="BL41" s="15">
        <v>6.6975000000000003E-3</v>
      </c>
      <c r="BM41" s="15">
        <v>6.7250000000000001E-3</v>
      </c>
      <c r="BN41" s="15">
        <v>6.7524999999999998E-3</v>
      </c>
      <c r="BO41" s="15">
        <v>6.7799999999999996E-3</v>
      </c>
      <c r="BP41" s="15">
        <v>6.8075000000000002E-3</v>
      </c>
      <c r="BQ41" s="15">
        <v>6.8349999999999999E-3</v>
      </c>
      <c r="BR41" s="15">
        <v>6.8624999999999997E-3</v>
      </c>
      <c r="BS41" s="15">
        <v>6.8900000000000003E-3</v>
      </c>
      <c r="BT41" s="15">
        <v>6.9175E-3</v>
      </c>
      <c r="BU41" s="15">
        <v>6.9449999999999998E-3</v>
      </c>
      <c r="BV41" s="15">
        <v>6.9724999999999995E-3</v>
      </c>
      <c r="BW41" s="15">
        <v>7.0000000000000001E-3</v>
      </c>
      <c r="BX41" s="15">
        <v>7.0274999999999999E-3</v>
      </c>
      <c r="BY41" s="15">
        <v>7.0549999999999996E-3</v>
      </c>
      <c r="BZ41" s="15">
        <v>7.0825000000000003E-3</v>
      </c>
      <c r="CA41" s="15">
        <v>7.11E-3</v>
      </c>
      <c r="CB41" s="15">
        <v>7.1374999999999997E-3</v>
      </c>
      <c r="CC41" s="15">
        <v>7.1649999999999995E-3</v>
      </c>
      <c r="CD41" s="15">
        <v>7.1925000000000001E-3</v>
      </c>
      <c r="CE41" s="15">
        <v>7.2199999999999999E-3</v>
      </c>
      <c r="CF41" s="15">
        <v>7.2474999999999996E-3</v>
      </c>
      <c r="CG41" s="15">
        <v>7.2750000000000002E-3</v>
      </c>
      <c r="CH41" s="15">
        <v>7.3025E-3</v>
      </c>
      <c r="CI41" s="15">
        <v>7.3299999999999997E-3</v>
      </c>
      <c r="CJ41" s="15">
        <v>7.3574999999999995E-3</v>
      </c>
      <c r="CK41" s="15">
        <v>7.3849999999999992E-3</v>
      </c>
      <c r="CL41" s="15">
        <v>7.4124999999999998E-3</v>
      </c>
      <c r="CM41" s="15">
        <v>7.4399999999999996E-3</v>
      </c>
    </row>
    <row r="42" spans="1:91" x14ac:dyDescent="0.25">
      <c r="A42" s="13" t="s">
        <v>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15">
        <v>2.3129545454545456E-3</v>
      </c>
      <c r="AG42" s="15">
        <v>2.3440909090909094E-3</v>
      </c>
      <c r="AH42" s="15">
        <v>2.3752272727272728E-3</v>
      </c>
      <c r="AI42" s="15">
        <v>2.4063636363636366E-3</v>
      </c>
      <c r="AJ42" s="15">
        <v>2.4375000000000004E-3</v>
      </c>
      <c r="AK42" s="15">
        <v>2.4686363636363638E-3</v>
      </c>
      <c r="AL42" s="15">
        <v>2.4997727272727276E-3</v>
      </c>
      <c r="AM42" s="15">
        <v>2.5309090909090915E-3</v>
      </c>
      <c r="AN42" s="15">
        <v>2.5620454545454549E-3</v>
      </c>
      <c r="AO42" s="15">
        <v>2.5931818181818183E-3</v>
      </c>
      <c r="AP42" s="15">
        <v>2.6243181818181821E-3</v>
      </c>
      <c r="AQ42" s="15">
        <v>2.6554545454545459E-3</v>
      </c>
      <c r="AR42" s="15">
        <v>2.6865909090909093E-3</v>
      </c>
      <c r="AS42" s="15">
        <v>2.7177272727272731E-3</v>
      </c>
      <c r="AT42" s="15">
        <v>2.748863636363637E-3</v>
      </c>
      <c r="AU42" s="15">
        <v>2.7800000000000004E-3</v>
      </c>
      <c r="AV42" s="15">
        <v>2.7993181818181823E-3</v>
      </c>
      <c r="AW42" s="15">
        <v>2.8186363636363639E-3</v>
      </c>
      <c r="AX42" s="15">
        <v>2.8379545454545459E-3</v>
      </c>
      <c r="AY42" s="15">
        <v>2.8572727272727274E-3</v>
      </c>
      <c r="AZ42" s="15">
        <v>2.8765909090909094E-3</v>
      </c>
      <c r="BA42" s="15">
        <v>2.8959090909090913E-3</v>
      </c>
      <c r="BB42" s="15">
        <v>2.9152272727272729E-3</v>
      </c>
      <c r="BC42" s="15">
        <v>2.9345454545454549E-3</v>
      </c>
      <c r="BD42" s="15">
        <v>2.9538636363636368E-3</v>
      </c>
      <c r="BE42" s="15">
        <v>2.9731818181818184E-3</v>
      </c>
      <c r="BF42" s="15">
        <v>2.9925000000000004E-3</v>
      </c>
      <c r="BG42" s="15">
        <v>3.0118181818181819E-3</v>
      </c>
      <c r="BH42" s="15">
        <v>3.0311363636363639E-3</v>
      </c>
      <c r="BI42" s="15">
        <v>3.0504545454545459E-3</v>
      </c>
      <c r="BJ42" s="15">
        <v>3.0697727272727274E-3</v>
      </c>
      <c r="BK42" s="15">
        <v>3.0890909090909094E-3</v>
      </c>
      <c r="BL42" s="15">
        <v>3.1084090909090914E-3</v>
      </c>
      <c r="BM42" s="15">
        <v>3.1277272727272729E-3</v>
      </c>
      <c r="BN42" s="15">
        <v>3.1470454545454549E-3</v>
      </c>
      <c r="BO42" s="15">
        <v>3.1663636363636364E-3</v>
      </c>
      <c r="BP42" s="15">
        <v>3.1856818181818184E-3</v>
      </c>
      <c r="BQ42" s="15">
        <v>3.2050000000000004E-3</v>
      </c>
      <c r="BR42" s="15">
        <v>3.2243181818181819E-3</v>
      </c>
      <c r="BS42" s="15">
        <v>3.2436363636363639E-3</v>
      </c>
      <c r="BT42" s="15">
        <v>3.2629545454545454E-3</v>
      </c>
      <c r="BU42" s="15">
        <v>3.2822727272727274E-3</v>
      </c>
      <c r="BV42" s="15">
        <v>3.3015909090909094E-3</v>
      </c>
      <c r="BW42" s="15">
        <v>3.3209090909090909E-3</v>
      </c>
      <c r="BX42" s="15">
        <v>3.3402272727272729E-3</v>
      </c>
      <c r="BY42" s="15">
        <v>3.3595454545454545E-3</v>
      </c>
      <c r="BZ42" s="15">
        <v>3.3788636363636364E-3</v>
      </c>
      <c r="CA42" s="15">
        <v>3.3981818181818184E-3</v>
      </c>
      <c r="CB42" s="15">
        <v>3.4175E-3</v>
      </c>
      <c r="CC42" s="15">
        <v>3.4368181818181819E-3</v>
      </c>
      <c r="CD42" s="15">
        <v>3.4561363636363635E-3</v>
      </c>
      <c r="CE42" s="15">
        <v>3.4754545454545455E-3</v>
      </c>
      <c r="CF42" s="15">
        <v>3.4947727272727274E-3</v>
      </c>
      <c r="CG42" s="15">
        <v>3.5140909090909094E-3</v>
      </c>
      <c r="CH42" s="15">
        <v>3.533409090909091E-3</v>
      </c>
      <c r="CI42" s="15">
        <v>3.5527272727272729E-3</v>
      </c>
      <c r="CJ42" s="15">
        <v>3.5720454545454545E-3</v>
      </c>
      <c r="CK42" s="15">
        <v>3.5913636363636365E-3</v>
      </c>
      <c r="CL42" s="15">
        <v>3.6106818181818184E-3</v>
      </c>
      <c r="CM42" s="15">
        <v>3.63E-3</v>
      </c>
    </row>
    <row r="43" spans="1:91" x14ac:dyDescent="0.25">
      <c r="A43" s="13" t="s">
        <v>1</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15">
        <v>3.4209090909090912E-3</v>
      </c>
      <c r="AG43" s="15">
        <v>3.4681818181818186E-3</v>
      </c>
      <c r="AH43" s="15">
        <v>3.5154545454545456E-3</v>
      </c>
      <c r="AI43" s="15">
        <v>3.562727272727273E-3</v>
      </c>
      <c r="AJ43" s="15">
        <v>3.6100000000000004E-3</v>
      </c>
      <c r="AK43" s="15">
        <v>3.6572727272727278E-3</v>
      </c>
      <c r="AL43" s="15">
        <v>3.7045454545454552E-3</v>
      </c>
      <c r="AM43" s="15">
        <v>3.7518181818181826E-3</v>
      </c>
      <c r="AN43" s="15">
        <v>3.7990909090909099E-3</v>
      </c>
      <c r="AO43" s="15">
        <v>3.8463636363636369E-3</v>
      </c>
      <c r="AP43" s="15">
        <v>3.8936363636363643E-3</v>
      </c>
      <c r="AQ43" s="15">
        <v>3.9409090909090913E-3</v>
      </c>
      <c r="AR43" s="15">
        <v>3.9881818181818187E-3</v>
      </c>
      <c r="AS43" s="15">
        <v>4.0354545454545461E-3</v>
      </c>
      <c r="AT43" s="15">
        <v>4.0827272727272735E-3</v>
      </c>
      <c r="AU43" s="15">
        <v>4.1300000000000009E-3</v>
      </c>
      <c r="AV43" s="15">
        <v>4.1579545454545463E-3</v>
      </c>
      <c r="AW43" s="15">
        <v>4.1859090909090917E-3</v>
      </c>
      <c r="AX43" s="15">
        <v>4.2138636363636371E-3</v>
      </c>
      <c r="AY43" s="15">
        <v>4.2418181818181825E-3</v>
      </c>
      <c r="AZ43" s="15">
        <v>4.269772727272728E-3</v>
      </c>
      <c r="BA43" s="15">
        <v>4.2977272727272734E-3</v>
      </c>
      <c r="BB43" s="15">
        <v>4.3256818181818188E-3</v>
      </c>
      <c r="BC43" s="15">
        <v>4.3536363636363642E-3</v>
      </c>
      <c r="BD43" s="15">
        <v>4.3815909090909096E-3</v>
      </c>
      <c r="BE43" s="15">
        <v>4.4095454545454551E-3</v>
      </c>
      <c r="BF43" s="15">
        <v>4.4375000000000005E-3</v>
      </c>
      <c r="BG43" s="15">
        <v>4.4654545454545459E-3</v>
      </c>
      <c r="BH43" s="15">
        <v>4.4934090909090913E-3</v>
      </c>
      <c r="BI43" s="15">
        <v>4.5213636363636367E-3</v>
      </c>
      <c r="BJ43" s="15">
        <v>4.5493181818181821E-3</v>
      </c>
      <c r="BK43" s="15">
        <v>4.5772727272727276E-3</v>
      </c>
      <c r="BL43" s="15">
        <v>4.605227272727273E-3</v>
      </c>
      <c r="BM43" s="15">
        <v>4.6331818181818184E-3</v>
      </c>
      <c r="BN43" s="15">
        <v>4.6611363636363638E-3</v>
      </c>
      <c r="BO43" s="15">
        <v>4.6890909090909101E-3</v>
      </c>
      <c r="BP43" s="15">
        <v>4.7170454545454547E-3</v>
      </c>
      <c r="BQ43" s="15">
        <v>4.745000000000001E-3</v>
      </c>
      <c r="BR43" s="15">
        <v>4.7729545454545455E-3</v>
      </c>
      <c r="BS43" s="15">
        <v>4.8009090909090918E-3</v>
      </c>
      <c r="BT43" s="15">
        <v>4.8288636363636372E-3</v>
      </c>
      <c r="BU43" s="15">
        <v>4.8568181818181826E-3</v>
      </c>
      <c r="BV43" s="15">
        <v>4.8847727272727281E-3</v>
      </c>
      <c r="BW43" s="15">
        <v>4.9127272727272735E-3</v>
      </c>
      <c r="BX43" s="15">
        <v>4.9406818181818189E-3</v>
      </c>
      <c r="BY43" s="15">
        <v>4.9686363636363643E-3</v>
      </c>
      <c r="BZ43" s="15">
        <v>4.9965909090909097E-3</v>
      </c>
      <c r="CA43" s="15">
        <v>5.0245454545454551E-3</v>
      </c>
      <c r="CB43" s="15">
        <v>5.0525000000000006E-3</v>
      </c>
      <c r="CC43" s="15">
        <v>5.080454545454546E-3</v>
      </c>
      <c r="CD43" s="15">
        <v>5.1084090909090914E-3</v>
      </c>
      <c r="CE43" s="15">
        <v>5.1363636363636368E-3</v>
      </c>
      <c r="CF43" s="15">
        <v>5.1643181818181822E-3</v>
      </c>
      <c r="CG43" s="15">
        <v>5.1922727272727277E-3</v>
      </c>
      <c r="CH43" s="15">
        <v>5.2202272727272731E-3</v>
      </c>
      <c r="CI43" s="15">
        <v>5.2481818181818185E-3</v>
      </c>
      <c r="CJ43" s="15">
        <v>5.2761363636363639E-3</v>
      </c>
      <c r="CK43" s="15">
        <v>5.3040909090909093E-3</v>
      </c>
      <c r="CL43" s="15">
        <v>5.3320454545454548E-3</v>
      </c>
      <c r="CM43" s="15">
        <v>5.3600000000000002E-3</v>
      </c>
    </row>
    <row r="44" spans="1:91" x14ac:dyDescent="0.25">
      <c r="A44" s="13" t="s">
        <v>1</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15">
        <v>1.4251346260975674E-3</v>
      </c>
      <c r="AG44" s="15">
        <v>1.4394010133432368E-3</v>
      </c>
      <c r="AH44" s="15">
        <v>1.4536674005889063E-3</v>
      </c>
      <c r="AI44" s="15">
        <v>1.4679337878345756E-3</v>
      </c>
      <c r="AJ44" s="15">
        <v>1.4822001750802451E-3</v>
      </c>
      <c r="AK44" s="15">
        <v>1.4964665623259145E-3</v>
      </c>
      <c r="AL44" s="15">
        <v>1.510732949571584E-3</v>
      </c>
      <c r="AM44" s="15">
        <v>1.5249993368172533E-3</v>
      </c>
      <c r="AN44" s="15">
        <v>1.5392657240629226E-3</v>
      </c>
      <c r="AO44" s="15">
        <v>1.5535321113085922E-3</v>
      </c>
      <c r="AP44" s="15">
        <v>1.5677984985542617E-3</v>
      </c>
      <c r="AQ44" s="15">
        <v>1.582064885799931E-3</v>
      </c>
      <c r="AR44" s="15">
        <v>1.5963312730456003E-3</v>
      </c>
      <c r="AS44" s="15">
        <v>1.6105976602912699E-3</v>
      </c>
      <c r="AT44" s="15">
        <v>1.6248640475369394E-3</v>
      </c>
      <c r="AU44" s="15">
        <v>1.6391304347826087E-3</v>
      </c>
      <c r="AV44" s="15">
        <v>1.6512056578914659E-3</v>
      </c>
      <c r="AW44" s="15">
        <v>1.6632808810003231E-3</v>
      </c>
      <c r="AX44" s="15">
        <v>1.6753561041091805E-3</v>
      </c>
      <c r="AY44" s="15">
        <v>1.6874313272180377E-3</v>
      </c>
      <c r="AZ44" s="15">
        <v>1.6995065503268949E-3</v>
      </c>
      <c r="BA44" s="15">
        <v>1.7115817734357521E-3</v>
      </c>
      <c r="BB44" s="15">
        <v>1.7236569965446095E-3</v>
      </c>
      <c r="BC44" s="15">
        <v>1.7357322196534667E-3</v>
      </c>
      <c r="BD44" s="15">
        <v>1.7478074427623239E-3</v>
      </c>
      <c r="BE44" s="15">
        <v>1.759882665871181E-3</v>
      </c>
      <c r="BF44" s="15">
        <v>1.7719578889800382E-3</v>
      </c>
      <c r="BG44" s="15">
        <v>1.7840331120888956E-3</v>
      </c>
      <c r="BH44" s="15">
        <v>1.7961083351977528E-3</v>
      </c>
      <c r="BI44" s="15">
        <v>1.80818355830661E-3</v>
      </c>
      <c r="BJ44" s="15">
        <v>1.8202587814154672E-3</v>
      </c>
      <c r="BK44" s="15">
        <v>1.8323340045243246E-3</v>
      </c>
      <c r="BL44" s="15">
        <v>1.8444092276331818E-3</v>
      </c>
      <c r="BM44" s="15">
        <v>1.856484450742039E-3</v>
      </c>
      <c r="BN44" s="15">
        <v>1.8685596738508962E-3</v>
      </c>
      <c r="BO44" s="15">
        <v>1.8806348969597534E-3</v>
      </c>
      <c r="BP44" s="15">
        <v>1.8927101200686108E-3</v>
      </c>
      <c r="BQ44" s="15">
        <v>1.904785343177468E-3</v>
      </c>
      <c r="BR44" s="15">
        <v>1.9168605662863252E-3</v>
      </c>
      <c r="BS44" s="15">
        <v>1.9289357893951826E-3</v>
      </c>
      <c r="BT44" s="15">
        <v>1.9410110125040398E-3</v>
      </c>
      <c r="BU44" s="15">
        <v>1.953086235612897E-3</v>
      </c>
      <c r="BV44" s="15">
        <v>1.9651614587217541E-3</v>
      </c>
      <c r="BW44" s="15">
        <v>1.9772366818306113E-3</v>
      </c>
      <c r="BX44" s="15">
        <v>1.9893119049394685E-3</v>
      </c>
      <c r="BY44" s="15">
        <v>2.0013871280483257E-3</v>
      </c>
      <c r="BZ44" s="15">
        <v>2.0134623511571829E-3</v>
      </c>
      <c r="CA44" s="15">
        <v>2.0255375742660405E-3</v>
      </c>
      <c r="CB44" s="15">
        <v>2.0376127973748977E-3</v>
      </c>
      <c r="CC44" s="15">
        <v>2.0496880204837549E-3</v>
      </c>
      <c r="CD44" s="15">
        <v>2.0617632435926121E-3</v>
      </c>
      <c r="CE44" s="15">
        <v>2.0738384667014693E-3</v>
      </c>
      <c r="CF44" s="15">
        <v>2.0859136898103265E-3</v>
      </c>
      <c r="CG44" s="15">
        <v>2.0979889129191837E-3</v>
      </c>
      <c r="CH44" s="15">
        <v>2.1100641360280409E-3</v>
      </c>
      <c r="CI44" s="15">
        <v>2.1221393591368985E-3</v>
      </c>
      <c r="CJ44" s="15">
        <v>2.1342145822457557E-3</v>
      </c>
      <c r="CK44" s="15">
        <v>2.1462898053546129E-3</v>
      </c>
      <c r="CL44" s="15">
        <v>2.1583650284634701E-3</v>
      </c>
      <c r="CM44" s="15">
        <v>2.1704402515723272E-3</v>
      </c>
    </row>
    <row r="45" spans="1:91" x14ac:dyDescent="0.25">
      <c r="A45" s="13" t="s">
        <v>1</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15">
        <v>1.6577549140049139E-3</v>
      </c>
      <c r="AG45" s="15">
        <v>1.6804361179361179E-3</v>
      </c>
      <c r="AH45" s="15">
        <v>1.7031173218673219E-3</v>
      </c>
      <c r="AI45" s="15">
        <v>1.7257985257985258E-3</v>
      </c>
      <c r="AJ45" s="15">
        <v>1.7484797297297296E-3</v>
      </c>
      <c r="AK45" s="15">
        <v>1.7711609336609336E-3</v>
      </c>
      <c r="AL45" s="15">
        <v>1.7938421375921377E-3</v>
      </c>
      <c r="AM45" s="15">
        <v>1.8165233415233415E-3</v>
      </c>
      <c r="AN45" s="15">
        <v>1.8392045454545453E-3</v>
      </c>
      <c r="AO45" s="15">
        <v>1.8618857493857494E-3</v>
      </c>
      <c r="AP45" s="15">
        <v>1.8845669533169532E-3</v>
      </c>
      <c r="AQ45" s="15">
        <v>1.907248157248157E-3</v>
      </c>
      <c r="AR45" s="15">
        <v>1.9299293611793611E-3</v>
      </c>
      <c r="AS45" s="15">
        <v>1.9526105651105651E-3</v>
      </c>
      <c r="AT45" s="15">
        <v>1.9752917690417692E-3</v>
      </c>
      <c r="AU45" s="15">
        <v>1.9979729729729728E-3</v>
      </c>
      <c r="AV45" s="15">
        <v>2.0184735872235873E-3</v>
      </c>
      <c r="AW45" s="15">
        <v>2.0389742014742013E-3</v>
      </c>
      <c r="AX45" s="15">
        <v>2.0594748157248153E-3</v>
      </c>
      <c r="AY45" s="15">
        <v>2.0799754299754298E-3</v>
      </c>
      <c r="AZ45" s="15">
        <v>2.1004760442260443E-3</v>
      </c>
      <c r="BA45" s="15">
        <v>2.1209766584766583E-3</v>
      </c>
      <c r="BB45" s="15">
        <v>2.1414772727272723E-3</v>
      </c>
      <c r="BC45" s="15">
        <v>2.1619778869778868E-3</v>
      </c>
      <c r="BD45" s="15">
        <v>2.1824785012285013E-3</v>
      </c>
      <c r="BE45" s="15">
        <v>2.2029791154791153E-3</v>
      </c>
      <c r="BF45" s="15">
        <v>2.2234797297297293E-3</v>
      </c>
      <c r="BG45" s="15">
        <v>2.2439803439803438E-3</v>
      </c>
      <c r="BH45" s="15">
        <v>2.2644809582309583E-3</v>
      </c>
      <c r="BI45" s="15">
        <v>2.2849815724815723E-3</v>
      </c>
      <c r="BJ45" s="15">
        <v>2.3054821867321863E-3</v>
      </c>
      <c r="BK45" s="15">
        <v>2.3259828009828008E-3</v>
      </c>
      <c r="BL45" s="15">
        <v>2.3464834152334153E-3</v>
      </c>
      <c r="BM45" s="15">
        <v>2.3669840294840293E-3</v>
      </c>
      <c r="BN45" s="15">
        <v>2.3874846437346433E-3</v>
      </c>
      <c r="BO45" s="15">
        <v>2.4079852579852578E-3</v>
      </c>
      <c r="BP45" s="15">
        <v>2.4284858722358723E-3</v>
      </c>
      <c r="BQ45" s="15">
        <v>2.4489864864864863E-3</v>
      </c>
      <c r="BR45" s="15">
        <v>2.4694871007371003E-3</v>
      </c>
      <c r="BS45" s="15">
        <v>2.4899877149877148E-3</v>
      </c>
      <c r="BT45" s="15">
        <v>2.5104883292383293E-3</v>
      </c>
      <c r="BU45" s="15">
        <v>2.5309889434889433E-3</v>
      </c>
      <c r="BV45" s="15">
        <v>2.5514895577395573E-3</v>
      </c>
      <c r="BW45" s="15">
        <v>2.5719901719901718E-3</v>
      </c>
      <c r="BX45" s="15">
        <v>2.5924907862407863E-3</v>
      </c>
      <c r="BY45" s="15">
        <v>2.6129914004914003E-3</v>
      </c>
      <c r="BZ45" s="15">
        <v>2.6334920147420143E-3</v>
      </c>
      <c r="CA45" s="15">
        <v>2.6539926289926288E-3</v>
      </c>
      <c r="CB45" s="15">
        <v>2.6744932432432433E-3</v>
      </c>
      <c r="CC45" s="15">
        <v>2.6949938574938573E-3</v>
      </c>
      <c r="CD45" s="15">
        <v>2.7154944717444713E-3</v>
      </c>
      <c r="CE45" s="15">
        <v>2.7359950859950858E-3</v>
      </c>
      <c r="CF45" s="15">
        <v>2.7564957002457003E-3</v>
      </c>
      <c r="CG45" s="15">
        <v>2.7769963144963143E-3</v>
      </c>
      <c r="CH45" s="15">
        <v>2.7974969287469283E-3</v>
      </c>
      <c r="CI45" s="15">
        <v>2.8179975429975428E-3</v>
      </c>
      <c r="CJ45" s="15">
        <v>2.8384981572481573E-3</v>
      </c>
      <c r="CK45" s="15">
        <v>2.8589987714987713E-3</v>
      </c>
      <c r="CL45" s="15">
        <v>2.8794993857493853E-3</v>
      </c>
      <c r="CM45" s="15">
        <v>2.8999999999999998E-3</v>
      </c>
    </row>
    <row r="46" spans="1:91" x14ac:dyDescent="0.25">
      <c r="A46" s="13" t="s">
        <v>1</v>
      </c>
      <c r="B46" s="4">
        <v>0</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0</v>
      </c>
      <c r="Y46" s="4">
        <v>0</v>
      </c>
      <c r="Z46" s="4">
        <v>0</v>
      </c>
      <c r="AA46" s="4">
        <v>0</v>
      </c>
      <c r="AB46" s="4">
        <v>0</v>
      </c>
      <c r="AC46" s="4">
        <v>0</v>
      </c>
      <c r="AD46" s="4">
        <v>0</v>
      </c>
      <c r="AE46" s="4">
        <v>0</v>
      </c>
      <c r="AF46" s="15">
        <v>6.1522727272727278E-2</v>
      </c>
      <c r="AG46" s="15">
        <v>6.1954545454545457E-2</v>
      </c>
      <c r="AH46" s="15">
        <v>6.2386363636363643E-2</v>
      </c>
      <c r="AI46" s="15">
        <v>6.2818181818181829E-2</v>
      </c>
      <c r="AJ46" s="15">
        <v>6.3250000000000001E-2</v>
      </c>
      <c r="AK46" s="15">
        <v>6.3681818181818187E-2</v>
      </c>
      <c r="AL46" s="15">
        <v>6.4113636363636373E-2</v>
      </c>
      <c r="AM46" s="15">
        <v>6.4545454545454545E-2</v>
      </c>
      <c r="AN46" s="15">
        <v>6.4977272727272731E-2</v>
      </c>
      <c r="AO46" s="15">
        <v>6.5409090909090917E-2</v>
      </c>
      <c r="AP46" s="15">
        <v>6.5840909090909089E-2</v>
      </c>
      <c r="AQ46" s="15">
        <v>6.6272727272727275E-2</v>
      </c>
      <c r="AR46" s="15">
        <v>6.6704545454545461E-2</v>
      </c>
      <c r="AS46" s="15">
        <v>6.7136363636363633E-2</v>
      </c>
      <c r="AT46" s="15">
        <v>6.7568181818181819E-2</v>
      </c>
      <c r="AU46" s="15">
        <v>6.8000000000000005E-2</v>
      </c>
      <c r="AV46" s="15">
        <v>6.881818181818182E-2</v>
      </c>
      <c r="AW46" s="15">
        <v>6.9636363636363635E-2</v>
      </c>
      <c r="AX46" s="15">
        <v>7.0454545454545464E-2</v>
      </c>
      <c r="AY46" s="15">
        <v>7.1272727272727279E-2</v>
      </c>
      <c r="AZ46" s="15">
        <v>7.2090909090909094E-2</v>
      </c>
      <c r="BA46" s="15">
        <v>7.290909090909091E-2</v>
      </c>
      <c r="BB46" s="15">
        <v>7.3727272727272725E-2</v>
      </c>
      <c r="BC46" s="15">
        <v>7.4545454545454554E-2</v>
      </c>
      <c r="BD46" s="15">
        <v>7.5363636363636369E-2</v>
      </c>
      <c r="BE46" s="15">
        <v>7.6181818181818184E-2</v>
      </c>
      <c r="BF46" s="15">
        <v>7.6999999999999999E-2</v>
      </c>
      <c r="BG46" s="15">
        <v>7.7818181818181814E-2</v>
      </c>
      <c r="BH46" s="15">
        <v>7.8636363636363643E-2</v>
      </c>
      <c r="BI46" s="15">
        <v>7.9454545454545458E-2</v>
      </c>
      <c r="BJ46" s="15">
        <v>8.0272727272727273E-2</v>
      </c>
      <c r="BK46" s="15">
        <v>8.1090909090909088E-2</v>
      </c>
      <c r="BL46" s="15">
        <v>8.1909090909090904E-2</v>
      </c>
      <c r="BM46" s="15">
        <v>8.2727272727272733E-2</v>
      </c>
      <c r="BN46" s="15">
        <v>8.3545454545454548E-2</v>
      </c>
      <c r="BO46" s="15">
        <v>8.4363636363636363E-2</v>
      </c>
      <c r="BP46" s="15">
        <v>8.5181818181818178E-2</v>
      </c>
      <c r="BQ46" s="15">
        <v>8.5999999999999993E-2</v>
      </c>
      <c r="BR46" s="15">
        <v>8.6818181818181822E-2</v>
      </c>
      <c r="BS46" s="15">
        <v>8.7636363636363637E-2</v>
      </c>
      <c r="BT46" s="15">
        <v>8.8454545454545452E-2</v>
      </c>
      <c r="BU46" s="15">
        <v>8.9272727272727267E-2</v>
      </c>
      <c r="BV46" s="15">
        <v>9.0090909090909083E-2</v>
      </c>
      <c r="BW46" s="15">
        <v>9.0909090909090912E-2</v>
      </c>
      <c r="BX46" s="15">
        <v>9.1727272727272727E-2</v>
      </c>
      <c r="BY46" s="15">
        <v>9.2545454545454542E-2</v>
      </c>
      <c r="BZ46" s="15">
        <v>9.3363636363636357E-2</v>
      </c>
      <c r="CA46" s="15">
        <v>9.4181818181818172E-2</v>
      </c>
      <c r="CB46" s="15">
        <v>9.5000000000000001E-2</v>
      </c>
      <c r="CC46" s="15">
        <v>9.5818181818181816E-2</v>
      </c>
      <c r="CD46" s="15">
        <v>9.6636363636363631E-2</v>
      </c>
      <c r="CE46" s="15">
        <v>9.7454545454545446E-2</v>
      </c>
      <c r="CF46" s="15">
        <v>9.8272727272727262E-2</v>
      </c>
      <c r="CG46" s="15">
        <v>9.9090909090909091E-2</v>
      </c>
      <c r="CH46" s="15">
        <v>9.9909090909090906E-2</v>
      </c>
      <c r="CI46" s="15">
        <v>0.10072727272727272</v>
      </c>
      <c r="CJ46" s="15">
        <v>0.10154545454545455</v>
      </c>
      <c r="CK46" s="15">
        <v>0.10236363636363635</v>
      </c>
      <c r="CL46" s="15">
        <v>0.10318181818181818</v>
      </c>
      <c r="CM46" s="15">
        <v>0.104</v>
      </c>
    </row>
    <row r="47" spans="1:91" x14ac:dyDescent="0.25">
      <c r="A47" s="13"/>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row>
    <row r="48" spans="1:91" x14ac:dyDescent="0.25">
      <c r="A48" s="13" t="s">
        <v>17</v>
      </c>
      <c r="B48" s="4">
        <v>0</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c r="Z48" s="4">
        <v>0</v>
      </c>
      <c r="AA48" s="4">
        <v>0</v>
      </c>
      <c r="AB48" s="4">
        <v>0</v>
      </c>
      <c r="AC48" s="4">
        <v>0</v>
      </c>
      <c r="AD48" s="4">
        <v>0</v>
      </c>
      <c r="AE48" s="4">
        <v>0</v>
      </c>
      <c r="AF48" s="15">
        <v>3.0288636363636368E-3</v>
      </c>
      <c r="AG48" s="15">
        <v>3.1022727272727278E-3</v>
      </c>
      <c r="AH48" s="15">
        <v>3.1756818181818188E-3</v>
      </c>
      <c r="AI48" s="15">
        <v>3.2490909090909098E-3</v>
      </c>
      <c r="AJ48" s="15">
        <v>3.3225000000000008E-3</v>
      </c>
      <c r="AK48" s="15">
        <v>3.3959090909090918E-3</v>
      </c>
      <c r="AL48" s="15">
        <v>3.4693181818181828E-3</v>
      </c>
      <c r="AM48" s="15">
        <v>3.5427272727272738E-3</v>
      </c>
      <c r="AN48" s="15">
        <v>3.6161363636363648E-3</v>
      </c>
      <c r="AO48" s="15">
        <v>3.6895454545454558E-3</v>
      </c>
      <c r="AP48" s="15">
        <v>3.7629545454545468E-3</v>
      </c>
      <c r="AQ48" s="15">
        <v>3.8363636363636378E-3</v>
      </c>
      <c r="AR48" s="15">
        <v>3.9097727272727287E-3</v>
      </c>
      <c r="AS48" s="15">
        <v>3.9831818181818197E-3</v>
      </c>
      <c r="AT48" s="15">
        <v>4.0565909090909107E-3</v>
      </c>
      <c r="AU48" s="15">
        <v>4.1300000000000009E-3</v>
      </c>
      <c r="AV48" s="15">
        <v>4.1579545454545463E-3</v>
      </c>
      <c r="AW48" s="15">
        <v>4.1859090909090917E-3</v>
      </c>
      <c r="AX48" s="15">
        <v>4.2138636363636371E-3</v>
      </c>
      <c r="AY48" s="15">
        <v>4.2418181818181825E-3</v>
      </c>
      <c r="AZ48" s="15">
        <v>4.269772727272728E-3</v>
      </c>
      <c r="BA48" s="15">
        <v>4.2977272727272734E-3</v>
      </c>
      <c r="BB48" s="15">
        <v>4.3256818181818188E-3</v>
      </c>
      <c r="BC48" s="15">
        <v>4.3536363636363642E-3</v>
      </c>
      <c r="BD48" s="15">
        <v>4.3815909090909096E-3</v>
      </c>
      <c r="BE48" s="15">
        <v>4.4095454545454551E-3</v>
      </c>
      <c r="BF48" s="15">
        <v>4.4375000000000005E-3</v>
      </c>
      <c r="BG48" s="15">
        <v>4.4654545454545459E-3</v>
      </c>
      <c r="BH48" s="15">
        <v>4.4934090909090913E-3</v>
      </c>
      <c r="BI48" s="15">
        <v>4.5213636363636367E-3</v>
      </c>
      <c r="BJ48" s="15">
        <v>4.5493181818181821E-3</v>
      </c>
      <c r="BK48" s="15">
        <v>4.5772727272727276E-3</v>
      </c>
      <c r="BL48" s="15">
        <v>4.605227272727273E-3</v>
      </c>
      <c r="BM48" s="15">
        <v>4.6331818181818184E-3</v>
      </c>
      <c r="BN48" s="15">
        <v>4.6611363636363638E-3</v>
      </c>
      <c r="BO48" s="15">
        <v>4.6890909090909101E-3</v>
      </c>
      <c r="BP48" s="15">
        <v>4.7170454545454547E-3</v>
      </c>
      <c r="BQ48" s="15">
        <v>4.745000000000001E-3</v>
      </c>
      <c r="BR48" s="15">
        <v>4.7729545454545455E-3</v>
      </c>
      <c r="BS48" s="15">
        <v>4.8009090909090918E-3</v>
      </c>
      <c r="BT48" s="15">
        <v>4.8288636363636372E-3</v>
      </c>
      <c r="BU48" s="15">
        <v>4.8568181818181826E-3</v>
      </c>
      <c r="BV48" s="15">
        <v>4.8847727272727281E-3</v>
      </c>
      <c r="BW48" s="15">
        <v>4.9127272727272735E-3</v>
      </c>
      <c r="BX48" s="15">
        <v>4.9406818181818189E-3</v>
      </c>
      <c r="BY48" s="15">
        <v>4.9686363636363643E-3</v>
      </c>
      <c r="BZ48" s="15">
        <v>4.9965909090909097E-3</v>
      </c>
      <c r="CA48" s="15">
        <v>5.0245454545454551E-3</v>
      </c>
      <c r="CB48" s="15">
        <v>5.0525000000000006E-3</v>
      </c>
      <c r="CC48" s="15">
        <v>5.080454545454546E-3</v>
      </c>
      <c r="CD48" s="15">
        <v>5.1084090909090914E-3</v>
      </c>
      <c r="CE48" s="15">
        <v>5.1363636363636368E-3</v>
      </c>
      <c r="CF48" s="15">
        <v>5.1643181818181822E-3</v>
      </c>
      <c r="CG48" s="15">
        <v>5.1922727272727277E-3</v>
      </c>
      <c r="CH48" s="15">
        <v>5.2202272727272731E-3</v>
      </c>
      <c r="CI48" s="15">
        <v>5.2481818181818185E-3</v>
      </c>
      <c r="CJ48" s="15">
        <v>5.2761363636363639E-3</v>
      </c>
      <c r="CK48" s="15">
        <v>5.3040909090909093E-3</v>
      </c>
      <c r="CL48" s="15">
        <v>5.3320454545454548E-3</v>
      </c>
      <c r="CM48" s="15">
        <v>5.3600000000000002E-3</v>
      </c>
    </row>
    <row r="49" spans="1:91" x14ac:dyDescent="0.25">
      <c r="A49" s="13"/>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row>
    <row r="50" spans="1:91" x14ac:dyDescent="0.25">
      <c r="A50" s="13" t="s">
        <v>18</v>
      </c>
      <c r="B50" s="4">
        <v>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15">
        <v>8.6618671127481966E-4</v>
      </c>
      <c r="AG50" s="15">
        <v>8.7332065560907562E-4</v>
      </c>
      <c r="AH50" s="15">
        <v>8.8045459994333169E-4</v>
      </c>
      <c r="AI50" s="15">
        <v>8.8758854427758765E-4</v>
      </c>
      <c r="AJ50" s="15">
        <v>8.9472248861184372E-4</v>
      </c>
      <c r="AK50" s="15">
        <v>9.0185643294609969E-4</v>
      </c>
      <c r="AL50" s="15">
        <v>9.0899037728035576E-4</v>
      </c>
      <c r="AM50" s="15">
        <v>9.1612432161461172E-4</v>
      </c>
      <c r="AN50" s="15">
        <v>9.2325826594886768E-4</v>
      </c>
      <c r="AO50" s="15">
        <v>9.3039221028312375E-4</v>
      </c>
      <c r="AP50" s="15">
        <v>9.3752615461737982E-4</v>
      </c>
      <c r="AQ50" s="15">
        <v>9.4466009895163578E-4</v>
      </c>
      <c r="AR50" s="15">
        <v>9.5179404328589175E-4</v>
      </c>
      <c r="AS50" s="15">
        <v>9.5892798762014782E-4</v>
      </c>
      <c r="AT50" s="15">
        <v>9.6606193195440389E-4</v>
      </c>
      <c r="AU50" s="15">
        <v>9.7319587628865985E-4</v>
      </c>
      <c r="AV50" s="15">
        <v>9.9072164948453621E-4</v>
      </c>
      <c r="AW50" s="15">
        <v>1.0082474226804125E-3</v>
      </c>
      <c r="AX50" s="15">
        <v>1.0257731958762887E-3</v>
      </c>
      <c r="AY50" s="15">
        <v>1.043298969072165E-3</v>
      </c>
      <c r="AZ50" s="15">
        <v>1.0608247422680412E-3</v>
      </c>
      <c r="BA50" s="15">
        <v>1.0783505154639175E-3</v>
      </c>
      <c r="BB50" s="15">
        <v>1.095876288659794E-3</v>
      </c>
      <c r="BC50" s="15">
        <v>1.1134020618556702E-3</v>
      </c>
      <c r="BD50" s="15">
        <v>1.1309278350515465E-3</v>
      </c>
      <c r="BE50" s="15">
        <v>1.1484536082474227E-3</v>
      </c>
      <c r="BF50" s="15">
        <v>1.165979381443299E-3</v>
      </c>
      <c r="BG50" s="15">
        <v>1.1835051546391752E-3</v>
      </c>
      <c r="BH50" s="15">
        <v>1.2010309278350515E-3</v>
      </c>
      <c r="BI50" s="15">
        <v>1.2185567010309277E-3</v>
      </c>
      <c r="BJ50" s="15">
        <v>1.236082474226804E-3</v>
      </c>
      <c r="BK50" s="15">
        <v>1.2536082474226805E-3</v>
      </c>
      <c r="BL50" s="15">
        <v>1.2711340206185567E-3</v>
      </c>
      <c r="BM50" s="15">
        <v>1.288659793814433E-3</v>
      </c>
      <c r="BN50" s="15">
        <v>1.3061855670103092E-3</v>
      </c>
      <c r="BO50" s="15">
        <v>1.3237113402061855E-3</v>
      </c>
      <c r="BP50" s="15">
        <v>1.3412371134020619E-3</v>
      </c>
      <c r="BQ50" s="15">
        <v>1.3587628865979382E-3</v>
      </c>
      <c r="BR50" s="15">
        <v>1.3762886597938145E-3</v>
      </c>
      <c r="BS50" s="15">
        <v>1.3938144329896907E-3</v>
      </c>
      <c r="BT50" s="15">
        <v>1.411340206185567E-3</v>
      </c>
      <c r="BU50" s="15">
        <v>1.4288659793814432E-3</v>
      </c>
      <c r="BV50" s="15">
        <v>1.4463917525773195E-3</v>
      </c>
      <c r="BW50" s="15">
        <v>1.4639175257731957E-3</v>
      </c>
      <c r="BX50" s="15">
        <v>1.481443298969072E-3</v>
      </c>
      <c r="BY50" s="15">
        <v>1.4989690721649482E-3</v>
      </c>
      <c r="BZ50" s="15">
        <v>1.5164948453608247E-3</v>
      </c>
      <c r="CA50" s="15">
        <v>1.534020618556701E-3</v>
      </c>
      <c r="CB50" s="15">
        <v>1.5515463917525772E-3</v>
      </c>
      <c r="CC50" s="15">
        <v>1.5690721649484537E-3</v>
      </c>
      <c r="CD50" s="15">
        <v>1.5865979381443299E-3</v>
      </c>
      <c r="CE50" s="15">
        <v>1.6041237113402062E-3</v>
      </c>
      <c r="CF50" s="15">
        <v>1.6216494845360824E-3</v>
      </c>
      <c r="CG50" s="15">
        <v>1.6391752577319587E-3</v>
      </c>
      <c r="CH50" s="15">
        <v>1.656701030927835E-3</v>
      </c>
      <c r="CI50" s="15">
        <v>1.6742268041237112E-3</v>
      </c>
      <c r="CJ50" s="15">
        <v>1.6917525773195875E-3</v>
      </c>
      <c r="CK50" s="15">
        <v>1.7092783505154637E-3</v>
      </c>
      <c r="CL50" s="15">
        <v>1.72680412371134E-3</v>
      </c>
      <c r="CM50" s="15">
        <v>1.7443298969072164E-3</v>
      </c>
    </row>
    <row r="52" spans="1:91" x14ac:dyDescent="0.25">
      <c r="A52" s="36" t="s">
        <v>33</v>
      </c>
      <c r="B52" s="4">
        <f>'25% by 2050 Ag'!B27</f>
        <v>0</v>
      </c>
      <c r="C52" s="4">
        <f>'25% by 2050 Ag'!C27</f>
        <v>0</v>
      </c>
      <c r="D52" s="4">
        <f>'25% by 2050 Ag'!D27</f>
        <v>0</v>
      </c>
      <c r="E52" s="4">
        <f>'25% by 2050 Ag'!E27</f>
        <v>0</v>
      </c>
      <c r="F52" s="4">
        <f>'25% by 2050 Ag'!F27</f>
        <v>0</v>
      </c>
      <c r="G52" s="4">
        <f>'25% by 2050 Ag'!G27</f>
        <v>0</v>
      </c>
      <c r="H52" s="4">
        <f>'25% by 2050 Ag'!H27</f>
        <v>0</v>
      </c>
      <c r="I52" s="4">
        <f>'25% by 2050 Ag'!I27</f>
        <v>0</v>
      </c>
      <c r="J52" s="4">
        <f>'25% by 2050 Ag'!J27</f>
        <v>0</v>
      </c>
      <c r="K52" s="4">
        <f>'25% by 2050 Ag'!K27</f>
        <v>0</v>
      </c>
      <c r="L52" s="4">
        <f>'25% by 2050 Ag'!L27</f>
        <v>0</v>
      </c>
      <c r="M52" s="4">
        <f>'25% by 2050 Ag'!M27</f>
        <v>0</v>
      </c>
      <c r="N52" s="4">
        <f>'25% by 2050 Ag'!N27</f>
        <v>0</v>
      </c>
      <c r="O52" s="4">
        <f>'25% by 2050 Ag'!O27</f>
        <v>0</v>
      </c>
      <c r="P52" s="4">
        <f>'25% by 2050 Ag'!P27</f>
        <v>0</v>
      </c>
      <c r="Q52" s="4">
        <f>'25% by 2050 Ag'!Q27</f>
        <v>0</v>
      </c>
      <c r="R52" s="4">
        <f>'25% by 2050 Ag'!R27</f>
        <v>0</v>
      </c>
      <c r="S52" s="4">
        <f>'25% by 2050 Ag'!S27</f>
        <v>0</v>
      </c>
      <c r="T52" s="4">
        <f>'25% by 2050 Ag'!T27</f>
        <v>0</v>
      </c>
      <c r="U52" s="4">
        <f>'25% by 2050 Ag'!U27</f>
        <v>0</v>
      </c>
      <c r="V52" s="4">
        <f>'25% by 2050 Ag'!V27</f>
        <v>0</v>
      </c>
      <c r="W52" s="4">
        <f>'25% by 2050 Ag'!W27</f>
        <v>0</v>
      </c>
      <c r="X52" s="4">
        <f>'25% by 2050 Ag'!X27</f>
        <v>0</v>
      </c>
      <c r="Y52" s="4">
        <f>'25% by 2050 Ag'!Y27</f>
        <v>0</v>
      </c>
      <c r="Z52" s="4">
        <f>'25% by 2050 Ag'!Z27</f>
        <v>0</v>
      </c>
      <c r="AA52" s="4">
        <f>'25% by 2050 Ag'!AA27</f>
        <v>0</v>
      </c>
      <c r="AB52" s="4">
        <f>'25% by 2050 Ag'!AB27</f>
        <v>0</v>
      </c>
      <c r="AC52" s="4">
        <f>'25% by 2050 Ag'!AC27</f>
        <v>0</v>
      </c>
      <c r="AD52" s="4">
        <f>'25% by 2050 Ag'!AD27</f>
        <v>0</v>
      </c>
      <c r="AE52" s="4">
        <f>'25% by 2050 Ag'!AE27</f>
        <v>0</v>
      </c>
      <c r="AF52" s="44">
        <f>'25% by 2050 Ag'!AF27</f>
        <v>264298.13384870189</v>
      </c>
      <c r="AG52" s="44">
        <f>'25% by 2050 Ag'!AG27</f>
        <v>520633.93324715138</v>
      </c>
      <c r="AH52" s="44">
        <f>'25% by 2050 Ag'!AH27</f>
        <v>769361.87263473251</v>
      </c>
      <c r="AI52" s="44">
        <f>'25% by 2050 Ag'!AI27</f>
        <v>1010815.693040224</v>
      </c>
      <c r="AJ52" s="44">
        <f>'25% by 2050 Ag'!AJ27</f>
        <v>1245309.8961211501</v>
      </c>
      <c r="AK52" s="44">
        <f>'25% by 2050 Ag'!AK27</f>
        <v>1473141.1108468894</v>
      </c>
      <c r="AL52" s="44">
        <f>'25% by 2050 Ag'!AL27</f>
        <v>1694589.3453137057</v>
      </c>
      <c r="AM52" s="44">
        <f>'25% by 2050 Ag'!AM27</f>
        <v>1909919.13479971</v>
      </c>
      <c r="AN52" s="44">
        <f>'25% by 2050 Ag'!AN27</f>
        <v>2119380.5959568662</v>
      </c>
      <c r="AO52" s="44">
        <f>'25% by 2050 Ag'!AO27</f>
        <v>2323210.3959727613</v>
      </c>
      <c r="AP52" s="44">
        <f>'25% by 2050 Ag'!AP27</f>
        <v>2528030.7295535938</v>
      </c>
      <c r="AQ52" s="44">
        <f>'25% by 2050 Ag'!AQ27</f>
        <v>3025243.1509060082</v>
      </c>
      <c r="AR52" s="44">
        <f>'25% by 2050 Ag'!AR27</f>
        <v>3914439.356290834</v>
      </c>
      <c r="AS52" s="44">
        <f>'25% by 2050 Ag'!AS27</f>
        <v>4710896.3697284199</v>
      </c>
      <c r="AT52" s="44">
        <f>'25% by 2050 Ag'!AT27</f>
        <v>5525197.0183615312</v>
      </c>
      <c r="AU52" s="44">
        <f>'25% by 2050 Ag'!AU27</f>
        <v>7231647.8086248199</v>
      </c>
      <c r="AV52" s="44">
        <f>'25% by 2050 Ag'!AV27</f>
        <v>10062408.411293173</v>
      </c>
      <c r="AW52" s="44">
        <f>'25% by 2050 Ag'!AW27</f>
        <v>14004755.431666218</v>
      </c>
      <c r="AX52" s="44">
        <f>'25% by 2050 Ag'!AX27</f>
        <v>14989749.552085569</v>
      </c>
      <c r="AY52" s="44">
        <f>'25% by 2050 Ag'!AY27</f>
        <v>16052595.374386443</v>
      </c>
      <c r="AZ52" s="44">
        <f>'25% by 2050 Ag'!AZ27</f>
        <v>17105346.28058739</v>
      </c>
      <c r="BA52" s="44">
        <f>'25% by 2050 Ag'!BA27</f>
        <v>18148158.904882386</v>
      </c>
      <c r="BB52" s="44">
        <f>'25% by 2050 Ag'!BB27</f>
        <v>19181186.192052074</v>
      </c>
      <c r="BC52" s="44">
        <f>'25% by 2050 Ag'!BC27</f>
        <v>20204577.523639631</v>
      </c>
      <c r="BD52" s="44">
        <f>'25% by 2050 Ag'!BD27</f>
        <v>21218478.838245515</v>
      </c>
      <c r="BE52" s="44">
        <f>'25% by 2050 Ag'!BE27</f>
        <v>22223032.746287949</v>
      </c>
      <c r="BF52" s="44">
        <f>'25% by 2050 Ag'!BF27</f>
        <v>23218378.639551979</v>
      </c>
      <c r="BG52" s="44">
        <f>'25% by 2050 Ag'!BG27</f>
        <v>24204652.795827199</v>
      </c>
      <c r="BH52" s="44">
        <f>'25% by 2050 Ag'!BH27</f>
        <v>25181987.072291125</v>
      </c>
      <c r="BI52" s="44">
        <f>'25% by 2050 Ag'!BI27</f>
        <v>27722897.613718852</v>
      </c>
      <c r="BJ52" s="44">
        <f>'25% by 2050 Ag'!BJ27</f>
        <v>30213917.320765853</v>
      </c>
      <c r="BK52" s="44">
        <f>'25% by 2050 Ag'!BK27</f>
        <v>32655942.729002677</v>
      </c>
      <c r="BL52" s="44">
        <f>'25% by 2050 Ag'!BL27</f>
        <v>35049850.946431875</v>
      </c>
      <c r="BM52" s="44">
        <f>'25% by 2050 Ag'!BM27</f>
        <v>37396500.271563739</v>
      </c>
      <c r="BN52" s="44">
        <f>'25% by 2050 Ag'!BN27</f>
        <v>39696730.783159316</v>
      </c>
      <c r="BO52" s="44">
        <f>'25% by 2050 Ag'!BO27</f>
        <v>41951364.903280146</v>
      </c>
      <c r="BP52" s="44">
        <f>'25% by 2050 Ag'!BP27</f>
        <v>44161207.935173422</v>
      </c>
      <c r="BQ52" s="44">
        <f>'25% by 2050 Ag'!BQ27</f>
        <v>46327048.57742016</v>
      </c>
      <c r="BR52" s="44">
        <f>'25% by 2050 Ag'!BR27</f>
        <v>48449659.415679239</v>
      </c>
      <c r="BS52" s="44">
        <f>'25% by 2050 Ag'!BS27</f>
        <v>50529797.393273272</v>
      </c>
      <c r="BT52" s="44">
        <f>'25% by 2050 Ag'!BT27</f>
        <v>52568204.261781365</v>
      </c>
      <c r="BU52" s="44">
        <f>'25% by 2050 Ag'!BU27</f>
        <v>54565607.012728721</v>
      </c>
      <c r="BV52" s="44">
        <f>'25% by 2050 Ag'!BV27</f>
        <v>56522718.29139404</v>
      </c>
      <c r="BW52" s="44">
        <f>'25% by 2050 Ag'!BW27</f>
        <v>58440236.793690279</v>
      </c>
      <c r="BX52" s="44">
        <f>'25% by 2050 Ag'!BX27</f>
        <v>60318847.647015482</v>
      </c>
      <c r="BY52" s="44">
        <f>'25% by 2050 Ag'!BY27</f>
        <v>62159222.775913559</v>
      </c>
      <c r="BZ52" s="44">
        <f>'25% by 2050 Ag'!BZ27</f>
        <v>63962021.253333978</v>
      </c>
      <c r="CA52" s="44">
        <f>'25% by 2050 Ag'!CA27</f>
        <v>65727889.638230376</v>
      </c>
      <c r="CB52" s="44">
        <f>'25% by 2050 Ag'!CB27</f>
        <v>67457462.30019404</v>
      </c>
      <c r="CC52" s="44">
        <f>'25% by 2050 Ag'!CC27</f>
        <v>69151361.731775209</v>
      </c>
      <c r="CD52" s="44">
        <f>'25% by 2050 Ag'!CD27</f>
        <v>70810198.849107534</v>
      </c>
      <c r="CE52" s="44">
        <f>'25% by 2050 Ag'!CE27</f>
        <v>72434573.281413376</v>
      </c>
      <c r="CF52" s="44">
        <f>'25% by 2050 Ag'!CF27</f>
        <v>74025073.6499345</v>
      </c>
      <c r="CG52" s="44">
        <f>'25% by 2050 Ag'!CG27</f>
        <v>75582277.836800873</v>
      </c>
      <c r="CH52" s="44">
        <f>'25% by 2050 Ag'!CH27</f>
        <v>77106753.244320154</v>
      </c>
      <c r="CI52" s="44">
        <f>'25% by 2050 Ag'!CI27</f>
        <v>78599057.045143902</v>
      </c>
      <c r="CJ52" s="44">
        <f>'25% by 2050 Ag'!CJ27</f>
        <v>80059736.423739135</v>
      </c>
      <c r="CK52" s="44">
        <f>'25% by 2050 Ag'!CK27</f>
        <v>81489328.809571177</v>
      </c>
      <c r="CL52" s="44">
        <f>'25% by 2050 Ag'!CL27</f>
        <v>82888362.102379844</v>
      </c>
      <c r="CM52" s="44">
        <f>'25% by 2050 Ag'!CM27</f>
        <v>84257354.889910609</v>
      </c>
    </row>
    <row r="53" spans="1:91" s="37" customFormat="1" x14ac:dyDescent="0.25">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row>
    <row r="54" spans="1:91" x14ac:dyDescent="0.25">
      <c r="A54" s="37" t="s">
        <v>22</v>
      </c>
      <c r="B54" s="4">
        <f>'25% by 2050 Ag'!B28</f>
        <v>0</v>
      </c>
      <c r="C54" s="4">
        <f>'25% by 2050 Ag'!C28</f>
        <v>0</v>
      </c>
      <c r="D54" s="4">
        <f>'25% by 2050 Ag'!D28</f>
        <v>0</v>
      </c>
      <c r="E54" s="4">
        <f>'25% by 2050 Ag'!E28</f>
        <v>0</v>
      </c>
      <c r="F54" s="4">
        <f>'25% by 2050 Ag'!F28</f>
        <v>0</v>
      </c>
      <c r="G54" s="4">
        <f>'25% by 2050 Ag'!G28</f>
        <v>0</v>
      </c>
      <c r="H54" s="4">
        <f>'25% by 2050 Ag'!H28</f>
        <v>0</v>
      </c>
      <c r="I54" s="4">
        <f>'25% by 2050 Ag'!I28</f>
        <v>0</v>
      </c>
      <c r="J54" s="4">
        <f>'25% by 2050 Ag'!J28</f>
        <v>0</v>
      </c>
      <c r="K54" s="4">
        <f>'25% by 2050 Ag'!K28</f>
        <v>0</v>
      </c>
      <c r="L54" s="4">
        <f>'25% by 2050 Ag'!L28</f>
        <v>0</v>
      </c>
      <c r="M54" s="4">
        <f>'25% by 2050 Ag'!M28</f>
        <v>0</v>
      </c>
      <c r="N54" s="4">
        <f>'25% by 2050 Ag'!N28</f>
        <v>0</v>
      </c>
      <c r="O54" s="4">
        <f>'25% by 2050 Ag'!O28</f>
        <v>0</v>
      </c>
      <c r="P54" s="4">
        <f>'25% by 2050 Ag'!P28</f>
        <v>0</v>
      </c>
      <c r="Q54" s="4">
        <f>'25% by 2050 Ag'!Q28</f>
        <v>0</v>
      </c>
      <c r="R54" s="4">
        <f>'25% by 2050 Ag'!R28</f>
        <v>0</v>
      </c>
      <c r="S54" s="4">
        <f>'25% by 2050 Ag'!S28</f>
        <v>0</v>
      </c>
      <c r="T54" s="4">
        <f>'25% by 2050 Ag'!T28</f>
        <v>0</v>
      </c>
      <c r="U54" s="4">
        <f>'25% by 2050 Ag'!U28</f>
        <v>0</v>
      </c>
      <c r="V54" s="4">
        <f>'25% by 2050 Ag'!V28</f>
        <v>0</v>
      </c>
      <c r="W54" s="4">
        <f>'25% by 2050 Ag'!W28</f>
        <v>0</v>
      </c>
      <c r="X54" s="4">
        <f>'25% by 2050 Ag'!X28</f>
        <v>0</v>
      </c>
      <c r="Y54" s="4">
        <f>'25% by 2050 Ag'!Y28</f>
        <v>0</v>
      </c>
      <c r="Z54" s="4">
        <f>'25% by 2050 Ag'!Z28</f>
        <v>0</v>
      </c>
      <c r="AA54" s="4">
        <f>'25% by 2050 Ag'!AA28</f>
        <v>0</v>
      </c>
      <c r="AB54" s="4">
        <f>'25% by 2050 Ag'!AB28</f>
        <v>0</v>
      </c>
      <c r="AC54" s="4">
        <f>'25% by 2050 Ag'!AC28</f>
        <v>0</v>
      </c>
      <c r="AD54" s="4">
        <f>'25% by 2050 Ag'!AD28</f>
        <v>0</v>
      </c>
      <c r="AE54" s="4">
        <f>'25% by 2050 Ag'!AE28</f>
        <v>0</v>
      </c>
      <c r="AF54" s="44">
        <f>'25% by 2050 Ag'!AF28</f>
        <v>778374.70567275002</v>
      </c>
      <c r="AG54" s="44">
        <f>'25% by 2050 Ag'!AG28</f>
        <v>1535022.1093097155</v>
      </c>
      <c r="AH54" s="44">
        <f>'25% by 2050 Ag'!AH28</f>
        <v>2270889.154513876</v>
      </c>
      <c r="AI54" s="44">
        <f>'25% by 2050 Ag'!AI28</f>
        <v>2986866.5307719884</v>
      </c>
      <c r="AJ54" s="44">
        <f>'25% by 2050 Ag'!AJ28</f>
        <v>3683792.8982335599</v>
      </c>
      <c r="AK54" s="44">
        <f>'25% by 2050 Ag'!AK28</f>
        <v>4362458.7303994726</v>
      </c>
      <c r="AL54" s="44">
        <f>'25% by 2050 Ag'!AL28</f>
        <v>5023609.8149621096</v>
      </c>
      <c r="AM54" s="44">
        <f>'25% by 2050 Ag'!AM28</f>
        <v>5667950.4482213622</v>
      </c>
      <c r="AN54" s="44">
        <f>'25% by 2050 Ag'!AN28</f>
        <v>6296146.3543270566</v>
      </c>
      <c r="AO54" s="44">
        <f>'25% by 2050 Ag'!AO28</f>
        <v>6908827.3569737086</v>
      </c>
      <c r="AP54" s="44">
        <f>'25% by 2050 Ag'!AP28</f>
        <v>7515181.8335191449</v>
      </c>
      <c r="AQ54" s="44">
        <f>'25% by 2050 Ag'!AQ28</f>
        <v>8613695.5486764461</v>
      </c>
      <c r="AR54" s="44">
        <f>'25% by 2050 Ag'!AR28</f>
        <v>10091710.215177305</v>
      </c>
      <c r="AS54" s="44">
        <f>'25% by 2050 Ag'!AS28</f>
        <v>10296365.485343222</v>
      </c>
      <c r="AT54" s="44">
        <f>'25% by 2050 Ag'!AT28</f>
        <v>12914628.496858951</v>
      </c>
      <c r="AU54" s="44">
        <f>'25% by 2050 Ag'!AU28</f>
        <v>17405074.823177025</v>
      </c>
      <c r="AV54" s="44">
        <f>'25% by 2050 Ag'!AV28</f>
        <v>22085449.70506895</v>
      </c>
      <c r="AW54" s="44">
        <f>'25% by 2050 Ag'!AW28</f>
        <v>28488573.549461856</v>
      </c>
      <c r="AX54" s="44">
        <f>'25% by 2050 Ag'!AX28</f>
        <v>35581088.29499279</v>
      </c>
      <c r="AY54" s="44">
        <f>'25% by 2050 Ag'!AY28</f>
        <v>40062127.00281693</v>
      </c>
      <c r="AZ54" s="44">
        <f>'25% by 2050 Ag'!AZ28</f>
        <v>44462577.950583547</v>
      </c>
      <c r="BA54" s="44">
        <f>'25% by 2050 Ag'!BA28</f>
        <v>48784631.739637792</v>
      </c>
      <c r="BB54" s="44">
        <f>'25% by 2050 Ag'!BB28</f>
        <v>53030399.367209017</v>
      </c>
      <c r="BC54" s="44">
        <f>'25% by 2050 Ag'!BC28</f>
        <v>57201915.846381441</v>
      </c>
      <c r="BD54" s="44">
        <f>'25% by 2050 Ag'!BD28</f>
        <v>61301143.628565356</v>
      </c>
      <c r="BE54" s="44">
        <f>'25% by 2050 Ag'!BE28</f>
        <v>65329975.841022998</v>
      </c>
      <c r="BF54" s="44">
        <f>'25% by 2050 Ag'!BF28</f>
        <v>69290239.351093575</v>
      </c>
      <c r="BG54" s="44">
        <f>'25% by 2050 Ag'!BG28</f>
        <v>73183697.667925835</v>
      </c>
      <c r="BH54" s="44">
        <f>'25% by 2050 Ag'!BH28</f>
        <v>77012045.219639331</v>
      </c>
      <c r="BI54" s="44">
        <f>'25% by 2050 Ag'!BI28</f>
        <v>101528472.96242721</v>
      </c>
      <c r="BJ54" s="44">
        <f>'25% by 2050 Ag'!BJ28</f>
        <v>122851592.28334096</v>
      </c>
      <c r="BK54" s="44">
        <f>'25% by 2050 Ag'!BK28</f>
        <v>143794570.62429976</v>
      </c>
      <c r="BL54" s="44">
        <f>'25% by 2050 Ag'!BL28</f>
        <v>164367054.85666654</v>
      </c>
      <c r="BM54" s="44">
        <f>'25% by 2050 Ag'!BM28</f>
        <v>184578366.62866968</v>
      </c>
      <c r="BN54" s="44">
        <f>'25% by 2050 Ag'!BN28</f>
        <v>204437516.16394019</v>
      </c>
      <c r="BO54" s="44">
        <f>'25% by 2050 Ag'!BO28</f>
        <v>223953215.35754138</v>
      </c>
      <c r="BP54" s="44">
        <f>'25% by 2050 Ag'!BP28</f>
        <v>243133890.2109828</v>
      </c>
      <c r="BQ54" s="44">
        <f>'25% by 2050 Ag'!BQ28</f>
        <v>261987692.6449317</v>
      </c>
      <c r="BR54" s="44">
        <f>'25% by 2050 Ag'!BR28</f>
        <v>280522511.72576308</v>
      </c>
      <c r="BS54" s="44">
        <f>'25% by 2050 Ag'!BS28</f>
        <v>298745984.33970988</v>
      </c>
      <c r="BT54" s="44">
        <f>'25% by 2050 Ag'!BT28</f>
        <v>316665505.34616733</v>
      </c>
      <c r="BU54" s="44">
        <f>'25% by 2050 Ag'!BU28</f>
        <v>334288237.23966336</v>
      </c>
      <c r="BV54" s="44">
        <f>'25% by 2050 Ag'!BV28</f>
        <v>351621119.34810567</v>
      </c>
      <c r="BW54" s="44">
        <f>'25% by 2050 Ag'!BW28</f>
        <v>368670876.59316033</v>
      </c>
      <c r="BX54" s="44">
        <f>'25% by 2050 Ag'!BX28</f>
        <v>385444027.83697653</v>
      </c>
      <c r="BY54" s="44">
        <f>'25% by 2050 Ag'!BY28</f>
        <v>401946893.83795393</v>
      </c>
      <c r="BZ54" s="44">
        <f>'25% by 2050 Ag'!BZ28</f>
        <v>418185604.83683813</v>
      </c>
      <c r="CA54" s="44">
        <f>'25% by 2050 Ag'!CA28</f>
        <v>434166107.79310703</v>
      </c>
      <c r="CB54" s="44">
        <f>'25% by 2050 Ag'!CB28</f>
        <v>449894173.29039776</v>
      </c>
      <c r="CC54" s="44">
        <f>'25% by 2050 Ag'!CC28</f>
        <v>465375402.12857032</v>
      </c>
      <c r="CD54" s="44">
        <f>'25% by 2050 Ag'!CD28</f>
        <v>480615231.61895174</v>
      </c>
      <c r="CE54" s="44">
        <f>'25% by 2050 Ag'!CE28</f>
        <v>495618941.59830558</v>
      </c>
      <c r="CF54" s="44">
        <f>'25% by 2050 Ag'!CF28</f>
        <v>510391660.17615354</v>
      </c>
      <c r="CG54" s="44">
        <f>'25% by 2050 Ag'!CG28</f>
        <v>524938369.22920406</v>
      </c>
      <c r="CH54" s="44">
        <f>'25% by 2050 Ag'!CH28</f>
        <v>539263909.6558429</v>
      </c>
      <c r="CI54" s="44">
        <f>'25% by 2050 Ag'!CI28</f>
        <v>553372986.40288544</v>
      </c>
      <c r="CJ54" s="44">
        <f>'25% by 2050 Ag'!CJ28</f>
        <v>567270173.27608275</v>
      </c>
      <c r="CK54" s="44">
        <f>'25% by 2050 Ag'!CK28</f>
        <v>580959917.54521799</v>
      </c>
      <c r="CL54" s="44">
        <f>'25% by 2050 Ag'!CL28</f>
        <v>594446544.35400867</v>
      </c>
      <c r="CM54" s="44">
        <f>'25% by 2050 Ag'!CM28</f>
        <v>607734260.94445908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M54"/>
  <sheetViews>
    <sheetView topLeftCell="R1" workbookViewId="0">
      <selection activeCell="AA39" sqref="AA39"/>
    </sheetView>
  </sheetViews>
  <sheetFormatPr defaultRowHeight="15" x14ac:dyDescent="0.25"/>
  <cols>
    <col min="1" max="1" width="47.5703125" style="21" customWidth="1"/>
    <col min="2" max="31" width="9.140625" style="4"/>
    <col min="32" max="16384" width="9.140625" style="21"/>
  </cols>
  <sheetData>
    <row r="1" spans="1:91" x14ac:dyDescent="0.25">
      <c r="B1" s="4">
        <v>1961</v>
      </c>
      <c r="C1" s="4">
        <v>1962</v>
      </c>
      <c r="D1" s="4">
        <v>1963</v>
      </c>
      <c r="E1" s="4">
        <v>1964</v>
      </c>
      <c r="F1" s="4">
        <v>1965</v>
      </c>
      <c r="G1" s="4">
        <v>1966</v>
      </c>
      <c r="H1" s="4">
        <v>1967</v>
      </c>
      <c r="I1" s="4">
        <v>1968</v>
      </c>
      <c r="J1" s="4">
        <v>1969</v>
      </c>
      <c r="K1" s="4">
        <v>1970</v>
      </c>
      <c r="L1" s="4">
        <v>1971</v>
      </c>
      <c r="M1" s="4">
        <v>1972</v>
      </c>
      <c r="N1" s="4">
        <v>1973</v>
      </c>
      <c r="O1" s="4">
        <v>1974</v>
      </c>
      <c r="P1" s="4">
        <v>1975</v>
      </c>
      <c r="Q1" s="4">
        <v>1976</v>
      </c>
      <c r="R1" s="4">
        <v>1977</v>
      </c>
      <c r="S1" s="4">
        <v>1978</v>
      </c>
      <c r="T1" s="4">
        <v>1979</v>
      </c>
      <c r="U1" s="4">
        <v>1980</v>
      </c>
      <c r="V1" s="4">
        <v>1981</v>
      </c>
      <c r="W1" s="4">
        <v>1982</v>
      </c>
      <c r="X1" s="4">
        <v>1983</v>
      </c>
      <c r="Y1" s="4">
        <v>1984</v>
      </c>
      <c r="Z1" s="4">
        <v>1985</v>
      </c>
      <c r="AA1" s="4">
        <v>1986</v>
      </c>
      <c r="AB1" s="4">
        <v>1987</v>
      </c>
      <c r="AC1" s="4">
        <v>1988</v>
      </c>
      <c r="AD1" s="4">
        <v>1989</v>
      </c>
      <c r="AE1" s="4">
        <v>1990</v>
      </c>
      <c r="AF1" s="21">
        <v>1991</v>
      </c>
      <c r="AG1" s="21">
        <v>1992</v>
      </c>
      <c r="AH1" s="21">
        <v>1993</v>
      </c>
      <c r="AI1" s="21">
        <v>1994</v>
      </c>
      <c r="AJ1" s="21">
        <v>1995</v>
      </c>
      <c r="AK1" s="21">
        <v>1996</v>
      </c>
      <c r="AL1" s="21">
        <v>1997</v>
      </c>
      <c r="AM1" s="21">
        <v>1998</v>
      </c>
      <c r="AN1" s="21">
        <v>1999</v>
      </c>
      <c r="AO1" s="21">
        <v>2000</v>
      </c>
      <c r="AP1" s="21">
        <v>2001</v>
      </c>
      <c r="AQ1" s="21">
        <v>2002</v>
      </c>
      <c r="AR1" s="21">
        <v>2003</v>
      </c>
      <c r="AS1" s="21">
        <v>2004</v>
      </c>
      <c r="AT1" s="21">
        <v>2005</v>
      </c>
      <c r="AU1" s="21">
        <v>2006</v>
      </c>
      <c r="AV1" s="21">
        <v>2007</v>
      </c>
      <c r="AW1" s="21">
        <v>2008</v>
      </c>
      <c r="AX1" s="21">
        <v>2009</v>
      </c>
      <c r="AY1" s="21">
        <v>2010</v>
      </c>
      <c r="AZ1" s="21">
        <v>2011</v>
      </c>
      <c r="BA1" s="21">
        <v>2012</v>
      </c>
      <c r="BB1" s="21">
        <v>2013</v>
      </c>
      <c r="BC1" s="21">
        <v>2014</v>
      </c>
      <c r="BD1" s="21">
        <v>2015</v>
      </c>
      <c r="BE1" s="21">
        <v>2016</v>
      </c>
      <c r="BF1" s="21">
        <v>2017</v>
      </c>
      <c r="BG1" s="21">
        <v>2018</v>
      </c>
      <c r="BH1" s="21">
        <v>2019</v>
      </c>
      <c r="BI1" s="21">
        <v>2020</v>
      </c>
      <c r="BJ1" s="21">
        <v>2021</v>
      </c>
      <c r="BK1" s="21">
        <v>2022</v>
      </c>
      <c r="BL1" s="21">
        <v>2023</v>
      </c>
      <c r="BM1" s="21">
        <v>2024</v>
      </c>
      <c r="BN1" s="21">
        <v>2025</v>
      </c>
      <c r="BO1" s="21">
        <v>2026</v>
      </c>
      <c r="BP1" s="21">
        <v>2027</v>
      </c>
      <c r="BQ1" s="21">
        <v>2028</v>
      </c>
      <c r="BR1" s="21">
        <v>2029</v>
      </c>
      <c r="BS1" s="21">
        <v>2030</v>
      </c>
      <c r="BT1" s="21">
        <v>2031</v>
      </c>
      <c r="BU1" s="21">
        <v>2032</v>
      </c>
      <c r="BV1" s="21">
        <v>2033</v>
      </c>
      <c r="BW1" s="21">
        <v>2034</v>
      </c>
      <c r="BX1" s="21">
        <v>2035</v>
      </c>
      <c r="BY1" s="21">
        <v>2036</v>
      </c>
      <c r="BZ1" s="21">
        <v>2037</v>
      </c>
      <c r="CA1" s="21">
        <v>2038</v>
      </c>
      <c r="CB1" s="21">
        <v>2039</v>
      </c>
      <c r="CC1" s="21">
        <v>2040</v>
      </c>
      <c r="CD1" s="21">
        <v>2041</v>
      </c>
      <c r="CE1" s="21">
        <v>2042</v>
      </c>
      <c r="CF1" s="21">
        <v>2043</v>
      </c>
      <c r="CG1" s="21">
        <v>2044</v>
      </c>
      <c r="CH1" s="21">
        <v>2045</v>
      </c>
      <c r="CI1" s="21">
        <v>2046</v>
      </c>
      <c r="CJ1" s="21">
        <v>2047</v>
      </c>
      <c r="CK1" s="21">
        <v>2048</v>
      </c>
      <c r="CL1" s="21">
        <v>2049</v>
      </c>
      <c r="CM1" s="21">
        <v>2050</v>
      </c>
    </row>
    <row r="2" spans="1:91" x14ac:dyDescent="0.25">
      <c r="A2" s="37" t="s">
        <v>0</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51">
        <v>1.0508415631190336E-5</v>
      </c>
      <c r="AG2" s="51">
        <v>1.0527618537027347E-5</v>
      </c>
      <c r="AH2" s="51">
        <v>1.0524144816427411E-5</v>
      </c>
      <c r="AI2" s="51">
        <v>1.0522462802637258E-5</v>
      </c>
      <c r="AJ2" s="51">
        <v>1.05226809524005E-5</v>
      </c>
      <c r="AK2" s="51">
        <v>1.0524797835739828E-5</v>
      </c>
      <c r="AL2" s="51">
        <v>1.0528848568531622E-5</v>
      </c>
      <c r="AM2" s="51">
        <v>1.0535257891350468E-5</v>
      </c>
      <c r="AN2" s="51">
        <v>1.0544407835154982E-5</v>
      </c>
      <c r="AO2" s="51">
        <v>1.0556611219831291E-5</v>
      </c>
      <c r="AP2" s="51">
        <v>1.0571844928448045E-5</v>
      </c>
      <c r="AQ2" s="51">
        <v>1.0589980349233616E-5</v>
      </c>
      <c r="AR2" s="51">
        <v>1.0610719107102551E-5</v>
      </c>
      <c r="AS2" s="51">
        <v>1.0633798162037924E-5</v>
      </c>
      <c r="AT2" s="51">
        <v>1.0658934712118934E-5</v>
      </c>
      <c r="AU2" s="51">
        <v>1.0847332703046877E-5</v>
      </c>
      <c r="AV2" s="51">
        <v>1.0964836112430804E-5</v>
      </c>
      <c r="AW2" s="51">
        <v>1.1083992348417336E-5</v>
      </c>
      <c r="AX2" s="51">
        <v>1.1204770395154344E-5</v>
      </c>
      <c r="AY2" s="51">
        <v>1.1327126153256903E-5</v>
      </c>
      <c r="AZ2" s="51">
        <v>1.1451082991095796E-5</v>
      </c>
      <c r="BA2" s="51">
        <v>1.1576694440980276E-5</v>
      </c>
      <c r="BB2" s="51">
        <v>1.1703990120910524E-5</v>
      </c>
      <c r="BC2" s="51">
        <v>1.1833062981199678E-5</v>
      </c>
      <c r="BD2" s="51">
        <v>1.1963939200804165E-5</v>
      </c>
      <c r="BE2" s="51">
        <v>1.2096649107742124E-5</v>
      </c>
      <c r="BF2" s="51">
        <v>1.2231179027703737E-5</v>
      </c>
      <c r="BG2" s="51">
        <v>1.2367491102724216E-5</v>
      </c>
      <c r="BH2" s="51">
        <v>1.2505587125350255E-5</v>
      </c>
      <c r="BI2" s="51">
        <v>1.2645391460335783E-5</v>
      </c>
      <c r="BJ2" s="51">
        <v>1.2786912777983501E-5</v>
      </c>
      <c r="BK2" s="51">
        <v>1.2930111981195844E-5</v>
      </c>
      <c r="BL2" s="51">
        <v>1.3074987114622234E-5</v>
      </c>
      <c r="BM2" s="51">
        <v>1.3221532009949526E-5</v>
      </c>
      <c r="BN2" s="51">
        <v>1.336975621292177E-5</v>
      </c>
      <c r="BO2" s="51">
        <v>1.3519600210944814E-5</v>
      </c>
      <c r="BP2" s="51">
        <v>1.3671072306706926E-5</v>
      </c>
      <c r="BQ2" s="51">
        <v>1.3824160526861523E-5</v>
      </c>
      <c r="BR2" s="51">
        <v>1.3978932771532774E-5</v>
      </c>
      <c r="BS2" s="51">
        <v>1.4135376399489679E-5</v>
      </c>
      <c r="BT2" s="51">
        <v>1.4293509548508365E-5</v>
      </c>
      <c r="BU2" s="51">
        <v>1.4453326694501365E-5</v>
      </c>
      <c r="BV2" s="51">
        <v>1.461472877710608E-5</v>
      </c>
      <c r="BW2" s="51">
        <v>1.4777608887724497E-5</v>
      </c>
      <c r="BX2" s="51">
        <v>1.4941900379275375E-5</v>
      </c>
      <c r="BY2" s="51">
        <v>1.5107582006366144E-5</v>
      </c>
      <c r="BZ2" s="51">
        <v>1.5274650565041359E-5</v>
      </c>
      <c r="CA2" s="51">
        <v>1.5443152813069433E-5</v>
      </c>
      <c r="CB2" s="51">
        <v>1.561315753966831E-5</v>
      </c>
      <c r="CC2" s="51">
        <v>1.5784720843484096E-5</v>
      </c>
      <c r="CD2" s="51">
        <v>1.5957833983506664E-5</v>
      </c>
      <c r="CE2" s="51">
        <v>1.6132524720255121E-5</v>
      </c>
      <c r="CF2" s="51">
        <v>1.6308756580048994E-5</v>
      </c>
      <c r="CG2" s="51">
        <v>1.648651616536634E-5</v>
      </c>
      <c r="CH2" s="51">
        <v>1.6665822935154385E-5</v>
      </c>
      <c r="CI2" s="51">
        <v>1.6846654192520645E-5</v>
      </c>
      <c r="CJ2" s="51">
        <v>1.7029046477618662E-5</v>
      </c>
      <c r="CK2" s="51">
        <v>1.7213053532147078E-5</v>
      </c>
      <c r="CL2" s="51">
        <v>1.7398717254626916E-5</v>
      </c>
      <c r="CM2" s="51">
        <v>1.7586114631468625E-5</v>
      </c>
    </row>
    <row r="3" spans="1:91" x14ac:dyDescent="0.25">
      <c r="A3" s="37" t="s">
        <v>1</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51">
        <v>7.0000430409191978E-5</v>
      </c>
      <c r="AG3" s="51">
        <v>7.0630961246729871E-5</v>
      </c>
      <c r="AH3" s="51">
        <v>7.1066274150239037E-5</v>
      </c>
      <c r="AI3" s="51">
        <v>7.150778011594632E-5</v>
      </c>
      <c r="AJ3" s="51">
        <v>7.1952944698856812E-5</v>
      </c>
      <c r="AK3" s="51">
        <v>7.2400861735737981E-5</v>
      </c>
      <c r="AL3" s="51">
        <v>7.285284622485931E-5</v>
      </c>
      <c r="AM3" s="51">
        <v>7.3313273932656012E-5</v>
      </c>
      <c r="AN3" s="51">
        <v>7.3787111123243884E-5</v>
      </c>
      <c r="AO3" s="51">
        <v>7.4277957562576602E-5</v>
      </c>
      <c r="AP3" s="51">
        <v>7.478586235260993E-5</v>
      </c>
      <c r="AQ3" s="51">
        <v>7.5308758342790844E-5</v>
      </c>
      <c r="AR3" s="51">
        <v>7.5842609785929511E-5</v>
      </c>
      <c r="AS3" s="51">
        <v>7.6383079700261544E-5</v>
      </c>
      <c r="AT3" s="51">
        <v>7.6926134271035562E-5</v>
      </c>
      <c r="AU3" s="51">
        <v>7.8564814285327943E-5</v>
      </c>
      <c r="AV3" s="51">
        <v>7.975963310304218E-5</v>
      </c>
      <c r="AW3" s="51">
        <v>8.0954261880852003E-5</v>
      </c>
      <c r="AX3" s="51">
        <v>8.2147891965987329E-5</v>
      </c>
      <c r="AY3" s="51">
        <v>8.3339977261299875E-5</v>
      </c>
      <c r="AZ3" s="51">
        <v>8.4530221105783915E-5</v>
      </c>
      <c r="BA3" s="51">
        <v>8.5718612444647251E-5</v>
      </c>
      <c r="BB3" s="51">
        <v>8.6905669889591832E-5</v>
      </c>
      <c r="BC3" s="51">
        <v>8.8092572774455127E-5</v>
      </c>
      <c r="BD3" s="51">
        <v>8.9279966565095401E-5</v>
      </c>
      <c r="BE3" s="51">
        <v>9.0467983154341602E-5</v>
      </c>
      <c r="BF3" s="51">
        <v>9.1656451978961193E-5</v>
      </c>
      <c r="BG3" s="51">
        <v>9.2845626529475093E-5</v>
      </c>
      <c r="BH3" s="51">
        <v>9.4035979030347884E-5</v>
      </c>
      <c r="BI3" s="51">
        <v>9.5227510574324398E-5</v>
      </c>
      <c r="BJ3" s="51">
        <v>9.6420416442247414E-5</v>
      </c>
      <c r="BK3" s="51">
        <v>9.7614503715712849E-5</v>
      </c>
      <c r="BL3" s="51">
        <v>9.8809372181047912E-5</v>
      </c>
      <c r="BM3" s="51">
        <v>1.0000446419189215E-4</v>
      </c>
      <c r="BN3" s="51">
        <v>1.011995727197744E-4</v>
      </c>
      <c r="BO3" s="51">
        <v>1.0239414762549752E-4</v>
      </c>
      <c r="BP3" s="51">
        <v>1.0358838103355418E-4</v>
      </c>
      <c r="BQ3" s="51">
        <v>1.0478175869485435E-4</v>
      </c>
      <c r="BR3" s="51">
        <v>1.0597432428171442E-4</v>
      </c>
      <c r="BS3" s="51">
        <v>1.0716564825407785E-4</v>
      </c>
      <c r="BT3" s="51">
        <v>1.0822524976050468E-4</v>
      </c>
      <c r="BU3" s="51">
        <v>1.0928722791460635E-4</v>
      </c>
      <c r="BV3" s="51">
        <v>1.1035132417498938E-4</v>
      </c>
      <c r="BW3" s="51">
        <v>1.1141783799382022E-4</v>
      </c>
      <c r="BX3" s="51">
        <v>1.1248685991353272E-4</v>
      </c>
      <c r="BY3" s="51">
        <v>1.1355858475974895E-4</v>
      </c>
      <c r="BZ3" s="51">
        <v>1.1463260759244673E-4</v>
      </c>
      <c r="CA3" s="51">
        <v>1.157091962436633E-4</v>
      </c>
      <c r="CB3" s="51">
        <v>1.1678823506150475E-4</v>
      </c>
      <c r="CC3" s="51">
        <v>1.1786969517439455E-4</v>
      </c>
      <c r="CD3" s="51">
        <v>1.1895337378753631E-4</v>
      </c>
      <c r="CE3" s="51">
        <v>1.2003930941952695E-4</v>
      </c>
      <c r="CF3" s="51">
        <v>1.2112747901802054E-4</v>
      </c>
      <c r="CG3" s="51">
        <v>1.2221779370117183E-4</v>
      </c>
      <c r="CH3" s="51">
        <v>1.2331033229500272E-4</v>
      </c>
      <c r="CI3" s="51">
        <v>1.2440494790464076E-4</v>
      </c>
      <c r="CJ3" s="51">
        <v>1.2550153274019381E-4</v>
      </c>
      <c r="CK3" s="51">
        <v>1.2659968153820708E-4</v>
      </c>
      <c r="CL3" s="51">
        <v>1.276994691580742E-4</v>
      </c>
      <c r="CM3" s="51">
        <v>1.288003541120989E-4</v>
      </c>
    </row>
    <row r="4" spans="1:91" x14ac:dyDescent="0.25">
      <c r="A4" s="37" t="s">
        <v>2</v>
      </c>
      <c r="B4" s="4">
        <v>0</v>
      </c>
      <c r="C4" s="4">
        <v>0</v>
      </c>
      <c r="D4" s="4">
        <v>0</v>
      </c>
      <c r="E4" s="4">
        <v>0</v>
      </c>
      <c r="F4" s="4">
        <v>0</v>
      </c>
      <c r="G4" s="4">
        <v>0</v>
      </c>
      <c r="H4" s="4">
        <v>0</v>
      </c>
      <c r="I4" s="4">
        <v>0</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51">
        <v>1.3228986578653787E-5</v>
      </c>
      <c r="AG4" s="51">
        <v>1.3351004035312167E-5</v>
      </c>
      <c r="AH4" s="51">
        <v>1.3448210690384045E-5</v>
      </c>
      <c r="AI4" s="51">
        <v>1.3548882358160103E-5</v>
      </c>
      <c r="AJ4" s="51">
        <v>1.365327018224468E-5</v>
      </c>
      <c r="AK4" s="51">
        <v>1.3761500883312822E-5</v>
      </c>
      <c r="AL4" s="51">
        <v>1.387370090955609E-5</v>
      </c>
      <c r="AM4" s="51">
        <v>1.3990474699641369E-5</v>
      </c>
      <c r="AN4" s="51">
        <v>1.4112378817260886E-5</v>
      </c>
      <c r="AO4" s="51">
        <v>1.4239928335395459E-5</v>
      </c>
      <c r="AP4" s="51">
        <v>1.4373258842965937E-5</v>
      </c>
      <c r="AQ4" s="51">
        <v>1.4512396972370334E-5</v>
      </c>
      <c r="AR4" s="51">
        <v>1.4657165111117269E-5</v>
      </c>
      <c r="AS4" s="51">
        <v>1.4807426681632889E-5</v>
      </c>
      <c r="AT4" s="51">
        <v>1.4962997035753534E-5</v>
      </c>
      <c r="AU4" s="51">
        <v>1.5469466422515655E-5</v>
      </c>
      <c r="AV4" s="51">
        <v>1.5574976370094695E-5</v>
      </c>
      <c r="AW4" s="51">
        <v>1.5682744238183712E-5</v>
      </c>
      <c r="AX4" s="51">
        <v>1.579276536744829E-5</v>
      </c>
      <c r="AY4" s="51">
        <v>1.590501523153287E-5</v>
      </c>
      <c r="AZ4" s="51">
        <v>1.6019564264837292E-5</v>
      </c>
      <c r="BA4" s="51">
        <v>1.6136521123591277E-5</v>
      </c>
      <c r="BB4" s="51">
        <v>1.6255961000692786E-5</v>
      </c>
      <c r="BC4" s="51">
        <v>1.6378047391306338E-5</v>
      </c>
      <c r="BD4" s="51">
        <v>1.6502859414118649E-5</v>
      </c>
      <c r="BE4" s="51">
        <v>1.6630485774268858E-5</v>
      </c>
      <c r="BF4" s="51">
        <v>1.6760961637346351E-5</v>
      </c>
      <c r="BG4" s="51">
        <v>1.6894312433243585E-5</v>
      </c>
      <c r="BH4" s="51">
        <v>1.703062755161906E-5</v>
      </c>
      <c r="BI4" s="51">
        <v>1.716988964677118E-5</v>
      </c>
      <c r="BJ4" s="51">
        <v>1.7312207426551629E-5</v>
      </c>
      <c r="BK4" s="51">
        <v>1.7457606054617057E-5</v>
      </c>
      <c r="BL4" s="51">
        <v>1.7606171496817636E-5</v>
      </c>
      <c r="BM4" s="51">
        <v>1.7757977604245819E-5</v>
      </c>
      <c r="BN4" s="51">
        <v>1.7913133711696151E-5</v>
      </c>
      <c r="BO4" s="51">
        <v>1.8071652865918737E-5</v>
      </c>
      <c r="BP4" s="51">
        <v>1.8233635514169785E-5</v>
      </c>
      <c r="BQ4" s="51">
        <v>1.8399148666801222E-5</v>
      </c>
      <c r="BR4" s="51">
        <v>1.8568334276582576E-5</v>
      </c>
      <c r="BS4" s="51">
        <v>1.8741252850249103E-5</v>
      </c>
      <c r="BT4" s="51">
        <v>1.8917994086357809E-5</v>
      </c>
      <c r="BU4" s="51">
        <v>1.9098656551532022E-5</v>
      </c>
      <c r="BV4" s="51">
        <v>1.9283182040007754E-5</v>
      </c>
      <c r="BW4" s="51">
        <v>1.947151926724002E-5</v>
      </c>
      <c r="BX4" s="51">
        <v>1.9663666430494453E-5</v>
      </c>
      <c r="BY4" s="51">
        <v>1.9859684135003457E-5</v>
      </c>
      <c r="BZ4" s="51">
        <v>2.0059662924267403E-5</v>
      </c>
      <c r="CA4" s="51">
        <v>2.0263768203733196E-5</v>
      </c>
      <c r="CB4" s="51">
        <v>2.0472217863934785E-5</v>
      </c>
      <c r="CC4" s="51">
        <v>2.0685177630400022E-5</v>
      </c>
      <c r="CD4" s="51">
        <v>2.0902762801762623E-5</v>
      </c>
      <c r="CE4" s="51">
        <v>2.1125137609645198E-5</v>
      </c>
      <c r="CF4" s="51">
        <v>2.13523592396579E-5</v>
      </c>
      <c r="CG4" s="51">
        <v>2.1584550274591934E-5</v>
      </c>
      <c r="CH4" s="51">
        <v>2.1821849605301195E-5</v>
      </c>
      <c r="CI4" s="51">
        <v>2.2064400207881321E-5</v>
      </c>
      <c r="CJ4" s="51">
        <v>2.2312384995534275E-5</v>
      </c>
      <c r="CK4" s="51">
        <v>2.2566061124170165E-5</v>
      </c>
      <c r="CL4" s="51">
        <v>2.2825634709128289E-5</v>
      </c>
      <c r="CM4" s="51">
        <v>2.3091432921461527E-5</v>
      </c>
    </row>
    <row r="5" spans="1:91" x14ac:dyDescent="0.25">
      <c r="A5" s="37" t="s">
        <v>2</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51">
        <v>7.0121002027183778E-6</v>
      </c>
      <c r="AG5" s="51">
        <v>7.2210894119728063E-6</v>
      </c>
      <c r="AH5" s="51">
        <v>7.4202145751621905E-6</v>
      </c>
      <c r="AI5" s="51">
        <v>7.6288203120131999E-6</v>
      </c>
      <c r="AJ5" s="51">
        <v>7.8474396653895003E-6</v>
      </c>
      <c r="AK5" s="51">
        <v>8.0765895476182639E-6</v>
      </c>
      <c r="AL5" s="51">
        <v>8.3168765465417997E-6</v>
      </c>
      <c r="AM5" s="51">
        <v>8.569263350893212E-6</v>
      </c>
      <c r="AN5" s="51">
        <v>8.8347261253526665E-6</v>
      </c>
      <c r="AO5" s="51">
        <v>9.11421427809247E-6</v>
      </c>
      <c r="AP5" s="51">
        <v>9.4084016592827995E-6</v>
      </c>
      <c r="AQ5" s="51">
        <v>9.7178946223932155E-6</v>
      </c>
      <c r="AR5" s="51">
        <v>1.0043173749519153E-5</v>
      </c>
      <c r="AS5" s="51">
        <v>1.0384788452865011E-5</v>
      </c>
      <c r="AT5" s="51">
        <v>1.0743308883754397E-5</v>
      </c>
      <c r="AU5" s="51">
        <v>1.1732150845198387E-5</v>
      </c>
      <c r="AV5" s="51">
        <v>1.2029101934575739E-5</v>
      </c>
      <c r="AW5" s="51">
        <v>1.2330362812000245E-5</v>
      </c>
      <c r="AX5" s="51">
        <v>1.2636010643891824E-5</v>
      </c>
      <c r="AY5" s="51">
        <v>1.294610467098004E-5</v>
      </c>
      <c r="AZ5" s="51">
        <v>1.3260781122275616E-5</v>
      </c>
      <c r="BA5" s="51">
        <v>1.3580209329302407E-5</v>
      </c>
      <c r="BB5" s="51">
        <v>1.3904534506306729E-5</v>
      </c>
      <c r="BC5" s="51">
        <v>1.4233979095234456E-5</v>
      </c>
      <c r="BD5" s="51">
        <v>1.4568700292291712E-5</v>
      </c>
      <c r="BE5" s="51">
        <v>1.490886503450716E-5</v>
      </c>
      <c r="BF5" s="51">
        <v>1.5254594004074044E-5</v>
      </c>
      <c r="BG5" s="51">
        <v>1.5605990085826174E-5</v>
      </c>
      <c r="BH5" s="51">
        <v>1.5963210744890837E-5</v>
      </c>
      <c r="BI5" s="51">
        <v>1.6326321960921515E-5</v>
      </c>
      <c r="BJ5" s="51">
        <v>1.6695498066511173E-5</v>
      </c>
      <c r="BK5" s="51">
        <v>1.7070852196150819E-5</v>
      </c>
      <c r="BL5" s="51">
        <v>1.7452545021238879E-5</v>
      </c>
      <c r="BM5" s="51">
        <v>1.7840733475907901E-5</v>
      </c>
      <c r="BN5" s="51">
        <v>1.823560246986816E-5</v>
      </c>
      <c r="BO5" s="51">
        <v>1.8637252878765394E-5</v>
      </c>
      <c r="BP5" s="51">
        <v>1.9045873585162299E-5</v>
      </c>
      <c r="BQ5" s="51">
        <v>1.9461627645654656E-5</v>
      </c>
      <c r="BR5" s="51">
        <v>1.9884772486444035E-5</v>
      </c>
      <c r="BS5" s="51">
        <v>2.0315473648547058E-5</v>
      </c>
      <c r="BT5" s="51">
        <v>2.0753937998592071E-5</v>
      </c>
      <c r="BU5" s="51">
        <v>2.1200361852035525E-5</v>
      </c>
      <c r="BV5" s="51">
        <v>2.1654810170228369E-5</v>
      </c>
      <c r="BW5" s="51">
        <v>2.2117347207509639E-5</v>
      </c>
      <c r="BX5" s="51">
        <v>2.2588090468108009E-5</v>
      </c>
      <c r="BY5" s="51">
        <v>2.3067221764584342E-5</v>
      </c>
      <c r="BZ5" s="51">
        <v>2.3554948560878236E-5</v>
      </c>
      <c r="CA5" s="51">
        <v>2.4051560720881107E-5</v>
      </c>
      <c r="CB5" s="51">
        <v>2.455738921757222E-5</v>
      </c>
      <c r="CC5" s="51">
        <v>2.5072741724341258E-5</v>
      </c>
      <c r="CD5" s="51">
        <v>2.5597855940880496E-5</v>
      </c>
      <c r="CE5" s="51">
        <v>2.6133029556600889E-5</v>
      </c>
      <c r="CF5" s="51">
        <v>2.667846635816827E-5</v>
      </c>
      <c r="CG5" s="51">
        <v>2.7234421242270185E-5</v>
      </c>
      <c r="CH5" s="51">
        <v>2.7801191106722099E-5</v>
      </c>
      <c r="CI5" s="51">
        <v>2.8379045524085055E-5</v>
      </c>
      <c r="CJ5" s="51">
        <v>2.8968323511028758E-5</v>
      </c>
      <c r="CK5" s="51">
        <v>2.9569415819543594E-5</v>
      </c>
      <c r="CL5" s="51">
        <v>3.0182697084869239E-5</v>
      </c>
      <c r="CM5" s="51">
        <v>3.0808619936276061E-5</v>
      </c>
    </row>
    <row r="6" spans="1:91" x14ac:dyDescent="0.25">
      <c r="A6" s="37"/>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row>
    <row r="7" spans="1:91" x14ac:dyDescent="0.25">
      <c r="A7" s="37" t="s">
        <v>3</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51">
        <v>3.6843336955314182E-5</v>
      </c>
      <c r="AG7" s="51">
        <v>3.6790336088918271E-5</v>
      </c>
      <c r="AH7" s="51">
        <v>3.6735360620641035E-5</v>
      </c>
      <c r="AI7" s="51">
        <v>3.667954216924579E-5</v>
      </c>
      <c r="AJ7" s="51">
        <v>3.6623172446285202E-5</v>
      </c>
      <c r="AK7" s="51">
        <v>3.6566333390967918E-5</v>
      </c>
      <c r="AL7" s="51">
        <v>3.6509049093726465E-5</v>
      </c>
      <c r="AM7" s="51">
        <v>3.6451465927738483E-5</v>
      </c>
      <c r="AN7" s="51">
        <v>3.6393772236650164E-5</v>
      </c>
      <c r="AO7" s="51">
        <v>3.6336058437465606E-5</v>
      </c>
      <c r="AP7" s="51">
        <v>3.6278480991528786E-5</v>
      </c>
      <c r="AQ7" s="51">
        <v>3.6221086104825362E-5</v>
      </c>
      <c r="AR7" s="51">
        <v>3.6163908142653389E-5</v>
      </c>
      <c r="AS7" s="51">
        <v>3.6106967137093158E-5</v>
      </c>
      <c r="AT7" s="51">
        <v>3.6050252332744931E-5</v>
      </c>
      <c r="AU7" s="51">
        <v>3.6181023108186044E-5</v>
      </c>
      <c r="AV7" s="51">
        <v>3.6805880686838144E-5</v>
      </c>
      <c r="AW7" s="51">
        <v>3.7432182540437799E-5</v>
      </c>
      <c r="AX7" s="51">
        <v>3.80598402093277E-5</v>
      </c>
      <c r="AY7" s="51">
        <v>3.86887842668519E-5</v>
      </c>
      <c r="AZ7" s="51">
        <v>3.9318984814036444E-5</v>
      </c>
      <c r="BA7" s="51">
        <v>3.9950454324620326E-5</v>
      </c>
      <c r="BB7" s="51">
        <v>4.058323771919377E-5</v>
      </c>
      <c r="BC7" s="51">
        <v>4.1217413638741283E-5</v>
      </c>
      <c r="BD7" s="51">
        <v>4.1853031626262509E-5</v>
      </c>
      <c r="BE7" s="51">
        <v>4.2490101422829168E-5</v>
      </c>
      <c r="BF7" s="51">
        <v>4.3128576395727857E-5</v>
      </c>
      <c r="BG7" s="51">
        <v>4.3768429306014496E-5</v>
      </c>
      <c r="BH7" s="51">
        <v>4.4409623286892179E-5</v>
      </c>
      <c r="BI7" s="51">
        <v>4.5052144357670757E-5</v>
      </c>
      <c r="BJ7" s="51">
        <v>4.5695973254979865E-5</v>
      </c>
      <c r="BK7" s="51">
        <v>4.6341126684092635E-5</v>
      </c>
      <c r="BL7" s="51">
        <v>4.6987579201309435E-5</v>
      </c>
      <c r="BM7" s="51">
        <v>4.7635341292882607E-5</v>
      </c>
      <c r="BN7" s="51">
        <v>4.8284391676933665E-5</v>
      </c>
      <c r="BO7" s="51">
        <v>4.8934736165148652E-5</v>
      </c>
      <c r="BP7" s="51">
        <v>4.9586381811837859E-5</v>
      </c>
      <c r="BQ7" s="51">
        <v>5.0239352229828933E-5</v>
      </c>
      <c r="BR7" s="51">
        <v>5.0893684723365161E-5</v>
      </c>
      <c r="BS7" s="51">
        <v>5.1549385587840429E-5</v>
      </c>
      <c r="BT7" s="51">
        <v>5.1636306402230199E-5</v>
      </c>
      <c r="BU7" s="51">
        <v>5.1724550281244116E-5</v>
      </c>
      <c r="BV7" s="51">
        <v>5.1814122168769529E-5</v>
      </c>
      <c r="BW7" s="51">
        <v>5.1905017314471409E-5</v>
      </c>
      <c r="BX7" s="51">
        <v>5.1997226518439087E-5</v>
      </c>
      <c r="BY7" s="51">
        <v>5.209074305574026E-5</v>
      </c>
      <c r="BZ7" s="51">
        <v>5.2185571878579461E-5</v>
      </c>
      <c r="CA7" s="51">
        <v>5.2281706246236016E-5</v>
      </c>
      <c r="CB7" s="51">
        <v>5.2379129328157627E-5</v>
      </c>
      <c r="CC7" s="51">
        <v>5.2477845020516877E-5</v>
      </c>
      <c r="CD7" s="51">
        <v>5.2577842307954798E-5</v>
      </c>
      <c r="CE7" s="51">
        <v>5.2679112681640577E-5</v>
      </c>
      <c r="CF7" s="51">
        <v>5.2781651624729282E-5</v>
      </c>
      <c r="CG7" s="51">
        <v>5.2885444749710062E-5</v>
      </c>
      <c r="CH7" s="51">
        <v>5.2990487639432671E-5</v>
      </c>
      <c r="CI7" s="51">
        <v>5.3096775381587056E-5</v>
      </c>
      <c r="CJ7" s="51">
        <v>5.3204297991539445E-5</v>
      </c>
      <c r="CK7" s="51">
        <v>5.3313060712255301E-5</v>
      </c>
      <c r="CL7" s="51">
        <v>5.3423070555134916E-5</v>
      </c>
      <c r="CM7" s="51">
        <v>5.3534324193367958E-5</v>
      </c>
    </row>
    <row r="8" spans="1:91" x14ac:dyDescent="0.25">
      <c r="A8" s="37" t="s">
        <v>1</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51">
        <v>5.2769166477933858E-5</v>
      </c>
      <c r="AG8" s="51">
        <v>5.2693255559611984E-5</v>
      </c>
      <c r="AH8" s="51">
        <v>5.2614516501821335E-5</v>
      </c>
      <c r="AI8" s="51">
        <v>5.25345700746617E-5</v>
      </c>
      <c r="AJ8" s="51">
        <v>5.2453834084356881E-5</v>
      </c>
      <c r="AK8" s="51">
        <v>5.2372425888999203E-5</v>
      </c>
      <c r="AL8" s="51">
        <v>5.2290379992305006E-5</v>
      </c>
      <c r="AM8" s="51">
        <v>5.2207906038438337E-5</v>
      </c>
      <c r="AN8" s="51">
        <v>5.2125273784105413E-5</v>
      </c>
      <c r="AO8" s="51">
        <v>5.204261272978946E-5</v>
      </c>
      <c r="AP8" s="51">
        <v>5.1960146968512207E-5</v>
      </c>
      <c r="AQ8" s="51">
        <v>5.187794267916924E-5</v>
      </c>
      <c r="AR8" s="51">
        <v>5.1796049081735804E-5</v>
      </c>
      <c r="AS8" s="51">
        <v>5.1714494867320529E-5</v>
      </c>
      <c r="AT8" s="51">
        <v>5.1633264631415317E-5</v>
      </c>
      <c r="AU8" s="51">
        <v>5.1820562129143874E-5</v>
      </c>
      <c r="AV8" s="51">
        <v>5.1885131359856297E-5</v>
      </c>
      <c r="AW8" s="51">
        <v>5.1950214305834867E-5</v>
      </c>
      <c r="AX8" s="51">
        <v>5.2015700294839928E-5</v>
      </c>
      <c r="AY8" s="51">
        <v>5.2081507781076679E-5</v>
      </c>
      <c r="AZ8" s="51">
        <v>5.2147614632487234E-5</v>
      </c>
      <c r="BA8" s="51">
        <v>5.2214058561288894E-5</v>
      </c>
      <c r="BB8" s="51">
        <v>5.2280919174022914E-5</v>
      </c>
      <c r="BC8" s="51">
        <v>5.2348326142311333E-5</v>
      </c>
      <c r="BD8" s="51">
        <v>5.2416362295017331E-5</v>
      </c>
      <c r="BE8" s="51">
        <v>5.2485056095018153E-5</v>
      </c>
      <c r="BF8" s="51">
        <v>5.255435759938655E-5</v>
      </c>
      <c r="BG8" s="51">
        <v>5.2624226698379906E-5</v>
      </c>
      <c r="BH8" s="51">
        <v>5.2694616780850149E-5</v>
      </c>
      <c r="BI8" s="51">
        <v>5.2765502995160863E-5</v>
      </c>
      <c r="BJ8" s="51">
        <v>5.283686082478873E-5</v>
      </c>
      <c r="BK8" s="51">
        <v>5.2908715260658917E-5</v>
      </c>
      <c r="BL8" s="51">
        <v>5.2981037203205353E-5</v>
      </c>
      <c r="BM8" s="51">
        <v>5.3053843546664738E-5</v>
      </c>
      <c r="BN8" s="51">
        <v>5.3127112809578331E-5</v>
      </c>
      <c r="BO8" s="51">
        <v>5.3200845887448871E-5</v>
      </c>
      <c r="BP8" s="51">
        <v>5.3275066305476904E-5</v>
      </c>
      <c r="BQ8" s="51">
        <v>5.3349808273080411E-5</v>
      </c>
      <c r="BR8" s="51">
        <v>5.3425155494199776E-5</v>
      </c>
      <c r="BS8" s="51">
        <v>5.3501125356345247E-5</v>
      </c>
      <c r="BT8" s="51">
        <v>5.358589951393191E-5</v>
      </c>
      <c r="BU8" s="51">
        <v>5.3672282503609282E-5</v>
      </c>
      <c r="BV8" s="51">
        <v>5.3760270054983049E-5</v>
      </c>
      <c r="BW8" s="51">
        <v>5.3849853081464978E-5</v>
      </c>
      <c r="BX8" s="51">
        <v>5.3941017829373365E-5</v>
      </c>
      <c r="BY8" s="51">
        <v>5.4033763050466951E-5</v>
      </c>
      <c r="BZ8" s="51">
        <v>5.4128092228636533E-5</v>
      </c>
      <c r="CA8" s="51">
        <v>5.4224008946083018E-5</v>
      </c>
      <c r="CB8" s="51">
        <v>5.4321496723876302E-5</v>
      </c>
      <c r="CC8" s="51">
        <v>5.4420572901668634E-5</v>
      </c>
      <c r="CD8" s="51">
        <v>5.4521219352321004E-5</v>
      </c>
      <c r="CE8" s="51">
        <v>5.4623425888475123E-5</v>
      </c>
      <c r="CF8" s="51">
        <v>5.4727189212199551E-5</v>
      </c>
      <c r="CG8" s="51">
        <v>5.4832486288335323E-5</v>
      </c>
      <c r="CH8" s="51">
        <v>5.4939322222557939E-5</v>
      </c>
      <c r="CI8" s="51">
        <v>5.5047676022657148E-5</v>
      </c>
      <c r="CJ8" s="51">
        <v>5.5157543030486721E-5</v>
      </c>
      <c r="CK8" s="51">
        <v>5.5268920681017922E-5</v>
      </c>
      <c r="CL8" s="51">
        <v>5.5381826903601599E-5</v>
      </c>
      <c r="CM8" s="51">
        <v>5.5496247612017253E-5</v>
      </c>
    </row>
    <row r="9" spans="1:91" x14ac:dyDescent="0.25">
      <c r="A9" s="37" t="s">
        <v>1</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51">
        <v>3.755643379961059E-5</v>
      </c>
      <c r="AG9" s="51">
        <v>3.7502407109994121E-5</v>
      </c>
      <c r="AH9" s="51">
        <v>3.7446367600395375E-5</v>
      </c>
      <c r="AI9" s="51">
        <v>3.7389468791876361E-5</v>
      </c>
      <c r="AJ9" s="51">
        <v>3.7332008042019762E-5</v>
      </c>
      <c r="AK9" s="51">
        <v>3.7274068875954395E-5</v>
      </c>
      <c r="AL9" s="51">
        <v>3.7215675850379237E-5</v>
      </c>
      <c r="AM9" s="51">
        <v>3.7156978171501163E-5</v>
      </c>
      <c r="AN9" s="51">
        <v>3.7098167828327268E-5</v>
      </c>
      <c r="AO9" s="51">
        <v>3.7039336987868168E-5</v>
      </c>
      <c r="AP9" s="51">
        <v>3.6980645139751931E-5</v>
      </c>
      <c r="AQ9" s="51">
        <v>3.692213938427361E-5</v>
      </c>
      <c r="AR9" s="51">
        <v>3.6863854751866036E-5</v>
      </c>
      <c r="AS9" s="51">
        <v>3.6805811662327231E-5</v>
      </c>
      <c r="AT9" s="51">
        <v>3.6747999152088383E-5</v>
      </c>
      <c r="AU9" s="51">
        <v>3.6881300974796092E-5</v>
      </c>
      <c r="AV9" s="51">
        <v>3.6933062893627826E-5</v>
      </c>
      <c r="AW9" s="51">
        <v>3.6984803288137251E-5</v>
      </c>
      <c r="AX9" s="51">
        <v>3.7036437188603112E-5</v>
      </c>
      <c r="AY9" s="51">
        <v>3.7087901513367618E-5</v>
      </c>
      <c r="AZ9" s="51">
        <v>3.7139176923422152E-5</v>
      </c>
      <c r="BA9" s="51">
        <v>3.719028632859785E-5</v>
      </c>
      <c r="BB9" s="51">
        <v>3.7241283775133937E-5</v>
      </c>
      <c r="BC9" s="51">
        <v>3.7292262121969226E-5</v>
      </c>
      <c r="BD9" s="51">
        <v>3.7343280820957652E-5</v>
      </c>
      <c r="BE9" s="51">
        <v>3.7394359310285553E-5</v>
      </c>
      <c r="BF9" s="51">
        <v>3.7445462106810545E-5</v>
      </c>
      <c r="BG9" s="51">
        <v>3.7496556366296019E-5</v>
      </c>
      <c r="BH9" s="51">
        <v>3.7547608783536608E-5</v>
      </c>
      <c r="BI9" s="51">
        <v>3.7598597706895901E-5</v>
      </c>
      <c r="BJ9" s="51">
        <v>3.7649502569235385E-5</v>
      </c>
      <c r="BK9" s="51">
        <v>3.7700339228367647E-5</v>
      </c>
      <c r="BL9" s="51">
        <v>3.7751080142069215E-5</v>
      </c>
      <c r="BM9" s="51">
        <v>3.7801728334648505E-5</v>
      </c>
      <c r="BN9" s="51">
        <v>3.785226250308605E-5</v>
      </c>
      <c r="BO9" s="51">
        <v>3.7902673895436454E-5</v>
      </c>
      <c r="BP9" s="51">
        <v>3.7952979622613387E-5</v>
      </c>
      <c r="BQ9" s="51">
        <v>3.8003197609965645E-5</v>
      </c>
      <c r="BR9" s="51">
        <v>3.8053393767208994E-5</v>
      </c>
      <c r="BS9" s="51">
        <v>3.8103574826890966E-5</v>
      </c>
      <c r="BT9" s="51">
        <v>3.8156452560328051E-5</v>
      </c>
      <c r="BU9" s="51">
        <v>3.8210417968048391E-5</v>
      </c>
      <c r="BV9" s="51">
        <v>3.8265475695102741E-5</v>
      </c>
      <c r="BW9" s="51">
        <v>3.8321623685974469E-5</v>
      </c>
      <c r="BX9" s="51">
        <v>3.8378859609958136E-5</v>
      </c>
      <c r="BY9" s="51">
        <v>3.8437187893822393E-5</v>
      </c>
      <c r="BZ9" s="51">
        <v>3.8496607768899382E-5</v>
      </c>
      <c r="CA9" s="51">
        <v>3.8557127565013271E-5</v>
      </c>
      <c r="CB9" s="51">
        <v>3.8618733800416279E-5</v>
      </c>
      <c r="CC9" s="51">
        <v>3.8681442904030025E-5</v>
      </c>
      <c r="CD9" s="51">
        <v>3.8745238156913579E-5</v>
      </c>
      <c r="CE9" s="51">
        <v>3.8810115409190752E-5</v>
      </c>
      <c r="CF9" s="51">
        <v>3.8876073147932574E-5</v>
      </c>
      <c r="CG9" s="51">
        <v>3.894309386333759E-5</v>
      </c>
      <c r="CH9" s="51">
        <v>3.9011183503462591E-5</v>
      </c>
      <c r="CI9" s="51">
        <v>3.9080323898003936E-5</v>
      </c>
      <c r="CJ9" s="51">
        <v>3.9150511218413924E-5</v>
      </c>
      <c r="CK9" s="51">
        <v>3.9221737742214523E-5</v>
      </c>
      <c r="CL9" s="51">
        <v>3.9294017281482045E-5</v>
      </c>
      <c r="CM9" s="51">
        <v>3.936733039718203E-5</v>
      </c>
    </row>
    <row r="10" spans="1:91" x14ac:dyDescent="0.25">
      <c r="A10" s="37" t="s">
        <v>1</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51">
        <v>3.2802454837634565E-5</v>
      </c>
      <c r="AG10" s="51">
        <v>3.2755266969488529E-5</v>
      </c>
      <c r="AH10" s="51">
        <v>3.2706321068699752E-5</v>
      </c>
      <c r="AI10" s="51">
        <v>3.2656624641005933E-5</v>
      </c>
      <c r="AJ10" s="51">
        <v>3.260643740378941E-5</v>
      </c>
      <c r="AK10" s="51">
        <v>3.2555832309377881E-5</v>
      </c>
      <c r="AL10" s="51">
        <v>3.2504830806027448E-5</v>
      </c>
      <c r="AM10" s="51">
        <v>3.2453563213083297E-5</v>
      </c>
      <c r="AN10" s="51">
        <v>3.2402197217146604E-5</v>
      </c>
      <c r="AO10" s="51">
        <v>3.2350813318517766E-5</v>
      </c>
      <c r="AP10" s="51">
        <v>3.2299550818264349E-5</v>
      </c>
      <c r="AQ10" s="51">
        <v>3.2248450854618708E-5</v>
      </c>
      <c r="AR10" s="51">
        <v>3.2197544023781722E-5</v>
      </c>
      <c r="AS10" s="51">
        <v>3.2146848160766819E-5</v>
      </c>
      <c r="AT10" s="51">
        <v>3.2096353689798707E-5</v>
      </c>
      <c r="AU10" s="51">
        <v>3.2212781864062408E-5</v>
      </c>
      <c r="AV10" s="51">
        <v>3.2464153102729245E-5</v>
      </c>
      <c r="AW10" s="51">
        <v>3.271690581497304E-5</v>
      </c>
      <c r="AX10" s="51">
        <v>3.2970962421275322E-5</v>
      </c>
      <c r="AY10" s="51">
        <v>3.3226264413713801E-5</v>
      </c>
      <c r="AZ10" s="51">
        <v>3.3482789042779644E-5</v>
      </c>
      <c r="BA10" s="51">
        <v>3.3740550001192795E-5</v>
      </c>
      <c r="BB10" s="51">
        <v>3.3999587604779657E-5</v>
      </c>
      <c r="BC10" s="51">
        <v>3.425996881315825E-5</v>
      </c>
      <c r="BD10" s="51">
        <v>3.4521734016547037E-5</v>
      </c>
      <c r="BE10" s="51">
        <v>3.4784889445536507E-5</v>
      </c>
      <c r="BF10" s="51">
        <v>3.5049395121155097E-5</v>
      </c>
      <c r="BG10" s="51">
        <v>3.5315227950970887E-5</v>
      </c>
      <c r="BH10" s="51">
        <v>3.5582357866475032E-5</v>
      </c>
      <c r="BI10" s="51">
        <v>3.5850774182663768E-5</v>
      </c>
      <c r="BJ10" s="51">
        <v>3.6120462447432588E-5</v>
      </c>
      <c r="BK10" s="51">
        <v>3.6391436750654276E-5</v>
      </c>
      <c r="BL10" s="51">
        <v>3.6663678447313321E-5</v>
      </c>
      <c r="BM10" s="51">
        <v>3.6937197528123228E-5</v>
      </c>
      <c r="BN10" s="51">
        <v>3.7211979372309135E-5</v>
      </c>
      <c r="BO10" s="51">
        <v>3.7488031388110743E-5</v>
      </c>
      <c r="BP10" s="51">
        <v>3.7765360137229976E-5</v>
      </c>
      <c r="BQ10" s="51">
        <v>3.8043985474369211E-5</v>
      </c>
      <c r="BR10" s="51">
        <v>3.8323933618482537E-5</v>
      </c>
      <c r="BS10" s="51">
        <v>3.8605209547791053E-5</v>
      </c>
      <c r="BT10" s="51">
        <v>3.8677920059823958E-5</v>
      </c>
      <c r="BU10" s="51">
        <v>3.8751713009784551E-5</v>
      </c>
      <c r="BV10" s="51">
        <v>3.8826591933489533E-5</v>
      </c>
      <c r="BW10" s="51">
        <v>3.890255296099992E-5</v>
      </c>
      <c r="BX10" s="51">
        <v>3.8979588221708722E-5</v>
      </c>
      <c r="BY10" s="51">
        <v>3.9057691220618749E-5</v>
      </c>
      <c r="BZ10" s="51">
        <v>3.9136866220622919E-5</v>
      </c>
      <c r="CA10" s="51">
        <v>3.9217106232685925E-5</v>
      </c>
      <c r="CB10" s="51">
        <v>3.9298398757022331E-5</v>
      </c>
      <c r="CC10" s="51">
        <v>3.9380744857709663E-5</v>
      </c>
      <c r="CD10" s="51">
        <v>3.9464137259924096E-5</v>
      </c>
      <c r="CE10" s="51">
        <v>3.9548568806148973E-5</v>
      </c>
      <c r="CF10" s="51">
        <v>3.9634035486339887E-5</v>
      </c>
      <c r="CG10" s="51">
        <v>3.9720527015119885E-5</v>
      </c>
      <c r="CH10" s="51">
        <v>3.9808038587477014E-5</v>
      </c>
      <c r="CI10" s="51">
        <v>3.9896568115661278E-5</v>
      </c>
      <c r="CJ10" s="51">
        <v>3.998610769803857E-5</v>
      </c>
      <c r="CK10" s="51">
        <v>4.0076663427659374E-5</v>
      </c>
      <c r="CL10" s="51">
        <v>4.0168239548289989E-5</v>
      </c>
      <c r="CM10" s="51">
        <v>4.0260837211252985E-5</v>
      </c>
    </row>
    <row r="11" spans="1:91" x14ac:dyDescent="0.25">
      <c r="A11" s="37" t="s">
        <v>1</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51">
        <v>9.854236723099179E-6</v>
      </c>
      <c r="AG11" s="51">
        <v>9.9823313516283816E-6</v>
      </c>
      <c r="AH11" s="51">
        <v>1.0100376622903003E-5</v>
      </c>
      <c r="AI11" s="51">
        <v>1.0217954371032664E-5</v>
      </c>
      <c r="AJ11" s="51">
        <v>1.0335036222756833E-5</v>
      </c>
      <c r="AK11" s="51">
        <v>1.0451609591361124E-5</v>
      </c>
      <c r="AL11" s="51">
        <v>1.0567721275233579E-5</v>
      </c>
      <c r="AM11" s="51">
        <v>1.0683584645201572E-5</v>
      </c>
      <c r="AN11" s="51">
        <v>1.0799445063931594E-5</v>
      </c>
      <c r="AO11" s="51">
        <v>1.0915504194081234E-5</v>
      </c>
      <c r="AP11" s="51">
        <v>1.1031807456688384E-5</v>
      </c>
      <c r="AQ11" s="51">
        <v>1.1148309525294568E-5</v>
      </c>
      <c r="AR11" s="51">
        <v>1.1264870100794226E-5</v>
      </c>
      <c r="AS11" s="51">
        <v>1.1381328286422772E-5</v>
      </c>
      <c r="AT11" s="51">
        <v>1.1497512483415883E-5</v>
      </c>
      <c r="AU11" s="51">
        <v>1.1803464369167429E-5</v>
      </c>
      <c r="AV11" s="51">
        <v>1.2071076753421164E-5</v>
      </c>
      <c r="AW11" s="51">
        <v>1.2339032919941119E-5</v>
      </c>
      <c r="AX11" s="51">
        <v>1.2607263023161016E-5</v>
      </c>
      <c r="AY11" s="51">
        <v>1.2875722419325717E-5</v>
      </c>
      <c r="AZ11" s="51">
        <v>1.3144397729442386E-5</v>
      </c>
      <c r="BA11" s="51">
        <v>1.3413300071319038E-5</v>
      </c>
      <c r="BB11" s="51">
        <v>1.3682448844595694E-5</v>
      </c>
      <c r="BC11" s="51">
        <v>1.395188726793054E-5</v>
      </c>
      <c r="BD11" s="51">
        <v>1.4221622177317089E-5</v>
      </c>
      <c r="BE11" s="51">
        <v>1.4491643827531894E-5</v>
      </c>
      <c r="BF11" s="51">
        <v>1.4761924783512753E-5</v>
      </c>
      <c r="BG11" s="51">
        <v>1.503244380112934E-5</v>
      </c>
      <c r="BH11" s="51">
        <v>1.5303187831917682E-5</v>
      </c>
      <c r="BI11" s="51">
        <v>1.557412314738251E-5</v>
      </c>
      <c r="BJ11" s="51">
        <v>1.5845231954920686E-5</v>
      </c>
      <c r="BK11" s="51">
        <v>1.6116481807391817E-5</v>
      </c>
      <c r="BL11" s="51">
        <v>1.6387846539899619E-5</v>
      </c>
      <c r="BM11" s="51">
        <v>1.6659294228484215E-5</v>
      </c>
      <c r="BN11" s="51">
        <v>1.6930804678487053E-5</v>
      </c>
      <c r="BO11" s="51">
        <v>1.72023400226907E-5</v>
      </c>
      <c r="BP11" s="51">
        <v>1.7473889524296791E-5</v>
      </c>
      <c r="BQ11" s="51">
        <v>1.7745421916057434E-5</v>
      </c>
      <c r="BR11" s="51">
        <v>1.8016930836368059E-5</v>
      </c>
      <c r="BS11" s="51">
        <v>1.8288393046038396E-5</v>
      </c>
      <c r="BT11" s="51">
        <v>1.8537394223131596E-5</v>
      </c>
      <c r="BU11" s="51">
        <v>1.8786939369484812E-5</v>
      </c>
      <c r="BV11" s="51">
        <v>1.9037001323926226E-5</v>
      </c>
      <c r="BW11" s="51">
        <v>1.9287578920227342E-5</v>
      </c>
      <c r="BX11" s="51">
        <v>1.9538671131323192E-5</v>
      </c>
      <c r="BY11" s="51">
        <v>1.9790284246013519E-5</v>
      </c>
      <c r="BZ11" s="51">
        <v>2.0042405273308238E-5</v>
      </c>
      <c r="CA11" s="51">
        <v>2.0295033898328146E-5</v>
      </c>
      <c r="CB11" s="51">
        <v>2.0548156613124433E-5</v>
      </c>
      <c r="CC11" s="51">
        <v>2.0801758869785672E-5</v>
      </c>
      <c r="CD11" s="51">
        <v>2.1055828081857568E-5</v>
      </c>
      <c r="CE11" s="51">
        <v>2.1310346949605758E-5</v>
      </c>
      <c r="CF11" s="51">
        <v>2.1565314955439615E-5</v>
      </c>
      <c r="CG11" s="51">
        <v>2.1820723628412651E-5</v>
      </c>
      <c r="CH11" s="51">
        <v>2.2076567644162625E-5</v>
      </c>
      <c r="CI11" s="51">
        <v>2.2332826663134236E-5</v>
      </c>
      <c r="CJ11" s="51">
        <v>2.2589489050445082E-5</v>
      </c>
      <c r="CK11" s="51">
        <v>2.2846510383298265E-5</v>
      </c>
      <c r="CL11" s="51">
        <v>2.3103864648919468E-5</v>
      </c>
      <c r="CM11" s="51">
        <v>2.336149868724929E-5</v>
      </c>
    </row>
    <row r="12" spans="1:91" x14ac:dyDescent="0.25">
      <c r="A12" s="37" t="s">
        <v>1</v>
      </c>
      <c r="B12" s="4">
        <v>0</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4">
        <v>0</v>
      </c>
      <c r="AD12" s="4">
        <v>0</v>
      </c>
      <c r="AE12" s="4">
        <v>0</v>
      </c>
      <c r="AF12" s="51">
        <v>2.1546611417777664E-5</v>
      </c>
      <c r="AG12" s="51">
        <v>2.1548776353901259E-5</v>
      </c>
      <c r="AH12" s="51">
        <v>2.1529813843228388E-5</v>
      </c>
      <c r="AI12" s="51">
        <v>2.1511796280261009E-5</v>
      </c>
      <c r="AJ12" s="51">
        <v>2.1494294630538175E-5</v>
      </c>
      <c r="AK12" s="51">
        <v>2.1477258718884035E-5</v>
      </c>
      <c r="AL12" s="51">
        <v>2.1460780711870611E-5</v>
      </c>
      <c r="AM12" s="51">
        <v>2.1445238306112089E-5</v>
      </c>
      <c r="AN12" s="51">
        <v>2.1430974190250699E-5</v>
      </c>
      <c r="AO12" s="51">
        <v>2.1418246228484336E-5</v>
      </c>
      <c r="AP12" s="51">
        <v>2.1406989135757382E-5</v>
      </c>
      <c r="AQ12" s="51">
        <v>2.1396971476561034E-5</v>
      </c>
      <c r="AR12" s="51">
        <v>2.1387819441490876E-5</v>
      </c>
      <c r="AS12" s="51">
        <v>2.1379160748666734E-5</v>
      </c>
      <c r="AT12" s="51">
        <v>2.1370586114888923E-5</v>
      </c>
      <c r="AU12" s="51">
        <v>2.1564353450623786E-5</v>
      </c>
      <c r="AV12" s="51">
        <v>2.1793341436211772E-5</v>
      </c>
      <c r="AW12" s="51">
        <v>2.2022900015537084E-5</v>
      </c>
      <c r="AX12" s="51">
        <v>2.225291554480102E-5</v>
      </c>
      <c r="AY12" s="51">
        <v>2.248331696163916E-5</v>
      </c>
      <c r="AZ12" s="51">
        <v>2.2714121854788541E-5</v>
      </c>
      <c r="BA12" s="51">
        <v>2.2945369953573054E-5</v>
      </c>
      <c r="BB12" s="51">
        <v>2.317716854182256E-5</v>
      </c>
      <c r="BC12" s="51">
        <v>2.3409714567266966E-5</v>
      </c>
      <c r="BD12" s="51">
        <v>2.3643118283127092E-5</v>
      </c>
      <c r="BE12" s="51">
        <v>2.3877389487586614E-5</v>
      </c>
      <c r="BF12" s="51">
        <v>2.4112490073566627E-5</v>
      </c>
      <c r="BG12" s="51">
        <v>2.4348441491904624E-5</v>
      </c>
      <c r="BH12" s="51">
        <v>2.4585313440037396E-5</v>
      </c>
      <c r="BI12" s="51">
        <v>2.4823070699872917E-5</v>
      </c>
      <c r="BJ12" s="51">
        <v>2.5061723396556276E-5</v>
      </c>
      <c r="BK12" s="51">
        <v>2.5301222927894769E-5</v>
      </c>
      <c r="BL12" s="51">
        <v>2.5541470402580263E-5</v>
      </c>
      <c r="BM12" s="51">
        <v>2.5782356869015562E-5</v>
      </c>
      <c r="BN12" s="51">
        <v>2.602382674911267E-5</v>
      </c>
      <c r="BO12" s="51">
        <v>2.6265788224911583E-5</v>
      </c>
      <c r="BP12" s="51">
        <v>2.6508240428606932E-5</v>
      </c>
      <c r="BQ12" s="51">
        <v>2.6751112796108488E-5</v>
      </c>
      <c r="BR12" s="51">
        <v>2.6994398843226654E-5</v>
      </c>
      <c r="BS12" s="51">
        <v>2.7238015928863178E-5</v>
      </c>
      <c r="BT12" s="51">
        <v>2.7486278328480859E-5</v>
      </c>
      <c r="BU12" s="51">
        <v>2.7735066702356564E-5</v>
      </c>
      <c r="BV12" s="51">
        <v>2.7984373471102214E-5</v>
      </c>
      <c r="BW12" s="51">
        <v>2.8234185785609252E-5</v>
      </c>
      <c r="BX12" s="51">
        <v>2.848452661865839E-5</v>
      </c>
      <c r="BY12" s="51">
        <v>2.8735407812141995E-5</v>
      </c>
      <c r="BZ12" s="51">
        <v>2.8986784416274045E-5</v>
      </c>
      <c r="CA12" s="51">
        <v>2.923868910001958E-5</v>
      </c>
      <c r="CB12" s="51">
        <v>2.9491106015792109E-5</v>
      </c>
      <c r="CC12" s="51">
        <v>2.974403013996918E-5</v>
      </c>
      <c r="CD12" s="51">
        <v>2.9997418547630894E-5</v>
      </c>
      <c r="CE12" s="51">
        <v>3.0251285972614444E-5</v>
      </c>
      <c r="CF12" s="51">
        <v>3.0505605048150061E-5</v>
      </c>
      <c r="CG12" s="51">
        <v>3.0760361503078086E-5</v>
      </c>
      <c r="CH12" s="51">
        <v>3.1015537929679432E-5</v>
      </c>
      <c r="CI12" s="51">
        <v>3.1271124426628932E-5</v>
      </c>
      <c r="CJ12" s="51">
        <v>3.152708507740859E-5</v>
      </c>
      <c r="CK12" s="51">
        <v>3.1783371020349179E-5</v>
      </c>
      <c r="CL12" s="51">
        <v>3.2039952017257924E-5</v>
      </c>
      <c r="CM12" s="51">
        <v>3.2296747924272995E-5</v>
      </c>
    </row>
    <row r="13" spans="1:91" x14ac:dyDescent="0.25">
      <c r="A13" s="37"/>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row>
    <row r="14" spans="1:91" x14ac:dyDescent="0.25">
      <c r="A14" s="37" t="s">
        <v>4</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51">
        <v>7.2579400635636128E-5</v>
      </c>
      <c r="AG14" s="51">
        <v>7.2710750357848772E-5</v>
      </c>
      <c r="AH14" s="51">
        <v>7.2835631481469562E-5</v>
      </c>
      <c r="AI14" s="51">
        <v>7.2966844650889425E-5</v>
      </c>
      <c r="AJ14" s="51">
        <v>7.3104359921105733E-5</v>
      </c>
      <c r="AK14" s="51">
        <v>7.3248246864508071E-5</v>
      </c>
      <c r="AL14" s="51">
        <v>7.3398754505103175E-5</v>
      </c>
      <c r="AM14" s="51">
        <v>7.3555626460515322E-5</v>
      </c>
      <c r="AN14" s="51">
        <v>7.3718630250443402E-5</v>
      </c>
      <c r="AO14" s="51">
        <v>7.3887930394828121E-5</v>
      </c>
      <c r="AP14" s="51">
        <v>7.4063048210976443E-5</v>
      </c>
      <c r="AQ14" s="51">
        <v>7.4244147109695115E-5</v>
      </c>
      <c r="AR14" s="51">
        <v>7.4431632375143155E-5</v>
      </c>
      <c r="AS14" s="51">
        <v>7.4625871636400709E-5</v>
      </c>
      <c r="AT14" s="51">
        <v>7.4827372348252132E-5</v>
      </c>
      <c r="AU14" s="51">
        <v>7.5272799341533807E-5</v>
      </c>
      <c r="AV14" s="51">
        <v>7.5653421761369362E-5</v>
      </c>
      <c r="AW14" s="51">
        <v>7.6040193622583865E-5</v>
      </c>
      <c r="AX14" s="51">
        <v>7.6432190906052539E-5</v>
      </c>
      <c r="AY14" s="51">
        <v>7.6828880354967423E-5</v>
      </c>
      <c r="AZ14" s="51">
        <v>7.7229800876962352E-5</v>
      </c>
      <c r="BA14" s="51">
        <v>7.7634910652234077E-5</v>
      </c>
      <c r="BB14" s="51">
        <v>7.8043932027252886E-5</v>
      </c>
      <c r="BC14" s="51">
        <v>7.8456345254956117E-5</v>
      </c>
      <c r="BD14" s="51">
        <v>7.8871802407409408E-5</v>
      </c>
      <c r="BE14" s="51">
        <v>7.9290254340928318E-5</v>
      </c>
      <c r="BF14" s="51">
        <v>7.9711490722035377E-5</v>
      </c>
      <c r="BG14" s="51">
        <v>8.0135788621319673E-5</v>
      </c>
      <c r="BH14" s="51">
        <v>8.0562988302829418E-5</v>
      </c>
      <c r="BI14" s="51">
        <v>8.0993198348850272E-5</v>
      </c>
      <c r="BJ14" s="51">
        <v>8.1426526896724929E-5</v>
      </c>
      <c r="BK14" s="51">
        <v>8.1862876820251466E-5</v>
      </c>
      <c r="BL14" s="51">
        <v>8.2302563022349228E-5</v>
      </c>
      <c r="BM14" s="51">
        <v>8.2745948066426073E-5</v>
      </c>
      <c r="BN14" s="51">
        <v>8.3193150536952967E-5</v>
      </c>
      <c r="BO14" s="51">
        <v>8.3644366820044867E-5</v>
      </c>
      <c r="BP14" s="51">
        <v>8.4099276794272285E-5</v>
      </c>
      <c r="BQ14" s="51">
        <v>8.4557925721439917E-5</v>
      </c>
      <c r="BR14" s="51">
        <v>8.5019750842936146E-5</v>
      </c>
      <c r="BS14" s="51">
        <v>8.8421503654507531E-5</v>
      </c>
      <c r="BT14" s="51">
        <v>8.8842393838757668E-5</v>
      </c>
      <c r="BU14" s="51">
        <v>8.9265303631429454E-5</v>
      </c>
      <c r="BV14" s="51">
        <v>8.968966968738465E-5</v>
      </c>
      <c r="BW14" s="51">
        <v>9.0115191424142366E-5</v>
      </c>
      <c r="BX14" s="51">
        <v>9.0541413440371632E-5</v>
      </c>
      <c r="BY14" s="51">
        <v>9.0968056296699494E-5</v>
      </c>
      <c r="BZ14" s="51">
        <v>9.1395259359980312E-5</v>
      </c>
      <c r="CA14" s="51">
        <v>9.1822763544531668E-5</v>
      </c>
      <c r="CB14" s="51">
        <v>9.2250697448126019E-5</v>
      </c>
      <c r="CC14" s="51">
        <v>9.2678861236957113E-5</v>
      </c>
      <c r="CD14" s="51">
        <v>9.3107437683878698E-5</v>
      </c>
      <c r="CE14" s="51">
        <v>9.3536262752496986E-5</v>
      </c>
      <c r="CF14" s="51">
        <v>9.3965275259047813E-5</v>
      </c>
      <c r="CG14" s="51">
        <v>9.4394518640761839E-5</v>
      </c>
      <c r="CH14" s="51">
        <v>9.4823893052683463E-5</v>
      </c>
      <c r="CI14" s="51">
        <v>9.5253528751421097E-5</v>
      </c>
      <c r="CJ14" s="51">
        <v>9.5683465522345998E-5</v>
      </c>
      <c r="CK14" s="51">
        <v>9.611397100395814E-5</v>
      </c>
      <c r="CL14" s="51">
        <v>9.6545000653288165E-5</v>
      </c>
      <c r="CM14" s="51">
        <v>9.6976999883365017E-5</v>
      </c>
    </row>
    <row r="15" spans="1:91" x14ac:dyDescent="0.25">
      <c r="A15" s="37"/>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row>
    <row r="16" spans="1:91" x14ac:dyDescent="0.25">
      <c r="A16" s="37" t="s">
        <v>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c r="Z16" s="4">
        <v>0</v>
      </c>
      <c r="AA16" s="4">
        <v>0</v>
      </c>
      <c r="AB16" s="4">
        <v>0</v>
      </c>
      <c r="AC16" s="4">
        <v>0</v>
      </c>
      <c r="AD16" s="4">
        <v>0</v>
      </c>
      <c r="AE16" s="4">
        <v>0</v>
      </c>
      <c r="AF16" s="50">
        <v>2.6047124150016419E-5</v>
      </c>
      <c r="AG16" s="50">
        <v>2.5931820509822103E-5</v>
      </c>
      <c r="AH16" s="50">
        <v>2.5817027287951345E-5</v>
      </c>
      <c r="AI16" s="50">
        <v>2.5702742224918969E-5</v>
      </c>
      <c r="AJ16" s="50">
        <v>2.5588963071241946E-5</v>
      </c>
      <c r="AK16" s="50">
        <v>2.5475687587395098E-5</v>
      </c>
      <c r="AL16" s="50">
        <v>2.5362913543767027E-5</v>
      </c>
      <c r="AM16" s="50">
        <v>2.5250638720616227E-5</v>
      </c>
      <c r="AN16" s="50">
        <v>2.5138860908027395E-5</v>
      </c>
      <c r="AO16" s="50">
        <v>2.5027577905867931E-5</v>
      </c>
      <c r="AP16" s="50">
        <v>2.4916787523744632E-5</v>
      </c>
      <c r="AQ16" s="50">
        <v>2.4806487580960574E-5</v>
      </c>
      <c r="AR16" s="50">
        <v>2.4696675906472202E-5</v>
      </c>
      <c r="AS16" s="50">
        <v>2.4587350338846587E-5</v>
      </c>
      <c r="AT16" s="50">
        <v>2.4478508726218878E-5</v>
      </c>
      <c r="AU16" s="24">
        <v>2.4527270636204891E-5</v>
      </c>
      <c r="AV16" s="24">
        <v>2.4548593876562171E-5</v>
      </c>
      <c r="AW16" s="24">
        <v>2.4569924732133882E-5</v>
      </c>
      <c r="AX16" s="24">
        <v>2.4591263205639672E-5</v>
      </c>
      <c r="AY16" s="24">
        <v>2.4612609299800146E-5</v>
      </c>
      <c r="AZ16" s="24">
        <v>2.4633963017336884E-5</v>
      </c>
      <c r="BA16" s="24">
        <v>2.4655324360972442E-5</v>
      </c>
      <c r="BB16" s="24">
        <v>2.467669333343034E-5</v>
      </c>
      <c r="BC16" s="24">
        <v>2.4698069937435075E-5</v>
      </c>
      <c r="BD16" s="24">
        <v>2.4719454175712123E-5</v>
      </c>
      <c r="BE16" s="24">
        <v>2.4740846050987925E-5</v>
      </c>
      <c r="BF16" s="24">
        <v>2.4762245565989893E-5</v>
      </c>
      <c r="BG16" s="24">
        <v>2.4783652723446429E-5</v>
      </c>
      <c r="BH16" s="24">
        <v>2.4805067526086899E-5</v>
      </c>
      <c r="BI16" s="24">
        <v>2.4826489976641633E-5</v>
      </c>
      <c r="BJ16" s="24">
        <v>2.4847920077841963E-5</v>
      </c>
      <c r="BK16" s="24">
        <v>2.4869357832420167E-5</v>
      </c>
      <c r="BL16" s="24">
        <v>2.4890803243109515E-5</v>
      </c>
      <c r="BM16" s="24">
        <v>2.491225631264425E-5</v>
      </c>
      <c r="BN16" s="24">
        <v>2.49337170437596E-5</v>
      </c>
      <c r="BO16" s="24">
        <v>2.4955185439191757E-5</v>
      </c>
      <c r="BP16" s="24">
        <v>2.497666150167789E-5</v>
      </c>
      <c r="BQ16" s="24">
        <v>2.4998145233956152E-5</v>
      </c>
      <c r="BR16" s="24">
        <v>2.5019636638765671E-5</v>
      </c>
      <c r="BS16" s="24">
        <v>2.5041135718846558E-5</v>
      </c>
      <c r="BT16" s="24">
        <v>2.5062642476939903E-5</v>
      </c>
      <c r="BU16" s="24">
        <v>2.5084156915787766E-5</v>
      </c>
      <c r="BV16" s="24">
        <v>2.5105679038133188E-5</v>
      </c>
      <c r="BW16" s="24">
        <v>2.5127208846720193E-5</v>
      </c>
      <c r="BX16" s="24">
        <v>2.5148746344293792E-5</v>
      </c>
      <c r="BY16" s="24">
        <v>2.5170291533599969E-5</v>
      </c>
      <c r="BZ16" s="24">
        <v>2.5191844417385685E-5</v>
      </c>
      <c r="CA16" s="24">
        <v>2.5213404998398886E-5</v>
      </c>
      <c r="CB16" s="24">
        <v>2.5234973279388503E-5</v>
      </c>
      <c r="CC16" s="24">
        <v>2.5256549263104441E-5</v>
      </c>
      <c r="CD16" s="24">
        <v>2.5278132952297586E-5</v>
      </c>
      <c r="CE16" s="24">
        <v>2.5299724349719819E-5</v>
      </c>
      <c r="CF16" s="24">
        <v>2.5321323458123997E-5</v>
      </c>
      <c r="CG16" s="24">
        <v>2.5342930280263964E-5</v>
      </c>
      <c r="CH16" s="24">
        <v>2.5364544818894534E-5</v>
      </c>
      <c r="CI16" s="24">
        <v>2.5386167076771516E-5</v>
      </c>
      <c r="CJ16" s="24">
        <v>2.5407797056651697E-5</v>
      </c>
      <c r="CK16" s="24">
        <v>2.5429434761292858E-5</v>
      </c>
      <c r="CL16" s="24">
        <v>2.5451080193453763E-5</v>
      </c>
      <c r="CM16" s="24">
        <v>2.5472733355894152E-5</v>
      </c>
    </row>
    <row r="17" spans="1:91" x14ac:dyDescent="0.25">
      <c r="A17" s="37" t="s">
        <v>1</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50">
        <v>2.0100000000000001E-4</v>
      </c>
      <c r="AG17" s="50">
        <v>2.0106666666666668E-4</v>
      </c>
      <c r="AH17" s="50">
        <v>2.0113333333333333E-4</v>
      </c>
      <c r="AI17" s="50">
        <v>2.0120000000000001E-4</v>
      </c>
      <c r="AJ17" s="50">
        <v>2.0126666666666666E-4</v>
      </c>
      <c r="AK17" s="50">
        <v>2.0133333333333334E-4</v>
      </c>
      <c r="AL17" s="50">
        <v>2.0140000000000002E-4</v>
      </c>
      <c r="AM17" s="50">
        <v>2.0146666666666667E-4</v>
      </c>
      <c r="AN17" s="50">
        <v>2.0153333333333334E-4</v>
      </c>
      <c r="AO17" s="50">
        <v>2.0159999999999999E-4</v>
      </c>
      <c r="AP17" s="50">
        <v>2.0166666666666667E-4</v>
      </c>
      <c r="AQ17" s="50">
        <v>2.0173333333333335E-4</v>
      </c>
      <c r="AR17" s="50">
        <v>2.018E-4</v>
      </c>
      <c r="AS17" s="50">
        <v>2.0186666666666668E-4</v>
      </c>
      <c r="AT17" s="50">
        <v>2.0193333333333333E-4</v>
      </c>
      <c r="AU17" s="24">
        <v>2.0209666666666669E-4</v>
      </c>
      <c r="AV17" s="24">
        <v>2.0342375000000006E-4</v>
      </c>
      <c r="AW17" s="24">
        <v>2.0475083333333335E-4</v>
      </c>
      <c r="AX17" s="24">
        <v>2.0607791666666671E-4</v>
      </c>
      <c r="AY17" s="24">
        <v>2.0740500000000008E-4</v>
      </c>
      <c r="AZ17" s="24">
        <v>2.0873208333333336E-4</v>
      </c>
      <c r="BA17" s="24">
        <v>2.1005916666666673E-4</v>
      </c>
      <c r="BB17" s="24">
        <v>2.113862500000001E-4</v>
      </c>
      <c r="BC17" s="24">
        <v>2.1271333333333338E-4</v>
      </c>
      <c r="BD17" s="24">
        <v>2.1404041666666675E-4</v>
      </c>
      <c r="BE17" s="24">
        <v>2.1536750000000012E-4</v>
      </c>
      <c r="BF17" s="24">
        <v>2.166945833333334E-4</v>
      </c>
      <c r="BG17" s="24">
        <v>2.1802166666666677E-4</v>
      </c>
      <c r="BH17" s="24">
        <v>2.1934875000000013E-4</v>
      </c>
      <c r="BI17" s="24">
        <v>2.2067583333333342E-4</v>
      </c>
      <c r="BJ17" s="24">
        <v>2.2200291666666679E-4</v>
      </c>
      <c r="BK17" s="24">
        <v>2.2333000000000015E-4</v>
      </c>
      <c r="BL17" s="24">
        <v>2.2465708333333344E-4</v>
      </c>
      <c r="BM17" s="24">
        <v>2.2598416666666681E-4</v>
      </c>
      <c r="BN17" s="24">
        <v>2.2731125000000017E-4</v>
      </c>
      <c r="BO17" s="24">
        <v>2.2863833333333346E-4</v>
      </c>
      <c r="BP17" s="24">
        <v>2.2996541666666682E-4</v>
      </c>
      <c r="BQ17" s="24">
        <v>2.3129250000000019E-4</v>
      </c>
      <c r="BR17" s="24">
        <v>2.3261958333333348E-4</v>
      </c>
      <c r="BS17" s="24">
        <v>2.3394666666666684E-4</v>
      </c>
      <c r="BT17" s="24">
        <v>2.3480416666666687E-4</v>
      </c>
      <c r="BU17" s="24">
        <v>2.3566166666666682E-4</v>
      </c>
      <c r="BV17" s="24">
        <v>2.3651916666666685E-4</v>
      </c>
      <c r="BW17" s="24">
        <v>2.3737666666666688E-4</v>
      </c>
      <c r="BX17" s="24">
        <v>2.3823416666666683E-4</v>
      </c>
      <c r="BY17" s="24">
        <v>2.3909166666666686E-4</v>
      </c>
      <c r="BZ17" s="24">
        <v>2.3994916666666689E-4</v>
      </c>
      <c r="CA17" s="24">
        <v>2.4080666666666692E-4</v>
      </c>
      <c r="CB17" s="24">
        <v>2.4166416666666687E-4</v>
      </c>
      <c r="CC17" s="24">
        <v>2.425216666666669E-4</v>
      </c>
      <c r="CD17" s="24">
        <v>2.4337916666666693E-4</v>
      </c>
      <c r="CE17" s="24">
        <v>2.4423666666666691E-4</v>
      </c>
      <c r="CF17" s="24">
        <v>2.4509416666666691E-4</v>
      </c>
      <c r="CG17" s="24">
        <v>2.4595166666666692E-4</v>
      </c>
      <c r="CH17" s="24">
        <v>2.4680916666666692E-4</v>
      </c>
      <c r="CI17" s="24">
        <v>2.4766666666666687E-4</v>
      </c>
      <c r="CJ17" s="24">
        <v>2.4852416666666687E-4</v>
      </c>
      <c r="CK17" s="24">
        <v>2.4938166666666687E-4</v>
      </c>
      <c r="CL17" s="24">
        <v>2.5023916666666682E-4</v>
      </c>
      <c r="CM17" s="24">
        <v>2.5109666666666683E-4</v>
      </c>
    </row>
    <row r="18" spans="1:91" x14ac:dyDescent="0.25">
      <c r="A18" s="37" t="s">
        <v>2</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50">
        <v>3.1090007506599416E-5</v>
      </c>
      <c r="AG18" s="50">
        <v>3.1214866974497405E-5</v>
      </c>
      <c r="AH18" s="50">
        <v>3.1340227886041568E-5</v>
      </c>
      <c r="AI18" s="50">
        <v>3.1466092255061819E-5</v>
      </c>
      <c r="AJ18" s="50">
        <v>3.1592462103475722E-5</v>
      </c>
      <c r="AK18" s="50">
        <v>3.1719339461321004E-5</v>
      </c>
      <c r="AL18" s="50">
        <v>3.1846726366788155E-5</v>
      </c>
      <c r="AM18" s="50">
        <v>3.1974624866253171E-5</v>
      </c>
      <c r="AN18" s="50">
        <v>3.2103037014310414E-5</v>
      </c>
      <c r="AO18" s="50">
        <v>3.2231964873805633E-5</v>
      </c>
      <c r="AP18" s="50">
        <v>3.2361410515869112E-5</v>
      </c>
      <c r="AQ18" s="50">
        <v>3.2491376019948906E-5</v>
      </c>
      <c r="AR18" s="50">
        <v>3.2621863473844284E-5</v>
      </c>
      <c r="AS18" s="50">
        <v>3.2752874973739242E-5</v>
      </c>
      <c r="AT18" s="50">
        <v>3.288441262423619E-5</v>
      </c>
      <c r="AU18" s="24">
        <v>3.3207974113912413E-5</v>
      </c>
      <c r="AV18" s="24">
        <v>3.3288864486331462E-5</v>
      </c>
      <c r="AW18" s="24">
        <v>3.3369835749122934E-5</v>
      </c>
      <c r="AX18" s="24">
        <v>3.3450887983177203E-5</v>
      </c>
      <c r="AY18" s="24">
        <v>3.3532021269465522E-5</v>
      </c>
      <c r="AZ18" s="24">
        <v>3.3613235689040128E-5</v>
      </c>
      <c r="BA18" s="24">
        <v>3.3694531323034302E-5</v>
      </c>
      <c r="BB18" s="24">
        <v>3.3775908252662486E-5</v>
      </c>
      <c r="BC18" s="24">
        <v>3.3857366559220299E-5</v>
      </c>
      <c r="BD18" s="24">
        <v>3.3938906324084656E-5</v>
      </c>
      <c r="BE18" s="24">
        <v>3.4020527628713876E-5</v>
      </c>
      <c r="BF18" s="24">
        <v>3.4102230554647727E-5</v>
      </c>
      <c r="BG18" s="24">
        <v>3.4184015183507524E-5</v>
      </c>
      <c r="BH18" s="24">
        <v>3.4265881596996182E-5</v>
      </c>
      <c r="BI18" s="24">
        <v>3.4347829876898322E-5</v>
      </c>
      <c r="BJ18" s="24">
        <v>3.4429860105080371E-5</v>
      </c>
      <c r="BK18" s="24">
        <v>3.4511972363490597E-5</v>
      </c>
      <c r="BL18" s="24">
        <v>3.4594166734159236E-5</v>
      </c>
      <c r="BM18" s="24">
        <v>3.4676443299198535E-5</v>
      </c>
      <c r="BN18" s="24">
        <v>3.4758802140802879E-5</v>
      </c>
      <c r="BO18" s="24">
        <v>3.4841243341248831E-5</v>
      </c>
      <c r="BP18" s="24">
        <v>3.4923766982895216E-5</v>
      </c>
      <c r="BQ18" s="24">
        <v>3.5006373148183261E-5</v>
      </c>
      <c r="BR18" s="24">
        <v>3.5089061919636589E-5</v>
      </c>
      <c r="BS18" s="24">
        <v>3.5171833379861369E-5</v>
      </c>
      <c r="BT18" s="24">
        <v>3.5254687611546367E-5</v>
      </c>
      <c r="BU18" s="24">
        <v>3.5337624697463061E-5</v>
      </c>
      <c r="BV18" s="24">
        <v>3.5420644720465657E-5</v>
      </c>
      <c r="BW18" s="24">
        <v>3.5503747763491259E-5</v>
      </c>
      <c r="BX18" s="24">
        <v>3.5586933909559896E-5</v>
      </c>
      <c r="BY18" s="24">
        <v>3.5670203241774602E-5</v>
      </c>
      <c r="BZ18" s="24">
        <v>3.575355584332152E-5</v>
      </c>
      <c r="CA18" s="24">
        <v>3.5836991797469985E-5</v>
      </c>
      <c r="CB18" s="24">
        <v>3.5920511187572593E-5</v>
      </c>
      <c r="CC18" s="24">
        <v>3.6004114097065308E-5</v>
      </c>
      <c r="CD18" s="24">
        <v>3.6087800609467511E-5</v>
      </c>
      <c r="CE18" s="24">
        <v>3.6171570808382118E-5</v>
      </c>
      <c r="CF18" s="24">
        <v>3.6255424777495646E-5</v>
      </c>
      <c r="CG18" s="24">
        <v>3.6339362600578278E-5</v>
      </c>
      <c r="CH18" s="24">
        <v>3.6423384361484006E-5</v>
      </c>
      <c r="CI18" s="24">
        <v>3.6507490144150623E-5</v>
      </c>
      <c r="CJ18" s="24">
        <v>3.6591680032599916E-5</v>
      </c>
      <c r="CK18" s="24">
        <v>3.6675954110937653E-5</v>
      </c>
      <c r="CL18" s="24">
        <v>3.6760312463353728E-5</v>
      </c>
      <c r="CM18" s="24">
        <v>3.6844755174122232E-5</v>
      </c>
    </row>
    <row r="19" spans="1:91" x14ac:dyDescent="0.25">
      <c r="A19" s="37" t="s">
        <v>2</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50">
        <v>1.9058062501626263E-5</v>
      </c>
      <c r="AG19" s="50">
        <v>1.9367949696774658E-5</v>
      </c>
      <c r="AH19" s="50">
        <v>1.9682875708104327E-5</v>
      </c>
      <c r="AI19" s="50">
        <v>2.0002922467585699E-5</v>
      </c>
      <c r="AJ19" s="50">
        <v>2.0328173239416362E-5</v>
      </c>
      <c r="AK19" s="50">
        <v>2.0658712641683296E-5</v>
      </c>
      <c r="AL19" s="50">
        <v>2.0994626668377332E-5</v>
      </c>
      <c r="AM19" s="50">
        <v>2.1336002711765583E-5</v>
      </c>
      <c r="AN19" s="50">
        <v>2.1682929585127624E-5</v>
      </c>
      <c r="AO19" s="50">
        <v>2.2035497545861405E-5</v>
      </c>
      <c r="AP19" s="50">
        <v>2.2393798318964842E-5</v>
      </c>
      <c r="AQ19" s="50">
        <v>2.2757925120899231E-5</v>
      </c>
      <c r="AR19" s="50">
        <v>2.3127972683840682E-5</v>
      </c>
      <c r="AS19" s="50">
        <v>2.3504037280325898E-5</v>
      </c>
      <c r="AT19" s="50">
        <v>2.3886216748298676E-5</v>
      </c>
      <c r="AU19" s="24">
        <v>2.483778148054797E-5</v>
      </c>
      <c r="AV19" s="24">
        <v>2.5254091050907037E-5</v>
      </c>
      <c r="AW19" s="24">
        <v>2.5673314788258621E-5</v>
      </c>
      <c r="AX19" s="24">
        <v>2.6095473091771663E-5</v>
      </c>
      <c r="AY19" s="24">
        <v>2.6520586503409295E-5</v>
      </c>
      <c r="AZ19" s="24">
        <v>2.6948675708928396E-5</v>
      </c>
      <c r="BA19" s="24">
        <v>2.737976153888613E-5</v>
      </c>
      <c r="BB19" s="24">
        <v>2.7813864969653563E-5</v>
      </c>
      <c r="BC19" s="24">
        <v>2.8251007124436367E-5</v>
      </c>
      <c r="BD19" s="24">
        <v>2.8691209274302657E-5</v>
      </c>
      <c r="BE19" s="24">
        <v>2.9134492839218006E-5</v>
      </c>
      <c r="BF19" s="24">
        <v>2.9580879389087765E-5</v>
      </c>
      <c r="BG19" s="24">
        <v>3.0030390644806612E-5</v>
      </c>
      <c r="BH19" s="24">
        <v>3.0483048479315491E-5</v>
      </c>
      <c r="BI19" s="24">
        <v>3.0938874918665932E-5</v>
      </c>
      <c r="BJ19" s="24">
        <v>3.1397892143091828E-5</v>
      </c>
      <c r="BK19" s="24">
        <v>3.1860122488088699E-5</v>
      </c>
      <c r="BL19" s="24">
        <v>3.2325588445500551E-5</v>
      </c>
      <c r="BM19" s="24">
        <v>3.279431266461429E-5</v>
      </c>
      <c r="BN19" s="24">
        <v>3.3266317953261819E-5</v>
      </c>
      <c r="BO19" s="24">
        <v>3.3741627278929884E-5</v>
      </c>
      <c r="BP19" s="24">
        <v>3.4220263769877625E-5</v>
      </c>
      <c r="BQ19" s="24">
        <v>3.4702250716261995E-5</v>
      </c>
      <c r="BR19" s="24">
        <v>3.5187611571271056E-5</v>
      </c>
      <c r="BS19" s="24">
        <v>3.5676369952265181E-5</v>
      </c>
      <c r="BT19" s="24">
        <v>3.6168549641926262E-5</v>
      </c>
      <c r="BU19" s="24">
        <v>3.6664174589414974E-5</v>
      </c>
      <c r="BV19" s="24">
        <v>3.7163268911536108E-5</v>
      </c>
      <c r="BW19" s="24">
        <v>3.7665856893912095E-5</v>
      </c>
      <c r="BX19" s="24">
        <v>3.8171962992164707E-5</v>
      </c>
      <c r="BY19" s="24">
        <v>3.8681611833105085E-5</v>
      </c>
      <c r="BZ19" s="24">
        <v>3.9194828215932059E-5</v>
      </c>
      <c r="CA19" s="24">
        <v>3.9711637113438815E-5</v>
      </c>
      <c r="CB19" s="24">
        <v>4.0232063673228111E-5</v>
      </c>
      <c r="CC19" s="24">
        <v>4.0756133218935944E-5</v>
      </c>
      <c r="CD19" s="24">
        <v>4.128387125146372E-5</v>
      </c>
      <c r="CE19" s="24">
        <v>4.1815303450219195E-5</v>
      </c>
      <c r="CF19" s="24">
        <v>4.2350455674365956E-5</v>
      </c>
      <c r="CG19" s="24">
        <v>4.2889353964081748E-5</v>
      </c>
      <c r="CH19" s="24">
        <v>4.3432024541825556E-5</v>
      </c>
      <c r="CI19" s="24">
        <v>4.397849381361356E-5</v>
      </c>
      <c r="CJ19" s="24">
        <v>4.4528788370304082E-5</v>
      </c>
      <c r="CK19" s="24">
        <v>4.5082934988891445E-5</v>
      </c>
      <c r="CL19" s="24">
        <v>4.5640960633808913E-5</v>
      </c>
      <c r="CM19" s="24">
        <v>4.6202892458240802E-5</v>
      </c>
    </row>
    <row r="20" spans="1:91" x14ac:dyDescent="0.25">
      <c r="A20" s="37"/>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row>
    <row r="21" spans="1:91" x14ac:dyDescent="0.25">
      <c r="A21" s="37" t="s">
        <v>6</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50">
        <v>3.7310549777117386E-5</v>
      </c>
      <c r="AG21" s="50">
        <v>3.7387320455671127E-5</v>
      </c>
      <c r="AH21" s="50">
        <v>3.7464091134224867E-5</v>
      </c>
      <c r="AI21" s="50">
        <v>3.7540861812778601E-5</v>
      </c>
      <c r="AJ21" s="50">
        <v>3.7617632491332342E-5</v>
      </c>
      <c r="AK21" s="50">
        <v>3.7694403169886082E-5</v>
      </c>
      <c r="AL21" s="50">
        <v>3.7771173848439823E-5</v>
      </c>
      <c r="AM21" s="50">
        <v>3.7847944526993563E-5</v>
      </c>
      <c r="AN21" s="50">
        <v>3.7924715205547297E-5</v>
      </c>
      <c r="AO21" s="50">
        <v>3.8001485884101038E-5</v>
      </c>
      <c r="AP21" s="50">
        <v>3.8078256562654778E-5</v>
      </c>
      <c r="AQ21" s="50">
        <v>3.8155027241208519E-5</v>
      </c>
      <c r="AR21" s="50">
        <v>3.823179791976226E-5</v>
      </c>
      <c r="AS21" s="50">
        <v>3.8308568598315993E-5</v>
      </c>
      <c r="AT21" s="50">
        <v>3.8385339276869734E-5</v>
      </c>
      <c r="AU21" s="24">
        <v>3.8573427439326397E-5</v>
      </c>
      <c r="AV21" s="24">
        <v>3.9132068857957175E-5</v>
      </c>
      <c r="AW21" s="24">
        <v>3.9690710276587974E-5</v>
      </c>
      <c r="AX21" s="24">
        <v>4.0249351695218752E-5</v>
      </c>
      <c r="AY21" s="24">
        <v>4.080799311384953E-5</v>
      </c>
      <c r="AZ21" s="24">
        <v>4.1366634532480307E-5</v>
      </c>
      <c r="BA21" s="24">
        <v>4.1925275951111085E-5</v>
      </c>
      <c r="BB21" s="24">
        <v>4.2483917369741884E-5</v>
      </c>
      <c r="BC21" s="24">
        <v>4.3042558788372662E-5</v>
      </c>
      <c r="BD21" s="24">
        <v>4.360120020700344E-5</v>
      </c>
      <c r="BE21" s="24">
        <v>4.4159841625634238E-5</v>
      </c>
      <c r="BF21" s="24">
        <v>4.4718483044265016E-5</v>
      </c>
      <c r="BG21" s="24">
        <v>4.5277124462895794E-5</v>
      </c>
      <c r="BH21" s="24">
        <v>4.5835765881526572E-5</v>
      </c>
      <c r="BI21" s="24">
        <v>4.639440730015735E-5</v>
      </c>
      <c r="BJ21" s="24">
        <v>4.6953048718788148E-5</v>
      </c>
      <c r="BK21" s="24">
        <v>4.7511690137418926E-5</v>
      </c>
      <c r="BL21" s="24">
        <v>4.8070331556049704E-5</v>
      </c>
      <c r="BM21" s="24">
        <v>4.8628972974680502E-5</v>
      </c>
      <c r="BN21" s="24">
        <v>4.918761439331128E-5</v>
      </c>
      <c r="BO21" s="24">
        <v>4.9746255811942058E-5</v>
      </c>
      <c r="BP21" s="24">
        <v>5.0304897230572836E-5</v>
      </c>
      <c r="BQ21" s="24">
        <v>5.0863538649203614E-5</v>
      </c>
      <c r="BR21" s="24">
        <v>5.1422180067834412E-5</v>
      </c>
      <c r="BS21" s="24">
        <v>5.198082148646519E-5</v>
      </c>
      <c r="BT21" s="24">
        <v>5.198082148646519E-5</v>
      </c>
      <c r="BU21" s="24">
        <v>5.198082148646519E-5</v>
      </c>
      <c r="BV21" s="24">
        <v>5.198082148646519E-5</v>
      </c>
      <c r="BW21" s="24">
        <v>5.198082148646519E-5</v>
      </c>
      <c r="BX21" s="24">
        <v>5.198082148646519E-5</v>
      </c>
      <c r="BY21" s="24">
        <v>5.198082148646519E-5</v>
      </c>
      <c r="BZ21" s="24">
        <v>5.198082148646519E-5</v>
      </c>
      <c r="CA21" s="24">
        <v>5.198082148646519E-5</v>
      </c>
      <c r="CB21" s="24">
        <v>5.198082148646519E-5</v>
      </c>
      <c r="CC21" s="24">
        <v>5.198082148646519E-5</v>
      </c>
      <c r="CD21" s="24">
        <v>5.198082148646519E-5</v>
      </c>
      <c r="CE21" s="24">
        <v>5.198082148646519E-5</v>
      </c>
      <c r="CF21" s="24">
        <v>5.198082148646519E-5</v>
      </c>
      <c r="CG21" s="24">
        <v>5.198082148646519E-5</v>
      </c>
      <c r="CH21" s="24">
        <v>5.198082148646519E-5</v>
      </c>
      <c r="CI21" s="24">
        <v>5.198082148646519E-5</v>
      </c>
      <c r="CJ21" s="24">
        <v>5.198082148646519E-5</v>
      </c>
      <c r="CK21" s="24">
        <v>5.198082148646519E-5</v>
      </c>
      <c r="CL21" s="24">
        <v>5.198082148646519E-5</v>
      </c>
      <c r="CM21" s="24">
        <v>5.198082148646519E-5</v>
      </c>
    </row>
    <row r="22" spans="1:91" x14ac:dyDescent="0.25">
      <c r="A22" s="37" t="s">
        <v>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50">
        <v>5.3438335809806834E-5</v>
      </c>
      <c r="AG22" s="50">
        <v>5.3548291233283803E-5</v>
      </c>
      <c r="AH22" s="50">
        <v>5.3658246656760772E-5</v>
      </c>
      <c r="AI22" s="50">
        <v>5.3768202080237741E-5</v>
      </c>
      <c r="AJ22" s="50">
        <v>5.3878157503714709E-5</v>
      </c>
      <c r="AK22" s="50">
        <v>5.3988112927191678E-5</v>
      </c>
      <c r="AL22" s="50">
        <v>5.4098068350668647E-5</v>
      </c>
      <c r="AM22" s="50">
        <v>5.4208023774145616E-5</v>
      </c>
      <c r="AN22" s="50">
        <v>5.4317979197622585E-5</v>
      </c>
      <c r="AO22" s="50">
        <v>5.4427934621099554E-5</v>
      </c>
      <c r="AP22" s="50">
        <v>5.4537890044576523E-5</v>
      </c>
      <c r="AQ22" s="50">
        <v>5.4647845468053492E-5</v>
      </c>
      <c r="AR22" s="50">
        <v>5.4757800891530461E-5</v>
      </c>
      <c r="AS22" s="50">
        <v>5.4867756315007429E-5</v>
      </c>
      <c r="AT22" s="50">
        <v>5.4977711738484398E-5</v>
      </c>
      <c r="AU22" s="24">
        <v>5.5247102526002975E-5</v>
      </c>
      <c r="AV22" s="24">
        <v>5.5324590418986889E-5</v>
      </c>
      <c r="AW22" s="24">
        <v>5.5402078311970795E-5</v>
      </c>
      <c r="AX22" s="24">
        <v>5.5479566204954709E-5</v>
      </c>
      <c r="AY22" s="24">
        <v>5.5557054097938623E-5</v>
      </c>
      <c r="AZ22" s="24">
        <v>5.5634541990922537E-5</v>
      </c>
      <c r="BA22" s="24">
        <v>5.5712029883906443E-5</v>
      </c>
      <c r="BB22" s="24">
        <v>5.5789517776890357E-5</v>
      </c>
      <c r="BC22" s="24">
        <v>5.5867005669874271E-5</v>
      </c>
      <c r="BD22" s="24">
        <v>5.5944493562858178E-5</v>
      </c>
      <c r="BE22" s="24">
        <v>5.6021981455842091E-5</v>
      </c>
      <c r="BF22" s="24">
        <v>5.6099469348826005E-5</v>
      </c>
      <c r="BG22" s="24">
        <v>5.6176957241809919E-5</v>
      </c>
      <c r="BH22" s="24">
        <v>5.6254445134793826E-5</v>
      </c>
      <c r="BI22" s="24">
        <v>5.633193302777774E-5</v>
      </c>
      <c r="BJ22" s="24">
        <v>5.6409420920761653E-5</v>
      </c>
      <c r="BK22" s="24">
        <v>5.648690881374556E-5</v>
      </c>
      <c r="BL22" s="24">
        <v>5.6564396706729474E-5</v>
      </c>
      <c r="BM22" s="24">
        <v>5.6641884599713388E-5</v>
      </c>
      <c r="BN22" s="24">
        <v>5.6719372492697294E-5</v>
      </c>
      <c r="BO22" s="24">
        <v>5.6796860385681208E-5</v>
      </c>
      <c r="BP22" s="24">
        <v>5.6874348278665122E-5</v>
      </c>
      <c r="BQ22" s="24">
        <v>5.6951836171649036E-5</v>
      </c>
      <c r="BR22" s="24">
        <v>5.7029324064632942E-5</v>
      </c>
      <c r="BS22" s="24">
        <v>5.7106811957616856E-5</v>
      </c>
      <c r="BT22" s="24">
        <v>5.7106811957616856E-5</v>
      </c>
      <c r="BU22" s="24">
        <v>5.7106811957616856E-5</v>
      </c>
      <c r="BV22" s="24">
        <v>5.7106811957616856E-5</v>
      </c>
      <c r="BW22" s="24">
        <v>5.7106811957616856E-5</v>
      </c>
      <c r="BX22" s="24">
        <v>5.7106811957616856E-5</v>
      </c>
      <c r="BY22" s="24">
        <v>5.7106811957616856E-5</v>
      </c>
      <c r="BZ22" s="24">
        <v>5.7106811957616856E-5</v>
      </c>
      <c r="CA22" s="24">
        <v>5.7106811957616856E-5</v>
      </c>
      <c r="CB22" s="24">
        <v>5.7106811957616856E-5</v>
      </c>
      <c r="CC22" s="24">
        <v>5.7106811957616856E-5</v>
      </c>
      <c r="CD22" s="24">
        <v>5.7106811957616856E-5</v>
      </c>
      <c r="CE22" s="24">
        <v>5.7106811957616856E-5</v>
      </c>
      <c r="CF22" s="24">
        <v>5.7106811957616856E-5</v>
      </c>
      <c r="CG22" s="24">
        <v>5.7106811957616856E-5</v>
      </c>
      <c r="CH22" s="24">
        <v>5.7106811957616856E-5</v>
      </c>
      <c r="CI22" s="24">
        <v>5.7106811957616856E-5</v>
      </c>
      <c r="CJ22" s="24">
        <v>5.7106811957616856E-5</v>
      </c>
      <c r="CK22" s="24">
        <v>5.7106811957616856E-5</v>
      </c>
      <c r="CL22" s="24">
        <v>5.7106811957616856E-5</v>
      </c>
      <c r="CM22" s="24">
        <v>5.7106811957616856E-5</v>
      </c>
    </row>
    <row r="23" spans="1:91" x14ac:dyDescent="0.25">
      <c r="A23" s="37" t="s">
        <v>1</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50">
        <v>3.8032689450222883E-5</v>
      </c>
      <c r="AG23" s="50">
        <v>3.8110946012877659E-5</v>
      </c>
      <c r="AH23" s="50">
        <v>3.8189202575532442E-5</v>
      </c>
      <c r="AI23" s="50">
        <v>3.8267459138187219E-5</v>
      </c>
      <c r="AJ23" s="50">
        <v>3.8345715700842002E-5</v>
      </c>
      <c r="AK23" s="50">
        <v>3.8423972263496778E-5</v>
      </c>
      <c r="AL23" s="50">
        <v>3.8502228826151561E-5</v>
      </c>
      <c r="AM23" s="50">
        <v>3.8580485388806337E-5</v>
      </c>
      <c r="AN23" s="50">
        <v>3.865874195146112E-5</v>
      </c>
      <c r="AO23" s="50">
        <v>3.8736998514115897E-5</v>
      </c>
      <c r="AP23" s="50">
        <v>3.881525507677068E-5</v>
      </c>
      <c r="AQ23" s="50">
        <v>3.8893511639425456E-5</v>
      </c>
      <c r="AR23" s="50">
        <v>3.8971768202080239E-5</v>
      </c>
      <c r="AS23" s="50">
        <v>3.9050024764735016E-5</v>
      </c>
      <c r="AT23" s="50">
        <v>3.9128281327389799E-5</v>
      </c>
      <c r="AU23" s="24">
        <v>3.9320009905894E-5</v>
      </c>
      <c r="AV23" s="24">
        <v>3.9396964005657025E-5</v>
      </c>
      <c r="AW23" s="24">
        <v>3.9473918105420051E-5</v>
      </c>
      <c r="AX23" s="24">
        <v>3.9550872205183077E-5</v>
      </c>
      <c r="AY23" s="24">
        <v>3.9627826304946103E-5</v>
      </c>
      <c r="AZ23" s="24">
        <v>3.9704780404709129E-5</v>
      </c>
      <c r="BA23" s="24">
        <v>3.9781734504472154E-5</v>
      </c>
      <c r="BB23" s="24">
        <v>3.985868860423518E-5</v>
      </c>
      <c r="BC23" s="24">
        <v>3.9935642703998206E-5</v>
      </c>
      <c r="BD23" s="24">
        <v>4.0012596803761232E-5</v>
      </c>
      <c r="BE23" s="24">
        <v>4.0089550903524258E-5</v>
      </c>
      <c r="BF23" s="24">
        <v>4.0166505003287283E-5</v>
      </c>
      <c r="BG23" s="24">
        <v>4.0243459103050309E-5</v>
      </c>
      <c r="BH23" s="24">
        <v>4.0320413202813335E-5</v>
      </c>
      <c r="BI23" s="24">
        <v>4.0397367302576361E-5</v>
      </c>
      <c r="BJ23" s="24">
        <v>4.0474321402339387E-5</v>
      </c>
      <c r="BK23" s="24">
        <v>4.0551275502102413E-5</v>
      </c>
      <c r="BL23" s="24">
        <v>4.0628229601865438E-5</v>
      </c>
      <c r="BM23" s="24">
        <v>4.0705183701628464E-5</v>
      </c>
      <c r="BN23" s="24">
        <v>4.078213780139149E-5</v>
      </c>
      <c r="BO23" s="24">
        <v>4.0859091901154516E-5</v>
      </c>
      <c r="BP23" s="24">
        <v>4.0936046000917542E-5</v>
      </c>
      <c r="BQ23" s="24">
        <v>4.1013000100680567E-5</v>
      </c>
      <c r="BR23" s="24">
        <v>4.1089954200443593E-5</v>
      </c>
      <c r="BS23" s="24">
        <v>4.1166908300206619E-5</v>
      </c>
      <c r="BT23" s="24">
        <v>4.1166908300206619E-5</v>
      </c>
      <c r="BU23" s="24">
        <v>4.1166908300206619E-5</v>
      </c>
      <c r="BV23" s="24">
        <v>4.1166908300206619E-5</v>
      </c>
      <c r="BW23" s="24">
        <v>4.1166908300206619E-5</v>
      </c>
      <c r="BX23" s="24">
        <v>4.1166908300206619E-5</v>
      </c>
      <c r="BY23" s="24">
        <v>4.1166908300206619E-5</v>
      </c>
      <c r="BZ23" s="24">
        <v>4.1166908300206619E-5</v>
      </c>
      <c r="CA23" s="24">
        <v>4.1166908300206619E-5</v>
      </c>
      <c r="CB23" s="24">
        <v>4.1166908300206619E-5</v>
      </c>
      <c r="CC23" s="24">
        <v>4.1166908300206619E-5</v>
      </c>
      <c r="CD23" s="24">
        <v>4.1166908300206619E-5</v>
      </c>
      <c r="CE23" s="24">
        <v>4.1166908300206619E-5</v>
      </c>
      <c r="CF23" s="24">
        <v>4.1166908300206619E-5</v>
      </c>
      <c r="CG23" s="24">
        <v>4.1166908300206619E-5</v>
      </c>
      <c r="CH23" s="24">
        <v>4.1166908300206619E-5</v>
      </c>
      <c r="CI23" s="24">
        <v>4.1166908300206619E-5</v>
      </c>
      <c r="CJ23" s="24">
        <v>4.1166908300206619E-5</v>
      </c>
      <c r="CK23" s="24">
        <v>4.1166908300206619E-5</v>
      </c>
      <c r="CL23" s="24">
        <v>4.1166908300206619E-5</v>
      </c>
      <c r="CM23" s="24">
        <v>4.1166908300206619E-5</v>
      </c>
    </row>
    <row r="24" spans="1:91" x14ac:dyDescent="0.25">
      <c r="A24" s="37" t="s">
        <v>1</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50">
        <v>3.3218424962852898E-5</v>
      </c>
      <c r="AG24" s="50">
        <v>3.3286775631500744E-5</v>
      </c>
      <c r="AH24" s="50">
        <v>3.3355126300148591E-5</v>
      </c>
      <c r="AI24" s="50">
        <v>3.3423476968796431E-5</v>
      </c>
      <c r="AJ24" s="50">
        <v>3.3491827637444278E-5</v>
      </c>
      <c r="AK24" s="50">
        <v>3.3560178306092124E-5</v>
      </c>
      <c r="AL24" s="50">
        <v>3.3628528974739971E-5</v>
      </c>
      <c r="AM24" s="50">
        <v>3.3696879643387817E-5</v>
      </c>
      <c r="AN24" s="50">
        <v>3.3765230312035657E-5</v>
      </c>
      <c r="AO24" s="50">
        <v>3.3833580980683504E-5</v>
      </c>
      <c r="AP24" s="50">
        <v>3.3901931649331351E-5</v>
      </c>
      <c r="AQ24" s="50">
        <v>3.3970282317979197E-5</v>
      </c>
      <c r="AR24" s="50">
        <v>3.4038632986627044E-5</v>
      </c>
      <c r="AS24" s="50">
        <v>3.4106983655274884E-5</v>
      </c>
      <c r="AT24" s="50">
        <v>3.417533432392273E-5</v>
      </c>
      <c r="AU24" s="24">
        <v>3.4342793462109958E-5</v>
      </c>
      <c r="AV24" s="24">
        <v>3.4522919559545845E-5</v>
      </c>
      <c r="AW24" s="24">
        <v>3.4703045656981732E-5</v>
      </c>
      <c r="AX24" s="24">
        <v>3.4883171754417618E-5</v>
      </c>
      <c r="AY24" s="24">
        <v>3.5063297851853505E-5</v>
      </c>
      <c r="AZ24" s="24">
        <v>3.5243423949289392E-5</v>
      </c>
      <c r="BA24" s="24">
        <v>3.5423550046725279E-5</v>
      </c>
      <c r="BB24" s="24">
        <v>3.5603676144161152E-5</v>
      </c>
      <c r="BC24" s="24">
        <v>3.5783802241597039E-5</v>
      </c>
      <c r="BD24" s="24">
        <v>3.5963928339032926E-5</v>
      </c>
      <c r="BE24" s="24">
        <v>3.6144054436468813E-5</v>
      </c>
      <c r="BF24" s="24">
        <v>3.63241805339047E-5</v>
      </c>
      <c r="BG24" s="24">
        <v>3.6504306631340587E-5</v>
      </c>
      <c r="BH24" s="24">
        <v>3.6684432728776473E-5</v>
      </c>
      <c r="BI24" s="24">
        <v>3.686455882621236E-5</v>
      </c>
      <c r="BJ24" s="24">
        <v>3.7044684923648247E-5</v>
      </c>
      <c r="BK24" s="24">
        <v>3.7224811021084134E-5</v>
      </c>
      <c r="BL24" s="24">
        <v>3.7404937118520021E-5</v>
      </c>
      <c r="BM24" s="24">
        <v>3.7585063215955894E-5</v>
      </c>
      <c r="BN24" s="24">
        <v>3.7765189313391781E-5</v>
      </c>
      <c r="BO24" s="24">
        <v>3.7945315410827668E-5</v>
      </c>
      <c r="BP24" s="24">
        <v>3.8125441508263555E-5</v>
      </c>
      <c r="BQ24" s="24">
        <v>3.8305567605699441E-5</v>
      </c>
      <c r="BR24" s="24">
        <v>3.8485693703135328E-5</v>
      </c>
      <c r="BS24" s="24">
        <v>3.8665819800571215E-5</v>
      </c>
      <c r="BT24" s="24">
        <v>3.8665819800571215E-5</v>
      </c>
      <c r="BU24" s="24">
        <v>3.8665819800571215E-5</v>
      </c>
      <c r="BV24" s="24">
        <v>3.8665819800571215E-5</v>
      </c>
      <c r="BW24" s="24">
        <v>3.8665819800571215E-5</v>
      </c>
      <c r="BX24" s="24">
        <v>3.8665819800571215E-5</v>
      </c>
      <c r="BY24" s="24">
        <v>3.8665819800571215E-5</v>
      </c>
      <c r="BZ24" s="24">
        <v>3.8665819800571215E-5</v>
      </c>
      <c r="CA24" s="24">
        <v>3.8665819800571215E-5</v>
      </c>
      <c r="CB24" s="24">
        <v>3.8665819800571215E-5</v>
      </c>
      <c r="CC24" s="24">
        <v>3.8665819800571215E-5</v>
      </c>
      <c r="CD24" s="24">
        <v>3.8665819800571215E-5</v>
      </c>
      <c r="CE24" s="24">
        <v>3.8665819800571215E-5</v>
      </c>
      <c r="CF24" s="24">
        <v>3.8665819800571215E-5</v>
      </c>
      <c r="CG24" s="24">
        <v>3.8665819800571215E-5</v>
      </c>
      <c r="CH24" s="24">
        <v>3.8665819800571215E-5</v>
      </c>
      <c r="CI24" s="24">
        <v>3.8665819800571215E-5</v>
      </c>
      <c r="CJ24" s="24">
        <v>3.8665819800571215E-5</v>
      </c>
      <c r="CK24" s="24">
        <v>3.8665819800571215E-5</v>
      </c>
      <c r="CL24" s="24">
        <v>3.8665819800571215E-5</v>
      </c>
      <c r="CM24" s="24">
        <v>3.8665819800571215E-5</v>
      </c>
    </row>
    <row r="25" spans="1:91" x14ac:dyDescent="0.25">
      <c r="A25" s="37" t="s">
        <v>1</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50">
        <v>1.5999999999999999E-5</v>
      </c>
      <c r="AG25" s="50">
        <v>1.6200000000000001E-5</v>
      </c>
      <c r="AH25" s="50">
        <v>1.6399999999999999E-5</v>
      </c>
      <c r="AI25" s="50">
        <v>1.66E-5</v>
      </c>
      <c r="AJ25" s="50">
        <v>1.6799999999999998E-5</v>
      </c>
      <c r="AK25" s="50">
        <v>1.7E-5</v>
      </c>
      <c r="AL25" s="50">
        <v>1.7200000000000001E-5</v>
      </c>
      <c r="AM25" s="50">
        <v>1.7399999999999999E-5</v>
      </c>
      <c r="AN25" s="50">
        <v>1.7600000000000001E-5</v>
      </c>
      <c r="AO25" s="50">
        <v>1.7799999999999999E-5</v>
      </c>
      <c r="AP25" s="50">
        <v>1.8E-5</v>
      </c>
      <c r="AQ25" s="50">
        <v>1.8200000000000002E-5</v>
      </c>
      <c r="AR25" s="50">
        <v>1.84E-5</v>
      </c>
      <c r="AS25" s="50">
        <v>1.8600000000000001E-5</v>
      </c>
      <c r="AT25" s="50">
        <v>1.88E-5</v>
      </c>
      <c r="AU25" s="24">
        <v>1.9290000000000003E-5</v>
      </c>
      <c r="AV25" s="24">
        <v>1.9392083333333337E-5</v>
      </c>
      <c r="AW25" s="24">
        <v>1.949416666666667E-5</v>
      </c>
      <c r="AX25" s="24">
        <v>1.9596250000000004E-5</v>
      </c>
      <c r="AY25" s="24">
        <v>1.9698333333333338E-5</v>
      </c>
      <c r="AZ25" s="24">
        <v>1.9800416666666671E-5</v>
      </c>
      <c r="BA25" s="24">
        <v>1.9902500000000005E-5</v>
      </c>
      <c r="BB25" s="24">
        <v>2.0004583333333338E-5</v>
      </c>
      <c r="BC25" s="24">
        <v>2.0106666666666672E-5</v>
      </c>
      <c r="BD25" s="24">
        <v>2.0208750000000005E-5</v>
      </c>
      <c r="BE25" s="24">
        <v>2.0310833333333339E-5</v>
      </c>
      <c r="BF25" s="24">
        <v>2.0412916666666672E-5</v>
      </c>
      <c r="BG25" s="24">
        <v>2.0515000000000006E-5</v>
      </c>
      <c r="BH25" s="24">
        <v>2.0617083333333346E-5</v>
      </c>
      <c r="BI25" s="24">
        <v>2.071916666666668E-5</v>
      </c>
      <c r="BJ25" s="24">
        <v>2.0821250000000013E-5</v>
      </c>
      <c r="BK25" s="24">
        <v>2.0923333333333347E-5</v>
      </c>
      <c r="BL25" s="24">
        <v>2.1025416666666681E-5</v>
      </c>
      <c r="BM25" s="24">
        <v>2.1127500000000014E-5</v>
      </c>
      <c r="BN25" s="24">
        <v>2.1229583333333348E-5</v>
      </c>
      <c r="BO25" s="24">
        <v>2.1331666666666681E-5</v>
      </c>
      <c r="BP25" s="24">
        <v>2.1433750000000015E-5</v>
      </c>
      <c r="BQ25" s="24">
        <v>2.1535833333333348E-5</v>
      </c>
      <c r="BR25" s="24">
        <v>2.1637916666666682E-5</v>
      </c>
      <c r="BS25" s="24">
        <v>2.1740000000000015E-5</v>
      </c>
      <c r="BT25" s="24">
        <v>2.186250000000002E-5</v>
      </c>
      <c r="BU25" s="24">
        <v>2.1985000000000014E-5</v>
      </c>
      <c r="BV25" s="24">
        <v>2.2107500000000018E-5</v>
      </c>
      <c r="BW25" s="24">
        <v>2.2230000000000012E-5</v>
      </c>
      <c r="BX25" s="24">
        <v>2.2352500000000017E-5</v>
      </c>
      <c r="BY25" s="24">
        <v>2.2475000000000021E-5</v>
      </c>
      <c r="BZ25" s="24">
        <v>2.2597500000000015E-5</v>
      </c>
      <c r="CA25" s="24">
        <v>2.272000000000002E-5</v>
      </c>
      <c r="CB25" s="24">
        <v>2.2842500000000014E-5</v>
      </c>
      <c r="CC25" s="24">
        <v>2.2965000000000018E-5</v>
      </c>
      <c r="CD25" s="24">
        <v>2.3087500000000022E-5</v>
      </c>
      <c r="CE25" s="24">
        <v>2.3210000000000017E-5</v>
      </c>
      <c r="CF25" s="24">
        <v>2.3332500000000021E-5</v>
      </c>
      <c r="CG25" s="24">
        <v>2.3455000000000015E-5</v>
      </c>
      <c r="CH25" s="24">
        <v>2.3577500000000019E-5</v>
      </c>
      <c r="CI25" s="24">
        <v>2.3700000000000024E-5</v>
      </c>
      <c r="CJ25" s="24">
        <v>2.3822500000000018E-5</v>
      </c>
      <c r="CK25" s="24">
        <v>2.3945000000000022E-5</v>
      </c>
      <c r="CL25" s="24">
        <v>2.4067500000000016E-5</v>
      </c>
      <c r="CM25" s="24">
        <v>2.4190000000000021E-5</v>
      </c>
    </row>
    <row r="26" spans="1:91" x14ac:dyDescent="0.25">
      <c r="A26" s="37" t="s">
        <v>1</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50">
        <v>3.6000000000000001E-5</v>
      </c>
      <c r="AG26" s="50">
        <v>3.5866666666666667E-5</v>
      </c>
      <c r="AH26" s="50">
        <v>3.5733333333333332E-5</v>
      </c>
      <c r="AI26" s="50">
        <v>3.5599999999999998E-5</v>
      </c>
      <c r="AJ26" s="50">
        <v>3.546666666666667E-5</v>
      </c>
      <c r="AK26" s="50">
        <v>3.5333333333333336E-5</v>
      </c>
      <c r="AL26" s="50">
        <v>3.5200000000000002E-5</v>
      </c>
      <c r="AM26" s="50">
        <v>3.5066666666666667E-5</v>
      </c>
      <c r="AN26" s="50">
        <v>3.4933333333333333E-5</v>
      </c>
      <c r="AO26" s="50">
        <v>3.4799999999999999E-5</v>
      </c>
      <c r="AP26" s="50">
        <v>3.4666666666666665E-5</v>
      </c>
      <c r="AQ26" s="50">
        <v>3.453333333333333E-5</v>
      </c>
      <c r="AR26" s="50">
        <v>3.4400000000000003E-5</v>
      </c>
      <c r="AS26" s="50">
        <v>3.4266666666666668E-5</v>
      </c>
      <c r="AT26" s="50">
        <v>3.4133333333333334E-5</v>
      </c>
      <c r="AU26" s="24">
        <v>3.4193333333333337E-5</v>
      </c>
      <c r="AV26" s="24">
        <v>3.4212083333333334E-5</v>
      </c>
      <c r="AW26" s="24">
        <v>3.4230833333333338E-5</v>
      </c>
      <c r="AX26" s="24">
        <v>3.4249583333333342E-5</v>
      </c>
      <c r="AY26" s="24">
        <v>3.4268333333333339E-5</v>
      </c>
      <c r="AZ26" s="24">
        <v>3.4287083333333336E-5</v>
      </c>
      <c r="BA26" s="24">
        <v>3.430583333333334E-5</v>
      </c>
      <c r="BB26" s="24">
        <v>3.4324583333333343E-5</v>
      </c>
      <c r="BC26" s="24">
        <v>3.4343333333333341E-5</v>
      </c>
      <c r="BD26" s="24">
        <v>3.4362083333333338E-5</v>
      </c>
      <c r="BE26" s="24">
        <v>3.4380833333333341E-5</v>
      </c>
      <c r="BF26" s="24">
        <v>3.4399583333333345E-5</v>
      </c>
      <c r="BG26" s="24">
        <v>3.4418333333333342E-5</v>
      </c>
      <c r="BH26" s="24">
        <v>3.4437083333333339E-5</v>
      </c>
      <c r="BI26" s="24">
        <v>3.4455833333333343E-5</v>
      </c>
      <c r="BJ26" s="24">
        <v>3.4474583333333347E-5</v>
      </c>
      <c r="BK26" s="24">
        <v>3.4493333333333344E-5</v>
      </c>
      <c r="BL26" s="24">
        <v>3.4512083333333341E-5</v>
      </c>
      <c r="BM26" s="24">
        <v>3.4530833333333345E-5</v>
      </c>
      <c r="BN26" s="24">
        <v>3.4549583333333349E-5</v>
      </c>
      <c r="BO26" s="24">
        <v>3.4568333333333346E-5</v>
      </c>
      <c r="BP26" s="24">
        <v>3.4587083333333343E-5</v>
      </c>
      <c r="BQ26" s="24">
        <v>3.4605833333333347E-5</v>
      </c>
      <c r="BR26" s="24">
        <v>3.4624583333333351E-5</v>
      </c>
      <c r="BS26" s="24">
        <v>3.4643333333333348E-5</v>
      </c>
      <c r="BT26" s="24">
        <v>3.4643333333333348E-5</v>
      </c>
      <c r="BU26" s="24">
        <v>3.4643333333333348E-5</v>
      </c>
      <c r="BV26" s="24">
        <v>3.4643333333333348E-5</v>
      </c>
      <c r="BW26" s="24">
        <v>3.4643333333333348E-5</v>
      </c>
      <c r="BX26" s="24">
        <v>3.4643333333333348E-5</v>
      </c>
      <c r="BY26" s="24">
        <v>3.4643333333333348E-5</v>
      </c>
      <c r="BZ26" s="24">
        <v>3.4643333333333348E-5</v>
      </c>
      <c r="CA26" s="24">
        <v>3.4643333333333348E-5</v>
      </c>
      <c r="CB26" s="24">
        <v>3.4643333333333348E-5</v>
      </c>
      <c r="CC26" s="24">
        <v>3.4643333333333348E-5</v>
      </c>
      <c r="CD26" s="24">
        <v>3.4643333333333348E-5</v>
      </c>
      <c r="CE26" s="24">
        <v>3.4643333333333348E-5</v>
      </c>
      <c r="CF26" s="24">
        <v>3.4643333333333348E-5</v>
      </c>
      <c r="CG26" s="24">
        <v>3.4643333333333348E-5</v>
      </c>
      <c r="CH26" s="24">
        <v>3.4643333333333348E-5</v>
      </c>
      <c r="CI26" s="24">
        <v>3.4643333333333348E-5</v>
      </c>
      <c r="CJ26" s="24">
        <v>3.4643333333333348E-5</v>
      </c>
      <c r="CK26" s="24">
        <v>3.4643333333333348E-5</v>
      </c>
      <c r="CL26" s="24">
        <v>3.4643333333333348E-5</v>
      </c>
      <c r="CM26" s="24">
        <v>3.4643333333333348E-5</v>
      </c>
    </row>
    <row r="27" spans="1:91" x14ac:dyDescent="0.25">
      <c r="A27" s="37"/>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row>
    <row r="28" spans="1:91" x14ac:dyDescent="0.25">
      <c r="A28" s="37" t="s">
        <v>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50">
        <v>8.0900000000000001E-5</v>
      </c>
      <c r="AG28" s="50">
        <v>8.0833333333333338E-5</v>
      </c>
      <c r="AH28" s="50">
        <v>8.0766666666666674E-5</v>
      </c>
      <c r="AI28" s="50">
        <v>8.0699999999999996E-5</v>
      </c>
      <c r="AJ28" s="50">
        <v>8.0633333333333333E-5</v>
      </c>
      <c r="AK28" s="50">
        <v>8.0566666666666669E-5</v>
      </c>
      <c r="AL28" s="50">
        <v>8.0500000000000005E-5</v>
      </c>
      <c r="AM28" s="50">
        <v>8.0433333333333341E-5</v>
      </c>
      <c r="AN28" s="50">
        <v>8.0366666666666664E-5</v>
      </c>
      <c r="AO28" s="50">
        <v>8.03E-5</v>
      </c>
      <c r="AP28" s="50">
        <v>8.0233333333333337E-5</v>
      </c>
      <c r="AQ28" s="50">
        <v>8.0166666666666673E-5</v>
      </c>
      <c r="AR28" s="50">
        <v>8.0100000000000009E-5</v>
      </c>
      <c r="AS28" s="50">
        <v>8.0033333333333332E-5</v>
      </c>
      <c r="AT28" s="50">
        <v>7.9966666666666668E-5</v>
      </c>
      <c r="AU28" s="24">
        <v>7.9996666666666666E-5</v>
      </c>
      <c r="AV28" s="24">
        <v>8.0045757575757575E-5</v>
      </c>
      <c r="AW28" s="24">
        <v>8.0094848484848485E-5</v>
      </c>
      <c r="AX28" s="24">
        <v>8.0143939393939395E-5</v>
      </c>
      <c r="AY28" s="24">
        <v>8.0193030303030304E-5</v>
      </c>
      <c r="AZ28" s="24">
        <v>8.0242121212121214E-5</v>
      </c>
      <c r="BA28" s="24">
        <v>8.0291212121212123E-5</v>
      </c>
      <c r="BB28" s="24">
        <v>8.0340303030303033E-5</v>
      </c>
      <c r="BC28" s="24">
        <v>8.0389393939393942E-5</v>
      </c>
      <c r="BD28" s="24">
        <v>8.0438484848484852E-5</v>
      </c>
      <c r="BE28" s="24">
        <v>8.0487575757575761E-5</v>
      </c>
      <c r="BF28" s="24">
        <v>8.0536666666666671E-5</v>
      </c>
      <c r="BG28" s="24">
        <v>8.058575757575758E-5</v>
      </c>
      <c r="BH28" s="24">
        <v>8.063484848484849E-5</v>
      </c>
      <c r="BI28" s="24">
        <v>8.06839393939394E-5</v>
      </c>
      <c r="BJ28" s="24">
        <v>8.0733030303030309E-5</v>
      </c>
      <c r="BK28" s="24">
        <v>8.0782121212121219E-5</v>
      </c>
      <c r="BL28" s="24">
        <v>8.0831212121212128E-5</v>
      </c>
      <c r="BM28" s="24">
        <v>8.0880303030303038E-5</v>
      </c>
      <c r="BN28" s="24">
        <v>8.0929393939393947E-5</v>
      </c>
      <c r="BO28" s="24">
        <v>8.0978484848484857E-5</v>
      </c>
      <c r="BP28" s="24">
        <v>8.1027575757575766E-5</v>
      </c>
      <c r="BQ28" s="24">
        <v>8.1076666666666676E-5</v>
      </c>
      <c r="BR28" s="24">
        <v>8.1125757575757585E-5</v>
      </c>
      <c r="BS28" s="24">
        <v>8.1751666666666679E-5</v>
      </c>
      <c r="BT28" s="24">
        <v>8.1771916666666686E-5</v>
      </c>
      <c r="BU28" s="24">
        <v>8.1792166666666693E-5</v>
      </c>
      <c r="BV28" s="24">
        <v>8.1812416666666687E-5</v>
      </c>
      <c r="BW28" s="24">
        <v>8.1832666666666694E-5</v>
      </c>
      <c r="BX28" s="24">
        <v>8.1852916666666701E-5</v>
      </c>
      <c r="BY28" s="24">
        <v>8.1873166666666694E-5</v>
      </c>
      <c r="BZ28" s="24">
        <v>8.1893416666666702E-5</v>
      </c>
      <c r="CA28" s="24">
        <v>8.1913666666666709E-5</v>
      </c>
      <c r="CB28" s="24">
        <v>8.1933916666666716E-5</v>
      </c>
      <c r="CC28" s="24">
        <v>8.1954166666666723E-5</v>
      </c>
      <c r="CD28" s="24">
        <v>8.1974416666666717E-5</v>
      </c>
      <c r="CE28" s="24">
        <v>8.1994666666666724E-5</v>
      </c>
      <c r="CF28" s="24">
        <v>8.2014916666666731E-5</v>
      </c>
      <c r="CG28" s="24">
        <v>8.2035166666666724E-5</v>
      </c>
      <c r="CH28" s="24">
        <v>8.2055416666666732E-5</v>
      </c>
      <c r="CI28" s="24">
        <v>8.2075666666666739E-5</v>
      </c>
      <c r="CJ28" s="24">
        <v>8.2095916666666746E-5</v>
      </c>
      <c r="CK28" s="24">
        <v>8.2116166666666753E-5</v>
      </c>
      <c r="CL28" s="24">
        <v>8.2136416666666747E-5</v>
      </c>
      <c r="CM28" s="24">
        <v>8.2156666666666754E-5</v>
      </c>
    </row>
    <row r="30" spans="1:91" x14ac:dyDescent="0.25">
      <c r="A30" s="13" t="s">
        <v>13</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0">
        <v>2.8586557155908612E-3</v>
      </c>
      <c r="AG30" s="40">
        <v>2.909963886131464E-3</v>
      </c>
      <c r="AH30" s="40">
        <v>2.9612720566720677E-3</v>
      </c>
      <c r="AI30" s="40">
        <v>3.0125802272126705E-3</v>
      </c>
      <c r="AJ30" s="40">
        <v>3.0638883977532742E-3</v>
      </c>
      <c r="AK30" s="40">
        <v>3.1151965682938766E-3</v>
      </c>
      <c r="AL30" s="40">
        <v>3.1665047388344802E-3</v>
      </c>
      <c r="AM30" s="40">
        <v>3.2178129093750835E-3</v>
      </c>
      <c r="AN30" s="40">
        <v>3.2691210799156863E-3</v>
      </c>
      <c r="AO30" s="40">
        <v>3.3204292504562887E-3</v>
      </c>
      <c r="AP30" s="40">
        <v>3.3717374209968911E-3</v>
      </c>
      <c r="AQ30" s="40">
        <v>3.4230455915374956E-3</v>
      </c>
      <c r="AR30" s="40">
        <v>3.474353762078098E-3</v>
      </c>
      <c r="AS30" s="40">
        <v>3.5256619326187004E-3</v>
      </c>
      <c r="AT30" s="40">
        <v>3.5769701031593041E-3</v>
      </c>
      <c r="AU30" s="40">
        <v>3.6282782736999073E-3</v>
      </c>
      <c r="AV30" s="40">
        <v>3.6601435786098075E-3</v>
      </c>
      <c r="AW30" s="40">
        <v>3.6920088835197063E-3</v>
      </c>
      <c r="AX30" s="40">
        <v>3.7238741884296055E-3</v>
      </c>
      <c r="AY30" s="40">
        <v>3.7557394933395052E-3</v>
      </c>
      <c r="AZ30" s="40">
        <v>3.7876047982494045E-3</v>
      </c>
      <c r="BA30" s="40">
        <v>3.8194701031593042E-3</v>
      </c>
      <c r="BB30" s="40">
        <v>3.8513354080692043E-3</v>
      </c>
      <c r="BC30" s="40">
        <v>3.8832007129791031E-3</v>
      </c>
      <c r="BD30" s="40">
        <v>3.9150660178890037E-3</v>
      </c>
      <c r="BE30" s="40">
        <v>3.9469313227989029E-3</v>
      </c>
      <c r="BF30" s="40">
        <v>3.9787966277088022E-3</v>
      </c>
      <c r="BG30" s="40">
        <v>4.0106619326187015E-3</v>
      </c>
      <c r="BH30" s="40">
        <v>4.0425272375286016E-3</v>
      </c>
      <c r="BI30" s="40">
        <v>4.0743925424385008E-3</v>
      </c>
      <c r="BJ30" s="40">
        <v>4.1062578473483992E-3</v>
      </c>
      <c r="BK30" s="40">
        <v>4.1381231522582993E-3</v>
      </c>
      <c r="BL30" s="40">
        <v>4.1699884571681986E-3</v>
      </c>
      <c r="BM30" s="40">
        <v>4.2018537620780979E-3</v>
      </c>
      <c r="BN30" s="40">
        <v>4.233719066987998E-3</v>
      </c>
      <c r="BO30" s="40">
        <v>4.2655843718978972E-3</v>
      </c>
      <c r="BP30" s="40">
        <v>4.2974496768077956E-3</v>
      </c>
      <c r="BQ30" s="40">
        <v>4.3293149817176958E-3</v>
      </c>
      <c r="BR30" s="40">
        <v>4.3611802866275959E-3</v>
      </c>
      <c r="BS30" s="40">
        <v>4.3930455915374969E-3</v>
      </c>
      <c r="BT30" s="40">
        <v>4.4249108964473944E-3</v>
      </c>
      <c r="BU30" s="40">
        <v>4.4567762013572945E-3</v>
      </c>
      <c r="BV30" s="40">
        <v>4.4886415062671938E-3</v>
      </c>
      <c r="BW30" s="40">
        <v>4.520506811177093E-3</v>
      </c>
      <c r="BX30" s="40">
        <v>4.5523721160869923E-3</v>
      </c>
      <c r="BY30" s="40">
        <v>4.5842374209968924E-3</v>
      </c>
      <c r="BZ30" s="40">
        <v>4.6161027259067908E-3</v>
      </c>
      <c r="CA30" s="40">
        <v>4.6479680308166918E-3</v>
      </c>
      <c r="CB30" s="40">
        <v>4.6798333357265902E-3</v>
      </c>
      <c r="CC30" s="40">
        <v>4.7116986406364903E-3</v>
      </c>
      <c r="CD30" s="40">
        <v>4.7435639455463896E-3</v>
      </c>
      <c r="CE30" s="40">
        <v>4.7754292504562897E-3</v>
      </c>
      <c r="CF30" s="40">
        <v>4.8072945553661881E-3</v>
      </c>
      <c r="CG30" s="40">
        <v>4.8391598602760891E-3</v>
      </c>
      <c r="CH30" s="40">
        <v>4.8710251651859866E-3</v>
      </c>
      <c r="CI30" s="40">
        <v>4.9028904700958876E-3</v>
      </c>
      <c r="CJ30" s="40">
        <v>4.9347557750057851E-3</v>
      </c>
      <c r="CK30" s="40">
        <v>4.9666210799156861E-3</v>
      </c>
      <c r="CL30" s="40">
        <v>4.9984863848255862E-3</v>
      </c>
      <c r="CM30" s="40">
        <v>5.0303516897354846E-3</v>
      </c>
    </row>
    <row r="31" spans="1:91" x14ac:dyDescent="0.25">
      <c r="A31" s="13" t="s">
        <v>1</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40">
        <v>2.21991625074704E-3</v>
      </c>
      <c r="AG31" s="40">
        <v>2.2566263371078163E-3</v>
      </c>
      <c r="AH31" s="40">
        <v>2.2933364234685931E-3</v>
      </c>
      <c r="AI31" s="40">
        <v>2.3300465098293689E-3</v>
      </c>
      <c r="AJ31" s="40">
        <v>2.3667565961901457E-3</v>
      </c>
      <c r="AK31" s="40">
        <v>2.403466682550922E-3</v>
      </c>
      <c r="AL31" s="40">
        <v>2.4401767689116983E-3</v>
      </c>
      <c r="AM31" s="40">
        <v>2.4768868552724754E-3</v>
      </c>
      <c r="AN31" s="40">
        <v>2.5135969416332517E-3</v>
      </c>
      <c r="AO31" s="40">
        <v>2.5503070279940276E-3</v>
      </c>
      <c r="AP31" s="40">
        <v>2.5870171143548043E-3</v>
      </c>
      <c r="AQ31" s="40">
        <v>2.6237272007155811E-3</v>
      </c>
      <c r="AR31" s="40">
        <v>2.6604372870763569E-3</v>
      </c>
      <c r="AS31" s="40">
        <v>2.6971473734371336E-3</v>
      </c>
      <c r="AT31" s="40">
        <v>2.7338574597979095E-3</v>
      </c>
      <c r="AU31" s="40">
        <v>2.7705675461586858E-3</v>
      </c>
      <c r="AV31" s="40">
        <v>2.7941732069956472E-3</v>
      </c>
      <c r="AW31" s="40">
        <v>2.8177788678326082E-3</v>
      </c>
      <c r="AX31" s="40">
        <v>2.8413845286695688E-3</v>
      </c>
      <c r="AY31" s="40">
        <v>2.8649901895065294E-3</v>
      </c>
      <c r="AZ31" s="40">
        <v>2.8885958503434904E-3</v>
      </c>
      <c r="BA31" s="40">
        <v>2.9122015111804514E-3</v>
      </c>
      <c r="BB31" s="40">
        <v>2.9358071720174115E-3</v>
      </c>
      <c r="BC31" s="40">
        <v>2.9594128328543738E-3</v>
      </c>
      <c r="BD31" s="40">
        <v>2.9830184936913344E-3</v>
      </c>
      <c r="BE31" s="40">
        <v>3.0066241545282949E-3</v>
      </c>
      <c r="BF31" s="40">
        <v>3.030229815365256E-3</v>
      </c>
      <c r="BG31" s="40">
        <v>3.0538354762022174E-3</v>
      </c>
      <c r="BH31" s="40">
        <v>3.0774411370391771E-3</v>
      </c>
      <c r="BI31" s="40">
        <v>3.1010467978761381E-3</v>
      </c>
      <c r="BJ31" s="40">
        <v>3.1246524587130987E-3</v>
      </c>
      <c r="BK31" s="40">
        <v>3.1482581195500597E-3</v>
      </c>
      <c r="BL31" s="40">
        <v>3.1718637803870211E-3</v>
      </c>
      <c r="BM31" s="40">
        <v>3.1954694412239821E-3</v>
      </c>
      <c r="BN31" s="40">
        <v>3.2190751020609435E-3</v>
      </c>
      <c r="BO31" s="40">
        <v>3.2426807628979037E-3</v>
      </c>
      <c r="BP31" s="40">
        <v>3.2662864237348651E-3</v>
      </c>
      <c r="BQ31" s="40">
        <v>3.2898920845718252E-3</v>
      </c>
      <c r="BR31" s="40">
        <v>3.3134977454087858E-3</v>
      </c>
      <c r="BS31" s="40">
        <v>3.3371034062457468E-3</v>
      </c>
      <c r="BT31" s="40">
        <v>3.3607090670827078E-3</v>
      </c>
      <c r="BU31" s="40">
        <v>3.3843147279196684E-3</v>
      </c>
      <c r="BV31" s="40">
        <v>3.4079203887566302E-3</v>
      </c>
      <c r="BW31" s="40">
        <v>3.4315260495935899E-3</v>
      </c>
      <c r="BX31" s="40">
        <v>3.4551317104305514E-3</v>
      </c>
      <c r="BY31" s="40">
        <v>3.4787373712675128E-3</v>
      </c>
      <c r="BZ31" s="40">
        <v>3.5023430321044729E-3</v>
      </c>
      <c r="CA31" s="40">
        <v>3.5259486929414339E-3</v>
      </c>
      <c r="CB31" s="40">
        <v>3.5495543537783945E-3</v>
      </c>
      <c r="CC31" s="40">
        <v>3.5731600146153551E-3</v>
      </c>
      <c r="CD31" s="40">
        <v>3.5967656754523165E-3</v>
      </c>
      <c r="CE31" s="40">
        <v>3.6203713362892771E-3</v>
      </c>
      <c r="CF31" s="40">
        <v>3.6439769971262381E-3</v>
      </c>
      <c r="CG31" s="40">
        <v>3.6675826579631995E-3</v>
      </c>
      <c r="CH31" s="40">
        <v>3.6911883188001609E-3</v>
      </c>
      <c r="CI31" s="40">
        <v>3.7147939796371206E-3</v>
      </c>
      <c r="CJ31" s="40">
        <v>3.7383996404740821E-3</v>
      </c>
      <c r="CK31" s="40">
        <v>3.7620053013110422E-3</v>
      </c>
      <c r="CL31" s="40">
        <v>3.7856109621480032E-3</v>
      </c>
      <c r="CM31" s="40">
        <v>3.8092166229849646E-3</v>
      </c>
    </row>
    <row r="32" spans="1:91" x14ac:dyDescent="0.25">
      <c r="A32" s="13" t="s">
        <v>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0">
        <v>3.2695631189309741E-3</v>
      </c>
      <c r="AG32" s="40">
        <v>3.3190680876783053E-3</v>
      </c>
      <c r="AH32" s="40">
        <v>3.3685730564256351E-3</v>
      </c>
      <c r="AI32" s="40">
        <v>3.4180780251729654E-3</v>
      </c>
      <c r="AJ32" s="40">
        <v>3.4675829939202975E-3</v>
      </c>
      <c r="AK32" s="40">
        <v>3.5170879626676278E-3</v>
      </c>
      <c r="AL32" s="40">
        <v>3.566592931414959E-3</v>
      </c>
      <c r="AM32" s="40">
        <v>3.6160979001622893E-3</v>
      </c>
      <c r="AN32" s="40">
        <v>3.66560286890962E-3</v>
      </c>
      <c r="AO32" s="40">
        <v>3.7151078376569512E-3</v>
      </c>
      <c r="AP32" s="40">
        <v>3.764612806404282E-3</v>
      </c>
      <c r="AQ32" s="40">
        <v>3.8141177751516123E-3</v>
      </c>
      <c r="AR32" s="40">
        <v>3.8636227438989435E-3</v>
      </c>
      <c r="AS32" s="40">
        <v>3.9131277126462733E-3</v>
      </c>
      <c r="AT32" s="40">
        <v>3.9626326813936045E-3</v>
      </c>
      <c r="AU32" s="40">
        <v>4.0121376501409357E-3</v>
      </c>
      <c r="AV32" s="40">
        <v>4.0409850921853223E-3</v>
      </c>
      <c r="AW32" s="40">
        <v>4.0698325342297097E-3</v>
      </c>
      <c r="AX32" s="40">
        <v>4.0986799762740963E-3</v>
      </c>
      <c r="AY32" s="40">
        <v>4.127527418318482E-3</v>
      </c>
      <c r="AZ32" s="40">
        <v>4.1563748603628704E-3</v>
      </c>
      <c r="BA32" s="40">
        <v>4.1852223024072561E-3</v>
      </c>
      <c r="BB32" s="40">
        <v>4.2140697444516435E-3</v>
      </c>
      <c r="BC32" s="40">
        <v>4.2429171864960301E-3</v>
      </c>
      <c r="BD32" s="40">
        <v>4.2717646285404158E-3</v>
      </c>
      <c r="BE32" s="40">
        <v>4.3006120705848042E-3</v>
      </c>
      <c r="BF32" s="40">
        <v>4.3294595126291899E-3</v>
      </c>
      <c r="BG32" s="40">
        <v>4.3583069546735782E-3</v>
      </c>
      <c r="BH32" s="40">
        <v>4.3871543967179639E-3</v>
      </c>
      <c r="BI32" s="40">
        <v>4.4160018387623514E-3</v>
      </c>
      <c r="BJ32" s="40">
        <v>4.444849280806738E-3</v>
      </c>
      <c r="BK32" s="40">
        <v>4.4736967228511245E-3</v>
      </c>
      <c r="BL32" s="40">
        <v>4.5025441648955111E-3</v>
      </c>
      <c r="BM32" s="40">
        <v>4.5313916069398994E-3</v>
      </c>
      <c r="BN32" s="40">
        <v>4.5602390489842852E-3</v>
      </c>
      <c r="BO32" s="40">
        <v>4.5890864910286726E-3</v>
      </c>
      <c r="BP32" s="40">
        <v>4.6179339330730601E-3</v>
      </c>
      <c r="BQ32" s="40">
        <v>4.6467813751174458E-3</v>
      </c>
      <c r="BR32" s="40">
        <v>4.6756288171618332E-3</v>
      </c>
      <c r="BS32" s="40">
        <v>4.7044762592062198E-3</v>
      </c>
      <c r="BT32" s="40">
        <v>4.7333237012506073E-3</v>
      </c>
      <c r="BU32" s="40">
        <v>4.762171143294993E-3</v>
      </c>
      <c r="BV32" s="40">
        <v>4.7910185853393805E-3</v>
      </c>
      <c r="BW32" s="40">
        <v>4.8198660273837679E-3</v>
      </c>
      <c r="BX32" s="40">
        <v>4.8487134694281545E-3</v>
      </c>
      <c r="BY32" s="40">
        <v>4.8775609114725419E-3</v>
      </c>
      <c r="BZ32" s="40">
        <v>4.9064083535169277E-3</v>
      </c>
      <c r="CA32" s="40">
        <v>4.9352557955613151E-3</v>
      </c>
      <c r="CB32" s="40">
        <v>4.9641032376057017E-3</v>
      </c>
      <c r="CC32" s="40">
        <v>4.9929506796500883E-3</v>
      </c>
      <c r="CD32" s="40">
        <v>5.0217981216944757E-3</v>
      </c>
      <c r="CE32" s="40">
        <v>5.0506455637388623E-3</v>
      </c>
      <c r="CF32" s="40">
        <v>5.0794930057832489E-3</v>
      </c>
      <c r="CG32" s="40">
        <v>5.1083404478276355E-3</v>
      </c>
      <c r="CH32" s="40">
        <v>5.1371878898720212E-3</v>
      </c>
      <c r="CI32" s="40">
        <v>5.1660353319164087E-3</v>
      </c>
      <c r="CJ32" s="40">
        <v>5.1948827739607961E-3</v>
      </c>
      <c r="CK32" s="40">
        <v>5.2237302160051836E-3</v>
      </c>
      <c r="CL32" s="40">
        <v>5.252577658049571E-3</v>
      </c>
      <c r="CM32" s="40">
        <v>5.2814251000939559E-3</v>
      </c>
    </row>
    <row r="33" spans="1:91" x14ac:dyDescent="0.25">
      <c r="A33" s="13" t="s">
        <v>1</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0">
        <v>1.4251346260975677E-3</v>
      </c>
      <c r="AG33" s="40">
        <v>1.4394010133432365E-3</v>
      </c>
      <c r="AH33" s="40">
        <v>1.4536674005889065E-3</v>
      </c>
      <c r="AI33" s="40">
        <v>1.4679337878345756E-3</v>
      </c>
      <c r="AJ33" s="40">
        <v>1.4822001750802451E-3</v>
      </c>
      <c r="AK33" s="40">
        <v>1.4964665623259147E-3</v>
      </c>
      <c r="AL33" s="40">
        <v>1.5107329495715842E-3</v>
      </c>
      <c r="AM33" s="40">
        <v>1.5249993368172535E-3</v>
      </c>
      <c r="AN33" s="40">
        <v>1.5392657240629226E-3</v>
      </c>
      <c r="AO33" s="40">
        <v>1.5535321113085924E-3</v>
      </c>
      <c r="AP33" s="40">
        <v>1.5677984985542617E-3</v>
      </c>
      <c r="AQ33" s="40">
        <v>1.5820648857999312E-3</v>
      </c>
      <c r="AR33" s="40">
        <v>1.5963312730456008E-3</v>
      </c>
      <c r="AS33" s="40">
        <v>1.6105976602912699E-3</v>
      </c>
      <c r="AT33" s="40">
        <v>1.6248640475369394E-3</v>
      </c>
      <c r="AU33" s="40">
        <v>1.6391304347826087E-3</v>
      </c>
      <c r="AV33" s="40">
        <v>1.6512056578914661E-3</v>
      </c>
      <c r="AW33" s="40">
        <v>1.6632808810003231E-3</v>
      </c>
      <c r="AX33" s="40">
        <v>1.6753561041091803E-3</v>
      </c>
      <c r="AY33" s="40">
        <v>1.6874313272180379E-3</v>
      </c>
      <c r="AZ33" s="40">
        <v>1.6995065503268951E-3</v>
      </c>
      <c r="BA33" s="40">
        <v>1.7115817734357521E-3</v>
      </c>
      <c r="BB33" s="40">
        <v>1.7236569965446093E-3</v>
      </c>
      <c r="BC33" s="40">
        <v>1.7357322196534667E-3</v>
      </c>
      <c r="BD33" s="40">
        <v>1.7478074427623236E-3</v>
      </c>
      <c r="BE33" s="40">
        <v>1.759882665871181E-3</v>
      </c>
      <c r="BF33" s="40">
        <v>1.7719578889800382E-3</v>
      </c>
      <c r="BG33" s="40">
        <v>1.7840331120888959E-3</v>
      </c>
      <c r="BH33" s="40">
        <v>1.7961083351977531E-3</v>
      </c>
      <c r="BI33" s="40">
        <v>1.8081835583066094E-3</v>
      </c>
      <c r="BJ33" s="40">
        <v>1.8202587814154672E-3</v>
      </c>
      <c r="BK33" s="40">
        <v>1.8323340045243244E-3</v>
      </c>
      <c r="BL33" s="40">
        <v>1.844409227633182E-3</v>
      </c>
      <c r="BM33" s="40">
        <v>1.8564844507420388E-3</v>
      </c>
      <c r="BN33" s="40">
        <v>1.8685596738508962E-3</v>
      </c>
      <c r="BO33" s="40">
        <v>1.8806348969597534E-3</v>
      </c>
      <c r="BP33" s="40">
        <v>1.8927101200686108E-3</v>
      </c>
      <c r="BQ33" s="40">
        <v>1.9047853431774678E-3</v>
      </c>
      <c r="BR33" s="40">
        <v>1.9168605662863256E-3</v>
      </c>
      <c r="BS33" s="40">
        <v>1.9289357893951824E-3</v>
      </c>
      <c r="BT33" s="40">
        <v>1.9410110125040402E-3</v>
      </c>
      <c r="BU33" s="40">
        <v>1.9530862356128972E-3</v>
      </c>
      <c r="BV33" s="40">
        <v>1.9651614587217541E-3</v>
      </c>
      <c r="BW33" s="40">
        <v>1.9772366818306113E-3</v>
      </c>
      <c r="BX33" s="40">
        <v>1.989311904939469E-3</v>
      </c>
      <c r="BY33" s="40">
        <v>2.0013871280483257E-3</v>
      </c>
      <c r="BZ33" s="40">
        <v>2.0134623511571829E-3</v>
      </c>
      <c r="CA33" s="40">
        <v>2.0255375742660405E-3</v>
      </c>
      <c r="CB33" s="40">
        <v>2.0376127973748973E-3</v>
      </c>
      <c r="CC33" s="40">
        <v>2.0496880204837549E-3</v>
      </c>
      <c r="CD33" s="40">
        <v>2.0617632435926121E-3</v>
      </c>
      <c r="CE33" s="40">
        <v>2.0738384667014697E-3</v>
      </c>
      <c r="CF33" s="40">
        <v>2.0859136898103261E-3</v>
      </c>
      <c r="CG33" s="40">
        <v>2.0979889129191837E-3</v>
      </c>
      <c r="CH33" s="40">
        <v>2.1100641360280409E-3</v>
      </c>
      <c r="CI33" s="40">
        <v>2.1221393591368985E-3</v>
      </c>
      <c r="CJ33" s="40">
        <v>2.1342145822457557E-3</v>
      </c>
      <c r="CK33" s="40">
        <v>2.1462898053546129E-3</v>
      </c>
      <c r="CL33" s="40">
        <v>2.1583650284634701E-3</v>
      </c>
      <c r="CM33" s="40">
        <v>2.1704402515723277E-3</v>
      </c>
    </row>
    <row r="34" spans="1:91" x14ac:dyDescent="0.25">
      <c r="A34" s="13" t="s">
        <v>1</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F34" s="40">
        <v>1.6577549140049134E-3</v>
      </c>
      <c r="AG34" s="40">
        <v>1.6804361179361179E-3</v>
      </c>
      <c r="AH34" s="40">
        <v>1.7031173218673219E-3</v>
      </c>
      <c r="AI34" s="40">
        <v>1.7257985257985258E-3</v>
      </c>
      <c r="AJ34" s="40">
        <v>1.7484797297297294E-3</v>
      </c>
      <c r="AK34" s="40">
        <v>1.7711609336609332E-3</v>
      </c>
      <c r="AL34" s="40">
        <v>1.7938421375921377E-3</v>
      </c>
      <c r="AM34" s="40">
        <v>1.8165233415233415E-3</v>
      </c>
      <c r="AN34" s="40">
        <v>1.8392045454545453E-3</v>
      </c>
      <c r="AO34" s="40">
        <v>1.8618857493857496E-3</v>
      </c>
      <c r="AP34" s="40">
        <v>1.8845669533169532E-3</v>
      </c>
      <c r="AQ34" s="40">
        <v>1.9072481572481575E-3</v>
      </c>
      <c r="AR34" s="40">
        <v>1.9299293611793611E-3</v>
      </c>
      <c r="AS34" s="40">
        <v>1.9526105651105647E-3</v>
      </c>
      <c r="AT34" s="40">
        <v>1.9752917690417696E-3</v>
      </c>
      <c r="AU34" s="40">
        <v>1.9979729729729728E-3</v>
      </c>
      <c r="AV34" s="40">
        <v>2.0184735872235877E-3</v>
      </c>
      <c r="AW34" s="40">
        <v>2.0389742014742013E-3</v>
      </c>
      <c r="AX34" s="40">
        <v>2.0594748157248153E-3</v>
      </c>
      <c r="AY34" s="40">
        <v>2.0799754299754298E-3</v>
      </c>
      <c r="AZ34" s="40">
        <v>2.1004760442260443E-3</v>
      </c>
      <c r="BA34" s="40">
        <v>2.1209766584766587E-3</v>
      </c>
      <c r="BB34" s="40">
        <v>2.1414772727272723E-3</v>
      </c>
      <c r="BC34" s="40">
        <v>2.1619778869778868E-3</v>
      </c>
      <c r="BD34" s="40">
        <v>2.1824785012285013E-3</v>
      </c>
      <c r="BE34" s="40">
        <v>2.2029791154791153E-3</v>
      </c>
      <c r="BF34" s="40">
        <v>2.2234797297297293E-3</v>
      </c>
      <c r="BG34" s="40">
        <v>2.2439803439803438E-3</v>
      </c>
      <c r="BH34" s="40">
        <v>2.2644809582309583E-3</v>
      </c>
      <c r="BI34" s="40">
        <v>2.2849815724815723E-3</v>
      </c>
      <c r="BJ34" s="40">
        <v>2.3054821867321868E-3</v>
      </c>
      <c r="BK34" s="40">
        <v>2.3259828009828008E-3</v>
      </c>
      <c r="BL34" s="40">
        <v>2.3464834152334153E-3</v>
      </c>
      <c r="BM34" s="40">
        <v>2.3669840294840293E-3</v>
      </c>
      <c r="BN34" s="40">
        <v>2.3874846437346438E-3</v>
      </c>
      <c r="BO34" s="40">
        <v>2.4079852579852574E-3</v>
      </c>
      <c r="BP34" s="40">
        <v>2.4284858722358718E-3</v>
      </c>
      <c r="BQ34" s="40">
        <v>2.4489864864864859E-3</v>
      </c>
      <c r="BR34" s="40">
        <v>2.4694871007371003E-3</v>
      </c>
      <c r="BS34" s="40">
        <v>2.4899877149877148E-3</v>
      </c>
      <c r="BT34" s="40">
        <v>2.5104883292383293E-3</v>
      </c>
      <c r="BU34" s="40">
        <v>2.5309889434889433E-3</v>
      </c>
      <c r="BV34" s="40">
        <v>2.5514895577395573E-3</v>
      </c>
      <c r="BW34" s="40">
        <v>2.5719901719901722E-3</v>
      </c>
      <c r="BX34" s="40">
        <v>2.5924907862407863E-3</v>
      </c>
      <c r="BY34" s="40">
        <v>2.6129914004914007E-3</v>
      </c>
      <c r="BZ34" s="40">
        <v>2.6334920147420139E-3</v>
      </c>
      <c r="CA34" s="40">
        <v>2.6539926289926284E-3</v>
      </c>
      <c r="CB34" s="40">
        <v>2.6744932432432428E-3</v>
      </c>
      <c r="CC34" s="40">
        <v>2.6949938574938573E-3</v>
      </c>
      <c r="CD34" s="40">
        <v>2.7154944717444713E-3</v>
      </c>
      <c r="CE34" s="40">
        <v>2.7359950859950858E-3</v>
      </c>
      <c r="CF34" s="40">
        <v>2.7564957002457007E-3</v>
      </c>
      <c r="CG34" s="40">
        <v>2.7769963144963143E-3</v>
      </c>
      <c r="CH34" s="40">
        <v>2.7974969287469288E-3</v>
      </c>
      <c r="CI34" s="40">
        <v>2.8179975429975424E-3</v>
      </c>
      <c r="CJ34" s="40">
        <v>2.8384981572481573E-3</v>
      </c>
      <c r="CK34" s="40">
        <v>2.8589987714987713E-3</v>
      </c>
      <c r="CL34" s="40">
        <v>2.8794993857493853E-3</v>
      </c>
      <c r="CM34" s="40">
        <v>2.8999999999999998E-3</v>
      </c>
    </row>
    <row r="35" spans="1:91" x14ac:dyDescent="0.25">
      <c r="A35" s="13" t="s">
        <v>1</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0">
        <v>6.1522727272727278E-2</v>
      </c>
      <c r="AG35" s="40">
        <v>6.1954545454545457E-2</v>
      </c>
      <c r="AH35" s="40">
        <v>6.2386363636363643E-2</v>
      </c>
      <c r="AI35" s="40">
        <v>6.2818181818181829E-2</v>
      </c>
      <c r="AJ35" s="40">
        <v>6.3250000000000001E-2</v>
      </c>
      <c r="AK35" s="40">
        <v>6.3681818181818187E-2</v>
      </c>
      <c r="AL35" s="40">
        <v>6.4113636363636373E-2</v>
      </c>
      <c r="AM35" s="40">
        <v>6.4545454545454545E-2</v>
      </c>
      <c r="AN35" s="40">
        <v>6.4977272727272731E-2</v>
      </c>
      <c r="AO35" s="40">
        <v>6.5409090909090917E-2</v>
      </c>
      <c r="AP35" s="40">
        <v>6.5840909090909089E-2</v>
      </c>
      <c r="AQ35" s="40">
        <v>6.6272727272727275E-2</v>
      </c>
      <c r="AR35" s="40">
        <v>6.6704545454545461E-2</v>
      </c>
      <c r="AS35" s="40">
        <v>6.7136363636363633E-2</v>
      </c>
      <c r="AT35" s="40">
        <v>6.7568181818181819E-2</v>
      </c>
      <c r="AU35" s="40">
        <v>6.8000000000000005E-2</v>
      </c>
      <c r="AV35" s="40">
        <v>6.881818181818182E-2</v>
      </c>
      <c r="AW35" s="40">
        <v>6.9636363636363635E-2</v>
      </c>
      <c r="AX35" s="40">
        <v>7.0454545454545464E-2</v>
      </c>
      <c r="AY35" s="40">
        <v>7.1272727272727279E-2</v>
      </c>
      <c r="AZ35" s="40">
        <v>7.2090909090909094E-2</v>
      </c>
      <c r="BA35" s="40">
        <v>7.290909090909091E-2</v>
      </c>
      <c r="BB35" s="40">
        <v>7.3727272727272725E-2</v>
      </c>
      <c r="BC35" s="40">
        <v>7.4545454545454554E-2</v>
      </c>
      <c r="BD35" s="40">
        <v>7.5363636363636369E-2</v>
      </c>
      <c r="BE35" s="40">
        <v>7.6181818181818184E-2</v>
      </c>
      <c r="BF35" s="40">
        <v>7.6999999999999999E-2</v>
      </c>
      <c r="BG35" s="40">
        <v>7.7818181818181814E-2</v>
      </c>
      <c r="BH35" s="40">
        <v>7.8636363636363643E-2</v>
      </c>
      <c r="BI35" s="40">
        <v>7.9454545454545458E-2</v>
      </c>
      <c r="BJ35" s="40">
        <v>8.0272727272727273E-2</v>
      </c>
      <c r="BK35" s="40">
        <v>8.1090909090909088E-2</v>
      </c>
      <c r="BL35" s="40">
        <v>8.1909090909090904E-2</v>
      </c>
      <c r="BM35" s="40">
        <v>8.2727272727272733E-2</v>
      </c>
      <c r="BN35" s="40">
        <v>8.3545454545454548E-2</v>
      </c>
      <c r="BO35" s="40">
        <v>8.4363636363636363E-2</v>
      </c>
      <c r="BP35" s="40">
        <v>8.5181818181818178E-2</v>
      </c>
      <c r="BQ35" s="40">
        <v>8.5999999999999993E-2</v>
      </c>
      <c r="BR35" s="40">
        <v>8.6818181818181822E-2</v>
      </c>
      <c r="BS35" s="40">
        <v>8.7636363636363637E-2</v>
      </c>
      <c r="BT35" s="40">
        <v>8.8454545454545452E-2</v>
      </c>
      <c r="BU35" s="40">
        <v>8.9272727272727267E-2</v>
      </c>
      <c r="BV35" s="40">
        <v>9.0090909090909083E-2</v>
      </c>
      <c r="BW35" s="40">
        <v>9.0909090909090912E-2</v>
      </c>
      <c r="BX35" s="40">
        <v>9.1727272727272727E-2</v>
      </c>
      <c r="BY35" s="40">
        <v>9.2545454545454542E-2</v>
      </c>
      <c r="BZ35" s="40">
        <v>9.3363636363636357E-2</v>
      </c>
      <c r="CA35" s="40">
        <v>9.4181818181818172E-2</v>
      </c>
      <c r="CB35" s="40">
        <v>9.5000000000000001E-2</v>
      </c>
      <c r="CC35" s="40">
        <v>9.5818181818181816E-2</v>
      </c>
      <c r="CD35" s="40">
        <v>9.6636363636363631E-2</v>
      </c>
      <c r="CE35" s="40">
        <v>9.7454545454545446E-2</v>
      </c>
      <c r="CF35" s="40">
        <v>9.8272727272727262E-2</v>
      </c>
      <c r="CG35" s="40">
        <v>9.9090909090909091E-2</v>
      </c>
      <c r="CH35" s="40">
        <v>9.9909090909090906E-2</v>
      </c>
      <c r="CI35" s="40">
        <v>0.10072727272727272</v>
      </c>
      <c r="CJ35" s="40">
        <v>0.10154545454545455</v>
      </c>
      <c r="CK35" s="40">
        <v>0.10236363636363635</v>
      </c>
      <c r="CL35" s="40">
        <v>0.10318181818181818</v>
      </c>
      <c r="CM35" s="40">
        <v>0.104</v>
      </c>
    </row>
    <row r="37" spans="1:91" x14ac:dyDescent="0.25">
      <c r="A37" s="13" t="s">
        <v>15</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15">
        <v>9.6590909090909095E-4</v>
      </c>
      <c r="AG37" s="15">
        <v>9.6818181818181823E-4</v>
      </c>
      <c r="AH37" s="15">
        <v>9.704545454545454E-4</v>
      </c>
      <c r="AI37" s="15">
        <v>9.7272727272727268E-4</v>
      </c>
      <c r="AJ37" s="15">
        <v>9.7499999999999996E-4</v>
      </c>
      <c r="AK37" s="15">
        <v>9.7727272727272723E-4</v>
      </c>
      <c r="AL37" s="15">
        <v>9.7954545454545451E-4</v>
      </c>
      <c r="AM37" s="15">
        <v>9.8181818181818179E-4</v>
      </c>
      <c r="AN37" s="15">
        <v>9.8409090909090907E-4</v>
      </c>
      <c r="AO37" s="15">
        <v>9.8636363636363635E-4</v>
      </c>
      <c r="AP37" s="15">
        <v>9.8863636363636363E-4</v>
      </c>
      <c r="AQ37" s="15">
        <v>9.9090909090909091E-4</v>
      </c>
      <c r="AR37" s="15">
        <v>9.9318181818181818E-4</v>
      </c>
      <c r="AS37" s="15">
        <v>9.9545454545454546E-4</v>
      </c>
      <c r="AT37" s="15">
        <v>9.9772727272727274E-4</v>
      </c>
      <c r="AU37" s="15">
        <v>1E-3</v>
      </c>
      <c r="AV37" s="15">
        <v>1.0363636363636365E-3</v>
      </c>
      <c r="AW37" s="15">
        <v>1.0727272727272727E-3</v>
      </c>
      <c r="AX37" s="15">
        <v>1.1090909090909092E-3</v>
      </c>
      <c r="AY37" s="15">
        <v>1.1454545454545454E-3</v>
      </c>
      <c r="AZ37" s="15">
        <v>1.1818181818181819E-3</v>
      </c>
      <c r="BA37" s="15">
        <v>1.2181818181818181E-3</v>
      </c>
      <c r="BB37" s="15">
        <v>1.2545454545454546E-3</v>
      </c>
      <c r="BC37" s="15">
        <v>1.2909090909090908E-3</v>
      </c>
      <c r="BD37" s="15">
        <v>1.3272727272727273E-3</v>
      </c>
      <c r="BE37" s="15">
        <v>1.3636363636363635E-3</v>
      </c>
      <c r="BF37" s="15">
        <v>1.4E-3</v>
      </c>
      <c r="BG37" s="15">
        <v>1.4363636363636362E-3</v>
      </c>
      <c r="BH37" s="15">
        <v>1.4727272727272727E-3</v>
      </c>
      <c r="BI37" s="15">
        <v>1.5090909090909091E-3</v>
      </c>
      <c r="BJ37" s="15">
        <v>1.5454545454545454E-3</v>
      </c>
      <c r="BK37" s="15">
        <v>1.5818181818181816E-3</v>
      </c>
      <c r="BL37" s="15">
        <v>1.6181818181818181E-3</v>
      </c>
      <c r="BM37" s="15">
        <v>1.6545454545454545E-3</v>
      </c>
      <c r="BN37" s="15">
        <v>1.6909090909090908E-3</v>
      </c>
      <c r="BO37" s="15">
        <v>1.727272727272727E-3</v>
      </c>
      <c r="BP37" s="15">
        <v>1.7636363636363635E-3</v>
      </c>
      <c r="BQ37" s="15">
        <v>1.8E-3</v>
      </c>
      <c r="BR37" s="15">
        <v>1.8363636363636362E-3</v>
      </c>
      <c r="BS37" s="15">
        <v>1.8727272727272727E-3</v>
      </c>
      <c r="BT37" s="15">
        <v>1.9090909090909089E-3</v>
      </c>
      <c r="BU37" s="15">
        <v>1.9454545454545454E-3</v>
      </c>
      <c r="BV37" s="15">
        <v>1.9818181818181818E-3</v>
      </c>
      <c r="BW37" s="15">
        <v>2.0181818181818183E-3</v>
      </c>
      <c r="BX37" s="15">
        <v>2.0545454545454543E-3</v>
      </c>
      <c r="BY37" s="15">
        <v>2.0909090909090908E-3</v>
      </c>
      <c r="BZ37" s="15">
        <v>2.1272727272727268E-3</v>
      </c>
      <c r="CA37" s="15">
        <v>2.1636363636363632E-3</v>
      </c>
      <c r="CB37" s="15">
        <v>2.1999999999999997E-3</v>
      </c>
      <c r="CC37" s="15">
        <v>2.2363636363636362E-3</v>
      </c>
      <c r="CD37" s="15">
        <v>2.2727272727272726E-3</v>
      </c>
      <c r="CE37" s="15">
        <v>2.3090909090909091E-3</v>
      </c>
      <c r="CF37" s="15">
        <v>2.3454545454545455E-3</v>
      </c>
      <c r="CG37" s="15">
        <v>2.3818181818181816E-3</v>
      </c>
      <c r="CH37" s="15">
        <v>2.418181818181818E-3</v>
      </c>
      <c r="CI37" s="15">
        <v>2.454545454545454E-3</v>
      </c>
      <c r="CJ37" s="15">
        <v>2.4909090909090905E-3</v>
      </c>
      <c r="CK37" s="15">
        <v>2.527272727272727E-3</v>
      </c>
      <c r="CL37" s="15">
        <v>2.5636363636363634E-3</v>
      </c>
      <c r="CM37" s="15">
        <v>2.5999999999999999E-3</v>
      </c>
    </row>
    <row r="38" spans="1:91" x14ac:dyDescent="0.25">
      <c r="A38" s="13"/>
    </row>
    <row r="39" spans="1:91" x14ac:dyDescent="0.25">
      <c r="A39" s="13" t="s">
        <v>14</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15">
        <v>8.6618671127481966E-4</v>
      </c>
      <c r="AG39" s="15">
        <v>8.7332065560907562E-4</v>
      </c>
      <c r="AH39" s="15">
        <v>8.8045459994333169E-4</v>
      </c>
      <c r="AI39" s="15">
        <v>8.8758854427758765E-4</v>
      </c>
      <c r="AJ39" s="15">
        <v>8.9472248861184372E-4</v>
      </c>
      <c r="AK39" s="15">
        <v>9.0185643294609969E-4</v>
      </c>
      <c r="AL39" s="15">
        <v>9.0899037728035576E-4</v>
      </c>
      <c r="AM39" s="15">
        <v>9.1612432161461172E-4</v>
      </c>
      <c r="AN39" s="15">
        <v>9.2325826594886768E-4</v>
      </c>
      <c r="AO39" s="15">
        <v>9.3039221028312375E-4</v>
      </c>
      <c r="AP39" s="15">
        <v>9.3752615461737982E-4</v>
      </c>
      <c r="AQ39" s="15">
        <v>9.4466009895163578E-4</v>
      </c>
      <c r="AR39" s="15">
        <v>9.5179404328589175E-4</v>
      </c>
      <c r="AS39" s="15">
        <v>9.5892798762014782E-4</v>
      </c>
      <c r="AT39" s="15">
        <v>9.6606193195440389E-4</v>
      </c>
      <c r="AU39" s="15">
        <v>9.7319587628865985E-4</v>
      </c>
      <c r="AV39" s="15">
        <v>9.9072164948453621E-4</v>
      </c>
      <c r="AW39" s="15">
        <v>1.0082474226804125E-3</v>
      </c>
      <c r="AX39" s="15">
        <v>1.0257731958762887E-3</v>
      </c>
      <c r="AY39" s="15">
        <v>1.043298969072165E-3</v>
      </c>
      <c r="AZ39" s="15">
        <v>1.0608247422680412E-3</v>
      </c>
      <c r="BA39" s="15">
        <v>1.0783505154639175E-3</v>
      </c>
      <c r="BB39" s="15">
        <v>1.095876288659794E-3</v>
      </c>
      <c r="BC39" s="15">
        <v>1.1134020618556702E-3</v>
      </c>
      <c r="BD39" s="15">
        <v>1.1309278350515465E-3</v>
      </c>
      <c r="BE39" s="15">
        <v>1.1484536082474227E-3</v>
      </c>
      <c r="BF39" s="15">
        <v>1.165979381443299E-3</v>
      </c>
      <c r="BG39" s="15">
        <v>1.1835051546391752E-3</v>
      </c>
      <c r="BH39" s="15">
        <v>1.2010309278350515E-3</v>
      </c>
      <c r="BI39" s="15">
        <v>1.2185567010309277E-3</v>
      </c>
      <c r="BJ39" s="15">
        <v>1.236082474226804E-3</v>
      </c>
      <c r="BK39" s="15">
        <v>1.2536082474226805E-3</v>
      </c>
      <c r="BL39" s="15">
        <v>1.2711340206185567E-3</v>
      </c>
      <c r="BM39" s="15">
        <v>1.288659793814433E-3</v>
      </c>
      <c r="BN39" s="15">
        <v>1.3061855670103092E-3</v>
      </c>
      <c r="BO39" s="15">
        <v>1.3237113402061855E-3</v>
      </c>
      <c r="BP39" s="15">
        <v>1.3412371134020619E-3</v>
      </c>
      <c r="BQ39" s="15">
        <v>1.3587628865979382E-3</v>
      </c>
      <c r="BR39" s="15">
        <v>1.3762886597938145E-3</v>
      </c>
      <c r="BS39" s="15">
        <v>1.3938144329896907E-3</v>
      </c>
      <c r="BT39" s="15">
        <v>1.411340206185567E-3</v>
      </c>
      <c r="BU39" s="15">
        <v>1.4288659793814432E-3</v>
      </c>
      <c r="BV39" s="15">
        <v>1.4463917525773195E-3</v>
      </c>
      <c r="BW39" s="15">
        <v>1.4639175257731957E-3</v>
      </c>
      <c r="BX39" s="15">
        <v>1.481443298969072E-3</v>
      </c>
      <c r="BY39" s="15">
        <v>1.4989690721649482E-3</v>
      </c>
      <c r="BZ39" s="15">
        <v>1.5164948453608247E-3</v>
      </c>
      <c r="CA39" s="15">
        <v>1.534020618556701E-3</v>
      </c>
      <c r="CB39" s="15">
        <v>1.5515463917525772E-3</v>
      </c>
      <c r="CC39" s="15">
        <v>1.5690721649484537E-3</v>
      </c>
      <c r="CD39" s="15">
        <v>1.5865979381443299E-3</v>
      </c>
      <c r="CE39" s="15">
        <v>1.6041237113402062E-3</v>
      </c>
      <c r="CF39" s="15">
        <v>1.6216494845360824E-3</v>
      </c>
      <c r="CG39" s="15">
        <v>1.6391752577319587E-3</v>
      </c>
      <c r="CH39" s="15">
        <v>1.656701030927835E-3</v>
      </c>
      <c r="CI39" s="15">
        <v>1.6742268041237112E-3</v>
      </c>
      <c r="CJ39" s="15">
        <v>1.6917525773195875E-3</v>
      </c>
      <c r="CK39" s="15">
        <v>1.7092783505154637E-3</v>
      </c>
      <c r="CL39" s="15">
        <v>1.72680412371134E-3</v>
      </c>
      <c r="CM39" s="15">
        <v>1.7443298969072164E-3</v>
      </c>
    </row>
    <row r="41" spans="1:91" x14ac:dyDescent="0.25">
      <c r="A41" s="13" t="s">
        <v>16</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3">
        <v>5.0675000000000008E-3</v>
      </c>
      <c r="AG41" s="43">
        <v>5.1450000000000003E-3</v>
      </c>
      <c r="AH41" s="43">
        <v>5.2225000000000006E-3</v>
      </c>
      <c r="AI41" s="43">
        <v>5.3000000000000009E-3</v>
      </c>
      <c r="AJ41" s="43">
        <v>5.3775000000000003E-3</v>
      </c>
      <c r="AK41" s="43">
        <v>5.4550000000000006E-3</v>
      </c>
      <c r="AL41" s="43">
        <v>5.532500000000001E-3</v>
      </c>
      <c r="AM41" s="43">
        <v>5.6100000000000004E-3</v>
      </c>
      <c r="AN41" s="43">
        <v>5.6874999999999998E-3</v>
      </c>
      <c r="AO41" s="43">
        <v>5.765000000000001E-3</v>
      </c>
      <c r="AP41" s="43">
        <v>5.8425000000000005E-3</v>
      </c>
      <c r="AQ41" s="43">
        <v>5.9199999999999999E-3</v>
      </c>
      <c r="AR41" s="43">
        <v>5.9975000000000011E-3</v>
      </c>
      <c r="AS41" s="43">
        <v>6.0750000000000005E-3</v>
      </c>
      <c r="AT41" s="43">
        <v>6.1525E-3</v>
      </c>
      <c r="AU41" s="43">
        <v>6.2300000000000003E-3</v>
      </c>
      <c r="AV41" s="43">
        <v>6.2575E-3</v>
      </c>
      <c r="AW41" s="43">
        <v>6.2850000000000007E-3</v>
      </c>
      <c r="AX41" s="43">
        <v>6.3125000000000004E-3</v>
      </c>
      <c r="AY41" s="43">
        <v>6.3400000000000001E-3</v>
      </c>
      <c r="AZ41" s="43">
        <v>6.3674999999999999E-3</v>
      </c>
      <c r="BA41" s="43">
        <v>6.3950000000000005E-3</v>
      </c>
      <c r="BB41" s="43">
        <v>6.4225000000000003E-3</v>
      </c>
      <c r="BC41" s="43">
        <v>6.45E-3</v>
      </c>
      <c r="BD41" s="43">
        <v>6.4774999999999998E-3</v>
      </c>
      <c r="BE41" s="43">
        <v>6.5050000000000004E-3</v>
      </c>
      <c r="BF41" s="43">
        <v>6.5325000000000001E-3</v>
      </c>
      <c r="BG41" s="43">
        <v>6.5599999999999999E-3</v>
      </c>
      <c r="BH41" s="43">
        <v>6.5875000000000005E-3</v>
      </c>
      <c r="BI41" s="43">
        <v>6.6150000000000002E-3</v>
      </c>
      <c r="BJ41" s="43">
        <v>6.6425E-3</v>
      </c>
      <c r="BK41" s="43">
        <v>6.6699999999999997E-3</v>
      </c>
      <c r="BL41" s="43">
        <v>6.6975000000000003E-3</v>
      </c>
      <c r="BM41" s="43">
        <v>6.7250000000000001E-3</v>
      </c>
      <c r="BN41" s="43">
        <v>6.7524999999999998E-3</v>
      </c>
      <c r="BO41" s="43">
        <v>6.7799999999999996E-3</v>
      </c>
      <c r="BP41" s="43">
        <v>6.8075000000000002E-3</v>
      </c>
      <c r="BQ41" s="43">
        <v>6.8349999999999999E-3</v>
      </c>
      <c r="BR41" s="43">
        <v>6.8624999999999997E-3</v>
      </c>
      <c r="BS41" s="43">
        <v>6.8900000000000003E-3</v>
      </c>
      <c r="BT41" s="43">
        <v>6.9175E-3</v>
      </c>
      <c r="BU41" s="43">
        <v>6.9449999999999998E-3</v>
      </c>
      <c r="BV41" s="43">
        <v>6.9724999999999995E-3</v>
      </c>
      <c r="BW41" s="43">
        <v>7.0000000000000001E-3</v>
      </c>
      <c r="BX41" s="43">
        <v>7.0274999999999999E-3</v>
      </c>
      <c r="BY41" s="43">
        <v>7.0549999999999996E-3</v>
      </c>
      <c r="BZ41" s="43">
        <v>7.0825000000000003E-3</v>
      </c>
      <c r="CA41" s="43">
        <v>7.11E-3</v>
      </c>
      <c r="CB41" s="43">
        <v>7.1374999999999997E-3</v>
      </c>
      <c r="CC41" s="43">
        <v>7.1649999999999995E-3</v>
      </c>
      <c r="CD41" s="43">
        <v>7.1925000000000001E-3</v>
      </c>
      <c r="CE41" s="43">
        <v>7.2199999999999999E-3</v>
      </c>
      <c r="CF41" s="43">
        <v>7.2474999999999996E-3</v>
      </c>
      <c r="CG41" s="43">
        <v>7.2750000000000002E-3</v>
      </c>
      <c r="CH41" s="43">
        <v>7.3025E-3</v>
      </c>
      <c r="CI41" s="43">
        <v>7.3299999999999997E-3</v>
      </c>
      <c r="CJ41" s="43">
        <v>7.3574999999999995E-3</v>
      </c>
      <c r="CK41" s="43">
        <v>7.3849999999999992E-3</v>
      </c>
      <c r="CL41" s="43">
        <v>7.4124999999999998E-3</v>
      </c>
      <c r="CM41" s="43">
        <v>7.4399999999999996E-3</v>
      </c>
    </row>
    <row r="42" spans="1:91" x14ac:dyDescent="0.25">
      <c r="A42" s="13" t="s">
        <v>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3">
        <v>2.3129545454545456E-3</v>
      </c>
      <c r="AG42" s="43">
        <v>2.3440909090909094E-3</v>
      </c>
      <c r="AH42" s="43">
        <v>2.3752272727272728E-3</v>
      </c>
      <c r="AI42" s="43">
        <v>2.4063636363636366E-3</v>
      </c>
      <c r="AJ42" s="43">
        <v>2.4375000000000004E-3</v>
      </c>
      <c r="AK42" s="43">
        <v>2.4686363636363638E-3</v>
      </c>
      <c r="AL42" s="43">
        <v>2.4997727272727276E-3</v>
      </c>
      <c r="AM42" s="43">
        <v>2.5309090909090915E-3</v>
      </c>
      <c r="AN42" s="43">
        <v>2.5620454545454549E-3</v>
      </c>
      <c r="AO42" s="43">
        <v>2.5931818181818183E-3</v>
      </c>
      <c r="AP42" s="43">
        <v>2.6243181818181821E-3</v>
      </c>
      <c r="AQ42" s="43">
        <v>2.6554545454545459E-3</v>
      </c>
      <c r="AR42" s="43">
        <v>2.6865909090909093E-3</v>
      </c>
      <c r="AS42" s="43">
        <v>2.7177272727272731E-3</v>
      </c>
      <c r="AT42" s="43">
        <v>2.748863636363637E-3</v>
      </c>
      <c r="AU42" s="43">
        <v>2.7800000000000004E-3</v>
      </c>
      <c r="AV42" s="43">
        <v>2.7993181818181823E-3</v>
      </c>
      <c r="AW42" s="43">
        <v>2.8186363636363639E-3</v>
      </c>
      <c r="AX42" s="43">
        <v>2.8379545454545459E-3</v>
      </c>
      <c r="AY42" s="43">
        <v>2.8572727272727274E-3</v>
      </c>
      <c r="AZ42" s="43">
        <v>2.8765909090909094E-3</v>
      </c>
      <c r="BA42" s="43">
        <v>2.8959090909090913E-3</v>
      </c>
      <c r="BB42" s="43">
        <v>2.9152272727272729E-3</v>
      </c>
      <c r="BC42" s="43">
        <v>2.9345454545454549E-3</v>
      </c>
      <c r="BD42" s="43">
        <v>2.9538636363636368E-3</v>
      </c>
      <c r="BE42" s="43">
        <v>2.9731818181818184E-3</v>
      </c>
      <c r="BF42" s="43">
        <v>2.9925000000000004E-3</v>
      </c>
      <c r="BG42" s="43">
        <v>3.0118181818181819E-3</v>
      </c>
      <c r="BH42" s="43">
        <v>3.0311363636363639E-3</v>
      </c>
      <c r="BI42" s="43">
        <v>3.0504545454545459E-3</v>
      </c>
      <c r="BJ42" s="43">
        <v>3.0697727272727274E-3</v>
      </c>
      <c r="BK42" s="43">
        <v>3.0890909090909094E-3</v>
      </c>
      <c r="BL42" s="43">
        <v>3.1084090909090914E-3</v>
      </c>
      <c r="BM42" s="43">
        <v>3.1277272727272729E-3</v>
      </c>
      <c r="BN42" s="43">
        <v>3.1470454545454549E-3</v>
      </c>
      <c r="BO42" s="43">
        <v>3.1663636363636364E-3</v>
      </c>
      <c r="BP42" s="43">
        <v>3.1856818181818184E-3</v>
      </c>
      <c r="BQ42" s="43">
        <v>3.2050000000000004E-3</v>
      </c>
      <c r="BR42" s="43">
        <v>3.2243181818181819E-3</v>
      </c>
      <c r="BS42" s="43">
        <v>3.2436363636363639E-3</v>
      </c>
      <c r="BT42" s="43">
        <v>3.2629545454545454E-3</v>
      </c>
      <c r="BU42" s="43">
        <v>3.2822727272727274E-3</v>
      </c>
      <c r="BV42" s="43">
        <v>3.3015909090909094E-3</v>
      </c>
      <c r="BW42" s="43">
        <v>3.3209090909090909E-3</v>
      </c>
      <c r="BX42" s="43">
        <v>3.3402272727272729E-3</v>
      </c>
      <c r="BY42" s="43">
        <v>3.3595454545454545E-3</v>
      </c>
      <c r="BZ42" s="43">
        <v>3.3788636363636364E-3</v>
      </c>
      <c r="CA42" s="43">
        <v>3.3981818181818184E-3</v>
      </c>
      <c r="CB42" s="43">
        <v>3.4175E-3</v>
      </c>
      <c r="CC42" s="43">
        <v>3.4368181818181819E-3</v>
      </c>
      <c r="CD42" s="43">
        <v>3.4561363636363635E-3</v>
      </c>
      <c r="CE42" s="43">
        <v>3.4754545454545455E-3</v>
      </c>
      <c r="CF42" s="43">
        <v>3.4947727272727274E-3</v>
      </c>
      <c r="CG42" s="43">
        <v>3.5140909090909094E-3</v>
      </c>
      <c r="CH42" s="43">
        <v>3.533409090909091E-3</v>
      </c>
      <c r="CI42" s="43">
        <v>3.5527272727272729E-3</v>
      </c>
      <c r="CJ42" s="43">
        <v>3.5720454545454545E-3</v>
      </c>
      <c r="CK42" s="43">
        <v>3.5913636363636365E-3</v>
      </c>
      <c r="CL42" s="43">
        <v>3.6106818181818184E-3</v>
      </c>
      <c r="CM42" s="43">
        <v>3.63E-3</v>
      </c>
    </row>
    <row r="43" spans="1:91" x14ac:dyDescent="0.25">
      <c r="A43" s="13" t="s">
        <v>1</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3">
        <v>3.4209090909090912E-3</v>
      </c>
      <c r="AG43" s="43">
        <v>3.4681818181818186E-3</v>
      </c>
      <c r="AH43" s="43">
        <v>3.5154545454545456E-3</v>
      </c>
      <c r="AI43" s="43">
        <v>3.562727272727273E-3</v>
      </c>
      <c r="AJ43" s="43">
        <v>3.6100000000000004E-3</v>
      </c>
      <c r="AK43" s="43">
        <v>3.6572727272727278E-3</v>
      </c>
      <c r="AL43" s="43">
        <v>3.7045454545454552E-3</v>
      </c>
      <c r="AM43" s="43">
        <v>3.7518181818181826E-3</v>
      </c>
      <c r="AN43" s="43">
        <v>3.7990909090909099E-3</v>
      </c>
      <c r="AO43" s="43">
        <v>3.8463636363636369E-3</v>
      </c>
      <c r="AP43" s="43">
        <v>3.8936363636363643E-3</v>
      </c>
      <c r="AQ43" s="43">
        <v>3.9409090909090913E-3</v>
      </c>
      <c r="AR43" s="43">
        <v>3.9881818181818187E-3</v>
      </c>
      <c r="AS43" s="43">
        <v>4.0354545454545461E-3</v>
      </c>
      <c r="AT43" s="43">
        <v>4.0827272727272735E-3</v>
      </c>
      <c r="AU43" s="43">
        <v>4.1300000000000009E-3</v>
      </c>
      <c r="AV43" s="43">
        <v>4.1579545454545463E-3</v>
      </c>
      <c r="AW43" s="43">
        <v>4.1859090909090917E-3</v>
      </c>
      <c r="AX43" s="43">
        <v>4.2138636363636371E-3</v>
      </c>
      <c r="AY43" s="43">
        <v>4.2418181818181825E-3</v>
      </c>
      <c r="AZ43" s="43">
        <v>4.269772727272728E-3</v>
      </c>
      <c r="BA43" s="43">
        <v>4.2977272727272734E-3</v>
      </c>
      <c r="BB43" s="43">
        <v>4.3256818181818188E-3</v>
      </c>
      <c r="BC43" s="43">
        <v>4.3536363636363642E-3</v>
      </c>
      <c r="BD43" s="43">
        <v>4.3815909090909096E-3</v>
      </c>
      <c r="BE43" s="43">
        <v>4.4095454545454551E-3</v>
      </c>
      <c r="BF43" s="43">
        <v>4.4375000000000005E-3</v>
      </c>
      <c r="BG43" s="43">
        <v>4.4654545454545459E-3</v>
      </c>
      <c r="BH43" s="43">
        <v>4.4934090909090913E-3</v>
      </c>
      <c r="BI43" s="43">
        <v>4.5213636363636367E-3</v>
      </c>
      <c r="BJ43" s="43">
        <v>4.5493181818181821E-3</v>
      </c>
      <c r="BK43" s="43">
        <v>4.5772727272727276E-3</v>
      </c>
      <c r="BL43" s="43">
        <v>4.605227272727273E-3</v>
      </c>
      <c r="BM43" s="43">
        <v>4.6331818181818184E-3</v>
      </c>
      <c r="BN43" s="43">
        <v>4.6611363636363638E-3</v>
      </c>
      <c r="BO43" s="43">
        <v>4.6890909090909101E-3</v>
      </c>
      <c r="BP43" s="43">
        <v>4.7170454545454547E-3</v>
      </c>
      <c r="BQ43" s="43">
        <v>4.745000000000001E-3</v>
      </c>
      <c r="BR43" s="43">
        <v>4.7729545454545455E-3</v>
      </c>
      <c r="BS43" s="43">
        <v>4.8009090909090918E-3</v>
      </c>
      <c r="BT43" s="43">
        <v>4.8288636363636372E-3</v>
      </c>
      <c r="BU43" s="43">
        <v>4.8568181818181826E-3</v>
      </c>
      <c r="BV43" s="43">
        <v>4.8847727272727281E-3</v>
      </c>
      <c r="BW43" s="43">
        <v>4.9127272727272735E-3</v>
      </c>
      <c r="BX43" s="43">
        <v>4.9406818181818189E-3</v>
      </c>
      <c r="BY43" s="43">
        <v>4.9686363636363643E-3</v>
      </c>
      <c r="BZ43" s="43">
        <v>4.9965909090909097E-3</v>
      </c>
      <c r="CA43" s="43">
        <v>5.0245454545454551E-3</v>
      </c>
      <c r="CB43" s="43">
        <v>5.0525000000000006E-3</v>
      </c>
      <c r="CC43" s="43">
        <v>5.080454545454546E-3</v>
      </c>
      <c r="CD43" s="43">
        <v>5.1084090909090914E-3</v>
      </c>
      <c r="CE43" s="43">
        <v>5.1363636363636368E-3</v>
      </c>
      <c r="CF43" s="43">
        <v>5.1643181818181822E-3</v>
      </c>
      <c r="CG43" s="43">
        <v>5.1922727272727277E-3</v>
      </c>
      <c r="CH43" s="43">
        <v>5.2202272727272731E-3</v>
      </c>
      <c r="CI43" s="43">
        <v>5.2481818181818185E-3</v>
      </c>
      <c r="CJ43" s="43">
        <v>5.2761363636363639E-3</v>
      </c>
      <c r="CK43" s="43">
        <v>5.3040909090909093E-3</v>
      </c>
      <c r="CL43" s="43">
        <v>5.3320454545454548E-3</v>
      </c>
      <c r="CM43" s="43">
        <v>5.3600000000000002E-3</v>
      </c>
    </row>
    <row r="44" spans="1:91" x14ac:dyDescent="0.25">
      <c r="A44" s="13" t="s">
        <v>1</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43">
        <v>1.4251346260975674E-3</v>
      </c>
      <c r="AG44" s="43">
        <v>1.4394010133432368E-3</v>
      </c>
      <c r="AH44" s="43">
        <v>1.4536674005889063E-3</v>
      </c>
      <c r="AI44" s="43">
        <v>1.4679337878345756E-3</v>
      </c>
      <c r="AJ44" s="43">
        <v>1.4822001750802451E-3</v>
      </c>
      <c r="AK44" s="43">
        <v>1.4964665623259145E-3</v>
      </c>
      <c r="AL44" s="43">
        <v>1.510732949571584E-3</v>
      </c>
      <c r="AM44" s="43">
        <v>1.5249993368172533E-3</v>
      </c>
      <c r="AN44" s="43">
        <v>1.5392657240629226E-3</v>
      </c>
      <c r="AO44" s="43">
        <v>1.5535321113085922E-3</v>
      </c>
      <c r="AP44" s="43">
        <v>1.5677984985542617E-3</v>
      </c>
      <c r="AQ44" s="43">
        <v>1.582064885799931E-3</v>
      </c>
      <c r="AR44" s="43">
        <v>1.5963312730456003E-3</v>
      </c>
      <c r="AS44" s="43">
        <v>1.6105976602912699E-3</v>
      </c>
      <c r="AT44" s="43">
        <v>1.6248640475369394E-3</v>
      </c>
      <c r="AU44" s="43">
        <v>1.6391304347826087E-3</v>
      </c>
      <c r="AV44" s="43">
        <v>1.6512056578914659E-3</v>
      </c>
      <c r="AW44" s="43">
        <v>1.6632808810003231E-3</v>
      </c>
      <c r="AX44" s="43">
        <v>1.6753561041091805E-3</v>
      </c>
      <c r="AY44" s="43">
        <v>1.6874313272180377E-3</v>
      </c>
      <c r="AZ44" s="43">
        <v>1.6995065503268949E-3</v>
      </c>
      <c r="BA44" s="43">
        <v>1.7115817734357521E-3</v>
      </c>
      <c r="BB44" s="43">
        <v>1.7236569965446095E-3</v>
      </c>
      <c r="BC44" s="43">
        <v>1.7357322196534667E-3</v>
      </c>
      <c r="BD44" s="43">
        <v>1.7478074427623239E-3</v>
      </c>
      <c r="BE44" s="43">
        <v>1.759882665871181E-3</v>
      </c>
      <c r="BF44" s="43">
        <v>1.7719578889800382E-3</v>
      </c>
      <c r="BG44" s="43">
        <v>1.7840331120888956E-3</v>
      </c>
      <c r="BH44" s="43">
        <v>1.7961083351977528E-3</v>
      </c>
      <c r="BI44" s="43">
        <v>1.80818355830661E-3</v>
      </c>
      <c r="BJ44" s="43">
        <v>1.8202587814154672E-3</v>
      </c>
      <c r="BK44" s="43">
        <v>1.8323340045243246E-3</v>
      </c>
      <c r="BL44" s="43">
        <v>1.8444092276331818E-3</v>
      </c>
      <c r="BM44" s="43">
        <v>1.856484450742039E-3</v>
      </c>
      <c r="BN44" s="43">
        <v>1.8685596738508962E-3</v>
      </c>
      <c r="BO44" s="43">
        <v>1.8806348969597534E-3</v>
      </c>
      <c r="BP44" s="43">
        <v>1.8927101200686108E-3</v>
      </c>
      <c r="BQ44" s="43">
        <v>1.904785343177468E-3</v>
      </c>
      <c r="BR44" s="43">
        <v>1.9168605662863252E-3</v>
      </c>
      <c r="BS44" s="43">
        <v>1.9289357893951826E-3</v>
      </c>
      <c r="BT44" s="43">
        <v>1.9410110125040398E-3</v>
      </c>
      <c r="BU44" s="43">
        <v>1.953086235612897E-3</v>
      </c>
      <c r="BV44" s="43">
        <v>1.9651614587217541E-3</v>
      </c>
      <c r="BW44" s="43">
        <v>1.9772366818306113E-3</v>
      </c>
      <c r="BX44" s="43">
        <v>1.9893119049394685E-3</v>
      </c>
      <c r="BY44" s="43">
        <v>2.0013871280483257E-3</v>
      </c>
      <c r="BZ44" s="43">
        <v>2.0134623511571829E-3</v>
      </c>
      <c r="CA44" s="43">
        <v>2.0255375742660405E-3</v>
      </c>
      <c r="CB44" s="43">
        <v>2.0376127973748977E-3</v>
      </c>
      <c r="CC44" s="43">
        <v>2.0496880204837549E-3</v>
      </c>
      <c r="CD44" s="43">
        <v>2.0617632435926121E-3</v>
      </c>
      <c r="CE44" s="43">
        <v>2.0738384667014693E-3</v>
      </c>
      <c r="CF44" s="43">
        <v>2.0859136898103265E-3</v>
      </c>
      <c r="CG44" s="43">
        <v>2.0979889129191837E-3</v>
      </c>
      <c r="CH44" s="43">
        <v>2.1100641360280409E-3</v>
      </c>
      <c r="CI44" s="43">
        <v>2.1221393591368985E-3</v>
      </c>
      <c r="CJ44" s="43">
        <v>2.1342145822457557E-3</v>
      </c>
      <c r="CK44" s="43">
        <v>2.1462898053546129E-3</v>
      </c>
      <c r="CL44" s="43">
        <v>2.1583650284634701E-3</v>
      </c>
      <c r="CM44" s="43">
        <v>2.1704402515723272E-3</v>
      </c>
    </row>
    <row r="45" spans="1:91" x14ac:dyDescent="0.25">
      <c r="A45" s="13" t="s">
        <v>1</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43">
        <v>1.6577549140049139E-3</v>
      </c>
      <c r="AG45" s="43">
        <v>1.6804361179361179E-3</v>
      </c>
      <c r="AH45" s="43">
        <v>1.7031173218673219E-3</v>
      </c>
      <c r="AI45" s="43">
        <v>1.7257985257985258E-3</v>
      </c>
      <c r="AJ45" s="43">
        <v>1.7484797297297296E-3</v>
      </c>
      <c r="AK45" s="43">
        <v>1.7711609336609336E-3</v>
      </c>
      <c r="AL45" s="43">
        <v>1.7938421375921377E-3</v>
      </c>
      <c r="AM45" s="43">
        <v>1.8165233415233415E-3</v>
      </c>
      <c r="AN45" s="43">
        <v>1.8392045454545453E-3</v>
      </c>
      <c r="AO45" s="43">
        <v>1.8618857493857494E-3</v>
      </c>
      <c r="AP45" s="43">
        <v>1.8845669533169532E-3</v>
      </c>
      <c r="AQ45" s="43">
        <v>1.907248157248157E-3</v>
      </c>
      <c r="AR45" s="43">
        <v>1.9299293611793611E-3</v>
      </c>
      <c r="AS45" s="43">
        <v>1.9526105651105651E-3</v>
      </c>
      <c r="AT45" s="43">
        <v>1.9752917690417692E-3</v>
      </c>
      <c r="AU45" s="43">
        <v>1.9979729729729728E-3</v>
      </c>
      <c r="AV45" s="43">
        <v>2.0184735872235873E-3</v>
      </c>
      <c r="AW45" s="43">
        <v>2.0389742014742013E-3</v>
      </c>
      <c r="AX45" s="43">
        <v>2.0594748157248153E-3</v>
      </c>
      <c r="AY45" s="43">
        <v>2.0799754299754298E-3</v>
      </c>
      <c r="AZ45" s="43">
        <v>2.1004760442260443E-3</v>
      </c>
      <c r="BA45" s="43">
        <v>2.1209766584766583E-3</v>
      </c>
      <c r="BB45" s="43">
        <v>2.1414772727272723E-3</v>
      </c>
      <c r="BC45" s="43">
        <v>2.1619778869778868E-3</v>
      </c>
      <c r="BD45" s="43">
        <v>2.1824785012285013E-3</v>
      </c>
      <c r="BE45" s="43">
        <v>2.2029791154791153E-3</v>
      </c>
      <c r="BF45" s="43">
        <v>2.2234797297297293E-3</v>
      </c>
      <c r="BG45" s="43">
        <v>2.2439803439803438E-3</v>
      </c>
      <c r="BH45" s="43">
        <v>2.2644809582309583E-3</v>
      </c>
      <c r="BI45" s="43">
        <v>2.2849815724815723E-3</v>
      </c>
      <c r="BJ45" s="43">
        <v>2.3054821867321863E-3</v>
      </c>
      <c r="BK45" s="43">
        <v>2.3259828009828008E-3</v>
      </c>
      <c r="BL45" s="43">
        <v>2.3464834152334153E-3</v>
      </c>
      <c r="BM45" s="43">
        <v>2.3669840294840293E-3</v>
      </c>
      <c r="BN45" s="43">
        <v>2.3874846437346433E-3</v>
      </c>
      <c r="BO45" s="43">
        <v>2.4079852579852578E-3</v>
      </c>
      <c r="BP45" s="43">
        <v>2.4284858722358723E-3</v>
      </c>
      <c r="BQ45" s="43">
        <v>2.4489864864864863E-3</v>
      </c>
      <c r="BR45" s="43">
        <v>2.4694871007371003E-3</v>
      </c>
      <c r="BS45" s="43">
        <v>2.4899877149877148E-3</v>
      </c>
      <c r="BT45" s="43">
        <v>2.5104883292383293E-3</v>
      </c>
      <c r="BU45" s="43">
        <v>2.5309889434889433E-3</v>
      </c>
      <c r="BV45" s="43">
        <v>2.5514895577395573E-3</v>
      </c>
      <c r="BW45" s="43">
        <v>2.5719901719901718E-3</v>
      </c>
      <c r="BX45" s="43">
        <v>2.5924907862407863E-3</v>
      </c>
      <c r="BY45" s="43">
        <v>2.6129914004914003E-3</v>
      </c>
      <c r="BZ45" s="43">
        <v>2.6334920147420143E-3</v>
      </c>
      <c r="CA45" s="43">
        <v>2.6539926289926288E-3</v>
      </c>
      <c r="CB45" s="43">
        <v>2.6744932432432433E-3</v>
      </c>
      <c r="CC45" s="43">
        <v>2.6949938574938573E-3</v>
      </c>
      <c r="CD45" s="43">
        <v>2.7154944717444713E-3</v>
      </c>
      <c r="CE45" s="43">
        <v>2.7359950859950858E-3</v>
      </c>
      <c r="CF45" s="43">
        <v>2.7564957002457003E-3</v>
      </c>
      <c r="CG45" s="43">
        <v>2.7769963144963143E-3</v>
      </c>
      <c r="CH45" s="43">
        <v>2.7974969287469283E-3</v>
      </c>
      <c r="CI45" s="43">
        <v>2.8179975429975428E-3</v>
      </c>
      <c r="CJ45" s="43">
        <v>2.8384981572481573E-3</v>
      </c>
      <c r="CK45" s="43">
        <v>2.8589987714987713E-3</v>
      </c>
      <c r="CL45" s="43">
        <v>2.8794993857493853E-3</v>
      </c>
      <c r="CM45" s="43">
        <v>2.8999999999999998E-3</v>
      </c>
    </row>
    <row r="46" spans="1:91" x14ac:dyDescent="0.25">
      <c r="A46" s="13" t="s">
        <v>1</v>
      </c>
      <c r="B46" s="4">
        <v>0</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0</v>
      </c>
      <c r="Y46" s="4">
        <v>0</v>
      </c>
      <c r="Z46" s="4">
        <v>0</v>
      </c>
      <c r="AA46" s="4">
        <v>0</v>
      </c>
      <c r="AB46" s="4">
        <v>0</v>
      </c>
      <c r="AC46" s="4">
        <v>0</v>
      </c>
      <c r="AD46" s="4">
        <v>0</v>
      </c>
      <c r="AE46" s="4">
        <v>0</v>
      </c>
      <c r="AF46" s="43">
        <v>6.1522727272727278E-2</v>
      </c>
      <c r="AG46" s="43">
        <v>6.1954545454545457E-2</v>
      </c>
      <c r="AH46" s="43">
        <v>6.2386363636363643E-2</v>
      </c>
      <c r="AI46" s="43">
        <v>6.2818181818181829E-2</v>
      </c>
      <c r="AJ46" s="43">
        <v>6.3250000000000001E-2</v>
      </c>
      <c r="AK46" s="43">
        <v>6.3681818181818187E-2</v>
      </c>
      <c r="AL46" s="43">
        <v>6.4113636363636373E-2</v>
      </c>
      <c r="AM46" s="43">
        <v>6.4545454545454545E-2</v>
      </c>
      <c r="AN46" s="43">
        <v>6.4977272727272731E-2</v>
      </c>
      <c r="AO46" s="43">
        <v>6.5409090909090917E-2</v>
      </c>
      <c r="AP46" s="43">
        <v>6.5840909090909089E-2</v>
      </c>
      <c r="AQ46" s="43">
        <v>6.6272727272727275E-2</v>
      </c>
      <c r="AR46" s="43">
        <v>6.6704545454545461E-2</v>
      </c>
      <c r="AS46" s="43">
        <v>6.7136363636363633E-2</v>
      </c>
      <c r="AT46" s="43">
        <v>6.7568181818181819E-2</v>
      </c>
      <c r="AU46" s="43">
        <v>6.8000000000000005E-2</v>
      </c>
      <c r="AV46" s="43">
        <v>6.881818181818182E-2</v>
      </c>
      <c r="AW46" s="43">
        <v>6.9636363636363635E-2</v>
      </c>
      <c r="AX46" s="43">
        <v>7.0454545454545464E-2</v>
      </c>
      <c r="AY46" s="43">
        <v>7.1272727272727279E-2</v>
      </c>
      <c r="AZ46" s="43">
        <v>7.2090909090909094E-2</v>
      </c>
      <c r="BA46" s="43">
        <v>7.290909090909091E-2</v>
      </c>
      <c r="BB46" s="43">
        <v>7.3727272727272725E-2</v>
      </c>
      <c r="BC46" s="43">
        <v>7.4545454545454554E-2</v>
      </c>
      <c r="BD46" s="43">
        <v>7.5363636363636369E-2</v>
      </c>
      <c r="BE46" s="43">
        <v>7.6181818181818184E-2</v>
      </c>
      <c r="BF46" s="43">
        <v>7.6999999999999999E-2</v>
      </c>
      <c r="BG46" s="43">
        <v>7.7818181818181814E-2</v>
      </c>
      <c r="BH46" s="43">
        <v>7.8636363636363643E-2</v>
      </c>
      <c r="BI46" s="43">
        <v>7.9454545454545458E-2</v>
      </c>
      <c r="BJ46" s="43">
        <v>8.0272727272727273E-2</v>
      </c>
      <c r="BK46" s="43">
        <v>8.1090909090909088E-2</v>
      </c>
      <c r="BL46" s="43">
        <v>8.1909090909090904E-2</v>
      </c>
      <c r="BM46" s="43">
        <v>8.2727272727272733E-2</v>
      </c>
      <c r="BN46" s="43">
        <v>8.3545454545454548E-2</v>
      </c>
      <c r="BO46" s="43">
        <v>8.4363636363636363E-2</v>
      </c>
      <c r="BP46" s="43">
        <v>8.5181818181818178E-2</v>
      </c>
      <c r="BQ46" s="43">
        <v>8.5999999999999993E-2</v>
      </c>
      <c r="BR46" s="43">
        <v>8.6818181818181822E-2</v>
      </c>
      <c r="BS46" s="43">
        <v>8.7636363636363637E-2</v>
      </c>
      <c r="BT46" s="43">
        <v>8.8454545454545452E-2</v>
      </c>
      <c r="BU46" s="43">
        <v>8.9272727272727267E-2</v>
      </c>
      <c r="BV46" s="43">
        <v>9.0090909090909083E-2</v>
      </c>
      <c r="BW46" s="43">
        <v>9.0909090909090912E-2</v>
      </c>
      <c r="BX46" s="43">
        <v>9.1727272727272727E-2</v>
      </c>
      <c r="BY46" s="43">
        <v>9.2545454545454542E-2</v>
      </c>
      <c r="BZ46" s="43">
        <v>9.3363636363636357E-2</v>
      </c>
      <c r="CA46" s="43">
        <v>9.4181818181818172E-2</v>
      </c>
      <c r="CB46" s="43">
        <v>9.5000000000000001E-2</v>
      </c>
      <c r="CC46" s="43">
        <v>9.5818181818181816E-2</v>
      </c>
      <c r="CD46" s="43">
        <v>9.6636363636363631E-2</v>
      </c>
      <c r="CE46" s="43">
        <v>9.7454545454545446E-2</v>
      </c>
      <c r="CF46" s="43">
        <v>9.8272727272727262E-2</v>
      </c>
      <c r="CG46" s="43">
        <v>9.9090909090909091E-2</v>
      </c>
      <c r="CH46" s="43">
        <v>9.9909090909090906E-2</v>
      </c>
      <c r="CI46" s="43">
        <v>0.10072727272727272</v>
      </c>
      <c r="CJ46" s="43">
        <v>0.10154545454545455</v>
      </c>
      <c r="CK46" s="43">
        <v>0.10236363636363635</v>
      </c>
      <c r="CL46" s="43">
        <v>0.10318181818181818</v>
      </c>
      <c r="CM46" s="43">
        <v>0.104</v>
      </c>
    </row>
    <row r="47" spans="1:91" x14ac:dyDescent="0.25">
      <c r="A47" s="13"/>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row>
    <row r="48" spans="1:91" x14ac:dyDescent="0.25">
      <c r="A48" s="13" t="s">
        <v>17</v>
      </c>
      <c r="B48" s="4">
        <v>0</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c r="Z48" s="4">
        <v>0</v>
      </c>
      <c r="AA48" s="4">
        <v>0</v>
      </c>
      <c r="AB48" s="4">
        <v>0</v>
      </c>
      <c r="AC48" s="4">
        <v>0</v>
      </c>
      <c r="AD48" s="4">
        <v>0</v>
      </c>
      <c r="AE48" s="4">
        <v>0</v>
      </c>
      <c r="AF48" s="15">
        <v>3.0288636363636368E-3</v>
      </c>
      <c r="AG48" s="15">
        <v>3.1022727272727278E-3</v>
      </c>
      <c r="AH48" s="15">
        <v>3.1756818181818188E-3</v>
      </c>
      <c r="AI48" s="15">
        <v>3.2490909090909098E-3</v>
      </c>
      <c r="AJ48" s="15">
        <v>3.3225000000000008E-3</v>
      </c>
      <c r="AK48" s="15">
        <v>3.3959090909090918E-3</v>
      </c>
      <c r="AL48" s="15">
        <v>3.4693181818181828E-3</v>
      </c>
      <c r="AM48" s="15">
        <v>3.5427272727272738E-3</v>
      </c>
      <c r="AN48" s="15">
        <v>3.6161363636363648E-3</v>
      </c>
      <c r="AO48" s="15">
        <v>3.6895454545454558E-3</v>
      </c>
      <c r="AP48" s="15">
        <v>3.7629545454545468E-3</v>
      </c>
      <c r="AQ48" s="15">
        <v>3.8363636363636378E-3</v>
      </c>
      <c r="AR48" s="15">
        <v>3.9097727272727287E-3</v>
      </c>
      <c r="AS48" s="15">
        <v>3.9831818181818197E-3</v>
      </c>
      <c r="AT48" s="15">
        <v>4.0565909090909107E-3</v>
      </c>
      <c r="AU48" s="15">
        <v>4.1300000000000009E-3</v>
      </c>
      <c r="AV48" s="15">
        <v>4.1579545454545463E-3</v>
      </c>
      <c r="AW48" s="15">
        <v>4.1859090909090917E-3</v>
      </c>
      <c r="AX48" s="15">
        <v>4.2138636363636371E-3</v>
      </c>
      <c r="AY48" s="15">
        <v>4.2418181818181825E-3</v>
      </c>
      <c r="AZ48" s="15">
        <v>4.269772727272728E-3</v>
      </c>
      <c r="BA48" s="15">
        <v>4.2977272727272734E-3</v>
      </c>
      <c r="BB48" s="15">
        <v>4.3256818181818188E-3</v>
      </c>
      <c r="BC48" s="15">
        <v>4.3536363636363642E-3</v>
      </c>
      <c r="BD48" s="15">
        <v>4.3815909090909096E-3</v>
      </c>
      <c r="BE48" s="15">
        <v>4.4095454545454551E-3</v>
      </c>
      <c r="BF48" s="15">
        <v>4.4375000000000005E-3</v>
      </c>
      <c r="BG48" s="15">
        <v>4.4654545454545459E-3</v>
      </c>
      <c r="BH48" s="15">
        <v>4.4934090909090913E-3</v>
      </c>
      <c r="BI48" s="15">
        <v>4.5213636363636367E-3</v>
      </c>
      <c r="BJ48" s="15">
        <v>4.5493181818181821E-3</v>
      </c>
      <c r="BK48" s="15">
        <v>4.5772727272727276E-3</v>
      </c>
      <c r="BL48" s="15">
        <v>4.605227272727273E-3</v>
      </c>
      <c r="BM48" s="15">
        <v>4.6331818181818184E-3</v>
      </c>
      <c r="BN48" s="15">
        <v>4.6611363636363638E-3</v>
      </c>
      <c r="BO48" s="15">
        <v>4.6890909090909101E-3</v>
      </c>
      <c r="BP48" s="15">
        <v>4.7170454545454547E-3</v>
      </c>
      <c r="BQ48" s="15">
        <v>4.745000000000001E-3</v>
      </c>
      <c r="BR48" s="15">
        <v>4.7729545454545455E-3</v>
      </c>
      <c r="BS48" s="15">
        <v>4.8009090909090918E-3</v>
      </c>
      <c r="BT48" s="15">
        <v>4.8288636363636372E-3</v>
      </c>
      <c r="BU48" s="15">
        <v>4.8568181818181826E-3</v>
      </c>
      <c r="BV48" s="15">
        <v>4.8847727272727281E-3</v>
      </c>
      <c r="BW48" s="15">
        <v>4.9127272727272735E-3</v>
      </c>
      <c r="BX48" s="15">
        <v>4.9406818181818189E-3</v>
      </c>
      <c r="BY48" s="15">
        <v>4.9686363636363643E-3</v>
      </c>
      <c r="BZ48" s="15">
        <v>4.9965909090909097E-3</v>
      </c>
      <c r="CA48" s="15">
        <v>5.0245454545454551E-3</v>
      </c>
      <c r="CB48" s="15">
        <v>5.0525000000000006E-3</v>
      </c>
      <c r="CC48" s="15">
        <v>5.080454545454546E-3</v>
      </c>
      <c r="CD48" s="15">
        <v>5.1084090909090914E-3</v>
      </c>
      <c r="CE48" s="15">
        <v>5.1363636363636368E-3</v>
      </c>
      <c r="CF48" s="15">
        <v>5.1643181818181822E-3</v>
      </c>
      <c r="CG48" s="15">
        <v>5.1922727272727277E-3</v>
      </c>
      <c r="CH48" s="15">
        <v>5.2202272727272731E-3</v>
      </c>
      <c r="CI48" s="15">
        <v>5.2481818181818185E-3</v>
      </c>
      <c r="CJ48" s="15">
        <v>5.2761363636363639E-3</v>
      </c>
      <c r="CK48" s="15">
        <v>5.3040909090909093E-3</v>
      </c>
      <c r="CL48" s="15">
        <v>5.3320454545454548E-3</v>
      </c>
      <c r="CM48" s="15">
        <v>5.3600000000000002E-3</v>
      </c>
    </row>
    <row r="49" spans="1:91" x14ac:dyDescent="0.25">
      <c r="A49" s="13"/>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row>
    <row r="50" spans="1:91" x14ac:dyDescent="0.25">
      <c r="A50" s="13" t="s">
        <v>18</v>
      </c>
      <c r="B50" s="4">
        <v>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c r="Z50" s="4">
        <v>0</v>
      </c>
      <c r="AA50" s="4">
        <v>0</v>
      </c>
      <c r="AB50" s="4">
        <v>0</v>
      </c>
      <c r="AC50" s="4">
        <v>0</v>
      </c>
      <c r="AD50" s="4">
        <v>0</v>
      </c>
      <c r="AE50" s="4">
        <v>0</v>
      </c>
      <c r="AF50" s="15">
        <v>8.6618671127481966E-4</v>
      </c>
      <c r="AG50" s="15">
        <v>8.7332065560907562E-4</v>
      </c>
      <c r="AH50" s="15">
        <v>8.8045459994333169E-4</v>
      </c>
      <c r="AI50" s="15">
        <v>8.8758854427758765E-4</v>
      </c>
      <c r="AJ50" s="15">
        <v>8.9472248861184372E-4</v>
      </c>
      <c r="AK50" s="15">
        <v>9.0185643294609969E-4</v>
      </c>
      <c r="AL50" s="15">
        <v>9.0899037728035576E-4</v>
      </c>
      <c r="AM50" s="15">
        <v>9.1612432161461172E-4</v>
      </c>
      <c r="AN50" s="15">
        <v>9.2325826594886768E-4</v>
      </c>
      <c r="AO50" s="15">
        <v>9.3039221028312375E-4</v>
      </c>
      <c r="AP50" s="15">
        <v>9.3752615461737982E-4</v>
      </c>
      <c r="AQ50" s="15">
        <v>9.4466009895163578E-4</v>
      </c>
      <c r="AR50" s="15">
        <v>9.5179404328589175E-4</v>
      </c>
      <c r="AS50" s="15">
        <v>9.5892798762014782E-4</v>
      </c>
      <c r="AT50" s="15">
        <v>9.6606193195440389E-4</v>
      </c>
      <c r="AU50" s="15">
        <v>9.7319587628865985E-4</v>
      </c>
      <c r="AV50" s="15">
        <v>9.9072164948453621E-4</v>
      </c>
      <c r="AW50" s="15">
        <v>1.0082474226804125E-3</v>
      </c>
      <c r="AX50" s="15">
        <v>1.0257731958762887E-3</v>
      </c>
      <c r="AY50" s="15">
        <v>1.043298969072165E-3</v>
      </c>
      <c r="AZ50" s="15">
        <v>1.0608247422680412E-3</v>
      </c>
      <c r="BA50" s="15">
        <v>1.0783505154639175E-3</v>
      </c>
      <c r="BB50" s="15">
        <v>1.095876288659794E-3</v>
      </c>
      <c r="BC50" s="15">
        <v>1.1134020618556702E-3</v>
      </c>
      <c r="BD50" s="15">
        <v>1.1309278350515465E-3</v>
      </c>
      <c r="BE50" s="15">
        <v>1.1484536082474227E-3</v>
      </c>
      <c r="BF50" s="15">
        <v>1.165979381443299E-3</v>
      </c>
      <c r="BG50" s="15">
        <v>1.1835051546391752E-3</v>
      </c>
      <c r="BH50" s="15">
        <v>1.2010309278350515E-3</v>
      </c>
      <c r="BI50" s="15">
        <v>1.2185567010309277E-3</v>
      </c>
      <c r="BJ50" s="15">
        <v>1.236082474226804E-3</v>
      </c>
      <c r="BK50" s="15">
        <v>1.2536082474226805E-3</v>
      </c>
      <c r="BL50" s="15">
        <v>1.2711340206185567E-3</v>
      </c>
      <c r="BM50" s="15">
        <v>1.288659793814433E-3</v>
      </c>
      <c r="BN50" s="15">
        <v>1.3061855670103092E-3</v>
      </c>
      <c r="BO50" s="15">
        <v>1.3237113402061855E-3</v>
      </c>
      <c r="BP50" s="15">
        <v>1.3412371134020619E-3</v>
      </c>
      <c r="BQ50" s="15">
        <v>1.3587628865979382E-3</v>
      </c>
      <c r="BR50" s="15">
        <v>1.3762886597938145E-3</v>
      </c>
      <c r="BS50" s="15">
        <v>1.3938144329896907E-3</v>
      </c>
      <c r="BT50" s="15">
        <v>1.411340206185567E-3</v>
      </c>
      <c r="BU50" s="15">
        <v>1.4288659793814432E-3</v>
      </c>
      <c r="BV50" s="15">
        <v>1.4463917525773195E-3</v>
      </c>
      <c r="BW50" s="15">
        <v>1.4639175257731957E-3</v>
      </c>
      <c r="BX50" s="15">
        <v>1.481443298969072E-3</v>
      </c>
      <c r="BY50" s="15">
        <v>1.4989690721649482E-3</v>
      </c>
      <c r="BZ50" s="15">
        <v>1.5164948453608247E-3</v>
      </c>
      <c r="CA50" s="15">
        <v>1.534020618556701E-3</v>
      </c>
      <c r="CB50" s="15">
        <v>1.5515463917525772E-3</v>
      </c>
      <c r="CC50" s="15">
        <v>1.5690721649484537E-3</v>
      </c>
      <c r="CD50" s="15">
        <v>1.5865979381443299E-3</v>
      </c>
      <c r="CE50" s="15">
        <v>1.6041237113402062E-3</v>
      </c>
      <c r="CF50" s="15">
        <v>1.6216494845360824E-3</v>
      </c>
      <c r="CG50" s="15">
        <v>1.6391752577319587E-3</v>
      </c>
      <c r="CH50" s="15">
        <v>1.656701030927835E-3</v>
      </c>
      <c r="CI50" s="15">
        <v>1.6742268041237112E-3</v>
      </c>
      <c r="CJ50" s="15">
        <v>1.6917525773195875E-3</v>
      </c>
      <c r="CK50" s="15">
        <v>1.7092783505154637E-3</v>
      </c>
      <c r="CL50" s="15">
        <v>1.72680412371134E-3</v>
      </c>
      <c r="CM50" s="15">
        <v>1.7443298969072164E-3</v>
      </c>
    </row>
    <row r="52" spans="1:91" s="37" customFormat="1" x14ac:dyDescent="0.25">
      <c r="A52" s="37" t="s">
        <v>33</v>
      </c>
      <c r="B52" s="4">
        <f>'25% by 2050 Ag'!B27</f>
        <v>0</v>
      </c>
      <c r="C52" s="4">
        <f>'25% by 2050 Ag'!C27</f>
        <v>0</v>
      </c>
      <c r="D52" s="4">
        <f>'25% by 2050 Ag'!D27</f>
        <v>0</v>
      </c>
      <c r="E52" s="4">
        <f>'25% by 2050 Ag'!E27</f>
        <v>0</v>
      </c>
      <c r="F52" s="4">
        <f>'25% by 2050 Ag'!F27</f>
        <v>0</v>
      </c>
      <c r="G52" s="4">
        <f>'25% by 2050 Ag'!G27</f>
        <v>0</v>
      </c>
      <c r="H52" s="4">
        <f>'25% by 2050 Ag'!H27</f>
        <v>0</v>
      </c>
      <c r="I52" s="4">
        <f>'25% by 2050 Ag'!I27</f>
        <v>0</v>
      </c>
      <c r="J52" s="4">
        <f>'25% by 2050 Ag'!J27</f>
        <v>0</v>
      </c>
      <c r="K52" s="4">
        <f>'25% by 2050 Ag'!K27</f>
        <v>0</v>
      </c>
      <c r="L52" s="4">
        <f>'25% by 2050 Ag'!L27</f>
        <v>0</v>
      </c>
      <c r="M52" s="4">
        <f>'25% by 2050 Ag'!M27</f>
        <v>0</v>
      </c>
      <c r="N52" s="4">
        <f>'25% by 2050 Ag'!N27</f>
        <v>0</v>
      </c>
      <c r="O52" s="4">
        <f>'25% by 2050 Ag'!O27</f>
        <v>0</v>
      </c>
      <c r="P52" s="4">
        <f>'25% by 2050 Ag'!P27</f>
        <v>0</v>
      </c>
      <c r="Q52" s="4">
        <f>'25% by 2050 Ag'!Q27</f>
        <v>0</v>
      </c>
      <c r="R52" s="4">
        <f>'25% by 2050 Ag'!R27</f>
        <v>0</v>
      </c>
      <c r="S52" s="4">
        <f>'25% by 2050 Ag'!S27</f>
        <v>0</v>
      </c>
      <c r="T52" s="4">
        <f>'25% by 2050 Ag'!T27</f>
        <v>0</v>
      </c>
      <c r="U52" s="4">
        <f>'25% by 2050 Ag'!U27</f>
        <v>0</v>
      </c>
      <c r="V52" s="4">
        <f>'25% by 2050 Ag'!V27</f>
        <v>0</v>
      </c>
      <c r="W52" s="4">
        <f>'25% by 2050 Ag'!W27</f>
        <v>0</v>
      </c>
      <c r="X52" s="4">
        <f>'25% by 2050 Ag'!X27</f>
        <v>0</v>
      </c>
      <c r="Y52" s="4">
        <f>'25% by 2050 Ag'!Y27</f>
        <v>0</v>
      </c>
      <c r="Z52" s="4">
        <f>'25% by 2050 Ag'!Z27</f>
        <v>0</v>
      </c>
      <c r="AA52" s="4">
        <f>'25% by 2050 Ag'!AA27</f>
        <v>0</v>
      </c>
      <c r="AB52" s="4">
        <f>'25% by 2050 Ag'!AB27</f>
        <v>0</v>
      </c>
      <c r="AC52" s="4">
        <f>'25% by 2050 Ag'!AC27</f>
        <v>0</v>
      </c>
      <c r="AD52" s="4">
        <f>'25% by 2050 Ag'!AD27</f>
        <v>0</v>
      </c>
      <c r="AE52" s="4">
        <f>'25% by 2050 Ag'!AE27</f>
        <v>0</v>
      </c>
      <c r="AF52" s="44">
        <f>'25% by 2050 Ag'!AF27</f>
        <v>264298.13384870189</v>
      </c>
      <c r="AG52" s="44">
        <f>'25% by 2050 Ag'!AG27</f>
        <v>520633.93324715138</v>
      </c>
      <c r="AH52" s="44">
        <f>'25% by 2050 Ag'!AH27</f>
        <v>769361.87263473251</v>
      </c>
      <c r="AI52" s="44">
        <f>'25% by 2050 Ag'!AI27</f>
        <v>1010815.693040224</v>
      </c>
      <c r="AJ52" s="44">
        <f>'25% by 2050 Ag'!AJ27</f>
        <v>1245309.8961211501</v>
      </c>
      <c r="AK52" s="44">
        <f>'25% by 2050 Ag'!AK27</f>
        <v>1473141.1108468894</v>
      </c>
      <c r="AL52" s="44">
        <f>'25% by 2050 Ag'!AL27</f>
        <v>1694589.3453137057</v>
      </c>
      <c r="AM52" s="44">
        <f>'25% by 2050 Ag'!AM27</f>
        <v>1909919.13479971</v>
      </c>
      <c r="AN52" s="44">
        <f>'25% by 2050 Ag'!AN27</f>
        <v>2119380.5959568662</v>
      </c>
      <c r="AO52" s="44">
        <f>'25% by 2050 Ag'!AO27</f>
        <v>2323210.3959727613</v>
      </c>
      <c r="AP52" s="44">
        <f>'25% by 2050 Ag'!AP27</f>
        <v>2528030.7295535938</v>
      </c>
      <c r="AQ52" s="44">
        <f>'25% by 2050 Ag'!AQ27</f>
        <v>3025243.1509060082</v>
      </c>
      <c r="AR52" s="44">
        <f>'25% by 2050 Ag'!AR27</f>
        <v>3914439.356290834</v>
      </c>
      <c r="AS52" s="44">
        <f>'25% by 2050 Ag'!AS27</f>
        <v>4710896.3697284199</v>
      </c>
      <c r="AT52" s="44">
        <f>'25% by 2050 Ag'!AT27</f>
        <v>5525197.0183615312</v>
      </c>
      <c r="AU52" s="44">
        <f>'25% by 2050 Ag'!AU27</f>
        <v>7231647.8086248199</v>
      </c>
      <c r="AV52" s="44">
        <f>'25% by 2050 Ag'!AV27</f>
        <v>10062408.411293173</v>
      </c>
      <c r="AW52" s="44">
        <f>'25% by 2050 Ag'!AW27</f>
        <v>14004755.431666218</v>
      </c>
      <c r="AX52" s="44">
        <f>'25% by 2050 Ag'!AX27</f>
        <v>14989749.552085569</v>
      </c>
      <c r="AY52" s="44">
        <f>'25% by 2050 Ag'!AY27</f>
        <v>16052595.374386443</v>
      </c>
      <c r="AZ52" s="44">
        <f>'25% by 2050 Ag'!AZ27</f>
        <v>17105346.28058739</v>
      </c>
      <c r="BA52" s="44">
        <f>'25% by 2050 Ag'!BA27</f>
        <v>18148158.904882386</v>
      </c>
      <c r="BB52" s="44">
        <f>'25% by 2050 Ag'!BB27</f>
        <v>19181186.192052074</v>
      </c>
      <c r="BC52" s="44">
        <f>'25% by 2050 Ag'!BC27</f>
        <v>20204577.523639631</v>
      </c>
      <c r="BD52" s="44">
        <f>'25% by 2050 Ag'!BD27</f>
        <v>21218478.838245515</v>
      </c>
      <c r="BE52" s="44">
        <f>'25% by 2050 Ag'!BE27</f>
        <v>22223032.746287949</v>
      </c>
      <c r="BF52" s="44">
        <f>'25% by 2050 Ag'!BF27</f>
        <v>23218378.639551979</v>
      </c>
      <c r="BG52" s="44">
        <f>'25% by 2050 Ag'!BG27</f>
        <v>24204652.795827199</v>
      </c>
      <c r="BH52" s="44">
        <f>'25% by 2050 Ag'!BH27</f>
        <v>25181987.072291125</v>
      </c>
      <c r="BI52" s="44">
        <f>'25% by 2050 Ag'!BI27</f>
        <v>27722897.613718852</v>
      </c>
      <c r="BJ52" s="44">
        <f>'25% by 2050 Ag'!BJ27</f>
        <v>30213917.320765853</v>
      </c>
      <c r="BK52" s="44">
        <f>'25% by 2050 Ag'!BK27</f>
        <v>32655942.729002677</v>
      </c>
      <c r="BL52" s="44">
        <f>'25% by 2050 Ag'!BL27</f>
        <v>35049850.946431875</v>
      </c>
      <c r="BM52" s="44">
        <f>'25% by 2050 Ag'!BM27</f>
        <v>37396500.271563739</v>
      </c>
      <c r="BN52" s="44">
        <f>'25% by 2050 Ag'!BN27</f>
        <v>39696730.783159316</v>
      </c>
      <c r="BO52" s="44">
        <f>'25% by 2050 Ag'!BO27</f>
        <v>41951364.903280146</v>
      </c>
      <c r="BP52" s="44">
        <f>'25% by 2050 Ag'!BP27</f>
        <v>44161207.935173422</v>
      </c>
      <c r="BQ52" s="44">
        <f>'25% by 2050 Ag'!BQ27</f>
        <v>46327048.57742016</v>
      </c>
      <c r="BR52" s="44">
        <f>'25% by 2050 Ag'!BR27</f>
        <v>48449659.415679239</v>
      </c>
      <c r="BS52" s="44">
        <f>'25% by 2050 Ag'!BS27</f>
        <v>50529797.393273272</v>
      </c>
      <c r="BT52" s="44">
        <f>'25% by 2050 Ag'!BT27</f>
        <v>52568204.261781365</v>
      </c>
      <c r="BU52" s="44">
        <f>'25% by 2050 Ag'!BU27</f>
        <v>54565607.012728721</v>
      </c>
      <c r="BV52" s="44">
        <f>'25% by 2050 Ag'!BV27</f>
        <v>56522718.29139404</v>
      </c>
      <c r="BW52" s="44">
        <f>'25% by 2050 Ag'!BW27</f>
        <v>58440236.793690279</v>
      </c>
      <c r="BX52" s="44">
        <f>'25% by 2050 Ag'!BX27</f>
        <v>60318847.647015482</v>
      </c>
      <c r="BY52" s="44">
        <f>'25% by 2050 Ag'!BY27</f>
        <v>62159222.775913559</v>
      </c>
      <c r="BZ52" s="44">
        <f>'25% by 2050 Ag'!BZ27</f>
        <v>63962021.253333978</v>
      </c>
      <c r="CA52" s="44">
        <f>'25% by 2050 Ag'!CA27</f>
        <v>65727889.638230376</v>
      </c>
      <c r="CB52" s="44">
        <f>'25% by 2050 Ag'!CB27</f>
        <v>67457462.30019404</v>
      </c>
      <c r="CC52" s="44">
        <f>'25% by 2050 Ag'!CC27</f>
        <v>69151361.731775209</v>
      </c>
      <c r="CD52" s="44">
        <f>'25% by 2050 Ag'!CD27</f>
        <v>70810198.849107534</v>
      </c>
      <c r="CE52" s="44">
        <f>'25% by 2050 Ag'!CE27</f>
        <v>72434573.281413376</v>
      </c>
      <c r="CF52" s="44">
        <f>'25% by 2050 Ag'!CF27</f>
        <v>74025073.6499345</v>
      </c>
      <c r="CG52" s="44">
        <f>'25% by 2050 Ag'!CG27</f>
        <v>75582277.836800873</v>
      </c>
      <c r="CH52" s="44">
        <f>'25% by 2050 Ag'!CH27</f>
        <v>77106753.244320154</v>
      </c>
      <c r="CI52" s="44">
        <f>'25% by 2050 Ag'!CI27</f>
        <v>78599057.045143902</v>
      </c>
      <c r="CJ52" s="44">
        <f>'25% by 2050 Ag'!CJ27</f>
        <v>80059736.423739135</v>
      </c>
      <c r="CK52" s="44">
        <f>'25% by 2050 Ag'!CK27</f>
        <v>81489328.809571177</v>
      </c>
      <c r="CL52" s="44">
        <f>'25% by 2050 Ag'!CL27</f>
        <v>82888362.102379844</v>
      </c>
      <c r="CM52" s="44">
        <f>'25% by 2050 Ag'!CM27</f>
        <v>84257354.889910609</v>
      </c>
    </row>
    <row r="53" spans="1:91" s="37" customFormat="1" x14ac:dyDescent="0.25">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row>
    <row r="54" spans="1:91" s="37" customFormat="1" x14ac:dyDescent="0.25">
      <c r="A54" s="37" t="s">
        <v>22</v>
      </c>
      <c r="B54" s="4">
        <f>'25% by 2050 Ag'!B28</f>
        <v>0</v>
      </c>
      <c r="C54" s="4">
        <f>'25% by 2050 Ag'!C28</f>
        <v>0</v>
      </c>
      <c r="D54" s="4">
        <f>'25% by 2050 Ag'!D28</f>
        <v>0</v>
      </c>
      <c r="E54" s="4">
        <f>'25% by 2050 Ag'!E28</f>
        <v>0</v>
      </c>
      <c r="F54" s="4">
        <f>'25% by 2050 Ag'!F28</f>
        <v>0</v>
      </c>
      <c r="G54" s="4">
        <f>'25% by 2050 Ag'!G28</f>
        <v>0</v>
      </c>
      <c r="H54" s="4">
        <f>'25% by 2050 Ag'!H28</f>
        <v>0</v>
      </c>
      <c r="I54" s="4">
        <f>'25% by 2050 Ag'!I28</f>
        <v>0</v>
      </c>
      <c r="J54" s="4">
        <f>'25% by 2050 Ag'!J28</f>
        <v>0</v>
      </c>
      <c r="K54" s="4">
        <f>'25% by 2050 Ag'!K28</f>
        <v>0</v>
      </c>
      <c r="L54" s="4">
        <f>'25% by 2050 Ag'!L28</f>
        <v>0</v>
      </c>
      <c r="M54" s="4">
        <f>'25% by 2050 Ag'!M28</f>
        <v>0</v>
      </c>
      <c r="N54" s="4">
        <f>'25% by 2050 Ag'!N28</f>
        <v>0</v>
      </c>
      <c r="O54" s="4">
        <f>'25% by 2050 Ag'!O28</f>
        <v>0</v>
      </c>
      <c r="P54" s="4">
        <f>'25% by 2050 Ag'!P28</f>
        <v>0</v>
      </c>
      <c r="Q54" s="4">
        <f>'25% by 2050 Ag'!Q28</f>
        <v>0</v>
      </c>
      <c r="R54" s="4">
        <f>'25% by 2050 Ag'!R28</f>
        <v>0</v>
      </c>
      <c r="S54" s="4">
        <f>'25% by 2050 Ag'!S28</f>
        <v>0</v>
      </c>
      <c r="T54" s="4">
        <f>'25% by 2050 Ag'!T28</f>
        <v>0</v>
      </c>
      <c r="U54" s="4">
        <f>'25% by 2050 Ag'!U28</f>
        <v>0</v>
      </c>
      <c r="V54" s="4">
        <f>'25% by 2050 Ag'!V28</f>
        <v>0</v>
      </c>
      <c r="W54" s="4">
        <f>'25% by 2050 Ag'!W28</f>
        <v>0</v>
      </c>
      <c r="X54" s="4">
        <f>'25% by 2050 Ag'!X28</f>
        <v>0</v>
      </c>
      <c r="Y54" s="4">
        <f>'25% by 2050 Ag'!Y28</f>
        <v>0</v>
      </c>
      <c r="Z54" s="4">
        <f>'25% by 2050 Ag'!Z28</f>
        <v>0</v>
      </c>
      <c r="AA54" s="4">
        <f>'25% by 2050 Ag'!AA28</f>
        <v>0</v>
      </c>
      <c r="AB54" s="4">
        <f>'25% by 2050 Ag'!AB28</f>
        <v>0</v>
      </c>
      <c r="AC54" s="4">
        <f>'25% by 2050 Ag'!AC28</f>
        <v>0</v>
      </c>
      <c r="AD54" s="4">
        <f>'25% by 2050 Ag'!AD28</f>
        <v>0</v>
      </c>
      <c r="AE54" s="4">
        <f>'25% by 2050 Ag'!AE28</f>
        <v>0</v>
      </c>
      <c r="AF54" s="44">
        <f>'25% by 2050 Ag'!AF28</f>
        <v>778374.70567275002</v>
      </c>
      <c r="AG54" s="44">
        <f>'25% by 2050 Ag'!AG28</f>
        <v>1535022.1093097155</v>
      </c>
      <c r="AH54" s="44">
        <f>'25% by 2050 Ag'!AH28</f>
        <v>2270889.154513876</v>
      </c>
      <c r="AI54" s="44">
        <f>'25% by 2050 Ag'!AI28</f>
        <v>2986866.5307719884</v>
      </c>
      <c r="AJ54" s="44">
        <f>'25% by 2050 Ag'!AJ28</f>
        <v>3683792.8982335599</v>
      </c>
      <c r="AK54" s="44">
        <f>'25% by 2050 Ag'!AK28</f>
        <v>4362458.7303994726</v>
      </c>
      <c r="AL54" s="44">
        <f>'25% by 2050 Ag'!AL28</f>
        <v>5023609.8149621096</v>
      </c>
      <c r="AM54" s="44">
        <f>'25% by 2050 Ag'!AM28</f>
        <v>5667950.4482213622</v>
      </c>
      <c r="AN54" s="44">
        <f>'25% by 2050 Ag'!AN28</f>
        <v>6296146.3543270566</v>
      </c>
      <c r="AO54" s="44">
        <f>'25% by 2050 Ag'!AO28</f>
        <v>6908827.3569737086</v>
      </c>
      <c r="AP54" s="44">
        <f>'25% by 2050 Ag'!AP28</f>
        <v>7515181.8335191449</v>
      </c>
      <c r="AQ54" s="44">
        <f>'25% by 2050 Ag'!AQ28</f>
        <v>8613695.5486764461</v>
      </c>
      <c r="AR54" s="44">
        <f>'25% by 2050 Ag'!AR28</f>
        <v>10091710.215177305</v>
      </c>
      <c r="AS54" s="44">
        <f>'25% by 2050 Ag'!AS28</f>
        <v>10296365.485343222</v>
      </c>
      <c r="AT54" s="44">
        <f>'25% by 2050 Ag'!AT28</f>
        <v>12914628.496858951</v>
      </c>
      <c r="AU54" s="44">
        <f>'25% by 2050 Ag'!AU28</f>
        <v>17405074.823177025</v>
      </c>
      <c r="AV54" s="44">
        <f>'25% by 2050 Ag'!AV28</f>
        <v>22085449.70506895</v>
      </c>
      <c r="AW54" s="44">
        <f>'25% by 2050 Ag'!AW28</f>
        <v>28488573.549461856</v>
      </c>
      <c r="AX54" s="44">
        <f>'25% by 2050 Ag'!AX28</f>
        <v>35581088.29499279</v>
      </c>
      <c r="AY54" s="44">
        <f>'25% by 2050 Ag'!AY28</f>
        <v>40062127.00281693</v>
      </c>
      <c r="AZ54" s="44">
        <f>'25% by 2050 Ag'!AZ28</f>
        <v>44462577.950583547</v>
      </c>
      <c r="BA54" s="44">
        <f>'25% by 2050 Ag'!BA28</f>
        <v>48784631.739637792</v>
      </c>
      <c r="BB54" s="44">
        <f>'25% by 2050 Ag'!BB28</f>
        <v>53030399.367209017</v>
      </c>
      <c r="BC54" s="44">
        <f>'25% by 2050 Ag'!BC28</f>
        <v>57201915.846381441</v>
      </c>
      <c r="BD54" s="44">
        <f>'25% by 2050 Ag'!BD28</f>
        <v>61301143.628565356</v>
      </c>
      <c r="BE54" s="44">
        <f>'25% by 2050 Ag'!BE28</f>
        <v>65329975.841022998</v>
      </c>
      <c r="BF54" s="44">
        <f>'25% by 2050 Ag'!BF28</f>
        <v>69290239.351093575</v>
      </c>
      <c r="BG54" s="44">
        <f>'25% by 2050 Ag'!BG28</f>
        <v>73183697.667925835</v>
      </c>
      <c r="BH54" s="44">
        <f>'25% by 2050 Ag'!BH28</f>
        <v>77012045.219639331</v>
      </c>
      <c r="BI54" s="44">
        <f>'25% by 2050 Ag'!BI28</f>
        <v>101528472.96242721</v>
      </c>
      <c r="BJ54" s="44">
        <f>'25% by 2050 Ag'!BJ28</f>
        <v>122851592.28334096</v>
      </c>
      <c r="BK54" s="44">
        <f>'25% by 2050 Ag'!BK28</f>
        <v>143794570.62429976</v>
      </c>
      <c r="BL54" s="44">
        <f>'25% by 2050 Ag'!BL28</f>
        <v>164367054.85666654</v>
      </c>
      <c r="BM54" s="44">
        <f>'25% by 2050 Ag'!BM28</f>
        <v>184578366.62866968</v>
      </c>
      <c r="BN54" s="44">
        <f>'25% by 2050 Ag'!BN28</f>
        <v>204437516.16394019</v>
      </c>
      <c r="BO54" s="44">
        <f>'25% by 2050 Ag'!BO28</f>
        <v>223953215.35754138</v>
      </c>
      <c r="BP54" s="44">
        <f>'25% by 2050 Ag'!BP28</f>
        <v>243133890.2109828</v>
      </c>
      <c r="BQ54" s="44">
        <f>'25% by 2050 Ag'!BQ28</f>
        <v>261987692.6449317</v>
      </c>
      <c r="BR54" s="44">
        <f>'25% by 2050 Ag'!BR28</f>
        <v>280522511.72576308</v>
      </c>
      <c r="BS54" s="44">
        <f>'25% by 2050 Ag'!BS28</f>
        <v>298745984.33970988</v>
      </c>
      <c r="BT54" s="44">
        <f>'25% by 2050 Ag'!BT28</f>
        <v>316665505.34616733</v>
      </c>
      <c r="BU54" s="44">
        <f>'25% by 2050 Ag'!BU28</f>
        <v>334288237.23966336</v>
      </c>
      <c r="BV54" s="44">
        <f>'25% by 2050 Ag'!BV28</f>
        <v>351621119.34810567</v>
      </c>
      <c r="BW54" s="44">
        <f>'25% by 2050 Ag'!BW28</f>
        <v>368670876.59316033</v>
      </c>
      <c r="BX54" s="44">
        <f>'25% by 2050 Ag'!BX28</f>
        <v>385444027.83697653</v>
      </c>
      <c r="BY54" s="44">
        <f>'25% by 2050 Ag'!BY28</f>
        <v>401946893.83795393</v>
      </c>
      <c r="BZ54" s="44">
        <f>'25% by 2050 Ag'!BZ28</f>
        <v>418185604.83683813</v>
      </c>
      <c r="CA54" s="44">
        <f>'25% by 2050 Ag'!CA28</f>
        <v>434166107.79310703</v>
      </c>
      <c r="CB54" s="44">
        <f>'25% by 2050 Ag'!CB28</f>
        <v>449894173.29039776</v>
      </c>
      <c r="CC54" s="44">
        <f>'25% by 2050 Ag'!CC28</f>
        <v>465375402.12857032</v>
      </c>
      <c r="CD54" s="44">
        <f>'25% by 2050 Ag'!CD28</f>
        <v>480615231.61895174</v>
      </c>
      <c r="CE54" s="44">
        <f>'25% by 2050 Ag'!CE28</f>
        <v>495618941.59830558</v>
      </c>
      <c r="CF54" s="44">
        <f>'25% by 2050 Ag'!CF28</f>
        <v>510391660.17615354</v>
      </c>
      <c r="CG54" s="44">
        <f>'25% by 2050 Ag'!CG28</f>
        <v>524938369.22920406</v>
      </c>
      <c r="CH54" s="44">
        <f>'25% by 2050 Ag'!CH28</f>
        <v>539263909.6558429</v>
      </c>
      <c r="CI54" s="44">
        <f>'25% by 2050 Ag'!CI28</f>
        <v>553372986.40288544</v>
      </c>
      <c r="CJ54" s="44">
        <f>'25% by 2050 Ag'!CJ28</f>
        <v>567270173.27608275</v>
      </c>
      <c r="CK54" s="44">
        <f>'25% by 2050 Ag'!CK28</f>
        <v>580959917.54521799</v>
      </c>
      <c r="CL54" s="44">
        <f>'25% by 2050 Ag'!CL28</f>
        <v>594446544.35400867</v>
      </c>
      <c r="CM54" s="44">
        <f>'25% by 2050 Ag'!CM28</f>
        <v>607734260.94445908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Q61"/>
  <sheetViews>
    <sheetView workbookViewId="0">
      <selection activeCell="I29" sqref="I29"/>
    </sheetView>
  </sheetViews>
  <sheetFormatPr defaultRowHeight="15" x14ac:dyDescent="0.25"/>
  <cols>
    <col min="2" max="2" width="18.5703125" customWidth="1"/>
    <col min="3" max="3" width="21.5703125" customWidth="1"/>
    <col min="4" max="4" width="48" customWidth="1"/>
    <col min="9" max="17" width="23.42578125" customWidth="1"/>
  </cols>
  <sheetData>
    <row r="1" spans="1:16" x14ac:dyDescent="0.25">
      <c r="A1" t="s">
        <v>8</v>
      </c>
    </row>
    <row r="2" spans="1:16" x14ac:dyDescent="0.25">
      <c r="A2" t="s">
        <v>23</v>
      </c>
      <c r="B2" t="s">
        <v>28</v>
      </c>
      <c r="C2" t="s">
        <v>9</v>
      </c>
      <c r="D2" t="s">
        <v>10</v>
      </c>
      <c r="F2" t="s">
        <v>29</v>
      </c>
    </row>
    <row r="3" spans="1:16" x14ac:dyDescent="0.25">
      <c r="A3" s="2">
        <v>1</v>
      </c>
      <c r="B3" s="16" t="s">
        <v>11</v>
      </c>
      <c r="C3" s="16" t="s">
        <v>12</v>
      </c>
      <c r="D3" s="16" t="s">
        <v>0</v>
      </c>
      <c r="G3" s="3" t="s">
        <v>30</v>
      </c>
      <c r="H3">
        <v>1991</v>
      </c>
    </row>
    <row r="4" spans="1:16" x14ac:dyDescent="0.25">
      <c r="A4" s="16"/>
      <c r="B4" s="16"/>
      <c r="C4" s="16"/>
      <c r="D4" s="16" t="s">
        <v>3</v>
      </c>
      <c r="G4" s="3" t="s">
        <v>31</v>
      </c>
      <c r="H4">
        <v>2050</v>
      </c>
    </row>
    <row r="5" spans="1:16" x14ac:dyDescent="0.25">
      <c r="A5" s="16"/>
      <c r="B5" s="16"/>
      <c r="C5" s="16"/>
      <c r="D5" s="16" t="s">
        <v>4</v>
      </c>
    </row>
    <row r="6" spans="1:16" x14ac:dyDescent="0.25">
      <c r="A6" s="16"/>
      <c r="B6" s="16"/>
      <c r="C6" s="16"/>
      <c r="D6" s="16" t="s">
        <v>5</v>
      </c>
      <c r="G6" t="s">
        <v>32</v>
      </c>
      <c r="I6" t="s">
        <v>59</v>
      </c>
    </row>
    <row r="7" spans="1:16" x14ac:dyDescent="0.25">
      <c r="A7" s="16"/>
      <c r="B7" s="16"/>
      <c r="C7" s="16"/>
      <c r="D7" s="16" t="s">
        <v>6</v>
      </c>
      <c r="H7" t="s">
        <v>34</v>
      </c>
      <c r="I7" t="s">
        <v>35</v>
      </c>
      <c r="J7" t="s">
        <v>36</v>
      </c>
      <c r="K7" t="s">
        <v>57</v>
      </c>
      <c r="L7" t="s">
        <v>58</v>
      </c>
    </row>
    <row r="8" spans="1:16" x14ac:dyDescent="0.25">
      <c r="A8" s="16"/>
      <c r="B8" s="16"/>
      <c r="C8" s="16"/>
      <c r="D8" s="16" t="s">
        <v>7</v>
      </c>
      <c r="H8" t="s">
        <v>38</v>
      </c>
      <c r="I8" s="29">
        <v>160408800</v>
      </c>
      <c r="J8">
        <v>265020200</v>
      </c>
      <c r="K8">
        <v>297107000</v>
      </c>
      <c r="L8" s="29">
        <v>19190000</v>
      </c>
    </row>
    <row r="9" spans="1:16" x14ac:dyDescent="0.25">
      <c r="A9" s="16"/>
      <c r="B9" s="16"/>
      <c r="C9" s="16" t="s">
        <v>27</v>
      </c>
      <c r="D9" s="17" t="s">
        <v>13</v>
      </c>
    </row>
    <row r="10" spans="1:16" x14ac:dyDescent="0.25">
      <c r="A10" s="16"/>
      <c r="B10" s="16"/>
      <c r="C10" s="16"/>
      <c r="D10" s="17" t="s">
        <v>15</v>
      </c>
      <c r="H10" s="37"/>
    </row>
    <row r="11" spans="1:16" x14ac:dyDescent="0.25">
      <c r="A11" s="16"/>
      <c r="B11" s="16"/>
      <c r="C11" s="16"/>
      <c r="D11" s="17" t="s">
        <v>14</v>
      </c>
      <c r="H11" s="37" t="s">
        <v>39</v>
      </c>
      <c r="I11">
        <v>122366500</v>
      </c>
      <c r="J11">
        <v>76008500</v>
      </c>
      <c r="K11">
        <v>141287410</v>
      </c>
      <c r="L11" s="23">
        <v>414800000</v>
      </c>
    </row>
    <row r="12" spans="1:16" x14ac:dyDescent="0.25">
      <c r="A12" s="16"/>
      <c r="B12" s="16"/>
      <c r="C12" s="16"/>
      <c r="D12" s="17" t="s">
        <v>16</v>
      </c>
      <c r="H12" s="37" t="s">
        <v>40</v>
      </c>
      <c r="I12">
        <v>56409850</v>
      </c>
      <c r="J12">
        <v>190299150</v>
      </c>
      <c r="K12">
        <v>569059800</v>
      </c>
      <c r="L12" s="37">
        <v>0</v>
      </c>
    </row>
    <row r="13" spans="1:16" x14ac:dyDescent="0.25">
      <c r="A13" s="16"/>
      <c r="B13" s="16"/>
      <c r="C13" s="16"/>
      <c r="D13" s="17" t="s">
        <v>17</v>
      </c>
      <c r="H13" s="37" t="s">
        <v>37</v>
      </c>
      <c r="I13">
        <v>45542000</v>
      </c>
      <c r="J13" s="37">
        <v>22272000</v>
      </c>
      <c r="K13" s="37">
        <v>310134000</v>
      </c>
      <c r="L13" s="37">
        <v>0</v>
      </c>
      <c r="N13" s="37"/>
      <c r="P13" s="37"/>
    </row>
    <row r="14" spans="1:16" x14ac:dyDescent="0.25">
      <c r="A14" s="16"/>
      <c r="B14" s="16"/>
      <c r="C14" s="16"/>
      <c r="D14" s="17" t="s">
        <v>18</v>
      </c>
      <c r="H14" s="37" t="s">
        <v>41</v>
      </c>
      <c r="I14">
        <v>4929300</v>
      </c>
      <c r="J14" s="37">
        <v>685700</v>
      </c>
      <c r="K14">
        <v>24935200</v>
      </c>
      <c r="L14" s="37">
        <v>0</v>
      </c>
      <c r="N14" s="37"/>
      <c r="P14" s="37"/>
    </row>
    <row r="15" spans="1:16" x14ac:dyDescent="0.25">
      <c r="A15" s="16"/>
      <c r="B15" s="16" t="s">
        <v>19</v>
      </c>
      <c r="C15" s="16" t="s">
        <v>20</v>
      </c>
      <c r="D15" s="16" t="s">
        <v>21</v>
      </c>
      <c r="H15" s="37" t="s">
        <v>42</v>
      </c>
      <c r="I15">
        <v>126164900</v>
      </c>
      <c r="J15" s="37">
        <v>406219100</v>
      </c>
      <c r="K15">
        <v>161112580</v>
      </c>
      <c r="L15" s="37">
        <v>0</v>
      </c>
      <c r="N15" s="37"/>
      <c r="P15" s="37"/>
    </row>
    <row r="16" spans="1:16" x14ac:dyDescent="0.25">
      <c r="A16" s="16"/>
      <c r="B16" s="16"/>
      <c r="C16" s="16"/>
      <c r="D16" s="16" t="s">
        <v>22</v>
      </c>
      <c r="H16" s="37" t="s">
        <v>43</v>
      </c>
      <c r="I16">
        <v>161635150</v>
      </c>
      <c r="J16" s="37">
        <v>19402850</v>
      </c>
      <c r="K16">
        <v>64374300</v>
      </c>
      <c r="L16" s="37">
        <v>0</v>
      </c>
      <c r="N16" s="37"/>
      <c r="P16" s="37"/>
    </row>
    <row r="17" spans="1:17" x14ac:dyDescent="0.25">
      <c r="H17" s="37" t="s">
        <v>44</v>
      </c>
      <c r="I17">
        <v>39321840</v>
      </c>
      <c r="J17" s="37">
        <v>95692860</v>
      </c>
      <c r="K17">
        <v>100559700</v>
      </c>
      <c r="L17" s="37">
        <v>0</v>
      </c>
      <c r="N17" s="37"/>
      <c r="P17" s="37"/>
    </row>
    <row r="18" spans="1:17" x14ac:dyDescent="0.25">
      <c r="A18" s="18">
        <v>2</v>
      </c>
      <c r="B18" s="12" t="s">
        <v>11</v>
      </c>
      <c r="C18" s="12" t="s">
        <v>24</v>
      </c>
      <c r="D18" s="25" t="s">
        <v>0</v>
      </c>
      <c r="H18" s="37" t="s">
        <v>45</v>
      </c>
      <c r="I18">
        <v>50341950</v>
      </c>
      <c r="J18" s="37">
        <v>260757050</v>
      </c>
      <c r="K18">
        <v>368967800</v>
      </c>
      <c r="L18" s="37">
        <v>0</v>
      </c>
      <c r="N18" s="37"/>
      <c r="P18" s="37"/>
    </row>
    <row r="19" spans="1:17" x14ac:dyDescent="0.25">
      <c r="A19" s="12"/>
      <c r="B19" s="12"/>
      <c r="C19" s="12"/>
      <c r="D19" s="25" t="s">
        <v>3</v>
      </c>
      <c r="H19" s="37" t="s">
        <v>46</v>
      </c>
      <c r="I19">
        <v>5635</v>
      </c>
      <c r="J19" s="37">
        <v>122621</v>
      </c>
      <c r="K19">
        <v>26673200</v>
      </c>
      <c r="L19" s="37">
        <v>0</v>
      </c>
      <c r="N19" s="37"/>
      <c r="P19" s="37"/>
    </row>
    <row r="20" spans="1:17" x14ac:dyDescent="0.25">
      <c r="A20" s="12"/>
      <c r="B20" s="12"/>
      <c r="C20" s="12"/>
      <c r="D20" s="25" t="s">
        <v>4</v>
      </c>
      <c r="H20" s="37" t="s">
        <v>47</v>
      </c>
      <c r="I20">
        <v>35948500</v>
      </c>
      <c r="J20" s="37">
        <v>13077500</v>
      </c>
      <c r="K20">
        <v>136936800</v>
      </c>
      <c r="L20" s="37">
        <v>0</v>
      </c>
      <c r="N20" s="37"/>
      <c r="P20" s="37"/>
    </row>
    <row r="21" spans="1:17" x14ac:dyDescent="0.25">
      <c r="A21" s="12"/>
      <c r="B21" s="12"/>
      <c r="C21" s="12"/>
      <c r="D21" s="25" t="s">
        <v>5</v>
      </c>
      <c r="H21" s="37" t="s">
        <v>48</v>
      </c>
      <c r="I21">
        <v>49894450</v>
      </c>
      <c r="J21" s="37">
        <v>6538750</v>
      </c>
      <c r="K21">
        <v>105480500</v>
      </c>
      <c r="L21" s="37">
        <v>0</v>
      </c>
      <c r="N21" s="37"/>
      <c r="P21" s="37"/>
    </row>
    <row r="22" spans="1:17" x14ac:dyDescent="0.25">
      <c r="A22" s="12"/>
      <c r="B22" s="12"/>
      <c r="C22" s="12"/>
      <c r="D22" s="25" t="s">
        <v>6</v>
      </c>
      <c r="H22" s="37" t="s">
        <v>49</v>
      </c>
      <c r="I22">
        <v>40480900</v>
      </c>
      <c r="J22" s="37">
        <v>40171100</v>
      </c>
      <c r="K22">
        <v>15270700</v>
      </c>
      <c r="L22" s="37">
        <v>0</v>
      </c>
      <c r="N22" s="37"/>
      <c r="P22" s="37"/>
    </row>
    <row r="23" spans="1:17" x14ac:dyDescent="0.25">
      <c r="A23" s="12"/>
      <c r="B23" s="12"/>
      <c r="C23" s="12"/>
      <c r="D23" s="25" t="s">
        <v>7</v>
      </c>
      <c r="H23" s="37" t="s">
        <v>50</v>
      </c>
      <c r="I23">
        <v>124818100</v>
      </c>
      <c r="J23" s="37">
        <v>93976900</v>
      </c>
      <c r="K23">
        <v>809045500</v>
      </c>
      <c r="L23" s="37">
        <v>0</v>
      </c>
      <c r="N23" s="37"/>
      <c r="P23" s="37"/>
    </row>
    <row r="24" spans="1:17" x14ac:dyDescent="0.25">
      <c r="A24" s="12"/>
      <c r="B24" s="12"/>
      <c r="C24" s="22" t="s">
        <v>27</v>
      </c>
      <c r="D24" s="14" t="s">
        <v>13</v>
      </c>
      <c r="H24" s="37" t="s">
        <v>51</v>
      </c>
      <c r="I24">
        <v>177782575</v>
      </c>
      <c r="J24" s="37">
        <v>266365625</v>
      </c>
      <c r="K24">
        <v>69822600</v>
      </c>
      <c r="L24" s="37">
        <v>0</v>
      </c>
      <c r="N24" s="37"/>
      <c r="P24" s="37"/>
    </row>
    <row r="25" spans="1:17" x14ac:dyDescent="0.25">
      <c r="A25" s="12"/>
      <c r="B25" s="12"/>
      <c r="C25" s="12"/>
      <c r="D25" s="14" t="s">
        <v>15</v>
      </c>
      <c r="H25" s="37" t="s">
        <v>52</v>
      </c>
      <c r="I25">
        <v>1262100</v>
      </c>
      <c r="J25" s="37">
        <v>3608900</v>
      </c>
      <c r="K25">
        <v>10341040</v>
      </c>
      <c r="L25" s="37">
        <v>0</v>
      </c>
      <c r="N25" s="37"/>
      <c r="P25" s="37"/>
    </row>
    <row r="26" spans="1:17" x14ac:dyDescent="0.25">
      <c r="A26" s="12"/>
      <c r="B26" s="12"/>
      <c r="C26" s="12"/>
      <c r="D26" s="14" t="s">
        <v>14</v>
      </c>
      <c r="H26" s="37" t="s">
        <v>53</v>
      </c>
      <c r="I26">
        <v>61498865</v>
      </c>
      <c r="J26" s="37">
        <v>279712835</v>
      </c>
      <c r="K26">
        <v>22774380</v>
      </c>
      <c r="L26" s="37">
        <v>0</v>
      </c>
      <c r="N26" s="37"/>
      <c r="P26" s="37"/>
    </row>
    <row r="27" spans="1:17" x14ac:dyDescent="0.25">
      <c r="A27" s="12"/>
      <c r="B27" s="12"/>
      <c r="C27" s="12"/>
      <c r="D27" s="14" t="s">
        <v>16</v>
      </c>
      <c r="H27" s="37" t="s">
        <v>54</v>
      </c>
      <c r="I27">
        <v>173909900</v>
      </c>
      <c r="J27" s="37">
        <v>833409100</v>
      </c>
      <c r="K27">
        <v>732758790</v>
      </c>
      <c r="L27" s="37">
        <v>0</v>
      </c>
      <c r="N27" s="37"/>
      <c r="P27" s="37"/>
    </row>
    <row r="28" spans="1:17" x14ac:dyDescent="0.25">
      <c r="A28" s="12"/>
      <c r="B28" s="12"/>
      <c r="C28" s="12"/>
      <c r="D28" s="14" t="s">
        <v>17</v>
      </c>
      <c r="H28" s="37" t="s">
        <v>55</v>
      </c>
      <c r="I28">
        <v>48397800</v>
      </c>
      <c r="J28" s="37">
        <v>435740000</v>
      </c>
      <c r="K28">
        <v>198523130</v>
      </c>
      <c r="L28" s="37">
        <v>0</v>
      </c>
      <c r="N28" s="37"/>
      <c r="P28" s="37"/>
    </row>
    <row r="29" spans="1:17" x14ac:dyDescent="0.25">
      <c r="A29" s="12"/>
      <c r="B29" s="12"/>
      <c r="C29" s="12"/>
      <c r="D29" s="14" t="s">
        <v>18</v>
      </c>
      <c r="H29" s="33" t="s">
        <v>56</v>
      </c>
      <c r="I29" s="33">
        <f>SUM(I11:I28)</f>
        <v>1320710315</v>
      </c>
      <c r="J29" s="33">
        <f t="shared" ref="J29:L29" si="0">SUM(J11:J28)</f>
        <v>3044060541</v>
      </c>
      <c r="K29" s="33">
        <f t="shared" si="0"/>
        <v>3868057430</v>
      </c>
      <c r="L29" s="33">
        <f t="shared" si="0"/>
        <v>414800000</v>
      </c>
      <c r="M29" s="33"/>
      <c r="N29" s="33"/>
      <c r="O29" s="33"/>
      <c r="P29" s="33"/>
      <c r="Q29" s="35"/>
    </row>
    <row r="30" spans="1:17" x14ac:dyDescent="0.25">
      <c r="A30" s="12"/>
      <c r="B30" s="12" t="s">
        <v>19</v>
      </c>
      <c r="C30" s="12" t="s">
        <v>20</v>
      </c>
      <c r="D30" s="12" t="s">
        <v>21</v>
      </c>
    </row>
    <row r="31" spans="1:17" x14ac:dyDescent="0.25">
      <c r="A31" s="12"/>
      <c r="B31" s="12"/>
      <c r="C31" s="12"/>
      <c r="D31" s="12" t="s">
        <v>22</v>
      </c>
    </row>
    <row r="33" spans="1:7" x14ac:dyDescent="0.25">
      <c r="A33" s="27">
        <v>3</v>
      </c>
      <c r="B33" s="1" t="s">
        <v>11</v>
      </c>
      <c r="C33" s="1" t="s">
        <v>12</v>
      </c>
      <c r="D33" s="1" t="s">
        <v>0</v>
      </c>
      <c r="G33" s="1" t="s">
        <v>60</v>
      </c>
    </row>
    <row r="34" spans="1:7" x14ac:dyDescent="0.25">
      <c r="A34" s="1"/>
      <c r="B34" s="1"/>
      <c r="C34" s="1"/>
      <c r="D34" s="1" t="s">
        <v>3</v>
      </c>
      <c r="G34" t="s">
        <v>61</v>
      </c>
    </row>
    <row r="35" spans="1:7" x14ac:dyDescent="0.25">
      <c r="A35" s="1"/>
      <c r="B35" s="1"/>
      <c r="C35" s="1"/>
      <c r="D35" s="1" t="s">
        <v>4</v>
      </c>
      <c r="G35" t="s">
        <v>62</v>
      </c>
    </row>
    <row r="36" spans="1:7" x14ac:dyDescent="0.25">
      <c r="A36" s="1"/>
      <c r="B36" s="1"/>
      <c r="C36" s="1"/>
      <c r="D36" s="1" t="s">
        <v>5</v>
      </c>
      <c r="G36" t="s">
        <v>63</v>
      </c>
    </row>
    <row r="37" spans="1:7" x14ac:dyDescent="0.25">
      <c r="A37" s="1"/>
      <c r="B37" s="1"/>
      <c r="C37" s="1"/>
      <c r="D37" s="1" t="s">
        <v>6</v>
      </c>
      <c r="G37" t="s">
        <v>64</v>
      </c>
    </row>
    <row r="38" spans="1:7" x14ac:dyDescent="0.25">
      <c r="A38" s="1"/>
      <c r="B38" s="1"/>
      <c r="C38" s="1"/>
      <c r="D38" s="1" t="s">
        <v>7</v>
      </c>
      <c r="G38" t="s">
        <v>65</v>
      </c>
    </row>
    <row r="39" spans="1:7" x14ac:dyDescent="0.25">
      <c r="A39" s="1"/>
      <c r="B39" s="1"/>
      <c r="C39" s="1" t="s">
        <v>27</v>
      </c>
      <c r="D39" s="28" t="s">
        <v>13</v>
      </c>
      <c r="G39" t="s">
        <v>66</v>
      </c>
    </row>
    <row r="40" spans="1:7" x14ac:dyDescent="0.25">
      <c r="A40" s="1"/>
      <c r="B40" s="1"/>
      <c r="C40" s="1"/>
      <c r="D40" s="28" t="s">
        <v>15</v>
      </c>
    </row>
    <row r="41" spans="1:7" x14ac:dyDescent="0.25">
      <c r="A41" s="1"/>
      <c r="B41" s="1"/>
      <c r="C41" s="1"/>
      <c r="D41" s="28" t="s">
        <v>14</v>
      </c>
      <c r="G41" t="s">
        <v>67</v>
      </c>
    </row>
    <row r="42" spans="1:7" x14ac:dyDescent="0.25">
      <c r="A42" s="1"/>
      <c r="B42" s="1"/>
      <c r="C42" s="1"/>
      <c r="D42" s="28" t="s">
        <v>16</v>
      </c>
    </row>
    <row r="43" spans="1:7" x14ac:dyDescent="0.25">
      <c r="A43" s="1"/>
      <c r="B43" s="1"/>
      <c r="C43" s="1"/>
      <c r="D43" s="28" t="s">
        <v>17</v>
      </c>
    </row>
    <row r="44" spans="1:7" x14ac:dyDescent="0.25">
      <c r="A44" s="1"/>
      <c r="B44" s="1"/>
      <c r="C44" s="1"/>
      <c r="D44" s="28" t="s">
        <v>18</v>
      </c>
    </row>
    <row r="45" spans="1:7" x14ac:dyDescent="0.25">
      <c r="A45" s="1"/>
      <c r="B45" s="1" t="s">
        <v>25</v>
      </c>
      <c r="C45" s="1" t="s">
        <v>26</v>
      </c>
      <c r="D45" s="26" t="s">
        <v>21</v>
      </c>
    </row>
    <row r="46" spans="1:7" x14ac:dyDescent="0.25">
      <c r="A46" s="1"/>
      <c r="B46" s="1"/>
      <c r="C46" s="1"/>
      <c r="D46" s="26" t="s">
        <v>22</v>
      </c>
    </row>
    <row r="48" spans="1:7" x14ac:dyDescent="0.25">
      <c r="A48" s="31">
        <v>3</v>
      </c>
      <c r="B48" s="32" t="s">
        <v>11</v>
      </c>
      <c r="C48" s="32" t="s">
        <v>24</v>
      </c>
      <c r="D48" s="34" t="s">
        <v>0</v>
      </c>
    </row>
    <row r="49" spans="1:4" x14ac:dyDescent="0.25">
      <c r="A49" s="32"/>
      <c r="B49" s="32"/>
      <c r="C49" s="32"/>
      <c r="D49" s="34" t="s">
        <v>3</v>
      </c>
    </row>
    <row r="50" spans="1:4" x14ac:dyDescent="0.25">
      <c r="A50" s="32"/>
      <c r="B50" s="32"/>
      <c r="C50" s="32"/>
      <c r="D50" s="34" t="s">
        <v>4</v>
      </c>
    </row>
    <row r="51" spans="1:4" x14ac:dyDescent="0.25">
      <c r="A51" s="32"/>
      <c r="B51" s="32"/>
      <c r="C51" s="32"/>
      <c r="D51" s="34" t="s">
        <v>5</v>
      </c>
    </row>
    <row r="52" spans="1:4" x14ac:dyDescent="0.25">
      <c r="A52" s="32"/>
      <c r="B52" s="32"/>
      <c r="C52" s="32"/>
      <c r="D52" s="34" t="s">
        <v>6</v>
      </c>
    </row>
    <row r="53" spans="1:4" x14ac:dyDescent="0.25">
      <c r="A53" s="32"/>
      <c r="B53" s="32"/>
      <c r="C53" s="32"/>
      <c r="D53" s="34" t="s">
        <v>7</v>
      </c>
    </row>
    <row r="54" spans="1:4" x14ac:dyDescent="0.25">
      <c r="A54" s="32"/>
      <c r="B54" s="32"/>
      <c r="C54" s="32" t="s">
        <v>27</v>
      </c>
      <c r="D54" s="30" t="s">
        <v>13</v>
      </c>
    </row>
    <row r="55" spans="1:4" x14ac:dyDescent="0.25">
      <c r="A55" s="32"/>
      <c r="B55" s="32"/>
      <c r="C55" s="32"/>
      <c r="D55" s="30" t="s">
        <v>15</v>
      </c>
    </row>
    <row r="56" spans="1:4" x14ac:dyDescent="0.25">
      <c r="A56" s="32"/>
      <c r="B56" s="32"/>
      <c r="C56" s="32"/>
      <c r="D56" s="30" t="s">
        <v>14</v>
      </c>
    </row>
    <row r="57" spans="1:4" x14ac:dyDescent="0.25">
      <c r="A57" s="32"/>
      <c r="B57" s="32"/>
      <c r="C57" s="32"/>
      <c r="D57" s="30" t="s">
        <v>16</v>
      </c>
    </row>
    <row r="58" spans="1:4" x14ac:dyDescent="0.25">
      <c r="A58" s="32"/>
      <c r="B58" s="32"/>
      <c r="C58" s="32"/>
      <c r="D58" s="30" t="s">
        <v>17</v>
      </c>
    </row>
    <row r="59" spans="1:4" x14ac:dyDescent="0.25">
      <c r="A59" s="32"/>
      <c r="B59" s="32"/>
      <c r="C59" s="32"/>
      <c r="D59" s="30" t="s">
        <v>18</v>
      </c>
    </row>
    <row r="60" spans="1:4" x14ac:dyDescent="0.25">
      <c r="A60" s="32"/>
      <c r="B60" s="32" t="s">
        <v>25</v>
      </c>
      <c r="C60" s="32" t="s">
        <v>26</v>
      </c>
      <c r="D60" s="34" t="s">
        <v>21</v>
      </c>
    </row>
    <row r="61" spans="1:4" x14ac:dyDescent="0.25">
      <c r="A61" s="32"/>
      <c r="B61" s="32"/>
      <c r="C61" s="32"/>
      <c r="D61" s="34" t="s">
        <v>22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M24"/>
  <sheetViews>
    <sheetView workbookViewId="0">
      <selection activeCell="CN9" sqref="CN9"/>
    </sheetView>
  </sheetViews>
  <sheetFormatPr defaultRowHeight="15" x14ac:dyDescent="0.25"/>
  <cols>
    <col min="1" max="1" width="15.42578125" style="48" bestFit="1" customWidth="1"/>
    <col min="2" max="16384" width="9.140625" style="48"/>
  </cols>
  <sheetData>
    <row r="1" spans="1:91" x14ac:dyDescent="0.25">
      <c r="B1" s="48">
        <v>1961</v>
      </c>
      <c r="C1" s="48">
        <v>1962</v>
      </c>
      <c r="D1" s="48">
        <v>1963</v>
      </c>
      <c r="E1" s="48">
        <v>1964</v>
      </c>
      <c r="F1" s="48">
        <v>1965</v>
      </c>
      <c r="G1" s="48">
        <v>1966</v>
      </c>
      <c r="H1" s="48">
        <v>1967</v>
      </c>
      <c r="I1" s="48">
        <v>1968</v>
      </c>
      <c r="J1" s="48">
        <v>1969</v>
      </c>
      <c r="K1" s="48">
        <v>1970</v>
      </c>
      <c r="L1" s="48">
        <v>1971</v>
      </c>
      <c r="M1" s="48">
        <v>1972</v>
      </c>
      <c r="N1" s="48">
        <v>1973</v>
      </c>
      <c r="O1" s="48">
        <v>1974</v>
      </c>
      <c r="P1" s="48">
        <v>1975</v>
      </c>
      <c r="Q1" s="48">
        <v>1976</v>
      </c>
      <c r="R1" s="48">
        <v>1977</v>
      </c>
      <c r="S1" s="48">
        <v>1978</v>
      </c>
      <c r="T1" s="48">
        <v>1979</v>
      </c>
      <c r="U1" s="48">
        <v>1980</v>
      </c>
      <c r="V1" s="48">
        <v>1981</v>
      </c>
      <c r="W1" s="48">
        <v>1982</v>
      </c>
      <c r="X1" s="48">
        <v>1983</v>
      </c>
      <c r="Y1" s="48">
        <v>1984</v>
      </c>
      <c r="Z1" s="48">
        <v>1985</v>
      </c>
      <c r="AA1" s="48">
        <v>1986</v>
      </c>
      <c r="AB1" s="48">
        <v>1987</v>
      </c>
      <c r="AC1" s="48">
        <v>1988</v>
      </c>
      <c r="AD1" s="48">
        <v>1989</v>
      </c>
      <c r="AE1" s="48">
        <v>1990</v>
      </c>
      <c r="AF1" s="48">
        <v>1991</v>
      </c>
      <c r="AG1" s="48">
        <v>1992</v>
      </c>
      <c r="AH1" s="48">
        <v>1993</v>
      </c>
      <c r="AI1" s="48">
        <v>1994</v>
      </c>
      <c r="AJ1" s="48">
        <v>1995</v>
      </c>
      <c r="AK1" s="48">
        <v>1996</v>
      </c>
      <c r="AL1" s="48">
        <v>1997</v>
      </c>
      <c r="AM1" s="48">
        <v>1998</v>
      </c>
      <c r="AN1" s="48">
        <v>1999</v>
      </c>
      <c r="AO1" s="48">
        <v>2000</v>
      </c>
      <c r="AP1" s="48">
        <v>2001</v>
      </c>
      <c r="AQ1" s="48">
        <v>2002</v>
      </c>
      <c r="AR1" s="48">
        <v>2003</v>
      </c>
      <c r="AS1" s="48">
        <v>2004</v>
      </c>
      <c r="AT1" s="48">
        <v>2005</v>
      </c>
      <c r="AU1" s="48">
        <v>2006</v>
      </c>
      <c r="AV1" s="48">
        <v>2007</v>
      </c>
      <c r="AW1" s="48">
        <v>2008</v>
      </c>
      <c r="AX1" s="48">
        <v>2009</v>
      </c>
      <c r="AY1" s="48">
        <v>2010</v>
      </c>
      <c r="AZ1" s="48">
        <v>2011</v>
      </c>
      <c r="BA1" s="48">
        <v>2012</v>
      </c>
      <c r="BB1" s="48">
        <v>2013</v>
      </c>
      <c r="BC1" s="48">
        <v>2014</v>
      </c>
      <c r="BD1" s="48">
        <v>2015</v>
      </c>
      <c r="BE1" s="48">
        <v>2016</v>
      </c>
      <c r="BF1" s="48">
        <v>2017</v>
      </c>
      <c r="BG1" s="48">
        <v>2018</v>
      </c>
      <c r="BH1" s="48">
        <v>2019</v>
      </c>
      <c r="BI1" s="48">
        <v>2020</v>
      </c>
      <c r="BJ1" s="48">
        <v>2021</v>
      </c>
      <c r="BK1" s="48">
        <v>2022</v>
      </c>
      <c r="BL1" s="48">
        <v>2023</v>
      </c>
      <c r="BM1" s="48">
        <v>2024</v>
      </c>
      <c r="BN1" s="48">
        <v>2025</v>
      </c>
      <c r="BO1" s="48">
        <v>2026</v>
      </c>
      <c r="BP1" s="48">
        <v>2027</v>
      </c>
      <c r="BQ1" s="48">
        <v>2028</v>
      </c>
      <c r="BR1" s="48">
        <v>2029</v>
      </c>
      <c r="BS1" s="48">
        <v>2030</v>
      </c>
      <c r="BT1" s="48">
        <v>2031</v>
      </c>
      <c r="BU1" s="48">
        <v>2032</v>
      </c>
      <c r="BV1" s="48">
        <v>2033</v>
      </c>
      <c r="BW1" s="48">
        <v>2034</v>
      </c>
      <c r="BX1" s="48">
        <v>2035</v>
      </c>
      <c r="BY1" s="48">
        <v>2036</v>
      </c>
      <c r="BZ1" s="48">
        <v>2037</v>
      </c>
      <c r="CA1" s="48">
        <v>2038</v>
      </c>
      <c r="CB1" s="48">
        <v>2039</v>
      </c>
      <c r="CC1" s="48">
        <v>2040</v>
      </c>
      <c r="CD1" s="48">
        <v>2041</v>
      </c>
      <c r="CE1" s="48">
        <v>2042</v>
      </c>
      <c r="CF1" s="48">
        <v>2043</v>
      </c>
      <c r="CG1" s="48">
        <v>2044</v>
      </c>
      <c r="CH1" s="48">
        <v>2045</v>
      </c>
      <c r="CI1" s="48">
        <v>2046</v>
      </c>
      <c r="CJ1" s="48">
        <v>2047</v>
      </c>
      <c r="CK1" s="48">
        <v>2048</v>
      </c>
      <c r="CL1" s="48">
        <v>2049</v>
      </c>
      <c r="CM1" s="48">
        <v>2050</v>
      </c>
    </row>
    <row r="2" spans="1:91" x14ac:dyDescent="0.25">
      <c r="A2" s="48" t="s">
        <v>88</v>
      </c>
      <c r="B2" s="48">
        <v>0</v>
      </c>
      <c r="C2" s="48">
        <v>0</v>
      </c>
      <c r="D2" s="48">
        <v>0</v>
      </c>
      <c r="E2" s="48">
        <v>0</v>
      </c>
      <c r="F2" s="48">
        <v>0</v>
      </c>
      <c r="G2" s="48">
        <v>0</v>
      </c>
      <c r="H2" s="48">
        <v>0</v>
      </c>
      <c r="I2" s="48">
        <v>0</v>
      </c>
      <c r="J2" s="48">
        <v>0</v>
      </c>
      <c r="K2" s="48">
        <v>0</v>
      </c>
      <c r="L2" s="48">
        <v>0</v>
      </c>
      <c r="M2" s="48">
        <v>0</v>
      </c>
      <c r="N2" s="48">
        <v>0</v>
      </c>
      <c r="O2" s="48">
        <v>0</v>
      </c>
      <c r="P2" s="48">
        <v>0</v>
      </c>
      <c r="Q2" s="48">
        <v>0</v>
      </c>
      <c r="R2" s="48">
        <v>0</v>
      </c>
      <c r="S2" s="48">
        <v>0</v>
      </c>
      <c r="T2" s="48">
        <v>0</v>
      </c>
      <c r="U2" s="48">
        <v>0</v>
      </c>
      <c r="V2" s="48">
        <v>0</v>
      </c>
      <c r="W2" s="48">
        <v>0</v>
      </c>
      <c r="X2" s="48">
        <v>0</v>
      </c>
      <c r="Y2" s="48">
        <v>0</v>
      </c>
      <c r="Z2" s="48">
        <v>0</v>
      </c>
      <c r="AA2" s="48">
        <v>0</v>
      </c>
      <c r="AB2" s="48">
        <v>0</v>
      </c>
      <c r="AC2" s="48">
        <v>0</v>
      </c>
      <c r="AD2" s="48">
        <v>0</v>
      </c>
      <c r="AE2" s="48">
        <v>0</v>
      </c>
      <c r="AF2" s="48">
        <v>362052.23814890668</v>
      </c>
      <c r="AG2" s="48">
        <v>713197.1688317142</v>
      </c>
      <c r="AH2" s="48">
        <v>1053920.3734722363</v>
      </c>
      <c r="AI2" s="48">
        <v>1384679.0315619507</v>
      </c>
      <c r="AJ2" s="48">
        <v>1705903.9672892469</v>
      </c>
      <c r="AK2" s="48">
        <v>2018001.5217080677</v>
      </c>
      <c r="AL2" s="48">
        <v>2321355.2675530217</v>
      </c>
      <c r="AM2" s="48">
        <v>2616327.5819174112</v>
      </c>
      <c r="AN2" s="48">
        <v>2903261.0903518712</v>
      </c>
      <c r="AO2" s="48">
        <v>3182479.9944832348</v>
      </c>
      <c r="AP2" s="48">
        <v>3426203.2706303596</v>
      </c>
      <c r="AQ2" s="48">
        <v>4099611.705200511</v>
      </c>
      <c r="AR2" s="48">
        <v>5302568.9229361145</v>
      </c>
      <c r="AS2" s="48">
        <v>6337478.9155522091</v>
      </c>
      <c r="AT2" s="48">
        <v>7196282.0242403457</v>
      </c>
      <c r="AU2" s="48">
        <v>8890469.8267315794</v>
      </c>
      <c r="AV2" s="48">
        <v>11817403.669567054</v>
      </c>
      <c r="AW2" s="48">
        <v>16628892.472823484</v>
      </c>
      <c r="AX2" s="48">
        <v>17981467.125449497</v>
      </c>
      <c r="AY2" s="48">
        <v>19322308.086294051</v>
      </c>
      <c r="AZ2" s="48">
        <v>20651567.381988008</v>
      </c>
      <c r="BA2" s="48">
        <v>21969394.424161527</v>
      </c>
      <c r="BB2" s="48">
        <v>23275936.065428935</v>
      </c>
      <c r="BC2" s="48">
        <v>24571336.653941341</v>
      </c>
      <c r="BD2" s="48">
        <v>25855738.086549751</v>
      </c>
      <c r="BE2" s="48">
        <v>27129279.860619571</v>
      </c>
      <c r="BF2" s="48">
        <v>28392099.124536492</v>
      </c>
      <c r="BG2" s="48">
        <v>29644330.726941921</v>
      </c>
      <c r="BH2" s="48">
        <v>30886108.174233552</v>
      </c>
      <c r="BI2" s="48">
        <v>30757707.875701215</v>
      </c>
      <c r="BJ2" s="48">
        <v>30630370.733573735</v>
      </c>
      <c r="BK2" s="48">
        <v>30504083.5978656</v>
      </c>
      <c r="BL2" s="48">
        <v>30378833.534567155</v>
      </c>
      <c r="BM2" s="48">
        <v>30254607.82122878</v>
      </c>
      <c r="BN2" s="48">
        <v>30131393.942652877</v>
      </c>
      <c r="BO2" s="48">
        <v>30009179.586690791</v>
      </c>
      <c r="BP2" s="48">
        <v>29887952.640141539</v>
      </c>
      <c r="BQ2" s="48">
        <v>29767701.184749603</v>
      </c>
      <c r="BR2" s="48">
        <v>29648413.493298877</v>
      </c>
      <c r="BS2" s="48">
        <v>29530078.025800221</v>
      </c>
      <c r="BT2" s="48">
        <v>29412683.425769936</v>
      </c>
      <c r="BU2" s="48">
        <v>29296218.516596623</v>
      </c>
      <c r="BV2" s="48">
        <v>29180672.297994055</v>
      </c>
      <c r="BW2" s="48">
        <v>29066033.942537647</v>
      </c>
      <c r="BX2" s="48">
        <v>28952292.792282254</v>
      </c>
      <c r="BY2" s="48">
        <v>28839438.355459042</v>
      </c>
      <c r="BZ2" s="48">
        <v>28727460.303249352</v>
      </c>
      <c r="CA2" s="48">
        <v>28616348.466633409</v>
      </c>
      <c r="CB2" s="48">
        <v>28506092.833311882</v>
      </c>
      <c r="CC2" s="48">
        <v>28396683.544698332</v>
      </c>
      <c r="CD2" s="48">
        <v>28288110.89298068</v>
      </c>
      <c r="CE2" s="48">
        <v>28180365.318249799</v>
      </c>
      <c r="CF2" s="48">
        <v>28073437.405693486</v>
      </c>
      <c r="CG2" s="48">
        <v>27967317.882854093</v>
      </c>
      <c r="CH2" s="48">
        <v>27861997.616948105</v>
      </c>
      <c r="CI2" s="48">
        <v>27757467.612246051</v>
      </c>
      <c r="CJ2" s="48">
        <v>27653719.007511187</v>
      </c>
      <c r="CK2" s="48">
        <v>27550743.073495403</v>
      </c>
      <c r="CL2" s="48">
        <v>27448531.210490867</v>
      </c>
      <c r="CM2" s="48">
        <v>27347074.945935961</v>
      </c>
    </row>
    <row r="3" spans="1:91" x14ac:dyDescent="0.25">
      <c r="A3" s="48" t="s">
        <v>84</v>
      </c>
      <c r="B3" s="48">
        <v>0</v>
      </c>
      <c r="C3" s="48">
        <v>0</v>
      </c>
      <c r="D3" s="48">
        <v>0</v>
      </c>
      <c r="E3" s="48">
        <v>0</v>
      </c>
      <c r="F3" s="48">
        <v>0</v>
      </c>
      <c r="G3" s="48">
        <v>0</v>
      </c>
      <c r="H3" s="48">
        <v>0</v>
      </c>
      <c r="I3" s="48">
        <v>0</v>
      </c>
      <c r="J3" s="48">
        <v>0</v>
      </c>
      <c r="K3" s="48">
        <v>0</v>
      </c>
      <c r="L3" s="48">
        <v>0</v>
      </c>
      <c r="M3" s="48">
        <v>0</v>
      </c>
      <c r="N3" s="48">
        <v>0</v>
      </c>
      <c r="O3" s="48">
        <v>0</v>
      </c>
      <c r="P3" s="48">
        <v>0</v>
      </c>
      <c r="Q3" s="48">
        <v>0</v>
      </c>
      <c r="R3" s="48">
        <v>0</v>
      </c>
      <c r="S3" s="48">
        <v>0</v>
      </c>
      <c r="T3" s="48">
        <v>0</v>
      </c>
      <c r="U3" s="48">
        <v>0</v>
      </c>
      <c r="V3" s="48">
        <v>0</v>
      </c>
      <c r="W3" s="48">
        <v>0</v>
      </c>
      <c r="X3" s="48">
        <v>0</v>
      </c>
      <c r="Y3" s="48">
        <v>0</v>
      </c>
      <c r="Z3" s="48">
        <v>0</v>
      </c>
      <c r="AA3" s="48">
        <v>0</v>
      </c>
      <c r="AB3" s="48">
        <v>0</v>
      </c>
      <c r="AC3" s="48">
        <v>0</v>
      </c>
      <c r="AD3" s="48">
        <v>0</v>
      </c>
      <c r="AE3" s="48">
        <v>0</v>
      </c>
      <c r="AF3" s="48">
        <v>0</v>
      </c>
      <c r="AG3" s="48">
        <v>0</v>
      </c>
      <c r="AH3" s="48">
        <v>0</v>
      </c>
      <c r="AI3" s="48">
        <v>0</v>
      </c>
      <c r="AJ3" s="48">
        <v>0</v>
      </c>
      <c r="AK3" s="48">
        <v>0</v>
      </c>
      <c r="AL3" s="48">
        <v>0</v>
      </c>
      <c r="AM3" s="48">
        <v>0</v>
      </c>
      <c r="AN3" s="48">
        <v>0</v>
      </c>
      <c r="AO3" s="48">
        <v>0</v>
      </c>
      <c r="AP3" s="48">
        <v>68980.364085721056</v>
      </c>
      <c r="AQ3" s="48">
        <v>83401.554127270196</v>
      </c>
      <c r="AR3" s="48">
        <v>111702.67319864212</v>
      </c>
      <c r="AS3" s="48">
        <v>216760.92660335195</v>
      </c>
      <c r="AT3" s="48">
        <v>697208.05298994563</v>
      </c>
      <c r="AU3" s="48">
        <v>1901550.8592583756</v>
      </c>
      <c r="AV3" s="48">
        <v>3681291.6218185239</v>
      </c>
      <c r="AW3" s="48">
        <v>4557838.0832964052</v>
      </c>
      <c r="AX3" s="48">
        <v>4777637.3089934224</v>
      </c>
      <c r="AY3" s="48">
        <v>4993103.772799449</v>
      </c>
      <c r="AZ3" s="48">
        <v>5204364.3377849916</v>
      </c>
      <c r="BA3" s="48">
        <v>5411540.9621653156</v>
      </c>
      <c r="BB3" s="48">
        <v>5614750.9340742351</v>
      </c>
      <c r="BC3" s="48">
        <v>5814107.0929806447</v>
      </c>
      <c r="BD3" s="48">
        <v>6009718.0386261465</v>
      </c>
      <c r="BE3" s="48">
        <v>6201688.3282965655</v>
      </c>
      <c r="BF3" s="48">
        <v>6390118.6631803587</v>
      </c>
      <c r="BG3" s="48">
        <v>6575106.0645117871</v>
      </c>
      <c r="BH3" s="48">
        <v>6756738.7310272641</v>
      </c>
      <c r="BI3" s="48">
        <v>6696117.9820526727</v>
      </c>
      <c r="BJ3" s="48">
        <v>6636575.3265003264</v>
      </c>
      <c r="BK3" s="48">
        <v>6578082.258255695</v>
      </c>
      <c r="BL3" s="48">
        <v>6520611.2674062252</v>
      </c>
      <c r="BM3" s="48">
        <v>6464135.7971004788</v>
      </c>
      <c r="BN3" s="48">
        <v>6408630.2026298679</v>
      </c>
      <c r="BO3" s="48">
        <v>6354069.7126005925</v>
      </c>
      <c r="BP3" s="48">
        <v>6300430.392072198</v>
      </c>
      <c r="BQ3" s="48">
        <v>6247689.1075475849</v>
      </c>
      <c r="BR3" s="48">
        <v>6195823.4937068122</v>
      </c>
      <c r="BS3" s="48">
        <v>6144811.9217842557</v>
      </c>
      <c r="BT3" s="48">
        <v>6094633.4694951372</v>
      </c>
      <c r="BU3" s="48">
        <v>6045267.8924236037</v>
      </c>
      <c r="BV3" s="48">
        <v>5996695.5967901489</v>
      </c>
      <c r="BW3" s="48">
        <v>5948897.6135214064</v>
      </c>
      <c r="BX3" s="48">
        <v>5901855.5735502476</v>
      </c>
      <c r="BY3" s="48">
        <v>5855551.6842785729</v>
      </c>
      <c r="BZ3" s="48">
        <v>5809968.7071394976</v>
      </c>
      <c r="CA3" s="48">
        <v>5765089.936199422</v>
      </c>
      <c r="CB3" s="48">
        <v>5720899.1777442601</v>
      </c>
      <c r="CC3" s="48">
        <v>5677380.7307973513</v>
      </c>
      <c r="CD3" s="48">
        <v>5634519.3685198668</v>
      </c>
      <c r="CE3" s="48">
        <v>5592300.3204474067</v>
      </c>
      <c r="CF3" s="48">
        <v>5550709.2555192579</v>
      </c>
      <c r="CG3" s="48">
        <v>5509732.2658593524</v>
      </c>
      <c r="CH3" s="48">
        <v>5469355.8512703497</v>
      </c>
      <c r="CI3" s="48">
        <v>5429566.9044045694</v>
      </c>
      <c r="CJ3" s="48">
        <v>5390352.6965774922</v>
      </c>
      <c r="CK3" s="48">
        <v>5351700.8641916532</v>
      </c>
      <c r="CL3" s="48">
        <v>5313599.3957404215</v>
      </c>
      <c r="CM3" s="48">
        <v>5276036.6193630518</v>
      </c>
    </row>
    <row r="4" spans="1:91" x14ac:dyDescent="0.25">
      <c r="A4" s="48" t="s">
        <v>89</v>
      </c>
      <c r="B4" s="48">
        <v>0</v>
      </c>
      <c r="C4" s="48">
        <v>0</v>
      </c>
      <c r="D4" s="48">
        <v>0</v>
      </c>
      <c r="E4" s="48">
        <v>0</v>
      </c>
      <c r="F4" s="48">
        <v>0</v>
      </c>
      <c r="G4" s="48">
        <v>0</v>
      </c>
      <c r="H4" s="48">
        <v>0</v>
      </c>
      <c r="I4" s="48">
        <v>0</v>
      </c>
      <c r="J4" s="48">
        <v>0</v>
      </c>
      <c r="K4" s="48">
        <v>0</v>
      </c>
      <c r="L4" s="48">
        <v>0</v>
      </c>
      <c r="M4" s="48">
        <v>0</v>
      </c>
      <c r="N4" s="48">
        <v>0</v>
      </c>
      <c r="O4" s="48">
        <v>0</v>
      </c>
      <c r="P4" s="48">
        <v>0</v>
      </c>
      <c r="Q4" s="48">
        <v>0</v>
      </c>
      <c r="R4" s="48">
        <v>0</v>
      </c>
      <c r="S4" s="48">
        <v>0</v>
      </c>
      <c r="T4" s="48">
        <v>0</v>
      </c>
      <c r="U4" s="48">
        <v>0</v>
      </c>
      <c r="V4" s="48">
        <v>0</v>
      </c>
      <c r="W4" s="48">
        <v>0</v>
      </c>
      <c r="X4" s="48">
        <v>0</v>
      </c>
      <c r="Y4" s="48">
        <v>0</v>
      </c>
      <c r="Z4" s="48">
        <v>0</v>
      </c>
      <c r="AA4" s="48">
        <v>0</v>
      </c>
      <c r="AB4" s="48">
        <v>0</v>
      </c>
      <c r="AC4" s="48">
        <v>0</v>
      </c>
      <c r="AD4" s="48">
        <v>0</v>
      </c>
      <c r="AE4" s="48">
        <v>0</v>
      </c>
      <c r="AF4" s="48">
        <v>270161.24955538806</v>
      </c>
      <c r="AG4" s="48">
        <v>534967.18121228588</v>
      </c>
      <c r="AH4" s="48">
        <v>794575.46729436051</v>
      </c>
      <c r="AI4" s="48">
        <v>1049137.6506541937</v>
      </c>
      <c r="AJ4" s="48">
        <v>1298799.4396584283</v>
      </c>
      <c r="AK4" s="48">
        <v>1543700.9862996873</v>
      </c>
      <c r="AL4" s="48">
        <v>1783977.1485506233</v>
      </c>
      <c r="AM4" s="48">
        <v>2019757.7379920268</v>
      </c>
      <c r="AN4" s="48">
        <v>2251167.7536703693</v>
      </c>
      <c r="AO4" s="48">
        <v>2478327.603069996</v>
      </c>
      <c r="AP4" s="48">
        <v>2621817.0316209975</v>
      </c>
      <c r="AQ4" s="48">
        <v>2913751.5380588663</v>
      </c>
      <c r="AR4" s="48">
        <v>3281340.6865054397</v>
      </c>
      <c r="AS4" s="48">
        <v>3066287.3244988308</v>
      </c>
      <c r="AT4" s="48">
        <v>3453257.3071962814</v>
      </c>
      <c r="AU4" s="48">
        <v>4019022.8433644911</v>
      </c>
      <c r="AV4" s="48">
        <v>4818734.9040552219</v>
      </c>
      <c r="AW4" s="48">
        <v>6331225.2625504266</v>
      </c>
      <c r="AX4" s="48">
        <v>7184411.7113961307</v>
      </c>
      <c r="AY4" s="48">
        <v>8025387.3916528122</v>
      </c>
      <c r="AZ4" s="48">
        <v>8854412.5807904359</v>
      </c>
      <c r="BA4" s="48">
        <v>9671740.2112404648</v>
      </c>
      <c r="BB4" s="48">
        <v>10477616.1276772</v>
      </c>
      <c r="BC4" s="48">
        <v>11272279.333560033</v>
      </c>
      <c r="BD4" s="48">
        <v>12055962.227455787</v>
      </c>
      <c r="BE4" s="48">
        <v>12828890.829632103</v>
      </c>
      <c r="BF4" s="48">
        <v>13591284.999385903</v>
      </c>
      <c r="BG4" s="48">
        <v>14343358.643545993</v>
      </c>
      <c r="BH4" s="48">
        <v>15085318.644881405</v>
      </c>
      <c r="BI4" s="48">
        <v>14984577.441109072</v>
      </c>
      <c r="BJ4" s="48">
        <v>14885172.830269817</v>
      </c>
      <c r="BK4" s="48">
        <v>14787078.387610566</v>
      </c>
      <c r="BL4" s="48">
        <v>14690268.380382566</v>
      </c>
      <c r="BM4" s="48">
        <v>14594717.745336197</v>
      </c>
      <c r="BN4" s="48">
        <v>14500402.067088399</v>
      </c>
      <c r="BO4" s="48">
        <v>14407297.557323486</v>
      </c>
      <c r="BP4" s="48">
        <v>14315381.03479014</v>
      </c>
      <c r="BQ4" s="48">
        <v>14224629.90605926</v>
      </c>
      <c r="BR4" s="48">
        <v>14135022.147009073</v>
      </c>
      <c r="BS4" s="48">
        <v>14046536.285005707</v>
      </c>
      <c r="BT4" s="48">
        <v>13959151.381748881</v>
      </c>
      <c r="BU4" s="48">
        <v>13872847.01675394</v>
      </c>
      <c r="BV4" s="48">
        <v>13787603.271442901</v>
      </c>
      <c r="BW4" s="48">
        <v>13703400.713818418</v>
      </c>
      <c r="BX4" s="48">
        <v>13620220.383695945</v>
      </c>
      <c r="BY4" s="48">
        <v>13538043.77847049</v>
      </c>
      <c r="BZ4" s="48">
        <v>13456852.839395542</v>
      </c>
      <c r="CA4" s="48">
        <v>13376629.938352767</v>
      </c>
      <c r="CB4" s="48">
        <v>13297357.865092173</v>
      </c>
      <c r="CC4" s="48">
        <v>13219019.814923245</v>
      </c>
      <c r="CD4" s="48">
        <v>13141599.376838677</v>
      </c>
      <c r="CE4" s="48">
        <v>13065080.522052968</v>
      </c>
      <c r="CF4" s="48">
        <v>12989447.592939148</v>
      </c>
      <c r="CG4" s="48">
        <v>12914685.292347528</v>
      </c>
      <c r="CH4" s="48">
        <v>12840778.673291234</v>
      </c>
      <c r="CI4" s="48">
        <v>12767713.128983853</v>
      </c>
      <c r="CJ4" s="48">
        <v>12695474.383215312</v>
      </c>
      <c r="CK4" s="48">
        <v>12624048.481052591</v>
      </c>
      <c r="CL4" s="48">
        <v>12553421.779852627</v>
      </c>
      <c r="CM4" s="48">
        <v>12483580.940575207</v>
      </c>
    </row>
    <row r="5" spans="1:91" x14ac:dyDescent="0.25">
      <c r="A5" s="48" t="s">
        <v>75</v>
      </c>
      <c r="B5" s="48">
        <v>0</v>
      </c>
      <c r="C5" s="48">
        <v>0</v>
      </c>
      <c r="D5" s="48">
        <v>0</v>
      </c>
      <c r="E5" s="48">
        <v>0</v>
      </c>
      <c r="F5" s="48">
        <v>0</v>
      </c>
      <c r="G5" s="48">
        <v>0</v>
      </c>
      <c r="H5" s="48">
        <v>0</v>
      </c>
      <c r="I5" s="48">
        <v>0</v>
      </c>
      <c r="J5" s="48">
        <v>0</v>
      </c>
      <c r="K5" s="48">
        <v>0</v>
      </c>
      <c r="L5" s="48">
        <v>0</v>
      </c>
      <c r="M5" s="48">
        <v>0</v>
      </c>
      <c r="N5" s="48">
        <v>0</v>
      </c>
      <c r="O5" s="48">
        <v>0</v>
      </c>
      <c r="P5" s="48">
        <v>0</v>
      </c>
      <c r="Q5" s="48">
        <v>0</v>
      </c>
      <c r="R5" s="48">
        <v>0</v>
      </c>
      <c r="S5" s="48">
        <v>0</v>
      </c>
      <c r="T5" s="48">
        <v>0</v>
      </c>
      <c r="U5" s="48">
        <v>0</v>
      </c>
      <c r="V5" s="48">
        <v>0</v>
      </c>
      <c r="W5" s="48">
        <v>0</v>
      </c>
      <c r="X5" s="48">
        <v>0</v>
      </c>
      <c r="Y5" s="48">
        <v>0</v>
      </c>
      <c r="Z5" s="48">
        <v>0</v>
      </c>
      <c r="AA5" s="48">
        <v>0</v>
      </c>
      <c r="AB5" s="48">
        <v>0</v>
      </c>
      <c r="AC5" s="48">
        <v>0</v>
      </c>
      <c r="AD5" s="48">
        <v>0</v>
      </c>
      <c r="AE5" s="48">
        <v>0</v>
      </c>
      <c r="AF5" s="48">
        <v>194049.07492341602</v>
      </c>
      <c r="AG5" s="48">
        <v>381255.24497308611</v>
      </c>
      <c r="AH5" s="48">
        <v>561974.19877558958</v>
      </c>
      <c r="AI5" s="48">
        <v>736537.39359258232</v>
      </c>
      <c r="AJ5" s="48">
        <v>905254.08422466356</v>
      </c>
      <c r="AK5" s="48">
        <v>1068413.1514155138</v>
      </c>
      <c r="AL5" s="48">
        <v>1226284.7524977517</v>
      </c>
      <c r="AM5" s="48">
        <v>1379121.8141210626</v>
      </c>
      <c r="AN5" s="48">
        <v>1527161.3844119962</v>
      </c>
      <c r="AO5" s="48">
        <v>1670625.8597701294</v>
      </c>
      <c r="AP5" s="48">
        <v>1756440.1693223289</v>
      </c>
      <c r="AQ5" s="48">
        <v>1940254.0818755243</v>
      </c>
      <c r="AR5" s="48">
        <v>2172174.8990216735</v>
      </c>
      <c r="AS5" s="48">
        <v>2018151.3242159788</v>
      </c>
      <c r="AT5" s="48">
        <v>2260086.9140459197</v>
      </c>
      <c r="AU5" s="48">
        <v>2615940.6269577206</v>
      </c>
      <c r="AV5" s="48">
        <v>3132063.5329496893</v>
      </c>
      <c r="AW5" s="48">
        <v>4109463.2979516694</v>
      </c>
      <c r="AX5" s="48">
        <v>4656909.8066009879</v>
      </c>
      <c r="AY5" s="48">
        <v>5195066.7732302053</v>
      </c>
      <c r="AZ5" s="48">
        <v>5724168.6579570202</v>
      </c>
      <c r="BA5" s="48">
        <v>6244442.0966272661</v>
      </c>
      <c r="BB5" s="48">
        <v>6756106.224498447</v>
      </c>
      <c r="BC5" s="48">
        <v>7259372.9839865956</v>
      </c>
      <c r="BD5" s="48">
        <v>7754447.4173842845</v>
      </c>
      <c r="BE5" s="48">
        <v>8241527.9453992406</v>
      </c>
      <c r="BF5" s="48">
        <v>8720806.6323083751</v>
      </c>
      <c r="BG5" s="48">
        <v>9192469.4384717569</v>
      </c>
      <c r="BH5" s="48">
        <v>9656695.6468499955</v>
      </c>
      <c r="BI5" s="48">
        <v>9581171.860664973</v>
      </c>
      <c r="BJ5" s="48">
        <v>9506820.2310099155</v>
      </c>
      <c r="BK5" s="48">
        <v>9433613.6795762256</v>
      </c>
      <c r="BL5" s="48">
        <v>9361525.9557396863</v>
      </c>
      <c r="BM5" s="48">
        <v>9290531.605176175</v>
      </c>
      <c r="BN5" s="48">
        <v>9220605.9398947004</v>
      </c>
      <c r="BO5" s="48">
        <v>9151725.0096136183</v>
      </c>
      <c r="BP5" s="48">
        <v>9083865.5744102951</v>
      </c>
      <c r="BQ5" s="48">
        <v>9017005.078578623</v>
      </c>
      <c r="BR5" s="48">
        <v>8951121.6256326288</v>
      </c>
      <c r="BS5" s="48">
        <v>8886193.9543979298</v>
      </c>
      <c r="BT5" s="48">
        <v>8822201.4161362629</v>
      </c>
      <c r="BU5" s="48">
        <v>8759123.952651307</v>
      </c>
      <c r="BV5" s="48">
        <v>8696942.0753271487</v>
      </c>
      <c r="BW5" s="48">
        <v>8635636.8450532295</v>
      </c>
      <c r="BX5" s="48">
        <v>8575189.8529924583</v>
      </c>
      <c r="BY5" s="48">
        <v>8515583.2021513972</v>
      </c>
      <c r="BZ5" s="48">
        <v>8456799.4897137899</v>
      </c>
      <c r="CA5" s="48">
        <v>8398821.7901007663</v>
      </c>
      <c r="CB5" s="48">
        <v>8341633.6387231695</v>
      </c>
      <c r="CC5" s="48">
        <v>8285219.0163931036</v>
      </c>
      <c r="CD5" s="48">
        <v>8229562.3343638591</v>
      </c>
      <c r="CE5" s="48">
        <v>8174648.4199687336</v>
      </c>
      <c r="CF5" s="48">
        <v>8120462.5028310474</v>
      </c>
      <c r="CG5" s="48">
        <v>8066990.2016189592</v>
      </c>
      <c r="CH5" s="48">
        <v>8014217.5113202166</v>
      </c>
      <c r="CI5" s="48">
        <v>7962130.7910130639</v>
      </c>
      <c r="CJ5" s="48">
        <v>7910716.7521110447</v>
      </c>
      <c r="CK5" s="48">
        <v>7859962.4470602227</v>
      </c>
      <c r="CL5" s="48">
        <v>7809855.2584688356</v>
      </c>
      <c r="CM5" s="48">
        <v>7760382.8886500224</v>
      </c>
    </row>
    <row r="6" spans="1:91" x14ac:dyDescent="0.25">
      <c r="A6" s="48" t="s">
        <v>76</v>
      </c>
      <c r="B6" s="48">
        <v>0</v>
      </c>
      <c r="C6" s="48">
        <v>0</v>
      </c>
      <c r="D6" s="48">
        <v>0</v>
      </c>
      <c r="E6" s="48">
        <v>0</v>
      </c>
      <c r="F6" s="48">
        <v>0</v>
      </c>
      <c r="G6" s="48">
        <v>0</v>
      </c>
      <c r="H6" s="48">
        <v>0</v>
      </c>
      <c r="I6" s="48">
        <v>0</v>
      </c>
      <c r="J6" s="48">
        <v>0</v>
      </c>
      <c r="K6" s="48">
        <v>0</v>
      </c>
      <c r="L6" s="48">
        <v>0</v>
      </c>
      <c r="M6" s="48">
        <v>0</v>
      </c>
      <c r="N6" s="48">
        <v>0</v>
      </c>
      <c r="O6" s="48">
        <v>0</v>
      </c>
      <c r="P6" s="48">
        <v>0</v>
      </c>
      <c r="Q6" s="48">
        <v>0</v>
      </c>
      <c r="R6" s="48">
        <v>0</v>
      </c>
      <c r="S6" s="48">
        <v>0</v>
      </c>
      <c r="T6" s="48">
        <v>0</v>
      </c>
      <c r="U6" s="48">
        <v>0</v>
      </c>
      <c r="V6" s="48">
        <v>0</v>
      </c>
      <c r="W6" s="48">
        <v>0</v>
      </c>
      <c r="X6" s="48">
        <v>0</v>
      </c>
      <c r="Y6" s="48">
        <v>0</v>
      </c>
      <c r="Z6" s="48">
        <v>0</v>
      </c>
      <c r="AA6" s="48">
        <v>0</v>
      </c>
      <c r="AB6" s="48">
        <v>0</v>
      </c>
      <c r="AC6" s="48">
        <v>0</v>
      </c>
      <c r="AD6" s="48">
        <v>0</v>
      </c>
      <c r="AE6" s="48">
        <v>0</v>
      </c>
      <c r="AF6" s="48">
        <v>340168.03052168625</v>
      </c>
      <c r="AG6" s="48">
        <v>669268.5683244575</v>
      </c>
      <c r="AH6" s="48">
        <v>987833.09489007608</v>
      </c>
      <c r="AI6" s="48">
        <v>1296359.5975515635</v>
      </c>
      <c r="AJ6" s="48">
        <v>1595315.1670841221</v>
      </c>
      <c r="AK6" s="48">
        <v>1885138.3572454581</v>
      </c>
      <c r="AL6" s="48">
        <v>2166241.3313341513</v>
      </c>
      <c r="AM6" s="48">
        <v>2439011.8178624194</v>
      </c>
      <c r="AN6" s="48">
        <v>2703814.8948579407</v>
      </c>
      <c r="AO6" s="48">
        <v>2960994.620062171</v>
      </c>
      <c r="AP6" s="48">
        <v>3116337.3174925712</v>
      </c>
      <c r="AQ6" s="48">
        <v>3445952.3433444318</v>
      </c>
      <c r="AR6" s="48">
        <v>3861645.979367699</v>
      </c>
      <c r="AS6" s="48">
        <v>3591256.0607808442</v>
      </c>
      <c r="AT6" s="48">
        <v>4025513.0527243656</v>
      </c>
      <c r="AU6" s="48">
        <v>4663547.2756360602</v>
      </c>
      <c r="AV6" s="48">
        <v>5585113.6709762039</v>
      </c>
      <c r="AW6" s="48">
        <v>7329892.2583465688</v>
      </c>
      <c r="AX6" s="48">
        <v>8308439.6686796052</v>
      </c>
      <c r="AY6" s="48">
        <v>9270861.8871248569</v>
      </c>
      <c r="AZ6" s="48">
        <v>10217554.239816897</v>
      </c>
      <c r="BA6" s="48">
        <v>11148899.235185772</v>
      </c>
      <c r="BB6" s="48">
        <v>12065267.079267308</v>
      </c>
      <c r="BC6" s="48">
        <v>12967016.166351406</v>
      </c>
      <c r="BD6" s="48">
        <v>13854493.546334287</v>
      </c>
      <c r="BE6" s="48">
        <v>14728035.370054984</v>
      </c>
      <c r="BF6" s="48">
        <v>15587967.31381667</v>
      </c>
      <c r="BG6" s="48">
        <v>16434604.984219169</v>
      </c>
      <c r="BH6" s="48">
        <v>17268252.848655928</v>
      </c>
      <c r="BI6" s="48">
        <v>17136804.164852947</v>
      </c>
      <c r="BJ6" s="48">
        <v>17007341.579080597</v>
      </c>
      <c r="BK6" s="48">
        <v>16879820.416009162</v>
      </c>
      <c r="BL6" s="48">
        <v>16754197.330240795</v>
      </c>
      <c r="BM6" s="48">
        <v>16630430.257186987</v>
      </c>
      <c r="BN6" s="48">
        <v>16508478.366107291</v>
      </c>
      <c r="BO6" s="48">
        <v>16388302.015199296</v>
      </c>
      <c r="BP6" s="48">
        <v>16269862.708635932</v>
      </c>
      <c r="BQ6" s="48">
        <v>16153123.05545246</v>
      </c>
      <c r="BR6" s="48">
        <v>16038046.73019072</v>
      </c>
      <c r="BS6" s="48">
        <v>15924598.435213812</v>
      </c>
      <c r="BT6" s="48">
        <v>15812743.864608934</v>
      </c>
      <c r="BU6" s="48">
        <v>15702449.669600913</v>
      </c>
      <c r="BV6" s="48">
        <v>15593683.425403144</v>
      </c>
      <c r="BW6" s="48">
        <v>15486413.599436769</v>
      </c>
      <c r="BX6" s="48">
        <v>15380609.520852553</v>
      </c>
      <c r="BY6" s="48">
        <v>15276241.351293752</v>
      </c>
      <c r="BZ6" s="48">
        <v>15173280.056841247</v>
      </c>
      <c r="CA6" s="48">
        <v>15071697.381085629</v>
      </c>
      <c r="CB6" s="48">
        <v>14971465.81927379</v>
      </c>
      <c r="CC6" s="48">
        <v>14872558.593480274</v>
      </c>
      <c r="CD6" s="48">
        <v>14774949.628756328</v>
      </c>
      <c r="CE6" s="48">
        <v>14678613.530212061</v>
      </c>
      <c r="CF6" s="48">
        <v>14583525.560989348</v>
      </c>
      <c r="CG6" s="48">
        <v>14489661.621085387</v>
      </c>
      <c r="CH6" s="48">
        <v>14396998.226988804</v>
      </c>
      <c r="CI6" s="48">
        <v>14305512.492092194</v>
      </c>
      <c r="CJ6" s="48">
        <v>14215182.1078467</v>
      </c>
      <c r="CK6" s="48">
        <v>14125985.325626187</v>
      </c>
      <c r="CL6" s="48">
        <v>14037900.939269852</v>
      </c>
      <c r="CM6" s="48">
        <v>13950908.268273998</v>
      </c>
    </row>
    <row r="7" spans="1:91" x14ac:dyDescent="0.25">
      <c r="A7" s="48" t="s">
        <v>77</v>
      </c>
      <c r="B7" s="48">
        <v>0</v>
      </c>
      <c r="C7" s="48">
        <v>0</v>
      </c>
      <c r="D7" s="48">
        <v>0</v>
      </c>
      <c r="E7" s="48">
        <v>0</v>
      </c>
      <c r="F7" s="48">
        <v>0</v>
      </c>
      <c r="G7" s="48">
        <v>0</v>
      </c>
      <c r="H7" s="48">
        <v>0</v>
      </c>
      <c r="I7" s="48">
        <v>0</v>
      </c>
      <c r="J7" s="48">
        <v>0</v>
      </c>
      <c r="K7" s="48">
        <v>0</v>
      </c>
      <c r="L7" s="48">
        <v>0</v>
      </c>
      <c r="M7" s="48">
        <v>0</v>
      </c>
      <c r="N7" s="48">
        <v>0</v>
      </c>
      <c r="O7" s="48">
        <v>0</v>
      </c>
      <c r="P7" s="48">
        <v>0</v>
      </c>
      <c r="Q7" s="48">
        <v>0</v>
      </c>
      <c r="R7" s="48">
        <v>0</v>
      </c>
      <c r="S7" s="48">
        <v>0</v>
      </c>
      <c r="T7" s="48">
        <v>0</v>
      </c>
      <c r="U7" s="48">
        <v>0</v>
      </c>
      <c r="V7" s="48">
        <v>0</v>
      </c>
      <c r="W7" s="48">
        <v>0</v>
      </c>
      <c r="X7" s="48">
        <v>0</v>
      </c>
      <c r="Y7" s="48">
        <v>0</v>
      </c>
      <c r="Z7" s="48">
        <v>0</v>
      </c>
      <c r="AA7" s="48">
        <v>0</v>
      </c>
      <c r="AB7" s="48">
        <v>0</v>
      </c>
      <c r="AC7" s="48">
        <v>0</v>
      </c>
      <c r="AD7" s="48">
        <v>0</v>
      </c>
      <c r="AE7" s="48">
        <v>0</v>
      </c>
      <c r="AF7" s="48">
        <v>25254.417684758395</v>
      </c>
      <c r="AG7" s="48">
        <v>50156.792863272909</v>
      </c>
      <c r="AH7" s="48">
        <v>74714.435707804325</v>
      </c>
      <c r="AI7" s="48">
        <v>98934.455387324124</v>
      </c>
      <c r="AJ7" s="48">
        <v>122823.76692892735</v>
      </c>
      <c r="AK7" s="48">
        <v>146389.09780008771</v>
      </c>
      <c r="AL7" s="48">
        <v>169636.99422491551</v>
      </c>
      <c r="AM7" s="48">
        <v>192573.827246876</v>
      </c>
      <c r="AN7" s="48">
        <v>215205.79854976168</v>
      </c>
      <c r="AO7" s="48">
        <v>237538.94604809227</v>
      </c>
      <c r="AP7" s="48">
        <v>254811.94858238936</v>
      </c>
      <c r="AQ7" s="48">
        <v>295993.59148636641</v>
      </c>
      <c r="AR7" s="48">
        <v>362040.28940787079</v>
      </c>
      <c r="AS7" s="48">
        <v>394983.1347717726</v>
      </c>
      <c r="AT7" s="48">
        <v>449369.3348682482</v>
      </c>
      <c r="AU7" s="48">
        <v>546283.92762449128</v>
      </c>
      <c r="AV7" s="48">
        <v>697057.22761212033</v>
      </c>
      <c r="AW7" s="48">
        <v>953706.97207503149</v>
      </c>
      <c r="AX7" s="48">
        <v>1040252.2137375728</v>
      </c>
      <c r="AY7" s="48">
        <v>1124810.4473007186</v>
      </c>
      <c r="AZ7" s="48">
        <v>1207449.3262558738</v>
      </c>
      <c r="BA7" s="48">
        <v>1288233.4672793671</v>
      </c>
      <c r="BB7" s="48">
        <v>1367224.6187363716</v>
      </c>
      <c r="BC7" s="48">
        <v>1444481.8180882216</v>
      </c>
      <c r="BD7" s="48">
        <v>1520061.5390464251</v>
      </c>
      <c r="BE7" s="48">
        <v>1594017.8292441901</v>
      </c>
      <c r="BF7" s="48">
        <v>1666402.4391307861</v>
      </c>
      <c r="BG7" s="48">
        <v>1737264.9427347202</v>
      </c>
      <c r="BH7" s="48">
        <v>1806652.828141141</v>
      </c>
      <c r="BI7" s="48">
        <v>1788048.8516499852</v>
      </c>
      <c r="BJ7" s="48">
        <v>1769824.1181677091</v>
      </c>
      <c r="BK7" s="48">
        <v>1751967.1483655686</v>
      </c>
      <c r="BL7" s="48">
        <v>1734466.9215783433</v>
      </c>
      <c r="BM7" s="48">
        <v>1717312.8531231727</v>
      </c>
      <c r="BN7" s="48">
        <v>1700494.7729511284</v>
      </c>
      <c r="BO7" s="48">
        <v>1684002.9055410421</v>
      </c>
      <c r="BP7" s="48">
        <v>1667827.8509520674</v>
      </c>
      <c r="BQ7" s="48">
        <v>1651960.566957809</v>
      </c>
      <c r="BR7" s="48">
        <v>1636392.3521906671</v>
      </c>
      <c r="BS7" s="48">
        <v>1621114.8302303809</v>
      </c>
      <c r="BT7" s="48">
        <v>1606119.9345756292</v>
      </c>
      <c r="BU7" s="48">
        <v>1591399.894442044</v>
      </c>
      <c r="BV7" s="48">
        <v>1576947.2213340942</v>
      </c>
      <c r="BW7" s="48">
        <v>1562754.6963420871</v>
      </c>
      <c r="BX7" s="48">
        <v>1548815.358119016</v>
      </c>
      <c r="BY7" s="48">
        <v>1535122.4914951741</v>
      </c>
      <c r="BZ7" s="48">
        <v>1521669.6166914189</v>
      </c>
      <c r="CA7" s="48">
        <v>1508450.4790946788</v>
      </c>
      <c r="CB7" s="48">
        <v>1495459.0395618058</v>
      </c>
      <c r="CC7" s="48">
        <v>1482689.4652201966</v>
      </c>
      <c r="CD7" s="48">
        <v>1470136.1207357359</v>
      </c>
      <c r="CE7" s="48">
        <v>1457793.5600206037</v>
      </c>
      <c r="CF7" s="48">
        <v>1445656.5183553074</v>
      </c>
      <c r="CG7" s="48">
        <v>1433719.9049009974</v>
      </c>
      <c r="CH7" s="48">
        <v>1421978.7955796972</v>
      </c>
      <c r="CI7" s="48">
        <v>1410428.4263015226</v>
      </c>
      <c r="CJ7" s="48">
        <v>1399064.1865193259</v>
      </c>
      <c r="CK7" s="48">
        <v>1387881.6130924399</v>
      </c>
      <c r="CL7" s="48">
        <v>1376876.3844423676</v>
      </c>
      <c r="CM7" s="48">
        <v>1366044.3149843419</v>
      </c>
    </row>
    <row r="8" spans="1:91" x14ac:dyDescent="0.25">
      <c r="A8" s="48" t="s">
        <v>78</v>
      </c>
      <c r="B8" s="48">
        <v>0</v>
      </c>
      <c r="C8" s="48">
        <v>0</v>
      </c>
      <c r="D8" s="48">
        <v>0</v>
      </c>
      <c r="E8" s="48">
        <v>0</v>
      </c>
      <c r="F8" s="48">
        <v>0</v>
      </c>
      <c r="G8" s="48">
        <v>0</v>
      </c>
      <c r="H8" s="48">
        <v>0</v>
      </c>
      <c r="I8" s="48">
        <v>0</v>
      </c>
      <c r="J8" s="48">
        <v>0</v>
      </c>
      <c r="K8" s="48">
        <v>0</v>
      </c>
      <c r="L8" s="48">
        <v>0</v>
      </c>
      <c r="M8" s="48">
        <v>0</v>
      </c>
      <c r="N8" s="48">
        <v>0</v>
      </c>
      <c r="O8" s="48">
        <v>0</v>
      </c>
      <c r="P8" s="48">
        <v>0</v>
      </c>
      <c r="Q8" s="48">
        <v>0</v>
      </c>
      <c r="R8" s="48">
        <v>0</v>
      </c>
      <c r="S8" s="48">
        <v>0</v>
      </c>
      <c r="T8" s="48">
        <v>0</v>
      </c>
      <c r="U8" s="48">
        <v>0</v>
      </c>
      <c r="V8" s="48">
        <v>0</v>
      </c>
      <c r="W8" s="48">
        <v>0</v>
      </c>
      <c r="X8" s="48">
        <v>0</v>
      </c>
      <c r="Y8" s="48">
        <v>0</v>
      </c>
      <c r="Z8" s="48">
        <v>0</v>
      </c>
      <c r="AA8" s="48">
        <v>0</v>
      </c>
      <c r="AB8" s="48">
        <v>0</v>
      </c>
      <c r="AC8" s="48">
        <v>0</v>
      </c>
      <c r="AD8" s="48">
        <v>0</v>
      </c>
      <c r="AE8" s="48">
        <v>0</v>
      </c>
      <c r="AF8" s="48">
        <v>3416.4412662625296</v>
      </c>
      <c r="AG8" s="48">
        <v>6832.8825325250591</v>
      </c>
      <c r="AH8" s="48">
        <v>10249.323798787587</v>
      </c>
      <c r="AI8" s="48">
        <v>13665.765065050118</v>
      </c>
      <c r="AJ8" s="48">
        <v>17082.206331312645</v>
      </c>
      <c r="AK8" s="48">
        <v>20498.647597575175</v>
      </c>
      <c r="AL8" s="48">
        <v>23915.088863837707</v>
      </c>
      <c r="AM8" s="48">
        <v>27331.530130100236</v>
      </c>
      <c r="AN8" s="48">
        <v>30747.971396362755</v>
      </c>
      <c r="AO8" s="48">
        <v>34164.412662625291</v>
      </c>
      <c r="AP8" s="48">
        <v>36890.677261253244</v>
      </c>
      <c r="AQ8" s="48">
        <v>43133.844875324197</v>
      </c>
      <c r="AR8" s="48">
        <v>53102.302593334723</v>
      </c>
      <c r="AS8" s="48">
        <v>58309.240873589188</v>
      </c>
      <c r="AT8" s="48">
        <v>66764.666817619684</v>
      </c>
      <c r="AU8" s="48">
        <v>81682.374948510493</v>
      </c>
      <c r="AV8" s="48">
        <v>105480.61411907786</v>
      </c>
      <c r="AW8" s="48">
        <v>146033.35492672073</v>
      </c>
      <c r="AX8" s="48">
        <v>161156.81907767055</v>
      </c>
      <c r="AY8" s="48">
        <v>176280.28322862033</v>
      </c>
      <c r="AZ8" s="48">
        <v>191403.74737957012</v>
      </c>
      <c r="BA8" s="48">
        <v>206527.21153051991</v>
      </c>
      <c r="BB8" s="48">
        <v>221650.67568146973</v>
      </c>
      <c r="BC8" s="48">
        <v>236774.13983241952</v>
      </c>
      <c r="BD8" s="48">
        <v>251897.60398336928</v>
      </c>
      <c r="BE8" s="48">
        <v>267021.06813431915</v>
      </c>
      <c r="BF8" s="48">
        <v>282144.53228526888</v>
      </c>
      <c r="BG8" s="48">
        <v>297267.99643621867</v>
      </c>
      <c r="BH8" s="48">
        <v>312391.45665398089</v>
      </c>
      <c r="BI8" s="48">
        <v>312391.45665398089</v>
      </c>
      <c r="BJ8" s="48">
        <v>312391.45665398089</v>
      </c>
      <c r="BK8" s="48">
        <v>312391.45665398089</v>
      </c>
      <c r="BL8" s="48">
        <v>312391.45665398089</v>
      </c>
      <c r="BM8" s="48">
        <v>312391.45665398089</v>
      </c>
      <c r="BN8" s="48">
        <v>312391.45665398089</v>
      </c>
      <c r="BO8" s="48">
        <v>312391.45665398089</v>
      </c>
      <c r="BP8" s="48">
        <v>312391.45665398089</v>
      </c>
      <c r="BQ8" s="48">
        <v>312391.45665398089</v>
      </c>
      <c r="BR8" s="48">
        <v>312391.45665398089</v>
      </c>
      <c r="BS8" s="48">
        <v>312391.45665398089</v>
      </c>
      <c r="BT8" s="48">
        <v>312391.45665398089</v>
      </c>
      <c r="BU8" s="48">
        <v>312391.45665398089</v>
      </c>
      <c r="BV8" s="48">
        <v>312391.45665398089</v>
      </c>
      <c r="BW8" s="48">
        <v>312391.45665398089</v>
      </c>
      <c r="BX8" s="48">
        <v>312391.45665398089</v>
      </c>
      <c r="BY8" s="48">
        <v>312391.45665398089</v>
      </c>
      <c r="BZ8" s="48">
        <v>312391.45665398089</v>
      </c>
      <c r="CA8" s="48">
        <v>312391.45665398089</v>
      </c>
      <c r="CB8" s="48">
        <v>312391.45665398089</v>
      </c>
      <c r="CC8" s="48">
        <v>312391.45665398089</v>
      </c>
      <c r="CD8" s="48">
        <v>312391.45665398089</v>
      </c>
      <c r="CE8" s="48">
        <v>312391.45665398089</v>
      </c>
      <c r="CF8" s="48">
        <v>312391.45665398089</v>
      </c>
      <c r="CG8" s="48">
        <v>312391.45665398089</v>
      </c>
      <c r="CH8" s="48">
        <v>312391.45665398089</v>
      </c>
      <c r="CI8" s="48">
        <v>312391.45665398089</v>
      </c>
      <c r="CJ8" s="48">
        <v>312391.45665398089</v>
      </c>
      <c r="CK8" s="48">
        <v>312391.45665398089</v>
      </c>
      <c r="CL8" s="48">
        <v>312391.45665398089</v>
      </c>
      <c r="CM8" s="48">
        <v>312391.45665398089</v>
      </c>
    </row>
    <row r="9" spans="1:91" x14ac:dyDescent="0.25">
      <c r="A9" s="48" t="s">
        <v>90</v>
      </c>
      <c r="B9" s="48">
        <v>0</v>
      </c>
      <c r="C9" s="48">
        <v>0</v>
      </c>
      <c r="D9" s="48">
        <v>0</v>
      </c>
      <c r="E9" s="48">
        <v>0</v>
      </c>
      <c r="F9" s="48">
        <v>0</v>
      </c>
      <c r="G9" s="48">
        <v>0</v>
      </c>
      <c r="H9" s="48">
        <v>0</v>
      </c>
      <c r="I9" s="48">
        <v>0</v>
      </c>
      <c r="J9" s="48">
        <v>0</v>
      </c>
      <c r="K9" s="48">
        <v>0</v>
      </c>
      <c r="L9" s="48">
        <v>0</v>
      </c>
      <c r="M9" s="48">
        <v>0</v>
      </c>
      <c r="N9" s="48">
        <v>0</v>
      </c>
      <c r="O9" s="48">
        <v>0</v>
      </c>
      <c r="P9" s="48">
        <v>0</v>
      </c>
      <c r="Q9" s="48">
        <v>0</v>
      </c>
      <c r="R9" s="48">
        <v>0</v>
      </c>
      <c r="S9" s="48">
        <v>0</v>
      </c>
      <c r="T9" s="48">
        <v>0</v>
      </c>
      <c r="U9" s="48">
        <v>0</v>
      </c>
      <c r="V9" s="48">
        <v>0</v>
      </c>
      <c r="W9" s="48">
        <v>0</v>
      </c>
      <c r="X9" s="48">
        <v>0</v>
      </c>
      <c r="Y9" s="48">
        <v>0</v>
      </c>
      <c r="Z9" s="48">
        <v>0</v>
      </c>
      <c r="AA9" s="48">
        <v>0</v>
      </c>
      <c r="AB9" s="48">
        <v>0</v>
      </c>
      <c r="AC9" s="48">
        <v>0</v>
      </c>
      <c r="AD9" s="48">
        <v>0</v>
      </c>
      <c r="AE9" s="48">
        <v>0</v>
      </c>
      <c r="AF9" s="48">
        <v>213230.09957228223</v>
      </c>
      <c r="AG9" s="48">
        <v>420704.17507313489</v>
      </c>
      <c r="AH9" s="48">
        <v>622652.19343575917</v>
      </c>
      <c r="AI9" s="48">
        <v>819292.03228668054</v>
      </c>
      <c r="AJ9" s="48">
        <v>1010830.2640555844</v>
      </c>
      <c r="AK9" s="48">
        <v>1197462.8798380368</v>
      </c>
      <c r="AL9" s="48">
        <v>1379375.9583434146</v>
      </c>
      <c r="AM9" s="48">
        <v>1556746.2847277294</v>
      </c>
      <c r="AN9" s="48">
        <v>1729741.9236374951</v>
      </c>
      <c r="AO9" s="48">
        <v>1898522.750369214</v>
      </c>
      <c r="AP9" s="48">
        <v>2350761.9603452343</v>
      </c>
      <c r="AQ9" s="48">
        <v>3026354.6395304766</v>
      </c>
      <c r="AR9" s="48">
        <v>3996955.4153171079</v>
      </c>
      <c r="AS9" s="48">
        <v>5002175.2293081218</v>
      </c>
      <c r="AT9" s="48">
        <v>7690715.7807354275</v>
      </c>
      <c r="AU9" s="48">
        <v>12604336.230533773</v>
      </c>
      <c r="AV9" s="48">
        <v>16922281.886250038</v>
      </c>
      <c r="AW9" s="48">
        <v>25257773.699198831</v>
      </c>
      <c r="AX9" s="48">
        <v>29340683.976885021</v>
      </c>
      <c r="AY9" s="48">
        <v>33343110.449410386</v>
      </c>
      <c r="AZ9" s="48">
        <v>37267409.678918391</v>
      </c>
      <c r="BA9" s="48">
        <v>41115847.116749823</v>
      </c>
      <c r="BB9" s="48">
        <v>44890601.464515015</v>
      </c>
      <c r="BC9" s="48">
        <v>48593768.787046976</v>
      </c>
      <c r="BD9" s="48">
        <v>52227366.393550143</v>
      </c>
      <c r="BE9" s="48">
        <v>55793336.50204441</v>
      </c>
      <c r="BF9" s="48">
        <v>59293549.701090828</v>
      </c>
      <c r="BG9" s="48">
        <v>62729808.221763119</v>
      </c>
      <c r="BH9" s="48">
        <v>66103840.183358125</v>
      </c>
      <c r="BI9" s="48">
        <v>65510763.484445624</v>
      </c>
      <c r="BJ9" s="48">
        <v>64928234.198734052</v>
      </c>
      <c r="BK9" s="48">
        <v>64355973.439660788</v>
      </c>
      <c r="BL9" s="48">
        <v>63793712.066900119</v>
      </c>
      <c r="BM9" s="48">
        <v>63241190.264299132</v>
      </c>
      <c r="BN9" s="48">
        <v>62698157.139558248</v>
      </c>
      <c r="BO9" s="48">
        <v>62164370.344360888</v>
      </c>
      <c r="BP9" s="48">
        <v>61639595.713743515</v>
      </c>
      <c r="BQ9" s="48">
        <v>61123606.92357906</v>
      </c>
      <c r="BR9" s="48">
        <v>60616185.165120609</v>
      </c>
      <c r="BS9" s="48">
        <v>60117118.835622638</v>
      </c>
      <c r="BT9" s="48">
        <v>59626203.244120426</v>
      </c>
      <c r="BU9" s="48">
        <v>59143240.331508331</v>
      </c>
      <c r="BV9" s="48">
        <v>58668038.404112719</v>
      </c>
      <c r="BW9" s="48">
        <v>58200411.880006559</v>
      </c>
      <c r="BX9" s="48">
        <v>57740181.047360487</v>
      </c>
      <c r="BY9" s="48">
        <v>57287171.83416906</v>
      </c>
      <c r="BZ9" s="48">
        <v>56841215.588732734</v>
      </c>
      <c r="CA9" s="48">
        <v>56402148.870313503</v>
      </c>
      <c r="CB9" s="48">
        <v>55969813.249418885</v>
      </c>
      <c r="CC9" s="48">
        <v>55544055.117200993</v>
      </c>
      <c r="CD9" s="48">
        <v>55124725.503489397</v>
      </c>
      <c r="CE9" s="48">
        <v>54711679.903004691</v>
      </c>
      <c r="CF9" s="48">
        <v>54304778.10932707</v>
      </c>
      <c r="CG9" s="48">
        <v>53903884.056219049</v>
      </c>
      <c r="CH9" s="48">
        <v>53508865.665924914</v>
      </c>
      <c r="CI9" s="48">
        <v>53119594.704092145</v>
      </c>
      <c r="CJ9" s="48">
        <v>52735946.640979312</v>
      </c>
      <c r="CK9" s="48">
        <v>52357800.518635608</v>
      </c>
      <c r="CL9" s="48">
        <v>51985038.823753767</v>
      </c>
      <c r="CM9" s="48">
        <v>51617547.365916185</v>
      </c>
    </row>
    <row r="11" spans="1:91" x14ac:dyDescent="0.25">
      <c r="A11" s="48" t="s">
        <v>86</v>
      </c>
    </row>
    <row r="12" spans="1:91" x14ac:dyDescent="0.25">
      <c r="B12" s="48">
        <v>1961</v>
      </c>
      <c r="C12" s="48">
        <v>1962</v>
      </c>
      <c r="D12" s="48">
        <v>1963</v>
      </c>
      <c r="E12" s="48">
        <v>1964</v>
      </c>
      <c r="F12" s="48">
        <v>1965</v>
      </c>
      <c r="G12" s="48">
        <v>1966</v>
      </c>
      <c r="H12" s="48">
        <v>1967</v>
      </c>
      <c r="I12" s="48">
        <v>1968</v>
      </c>
      <c r="J12" s="48">
        <v>1969</v>
      </c>
      <c r="K12" s="48">
        <v>1970</v>
      </c>
      <c r="L12" s="48">
        <v>1971</v>
      </c>
      <c r="M12" s="48">
        <v>1972</v>
      </c>
      <c r="N12" s="48">
        <v>1973</v>
      </c>
      <c r="O12" s="48">
        <v>1974</v>
      </c>
      <c r="P12" s="48">
        <v>1975</v>
      </c>
      <c r="Q12" s="48">
        <v>1976</v>
      </c>
      <c r="R12" s="48">
        <v>1977</v>
      </c>
      <c r="S12" s="48">
        <v>1978</v>
      </c>
      <c r="T12" s="48">
        <v>1979</v>
      </c>
      <c r="U12" s="48">
        <v>1980</v>
      </c>
      <c r="V12" s="48">
        <v>1981</v>
      </c>
      <c r="W12" s="48">
        <v>1982</v>
      </c>
      <c r="X12" s="48">
        <v>1983</v>
      </c>
      <c r="Y12" s="48">
        <v>1984</v>
      </c>
      <c r="Z12" s="48">
        <v>1985</v>
      </c>
      <c r="AA12" s="48">
        <v>1986</v>
      </c>
      <c r="AB12" s="48">
        <v>1987</v>
      </c>
      <c r="AC12" s="48">
        <v>1988</v>
      </c>
      <c r="AD12" s="48">
        <v>1989</v>
      </c>
      <c r="AE12" s="48">
        <v>1990</v>
      </c>
      <c r="AF12" s="48">
        <v>1991</v>
      </c>
      <c r="AG12" s="48">
        <v>1992</v>
      </c>
      <c r="AH12" s="48">
        <v>1993</v>
      </c>
      <c r="AI12" s="48">
        <v>1994</v>
      </c>
      <c r="AJ12" s="48">
        <v>1995</v>
      </c>
      <c r="AK12" s="48">
        <v>1996</v>
      </c>
      <c r="AL12" s="48">
        <v>1997</v>
      </c>
      <c r="AM12" s="48">
        <v>1998</v>
      </c>
      <c r="AN12" s="48">
        <v>1999</v>
      </c>
      <c r="AO12" s="48">
        <v>2000</v>
      </c>
      <c r="AP12" s="48">
        <v>2001</v>
      </c>
      <c r="AQ12" s="48">
        <v>2002</v>
      </c>
      <c r="AR12" s="48">
        <v>2003</v>
      </c>
      <c r="AS12" s="48">
        <v>2004</v>
      </c>
      <c r="AT12" s="48">
        <v>2005</v>
      </c>
      <c r="AU12" s="48">
        <v>2006</v>
      </c>
      <c r="AV12" s="48">
        <v>2007</v>
      </c>
      <c r="AW12" s="48">
        <v>2008</v>
      </c>
      <c r="AX12" s="48">
        <v>2009</v>
      </c>
      <c r="AY12" s="48">
        <v>2010</v>
      </c>
      <c r="AZ12" s="48">
        <v>2011</v>
      </c>
      <c r="BA12" s="48">
        <v>2012</v>
      </c>
      <c r="BB12" s="48">
        <v>2013</v>
      </c>
      <c r="BC12" s="48">
        <v>2014</v>
      </c>
      <c r="BD12" s="48">
        <v>2015</v>
      </c>
      <c r="BE12" s="48">
        <v>2016</v>
      </c>
      <c r="BF12" s="48">
        <v>2017</v>
      </c>
      <c r="BG12" s="48">
        <v>2018</v>
      </c>
      <c r="BH12" s="48">
        <v>2019</v>
      </c>
      <c r="BI12" s="48">
        <v>2020</v>
      </c>
      <c r="BJ12" s="48">
        <v>2021</v>
      </c>
      <c r="BK12" s="48">
        <v>2022</v>
      </c>
      <c r="BL12" s="48">
        <v>2023</v>
      </c>
      <c r="BM12" s="48">
        <v>2024</v>
      </c>
      <c r="BN12" s="48">
        <v>2025</v>
      </c>
      <c r="BO12" s="48">
        <v>2026</v>
      </c>
      <c r="BP12" s="48">
        <v>2027</v>
      </c>
      <c r="BQ12" s="48">
        <v>2028</v>
      </c>
      <c r="BR12" s="48">
        <v>2029</v>
      </c>
      <c r="BS12" s="48">
        <v>2030</v>
      </c>
      <c r="BT12" s="48">
        <v>2031</v>
      </c>
      <c r="BU12" s="48">
        <v>2032</v>
      </c>
      <c r="BV12" s="48">
        <v>2033</v>
      </c>
      <c r="BW12" s="48">
        <v>2034</v>
      </c>
      <c r="BX12" s="48">
        <v>2035</v>
      </c>
      <c r="BY12" s="48">
        <v>2036</v>
      </c>
      <c r="BZ12" s="48">
        <v>2037</v>
      </c>
      <c r="CA12" s="48">
        <v>2038</v>
      </c>
      <c r="CB12" s="48">
        <v>2039</v>
      </c>
      <c r="CC12" s="48">
        <v>2040</v>
      </c>
      <c r="CD12" s="48">
        <v>2041</v>
      </c>
      <c r="CE12" s="48">
        <v>2042</v>
      </c>
      <c r="CF12" s="48">
        <v>2043</v>
      </c>
      <c r="CG12" s="48">
        <v>2044</v>
      </c>
      <c r="CH12" s="48">
        <v>2045</v>
      </c>
      <c r="CI12" s="48">
        <v>2046</v>
      </c>
      <c r="CJ12" s="48">
        <v>2047</v>
      </c>
      <c r="CK12" s="48">
        <v>2048</v>
      </c>
      <c r="CL12" s="48">
        <v>2049</v>
      </c>
      <c r="CM12" s="48">
        <v>2050</v>
      </c>
    </row>
    <row r="13" spans="1:91" x14ac:dyDescent="0.25">
      <c r="A13" s="48" t="s">
        <v>88</v>
      </c>
      <c r="B13" s="48">
        <f>B2*0.73</f>
        <v>0</v>
      </c>
      <c r="C13" s="48">
        <f t="shared" ref="C13:BN13" si="0">C2*0.73</f>
        <v>0</v>
      </c>
      <c r="D13" s="48">
        <f t="shared" si="0"/>
        <v>0</v>
      </c>
      <c r="E13" s="48">
        <f t="shared" si="0"/>
        <v>0</v>
      </c>
      <c r="F13" s="48">
        <f t="shared" si="0"/>
        <v>0</v>
      </c>
      <c r="G13" s="48">
        <f t="shared" si="0"/>
        <v>0</v>
      </c>
      <c r="H13" s="48">
        <f t="shared" si="0"/>
        <v>0</v>
      </c>
      <c r="I13" s="48">
        <f t="shared" si="0"/>
        <v>0</v>
      </c>
      <c r="J13" s="48">
        <f t="shared" si="0"/>
        <v>0</v>
      </c>
      <c r="K13" s="48">
        <f t="shared" si="0"/>
        <v>0</v>
      </c>
      <c r="L13" s="48">
        <f t="shared" si="0"/>
        <v>0</v>
      </c>
      <c r="M13" s="48">
        <f t="shared" si="0"/>
        <v>0</v>
      </c>
      <c r="N13" s="48">
        <f t="shared" si="0"/>
        <v>0</v>
      </c>
      <c r="O13" s="48">
        <f t="shared" si="0"/>
        <v>0</v>
      </c>
      <c r="P13" s="48">
        <f t="shared" si="0"/>
        <v>0</v>
      </c>
      <c r="Q13" s="48">
        <f t="shared" si="0"/>
        <v>0</v>
      </c>
      <c r="R13" s="48">
        <f t="shared" si="0"/>
        <v>0</v>
      </c>
      <c r="S13" s="48">
        <f t="shared" si="0"/>
        <v>0</v>
      </c>
      <c r="T13" s="48">
        <f t="shared" si="0"/>
        <v>0</v>
      </c>
      <c r="U13" s="48">
        <f t="shared" si="0"/>
        <v>0</v>
      </c>
      <c r="V13" s="48">
        <f t="shared" si="0"/>
        <v>0</v>
      </c>
      <c r="W13" s="48">
        <f t="shared" si="0"/>
        <v>0</v>
      </c>
      <c r="X13" s="48">
        <f t="shared" si="0"/>
        <v>0</v>
      </c>
      <c r="Y13" s="48">
        <f t="shared" si="0"/>
        <v>0</v>
      </c>
      <c r="Z13" s="48">
        <f t="shared" si="0"/>
        <v>0</v>
      </c>
      <c r="AA13" s="48">
        <f t="shared" si="0"/>
        <v>0</v>
      </c>
      <c r="AB13" s="48">
        <f t="shared" si="0"/>
        <v>0</v>
      </c>
      <c r="AC13" s="48">
        <f t="shared" si="0"/>
        <v>0</v>
      </c>
      <c r="AD13" s="48">
        <f t="shared" si="0"/>
        <v>0</v>
      </c>
      <c r="AE13" s="48">
        <f t="shared" si="0"/>
        <v>0</v>
      </c>
      <c r="AF13" s="48">
        <f t="shared" si="0"/>
        <v>264298.13384870189</v>
      </c>
      <c r="AG13" s="48">
        <f t="shared" si="0"/>
        <v>520633.93324715138</v>
      </c>
      <c r="AH13" s="48">
        <f t="shared" si="0"/>
        <v>769361.87263473251</v>
      </c>
      <c r="AI13" s="48">
        <f t="shared" si="0"/>
        <v>1010815.693040224</v>
      </c>
      <c r="AJ13" s="48">
        <f t="shared" si="0"/>
        <v>1245309.8961211501</v>
      </c>
      <c r="AK13" s="48">
        <f t="shared" si="0"/>
        <v>1473141.1108468894</v>
      </c>
      <c r="AL13" s="48">
        <f t="shared" si="0"/>
        <v>1694589.3453137057</v>
      </c>
      <c r="AM13" s="48">
        <f t="shared" si="0"/>
        <v>1909919.13479971</v>
      </c>
      <c r="AN13" s="48">
        <f t="shared" si="0"/>
        <v>2119380.5959568662</v>
      </c>
      <c r="AO13" s="48">
        <f t="shared" si="0"/>
        <v>2323210.3959727613</v>
      </c>
      <c r="AP13" s="48">
        <f t="shared" si="0"/>
        <v>2501128.3875601627</v>
      </c>
      <c r="AQ13" s="48">
        <f t="shared" si="0"/>
        <v>2992716.5447963728</v>
      </c>
      <c r="AR13" s="48">
        <f t="shared" si="0"/>
        <v>3870875.3137433636</v>
      </c>
      <c r="AS13" s="48">
        <f t="shared" si="0"/>
        <v>4626359.6083531128</v>
      </c>
      <c r="AT13" s="48">
        <f t="shared" si="0"/>
        <v>5253285.8776954524</v>
      </c>
      <c r="AU13" s="48">
        <f t="shared" si="0"/>
        <v>6490042.973514053</v>
      </c>
      <c r="AV13" s="48">
        <f t="shared" si="0"/>
        <v>8626704.6787839495</v>
      </c>
      <c r="AW13" s="48">
        <f t="shared" si="0"/>
        <v>12139091.505161144</v>
      </c>
      <c r="AX13" s="48">
        <f t="shared" si="0"/>
        <v>13126471.001578134</v>
      </c>
      <c r="AY13" s="48">
        <f t="shared" si="0"/>
        <v>14105284.902994657</v>
      </c>
      <c r="AZ13" s="48">
        <f t="shared" si="0"/>
        <v>15075644.188851245</v>
      </c>
      <c r="BA13" s="48">
        <f t="shared" si="0"/>
        <v>16037657.929637915</v>
      </c>
      <c r="BB13" s="48">
        <f t="shared" si="0"/>
        <v>16991433.327763122</v>
      </c>
      <c r="BC13" s="48">
        <f t="shared" si="0"/>
        <v>17937075.757377177</v>
      </c>
      <c r="BD13" s="48">
        <f t="shared" si="0"/>
        <v>18874688.803181317</v>
      </c>
      <c r="BE13" s="48">
        <f t="shared" si="0"/>
        <v>19804374.298252288</v>
      </c>
      <c r="BF13" s="48">
        <f t="shared" si="0"/>
        <v>20726232.360911638</v>
      </c>
      <c r="BG13" s="48">
        <f t="shared" si="0"/>
        <v>21640361.430667602</v>
      </c>
      <c r="BH13" s="48">
        <f t="shared" si="0"/>
        <v>22546858.967190493</v>
      </c>
      <c r="BI13" s="48">
        <f t="shared" si="0"/>
        <v>22453126.749261886</v>
      </c>
      <c r="BJ13" s="48">
        <f t="shared" si="0"/>
        <v>22360170.635508824</v>
      </c>
      <c r="BK13" s="48">
        <f t="shared" si="0"/>
        <v>22267981.026441887</v>
      </c>
      <c r="BL13" s="48">
        <f t="shared" si="0"/>
        <v>22176548.480234023</v>
      </c>
      <c r="BM13" s="48">
        <f t="shared" si="0"/>
        <v>22085863.709497008</v>
      </c>
      <c r="BN13" s="48">
        <f t="shared" si="0"/>
        <v>21995917.578136601</v>
      </c>
      <c r="BO13" s="48">
        <f t="shared" ref="BO13:CM13" si="1">BO2*0.73</f>
        <v>21906701.098284278</v>
      </c>
      <c r="BP13" s="48">
        <f t="shared" si="1"/>
        <v>21818205.427303322</v>
      </c>
      <c r="BQ13" s="48">
        <f t="shared" si="1"/>
        <v>21730421.86486721</v>
      </c>
      <c r="BR13" s="48">
        <f t="shared" si="1"/>
        <v>21643341.85010818</v>
      </c>
      <c r="BS13" s="48">
        <f t="shared" si="1"/>
        <v>21556956.95883416</v>
      </c>
      <c r="BT13" s="48">
        <f t="shared" si="1"/>
        <v>21471258.900812052</v>
      </c>
      <c r="BU13" s="48">
        <f t="shared" si="1"/>
        <v>21386239.517115533</v>
      </c>
      <c r="BV13" s="48">
        <f t="shared" si="1"/>
        <v>21301890.777535658</v>
      </c>
      <c r="BW13" s="48">
        <f t="shared" si="1"/>
        <v>21218204.778052483</v>
      </c>
      <c r="BX13" s="48">
        <f t="shared" si="1"/>
        <v>21135173.738366045</v>
      </c>
      <c r="BY13" s="48">
        <f t="shared" si="1"/>
        <v>21052789.999485102</v>
      </c>
      <c r="BZ13" s="48">
        <f t="shared" si="1"/>
        <v>20971046.021372028</v>
      </c>
      <c r="CA13" s="48">
        <f t="shared" si="1"/>
        <v>20889934.380642388</v>
      </c>
      <c r="CB13" s="48">
        <f t="shared" si="1"/>
        <v>20809447.768317673</v>
      </c>
      <c r="CC13" s="48">
        <f t="shared" si="1"/>
        <v>20729578.987629782</v>
      </c>
      <c r="CD13" s="48">
        <f t="shared" si="1"/>
        <v>20650320.951875895</v>
      </c>
      <c r="CE13" s="48">
        <f t="shared" si="1"/>
        <v>20571666.682322353</v>
      </c>
      <c r="CF13" s="48">
        <f t="shared" si="1"/>
        <v>20493609.306156244</v>
      </c>
      <c r="CG13" s="48">
        <f t="shared" si="1"/>
        <v>20416142.054483488</v>
      </c>
      <c r="CH13" s="48">
        <f t="shared" si="1"/>
        <v>20339258.260372117</v>
      </c>
      <c r="CI13" s="48">
        <f t="shared" si="1"/>
        <v>20262951.356939618</v>
      </c>
      <c r="CJ13" s="48">
        <f t="shared" si="1"/>
        <v>20187214.875483166</v>
      </c>
      <c r="CK13" s="48">
        <f t="shared" si="1"/>
        <v>20112042.443651643</v>
      </c>
      <c r="CL13" s="48">
        <f t="shared" si="1"/>
        <v>20037427.783658333</v>
      </c>
      <c r="CM13" s="48">
        <f t="shared" si="1"/>
        <v>19963364.71053325</v>
      </c>
    </row>
    <row r="14" spans="1:91" x14ac:dyDescent="0.25">
      <c r="A14" s="48" t="s">
        <v>84</v>
      </c>
      <c r="B14" s="48">
        <f>B3*0.39</f>
        <v>0</v>
      </c>
      <c r="C14" s="48">
        <f t="shared" ref="C14:BN14" si="2">C3*0.39</f>
        <v>0</v>
      </c>
      <c r="D14" s="48">
        <f t="shared" si="2"/>
        <v>0</v>
      </c>
      <c r="E14" s="48">
        <f t="shared" si="2"/>
        <v>0</v>
      </c>
      <c r="F14" s="48">
        <f t="shared" si="2"/>
        <v>0</v>
      </c>
      <c r="G14" s="48">
        <f t="shared" si="2"/>
        <v>0</v>
      </c>
      <c r="H14" s="48">
        <f t="shared" si="2"/>
        <v>0</v>
      </c>
      <c r="I14" s="48">
        <f t="shared" si="2"/>
        <v>0</v>
      </c>
      <c r="J14" s="48">
        <f t="shared" si="2"/>
        <v>0</v>
      </c>
      <c r="K14" s="48">
        <f t="shared" si="2"/>
        <v>0</v>
      </c>
      <c r="L14" s="48">
        <f t="shared" si="2"/>
        <v>0</v>
      </c>
      <c r="M14" s="48">
        <f t="shared" si="2"/>
        <v>0</v>
      </c>
      <c r="N14" s="48">
        <f t="shared" si="2"/>
        <v>0</v>
      </c>
      <c r="O14" s="48">
        <f t="shared" si="2"/>
        <v>0</v>
      </c>
      <c r="P14" s="48">
        <f t="shared" si="2"/>
        <v>0</v>
      </c>
      <c r="Q14" s="48">
        <f t="shared" si="2"/>
        <v>0</v>
      </c>
      <c r="R14" s="48">
        <f t="shared" si="2"/>
        <v>0</v>
      </c>
      <c r="S14" s="48">
        <f t="shared" si="2"/>
        <v>0</v>
      </c>
      <c r="T14" s="48">
        <f t="shared" si="2"/>
        <v>0</v>
      </c>
      <c r="U14" s="48">
        <f t="shared" si="2"/>
        <v>0</v>
      </c>
      <c r="V14" s="48">
        <f t="shared" si="2"/>
        <v>0</v>
      </c>
      <c r="W14" s="48">
        <f t="shared" si="2"/>
        <v>0</v>
      </c>
      <c r="X14" s="48">
        <f t="shared" si="2"/>
        <v>0</v>
      </c>
      <c r="Y14" s="48">
        <f t="shared" si="2"/>
        <v>0</v>
      </c>
      <c r="Z14" s="48">
        <f t="shared" si="2"/>
        <v>0</v>
      </c>
      <c r="AA14" s="48">
        <f t="shared" si="2"/>
        <v>0</v>
      </c>
      <c r="AB14" s="48">
        <f t="shared" si="2"/>
        <v>0</v>
      </c>
      <c r="AC14" s="48">
        <f t="shared" si="2"/>
        <v>0</v>
      </c>
      <c r="AD14" s="48">
        <f t="shared" si="2"/>
        <v>0</v>
      </c>
      <c r="AE14" s="48">
        <f t="shared" si="2"/>
        <v>0</v>
      </c>
      <c r="AF14" s="48">
        <f t="shared" si="2"/>
        <v>0</v>
      </c>
      <c r="AG14" s="48">
        <f t="shared" si="2"/>
        <v>0</v>
      </c>
      <c r="AH14" s="48">
        <f t="shared" si="2"/>
        <v>0</v>
      </c>
      <c r="AI14" s="48">
        <f t="shared" si="2"/>
        <v>0</v>
      </c>
      <c r="AJ14" s="48">
        <f t="shared" si="2"/>
        <v>0</v>
      </c>
      <c r="AK14" s="48">
        <f t="shared" si="2"/>
        <v>0</v>
      </c>
      <c r="AL14" s="48">
        <f t="shared" si="2"/>
        <v>0</v>
      </c>
      <c r="AM14" s="48">
        <f t="shared" si="2"/>
        <v>0</v>
      </c>
      <c r="AN14" s="48">
        <f t="shared" si="2"/>
        <v>0</v>
      </c>
      <c r="AO14" s="48">
        <f t="shared" si="2"/>
        <v>0</v>
      </c>
      <c r="AP14" s="48">
        <f t="shared" si="2"/>
        <v>26902.341993431211</v>
      </c>
      <c r="AQ14" s="48">
        <f t="shared" si="2"/>
        <v>32526.606109635377</v>
      </c>
      <c r="AR14" s="48">
        <f t="shared" si="2"/>
        <v>43564.042547470432</v>
      </c>
      <c r="AS14" s="48">
        <f t="shared" si="2"/>
        <v>84536.761375307266</v>
      </c>
      <c r="AT14" s="48">
        <f t="shared" si="2"/>
        <v>271911.14066607878</v>
      </c>
      <c r="AU14" s="48">
        <f t="shared" si="2"/>
        <v>741604.83511076646</v>
      </c>
      <c r="AV14" s="48">
        <f t="shared" si="2"/>
        <v>1435703.7325092244</v>
      </c>
      <c r="AW14" s="48">
        <f t="shared" si="2"/>
        <v>1777556.8524855981</v>
      </c>
      <c r="AX14" s="48">
        <f t="shared" si="2"/>
        <v>1863278.5505074349</v>
      </c>
      <c r="AY14" s="48">
        <f t="shared" si="2"/>
        <v>1947310.4713917852</v>
      </c>
      <c r="AZ14" s="48">
        <f t="shared" si="2"/>
        <v>2029702.0917361467</v>
      </c>
      <c r="BA14" s="48">
        <f t="shared" si="2"/>
        <v>2110500.9752444732</v>
      </c>
      <c r="BB14" s="48">
        <f t="shared" si="2"/>
        <v>2189752.8642889517</v>
      </c>
      <c r="BC14" s="48">
        <f t="shared" si="2"/>
        <v>2267501.7662624517</v>
      </c>
      <c r="BD14" s="48">
        <f t="shared" si="2"/>
        <v>2343790.0350641971</v>
      </c>
      <c r="BE14" s="48">
        <f t="shared" si="2"/>
        <v>2418658.4480356607</v>
      </c>
      <c r="BF14" s="48">
        <f t="shared" si="2"/>
        <v>2492146.2786403401</v>
      </c>
      <c r="BG14" s="48">
        <f t="shared" si="2"/>
        <v>2564291.3651595972</v>
      </c>
      <c r="BH14" s="48">
        <f t="shared" si="2"/>
        <v>2635128.1051006331</v>
      </c>
      <c r="BI14" s="48">
        <f t="shared" si="2"/>
        <v>2611486.0130005423</v>
      </c>
      <c r="BJ14" s="48">
        <f t="shared" si="2"/>
        <v>2588264.3773351274</v>
      </c>
      <c r="BK14" s="48">
        <f t="shared" si="2"/>
        <v>2565452.080719721</v>
      </c>
      <c r="BL14" s="48">
        <f t="shared" si="2"/>
        <v>2543038.3942884281</v>
      </c>
      <c r="BM14" s="48">
        <f t="shared" si="2"/>
        <v>2521012.960869187</v>
      </c>
      <c r="BN14" s="48">
        <f t="shared" si="2"/>
        <v>2499365.7790256487</v>
      </c>
      <c r="BO14" s="48">
        <f t="shared" ref="BO14:CM14" si="3">BO3*0.39</f>
        <v>2478087.1879142313</v>
      </c>
      <c r="BP14" s="48">
        <f t="shared" si="3"/>
        <v>2457167.8529081573</v>
      </c>
      <c r="BQ14" s="48">
        <f t="shared" si="3"/>
        <v>2436598.751943558</v>
      </c>
      <c r="BR14" s="48">
        <f t="shared" si="3"/>
        <v>2416371.1625456568</v>
      </c>
      <c r="BS14" s="48">
        <f t="shared" si="3"/>
        <v>2396476.6494958596</v>
      </c>
      <c r="BT14" s="48">
        <f t="shared" si="3"/>
        <v>2376907.0531031038</v>
      </c>
      <c r="BU14" s="48">
        <f t="shared" si="3"/>
        <v>2357654.4780452056</v>
      </c>
      <c r="BV14" s="48">
        <f t="shared" si="3"/>
        <v>2338711.2827481581</v>
      </c>
      <c r="BW14" s="48">
        <f t="shared" si="3"/>
        <v>2320070.0692733484</v>
      </c>
      <c r="BX14" s="48">
        <f t="shared" si="3"/>
        <v>2301723.6736845965</v>
      </c>
      <c r="BY14" s="48">
        <f t="shared" si="3"/>
        <v>2283665.1568686436</v>
      </c>
      <c r="BZ14" s="48">
        <f t="shared" si="3"/>
        <v>2265887.795784404</v>
      </c>
      <c r="CA14" s="48">
        <f t="shared" si="3"/>
        <v>2248385.0751177748</v>
      </c>
      <c r="CB14" s="48">
        <f t="shared" si="3"/>
        <v>2231150.6793202613</v>
      </c>
      <c r="CC14" s="48">
        <f t="shared" si="3"/>
        <v>2214178.4850109671</v>
      </c>
      <c r="CD14" s="48">
        <f t="shared" si="3"/>
        <v>2197462.5537227481</v>
      </c>
      <c r="CE14" s="48">
        <f t="shared" si="3"/>
        <v>2180997.1249744887</v>
      </c>
      <c r="CF14" s="48">
        <f t="shared" si="3"/>
        <v>2164776.6096525108</v>
      </c>
      <c r="CG14" s="48">
        <f t="shared" si="3"/>
        <v>2148795.5836851476</v>
      </c>
      <c r="CH14" s="48">
        <f t="shared" si="3"/>
        <v>2133048.7819954366</v>
      </c>
      <c r="CI14" s="48">
        <f t="shared" si="3"/>
        <v>2117531.0927177821</v>
      </c>
      <c r="CJ14" s="48">
        <f t="shared" si="3"/>
        <v>2102237.5516652218</v>
      </c>
      <c r="CK14" s="48">
        <f t="shared" si="3"/>
        <v>2087163.3370347449</v>
      </c>
      <c r="CL14" s="48">
        <f t="shared" si="3"/>
        <v>2072303.7643387644</v>
      </c>
      <c r="CM14" s="48">
        <f t="shared" si="3"/>
        <v>2057654.2815515902</v>
      </c>
    </row>
    <row r="15" spans="1:91" x14ac:dyDescent="0.25">
      <c r="A15" s="48" t="s">
        <v>74</v>
      </c>
      <c r="B15" s="48">
        <f>B4*0.77</f>
        <v>0</v>
      </c>
      <c r="C15" s="48">
        <f t="shared" ref="C15:BN15" si="4">C4*0.77</f>
        <v>0</v>
      </c>
      <c r="D15" s="48">
        <f t="shared" si="4"/>
        <v>0</v>
      </c>
      <c r="E15" s="48">
        <f t="shared" si="4"/>
        <v>0</v>
      </c>
      <c r="F15" s="48">
        <f t="shared" si="4"/>
        <v>0</v>
      </c>
      <c r="G15" s="48">
        <f t="shared" si="4"/>
        <v>0</v>
      </c>
      <c r="H15" s="48">
        <f t="shared" si="4"/>
        <v>0</v>
      </c>
      <c r="I15" s="48">
        <f t="shared" si="4"/>
        <v>0</v>
      </c>
      <c r="J15" s="48">
        <f t="shared" si="4"/>
        <v>0</v>
      </c>
      <c r="K15" s="48">
        <f t="shared" si="4"/>
        <v>0</v>
      </c>
      <c r="L15" s="48">
        <f t="shared" si="4"/>
        <v>0</v>
      </c>
      <c r="M15" s="48">
        <f t="shared" si="4"/>
        <v>0</v>
      </c>
      <c r="N15" s="48">
        <f t="shared" si="4"/>
        <v>0</v>
      </c>
      <c r="O15" s="48">
        <f t="shared" si="4"/>
        <v>0</v>
      </c>
      <c r="P15" s="48">
        <f t="shared" si="4"/>
        <v>0</v>
      </c>
      <c r="Q15" s="48">
        <f t="shared" si="4"/>
        <v>0</v>
      </c>
      <c r="R15" s="48">
        <f t="shared" si="4"/>
        <v>0</v>
      </c>
      <c r="S15" s="48">
        <f t="shared" si="4"/>
        <v>0</v>
      </c>
      <c r="T15" s="48">
        <f t="shared" si="4"/>
        <v>0</v>
      </c>
      <c r="U15" s="48">
        <f t="shared" si="4"/>
        <v>0</v>
      </c>
      <c r="V15" s="48">
        <f t="shared" si="4"/>
        <v>0</v>
      </c>
      <c r="W15" s="48">
        <f t="shared" si="4"/>
        <v>0</v>
      </c>
      <c r="X15" s="48">
        <f t="shared" si="4"/>
        <v>0</v>
      </c>
      <c r="Y15" s="48">
        <f t="shared" si="4"/>
        <v>0</v>
      </c>
      <c r="Z15" s="48">
        <f t="shared" si="4"/>
        <v>0</v>
      </c>
      <c r="AA15" s="48">
        <f t="shared" si="4"/>
        <v>0</v>
      </c>
      <c r="AB15" s="48">
        <f t="shared" si="4"/>
        <v>0</v>
      </c>
      <c r="AC15" s="48">
        <f t="shared" si="4"/>
        <v>0</v>
      </c>
      <c r="AD15" s="48">
        <f t="shared" si="4"/>
        <v>0</v>
      </c>
      <c r="AE15" s="48">
        <f t="shared" si="4"/>
        <v>0</v>
      </c>
      <c r="AF15" s="48">
        <f t="shared" si="4"/>
        <v>208024.1621576488</v>
      </c>
      <c r="AG15" s="48">
        <f t="shared" si="4"/>
        <v>411924.72953346017</v>
      </c>
      <c r="AH15" s="48">
        <f t="shared" si="4"/>
        <v>611823.10981665761</v>
      </c>
      <c r="AI15" s="48">
        <f t="shared" si="4"/>
        <v>807835.99100372917</v>
      </c>
      <c r="AJ15" s="48">
        <f t="shared" si="4"/>
        <v>1000075.5685369899</v>
      </c>
      <c r="AK15" s="48">
        <f t="shared" si="4"/>
        <v>1188649.7594507593</v>
      </c>
      <c r="AL15" s="48">
        <f t="shared" si="4"/>
        <v>1373662.40438398</v>
      </c>
      <c r="AM15" s="48">
        <f t="shared" si="4"/>
        <v>1555213.4582538607</v>
      </c>
      <c r="AN15" s="48">
        <f t="shared" si="4"/>
        <v>1733399.1703261845</v>
      </c>
      <c r="AO15" s="48">
        <f t="shared" si="4"/>
        <v>1908312.254363897</v>
      </c>
      <c r="AP15" s="48">
        <f t="shared" si="4"/>
        <v>2018799.114348168</v>
      </c>
      <c r="AQ15" s="48">
        <f t="shared" si="4"/>
        <v>2243588.684305327</v>
      </c>
      <c r="AR15" s="48">
        <f t="shared" si="4"/>
        <v>2526632.3286091886</v>
      </c>
      <c r="AS15" s="48">
        <f t="shared" si="4"/>
        <v>2361041.2398640998</v>
      </c>
      <c r="AT15" s="48">
        <f t="shared" si="4"/>
        <v>2659008.1265411368</v>
      </c>
      <c r="AU15" s="48">
        <f t="shared" si="4"/>
        <v>3094647.5893906583</v>
      </c>
      <c r="AV15" s="48">
        <f t="shared" si="4"/>
        <v>3710425.8761225208</v>
      </c>
      <c r="AW15" s="48">
        <f t="shared" si="4"/>
        <v>4875043.4521638285</v>
      </c>
      <c r="AX15" s="48">
        <f t="shared" si="4"/>
        <v>5531997.0177750206</v>
      </c>
      <c r="AY15" s="48">
        <f t="shared" si="4"/>
        <v>6179548.2915726658</v>
      </c>
      <c r="AZ15" s="48">
        <f t="shared" si="4"/>
        <v>6817897.6872086357</v>
      </c>
      <c r="BA15" s="48">
        <f t="shared" si="4"/>
        <v>7447239.9626551578</v>
      </c>
      <c r="BB15" s="48">
        <f t="shared" si="4"/>
        <v>8067764.4183114441</v>
      </c>
      <c r="BC15" s="48">
        <f t="shared" si="4"/>
        <v>8679655.0868412256</v>
      </c>
      <c r="BD15" s="48">
        <f t="shared" si="4"/>
        <v>9283090.9151409566</v>
      </c>
      <c r="BE15" s="48">
        <f t="shared" si="4"/>
        <v>9878245.9388167206</v>
      </c>
      <c r="BF15" s="48">
        <f t="shared" si="4"/>
        <v>10465289.449527144</v>
      </c>
      <c r="BG15" s="48">
        <f t="shared" si="4"/>
        <v>11044386.155530415</v>
      </c>
      <c r="BH15" s="48">
        <f t="shared" si="4"/>
        <v>11615695.356558682</v>
      </c>
      <c r="BI15" s="48">
        <f t="shared" si="4"/>
        <v>11538124.629653987</v>
      </c>
      <c r="BJ15" s="48">
        <f t="shared" si="4"/>
        <v>11461583.079307759</v>
      </c>
      <c r="BK15" s="48">
        <f t="shared" si="4"/>
        <v>11386050.358460136</v>
      </c>
      <c r="BL15" s="48">
        <f t="shared" si="4"/>
        <v>11311506.652894575</v>
      </c>
      <c r="BM15" s="48">
        <f t="shared" si="4"/>
        <v>11237932.663908873</v>
      </c>
      <c r="BN15" s="48">
        <f t="shared" si="4"/>
        <v>11165309.591658067</v>
      </c>
      <c r="BO15" s="48">
        <f t="shared" ref="BO15:CM15" si="5">BO4*0.77</f>
        <v>11093619.119139085</v>
      </c>
      <c r="BP15" s="48">
        <f t="shared" si="5"/>
        <v>11022843.396788407</v>
      </c>
      <c r="BQ15" s="48">
        <f t="shared" si="5"/>
        <v>10952965.02766563</v>
      </c>
      <c r="BR15" s="48">
        <f t="shared" si="5"/>
        <v>10883967.053196987</v>
      </c>
      <c r="BS15" s="48">
        <f t="shared" si="5"/>
        <v>10815832.939454395</v>
      </c>
      <c r="BT15" s="48">
        <f t="shared" si="5"/>
        <v>10748546.563946638</v>
      </c>
      <c r="BU15" s="48">
        <f t="shared" si="5"/>
        <v>10682092.202900534</v>
      </c>
      <c r="BV15" s="48">
        <f t="shared" si="5"/>
        <v>10616454.519011034</v>
      </c>
      <c r="BW15" s="48">
        <f t="shared" si="5"/>
        <v>10551618.549640182</v>
      </c>
      <c r="BX15" s="48">
        <f t="shared" si="5"/>
        <v>10487569.695445878</v>
      </c>
      <c r="BY15" s="48">
        <f t="shared" si="5"/>
        <v>10424293.709422277</v>
      </c>
      <c r="BZ15" s="48">
        <f t="shared" si="5"/>
        <v>10361776.686334567</v>
      </c>
      <c r="CA15" s="48">
        <f t="shared" si="5"/>
        <v>10300005.052531632</v>
      </c>
      <c r="CB15" s="48">
        <f t="shared" si="5"/>
        <v>10238965.556120973</v>
      </c>
      <c r="CC15" s="48">
        <f t="shared" si="5"/>
        <v>10178645.257490899</v>
      </c>
      <c r="CD15" s="48">
        <f t="shared" si="5"/>
        <v>10119031.520165781</v>
      </c>
      <c r="CE15" s="48">
        <f t="shared" si="5"/>
        <v>10060112.001980785</v>
      </c>
      <c r="CF15" s="48">
        <f t="shared" si="5"/>
        <v>10001874.646563144</v>
      </c>
      <c r="CG15" s="48">
        <f t="shared" si="5"/>
        <v>9944307.6751075964</v>
      </c>
      <c r="CH15" s="48">
        <f t="shared" si="5"/>
        <v>9887399.5784342512</v>
      </c>
      <c r="CI15" s="48">
        <f t="shared" si="5"/>
        <v>9831139.1093175672</v>
      </c>
      <c r="CJ15" s="48">
        <f t="shared" si="5"/>
        <v>9775515.2750757895</v>
      </c>
      <c r="CK15" s="48">
        <f t="shared" si="5"/>
        <v>9720517.3304104954</v>
      </c>
      <c r="CL15" s="48">
        <f t="shared" si="5"/>
        <v>9666134.7704865225</v>
      </c>
      <c r="CM15" s="48">
        <f t="shared" si="5"/>
        <v>9612357.3242429085</v>
      </c>
    </row>
    <row r="16" spans="1:91" x14ac:dyDescent="0.25">
      <c r="A16" s="48" t="s">
        <v>75</v>
      </c>
      <c r="B16" s="48">
        <f>B5*0.73</f>
        <v>0</v>
      </c>
      <c r="C16" s="48">
        <f t="shared" ref="C16:BN16" si="6">C5*0.73</f>
        <v>0</v>
      </c>
      <c r="D16" s="48">
        <f t="shared" si="6"/>
        <v>0</v>
      </c>
      <c r="E16" s="48">
        <f t="shared" si="6"/>
        <v>0</v>
      </c>
      <c r="F16" s="48">
        <f t="shared" si="6"/>
        <v>0</v>
      </c>
      <c r="G16" s="48">
        <f t="shared" si="6"/>
        <v>0</v>
      </c>
      <c r="H16" s="48">
        <f t="shared" si="6"/>
        <v>0</v>
      </c>
      <c r="I16" s="48">
        <f t="shared" si="6"/>
        <v>0</v>
      </c>
      <c r="J16" s="48">
        <f t="shared" si="6"/>
        <v>0</v>
      </c>
      <c r="K16" s="48">
        <f t="shared" si="6"/>
        <v>0</v>
      </c>
      <c r="L16" s="48">
        <f t="shared" si="6"/>
        <v>0</v>
      </c>
      <c r="M16" s="48">
        <f t="shared" si="6"/>
        <v>0</v>
      </c>
      <c r="N16" s="48">
        <f t="shared" si="6"/>
        <v>0</v>
      </c>
      <c r="O16" s="48">
        <f t="shared" si="6"/>
        <v>0</v>
      </c>
      <c r="P16" s="48">
        <f t="shared" si="6"/>
        <v>0</v>
      </c>
      <c r="Q16" s="48">
        <f t="shared" si="6"/>
        <v>0</v>
      </c>
      <c r="R16" s="48">
        <f t="shared" si="6"/>
        <v>0</v>
      </c>
      <c r="S16" s="48">
        <f t="shared" si="6"/>
        <v>0</v>
      </c>
      <c r="T16" s="48">
        <f t="shared" si="6"/>
        <v>0</v>
      </c>
      <c r="U16" s="48">
        <f t="shared" si="6"/>
        <v>0</v>
      </c>
      <c r="V16" s="48">
        <f t="shared" si="6"/>
        <v>0</v>
      </c>
      <c r="W16" s="48">
        <f t="shared" si="6"/>
        <v>0</v>
      </c>
      <c r="X16" s="48">
        <f t="shared" si="6"/>
        <v>0</v>
      </c>
      <c r="Y16" s="48">
        <f t="shared" si="6"/>
        <v>0</v>
      </c>
      <c r="Z16" s="48">
        <f t="shared" si="6"/>
        <v>0</v>
      </c>
      <c r="AA16" s="48">
        <f t="shared" si="6"/>
        <v>0</v>
      </c>
      <c r="AB16" s="48">
        <f t="shared" si="6"/>
        <v>0</v>
      </c>
      <c r="AC16" s="48">
        <f t="shared" si="6"/>
        <v>0</v>
      </c>
      <c r="AD16" s="48">
        <f t="shared" si="6"/>
        <v>0</v>
      </c>
      <c r="AE16" s="48">
        <f t="shared" si="6"/>
        <v>0</v>
      </c>
      <c r="AF16" s="48">
        <f t="shared" si="6"/>
        <v>141655.8246940937</v>
      </c>
      <c r="AG16" s="48">
        <f t="shared" si="6"/>
        <v>278316.32883035287</v>
      </c>
      <c r="AH16" s="48">
        <f t="shared" si="6"/>
        <v>410241.16510618036</v>
      </c>
      <c r="AI16" s="48">
        <f t="shared" si="6"/>
        <v>537672.29732258513</v>
      </c>
      <c r="AJ16" s="48">
        <f t="shared" si="6"/>
        <v>660835.48148400441</v>
      </c>
      <c r="AK16" s="48">
        <f t="shared" si="6"/>
        <v>779941.60053332511</v>
      </c>
      <c r="AL16" s="48">
        <f t="shared" si="6"/>
        <v>895187.86932335875</v>
      </c>
      <c r="AM16" s="48">
        <f t="shared" si="6"/>
        <v>1006758.9243083757</v>
      </c>
      <c r="AN16" s="48">
        <f t="shared" si="6"/>
        <v>1114827.8106207573</v>
      </c>
      <c r="AO16" s="48">
        <f t="shared" si="6"/>
        <v>1219556.8776321944</v>
      </c>
      <c r="AP16" s="48">
        <f t="shared" si="6"/>
        <v>1282201.3236053002</v>
      </c>
      <c r="AQ16" s="48">
        <f t="shared" si="6"/>
        <v>1416385.4797691326</v>
      </c>
      <c r="AR16" s="48">
        <f t="shared" si="6"/>
        <v>1585687.6762858217</v>
      </c>
      <c r="AS16" s="48">
        <f t="shared" si="6"/>
        <v>1473250.4666776645</v>
      </c>
      <c r="AT16" s="48">
        <f t="shared" si="6"/>
        <v>1649863.4472535213</v>
      </c>
      <c r="AU16" s="48">
        <f t="shared" si="6"/>
        <v>1909636.6576791359</v>
      </c>
      <c r="AV16" s="48">
        <f t="shared" si="6"/>
        <v>2286406.3790532732</v>
      </c>
      <c r="AW16" s="48">
        <f t="shared" si="6"/>
        <v>2999908.2075047186</v>
      </c>
      <c r="AX16" s="48">
        <f t="shared" si="6"/>
        <v>3399544.1588187213</v>
      </c>
      <c r="AY16" s="48">
        <f t="shared" si="6"/>
        <v>3792398.74445805</v>
      </c>
      <c r="AZ16" s="48">
        <f t="shared" si="6"/>
        <v>4178643.1203086246</v>
      </c>
      <c r="BA16" s="48">
        <f t="shared" si="6"/>
        <v>4558442.7305379044</v>
      </c>
      <c r="BB16" s="48">
        <f t="shared" si="6"/>
        <v>4931957.5438838666</v>
      </c>
      <c r="BC16" s="48">
        <f t="shared" si="6"/>
        <v>5299342.2783102151</v>
      </c>
      <c r="BD16" s="48">
        <f t="shared" si="6"/>
        <v>5660746.6146905273</v>
      </c>
      <c r="BE16" s="48">
        <f t="shared" si="6"/>
        <v>6016315.4001414459</v>
      </c>
      <c r="BF16" s="48">
        <f t="shared" si="6"/>
        <v>6366188.8415851137</v>
      </c>
      <c r="BG16" s="48">
        <f t="shared" si="6"/>
        <v>6710502.690084382</v>
      </c>
      <c r="BH16" s="48">
        <f t="shared" si="6"/>
        <v>7049387.8222004967</v>
      </c>
      <c r="BI16" s="48">
        <f t="shared" si="6"/>
        <v>6994255.4582854304</v>
      </c>
      <c r="BJ16" s="48">
        <f t="shared" si="6"/>
        <v>6939978.7686372381</v>
      </c>
      <c r="BK16" s="48">
        <f t="shared" si="6"/>
        <v>6886537.9860906443</v>
      </c>
      <c r="BL16" s="48">
        <f t="shared" si="6"/>
        <v>6833913.947689971</v>
      </c>
      <c r="BM16" s="48">
        <f t="shared" si="6"/>
        <v>6782088.0717786076</v>
      </c>
      <c r="BN16" s="48">
        <f t="shared" si="6"/>
        <v>6731042.3361231312</v>
      </c>
      <c r="BO16" s="48">
        <f t="shared" ref="BO16:CM16" si="7">BO5*0.73</f>
        <v>6680759.2570179412</v>
      </c>
      <c r="BP16" s="48">
        <f t="shared" si="7"/>
        <v>6631221.8693195153</v>
      </c>
      <c r="BQ16" s="48">
        <f t="shared" si="7"/>
        <v>6582413.7073623948</v>
      </c>
      <c r="BR16" s="48">
        <f t="shared" si="7"/>
        <v>6534318.7867118185</v>
      </c>
      <c r="BS16" s="48">
        <f t="shared" si="7"/>
        <v>6486921.5867104884</v>
      </c>
      <c r="BT16" s="48">
        <f t="shared" si="7"/>
        <v>6440207.0337794721</v>
      </c>
      <c r="BU16" s="48">
        <f t="shared" si="7"/>
        <v>6394160.4854354542</v>
      </c>
      <c r="BV16" s="48">
        <f t="shared" si="7"/>
        <v>6348767.7149888184</v>
      </c>
      <c r="BW16" s="48">
        <f t="shared" si="7"/>
        <v>6304014.8968888577</v>
      </c>
      <c r="BX16" s="48">
        <f t="shared" si="7"/>
        <v>6259888.5926844943</v>
      </c>
      <c r="BY16" s="48">
        <f t="shared" si="7"/>
        <v>6216375.7375705196</v>
      </c>
      <c r="BZ16" s="48">
        <f t="shared" si="7"/>
        <v>6173463.6274910662</v>
      </c>
      <c r="CA16" s="48">
        <f t="shared" si="7"/>
        <v>6131139.9067735597</v>
      </c>
      <c r="CB16" s="48">
        <f t="shared" si="7"/>
        <v>6089392.5562679134</v>
      </c>
      <c r="CC16" s="48">
        <f t="shared" si="7"/>
        <v>6048209.8819669653</v>
      </c>
      <c r="CD16" s="48">
        <f t="shared" si="7"/>
        <v>6007580.5040856171</v>
      </c>
      <c r="CE16" s="48">
        <f t="shared" si="7"/>
        <v>5967493.346577175</v>
      </c>
      <c r="CF16" s="48">
        <f t="shared" si="7"/>
        <v>5927937.6270666644</v>
      </c>
      <c r="CG16" s="48">
        <f t="shared" si="7"/>
        <v>5888902.8471818399</v>
      </c>
      <c r="CH16" s="48">
        <f t="shared" si="7"/>
        <v>5850378.7832637578</v>
      </c>
      <c r="CI16" s="48">
        <f t="shared" si="7"/>
        <v>5812355.4774395367</v>
      </c>
      <c r="CJ16" s="48">
        <f t="shared" si="7"/>
        <v>5774823.2290410623</v>
      </c>
      <c r="CK16" s="48">
        <f t="shared" si="7"/>
        <v>5737772.5863539623</v>
      </c>
      <c r="CL16" s="48">
        <f t="shared" si="7"/>
        <v>5701194.3386822501</v>
      </c>
      <c r="CM16" s="48">
        <f t="shared" si="7"/>
        <v>5665079.5087145166</v>
      </c>
    </row>
    <row r="17" spans="1:91" x14ac:dyDescent="0.25">
      <c r="A17" s="48" t="s">
        <v>76</v>
      </c>
      <c r="B17" s="48">
        <f>B6*0.77</f>
        <v>0</v>
      </c>
      <c r="C17" s="48">
        <f t="shared" ref="C17:BN17" si="8">C6*0.77</f>
        <v>0</v>
      </c>
      <c r="D17" s="48">
        <f t="shared" si="8"/>
        <v>0</v>
      </c>
      <c r="E17" s="48">
        <f t="shared" si="8"/>
        <v>0</v>
      </c>
      <c r="F17" s="48">
        <f t="shared" si="8"/>
        <v>0</v>
      </c>
      <c r="G17" s="48">
        <f t="shared" si="8"/>
        <v>0</v>
      </c>
      <c r="H17" s="48">
        <f t="shared" si="8"/>
        <v>0</v>
      </c>
      <c r="I17" s="48">
        <f t="shared" si="8"/>
        <v>0</v>
      </c>
      <c r="J17" s="48">
        <f t="shared" si="8"/>
        <v>0</v>
      </c>
      <c r="K17" s="48">
        <f t="shared" si="8"/>
        <v>0</v>
      </c>
      <c r="L17" s="48">
        <f t="shared" si="8"/>
        <v>0</v>
      </c>
      <c r="M17" s="48">
        <f t="shared" si="8"/>
        <v>0</v>
      </c>
      <c r="N17" s="48">
        <f t="shared" si="8"/>
        <v>0</v>
      </c>
      <c r="O17" s="48">
        <f t="shared" si="8"/>
        <v>0</v>
      </c>
      <c r="P17" s="48">
        <f t="shared" si="8"/>
        <v>0</v>
      </c>
      <c r="Q17" s="48">
        <f t="shared" si="8"/>
        <v>0</v>
      </c>
      <c r="R17" s="48">
        <f t="shared" si="8"/>
        <v>0</v>
      </c>
      <c r="S17" s="48">
        <f t="shared" si="8"/>
        <v>0</v>
      </c>
      <c r="T17" s="48">
        <f t="shared" si="8"/>
        <v>0</v>
      </c>
      <c r="U17" s="48">
        <f t="shared" si="8"/>
        <v>0</v>
      </c>
      <c r="V17" s="48">
        <f t="shared" si="8"/>
        <v>0</v>
      </c>
      <c r="W17" s="48">
        <f t="shared" si="8"/>
        <v>0</v>
      </c>
      <c r="X17" s="48">
        <f t="shared" si="8"/>
        <v>0</v>
      </c>
      <c r="Y17" s="48">
        <f t="shared" si="8"/>
        <v>0</v>
      </c>
      <c r="Z17" s="48">
        <f t="shared" si="8"/>
        <v>0</v>
      </c>
      <c r="AA17" s="48">
        <f t="shared" si="8"/>
        <v>0</v>
      </c>
      <c r="AB17" s="48">
        <f t="shared" si="8"/>
        <v>0</v>
      </c>
      <c r="AC17" s="48">
        <f t="shared" si="8"/>
        <v>0</v>
      </c>
      <c r="AD17" s="48">
        <f t="shared" si="8"/>
        <v>0</v>
      </c>
      <c r="AE17" s="48">
        <f t="shared" si="8"/>
        <v>0</v>
      </c>
      <c r="AF17" s="48">
        <f t="shared" si="8"/>
        <v>261929.38350169841</v>
      </c>
      <c r="AG17" s="48">
        <f t="shared" si="8"/>
        <v>515336.79760983231</v>
      </c>
      <c r="AH17" s="48">
        <f t="shared" si="8"/>
        <v>760631.4830653586</v>
      </c>
      <c r="AI17" s="48">
        <f t="shared" si="8"/>
        <v>998196.89011470391</v>
      </c>
      <c r="AJ17" s="48">
        <f t="shared" si="8"/>
        <v>1228392.6786547741</v>
      </c>
      <c r="AK17" s="48">
        <f t="shared" si="8"/>
        <v>1451556.5350790028</v>
      </c>
      <c r="AL17" s="48">
        <f t="shared" si="8"/>
        <v>1668005.8251272966</v>
      </c>
      <c r="AM17" s="48">
        <f t="shared" si="8"/>
        <v>1878039.0997540629</v>
      </c>
      <c r="AN17" s="48">
        <f t="shared" si="8"/>
        <v>2081937.4690406143</v>
      </c>
      <c r="AO17" s="48">
        <f t="shared" si="8"/>
        <v>2279965.8574478719</v>
      </c>
      <c r="AP17" s="48">
        <f t="shared" si="8"/>
        <v>2399579.7344692796</v>
      </c>
      <c r="AQ17" s="48">
        <f t="shared" si="8"/>
        <v>2653383.3043752126</v>
      </c>
      <c r="AR17" s="48">
        <f t="shared" si="8"/>
        <v>2973467.4041131283</v>
      </c>
      <c r="AS17" s="48">
        <f t="shared" si="8"/>
        <v>2765267.1668012501</v>
      </c>
      <c r="AT17" s="48">
        <f t="shared" si="8"/>
        <v>3099645.0505977618</v>
      </c>
      <c r="AU17" s="48">
        <f t="shared" si="8"/>
        <v>3590931.4022397664</v>
      </c>
      <c r="AV17" s="48">
        <f t="shared" si="8"/>
        <v>4300537.5266516767</v>
      </c>
      <c r="AW17" s="48">
        <f t="shared" si="8"/>
        <v>5644017.0389268585</v>
      </c>
      <c r="AX17" s="48">
        <f t="shared" si="8"/>
        <v>6397498.5448832959</v>
      </c>
      <c r="AY17" s="48">
        <f t="shared" si="8"/>
        <v>7138563.6530861398</v>
      </c>
      <c r="AZ17" s="48">
        <f t="shared" si="8"/>
        <v>7867516.7646590108</v>
      </c>
      <c r="BA17" s="48">
        <f t="shared" si="8"/>
        <v>8584652.411093045</v>
      </c>
      <c r="BB17" s="48">
        <f t="shared" si="8"/>
        <v>9290255.6510358267</v>
      </c>
      <c r="BC17" s="48">
        <f t="shared" si="8"/>
        <v>9984602.4480905831</v>
      </c>
      <c r="BD17" s="48">
        <f t="shared" si="8"/>
        <v>10667960.030677401</v>
      </c>
      <c r="BE17" s="48">
        <f t="shared" si="8"/>
        <v>11340587.234942337</v>
      </c>
      <c r="BF17" s="48">
        <f t="shared" si="8"/>
        <v>12002734.831638837</v>
      </c>
      <c r="BG17" s="48">
        <f t="shared" si="8"/>
        <v>12654645.83784876</v>
      </c>
      <c r="BH17" s="48">
        <f t="shared" si="8"/>
        <v>13296554.693465065</v>
      </c>
      <c r="BI17" s="48">
        <f t="shared" si="8"/>
        <v>13195339.206936769</v>
      </c>
      <c r="BJ17" s="48">
        <f t="shared" si="8"/>
        <v>13095653.01589206</v>
      </c>
      <c r="BK17" s="48">
        <f t="shared" si="8"/>
        <v>12997461.720327055</v>
      </c>
      <c r="BL17" s="48">
        <f t="shared" si="8"/>
        <v>12900731.944285413</v>
      </c>
      <c r="BM17" s="48">
        <f t="shared" si="8"/>
        <v>12805431.298033981</v>
      </c>
      <c r="BN17" s="48">
        <f t="shared" si="8"/>
        <v>12711528.341902614</v>
      </c>
      <c r="BO17" s="48">
        <f t="shared" ref="BO17:CM17" si="9">BO6*0.77</f>
        <v>12618992.551703459</v>
      </c>
      <c r="BP17" s="48">
        <f t="shared" si="9"/>
        <v>12527794.285649668</v>
      </c>
      <c r="BQ17" s="48">
        <f t="shared" si="9"/>
        <v>12437904.752698395</v>
      </c>
      <c r="BR17" s="48">
        <f t="shared" si="9"/>
        <v>12349295.982246855</v>
      </c>
      <c r="BS17" s="48">
        <f t="shared" si="9"/>
        <v>12261940.795114635</v>
      </c>
      <c r="BT17" s="48">
        <f t="shared" si="9"/>
        <v>12175812.775748879</v>
      </c>
      <c r="BU17" s="48">
        <f t="shared" si="9"/>
        <v>12090886.245592704</v>
      </c>
      <c r="BV17" s="48">
        <f t="shared" si="9"/>
        <v>12007136.237560421</v>
      </c>
      <c r="BW17" s="48">
        <f t="shared" si="9"/>
        <v>11924538.471566312</v>
      </c>
      <c r="BX17" s="48">
        <f t="shared" si="9"/>
        <v>11843069.331056466</v>
      </c>
      <c r="BY17" s="48">
        <f t="shared" si="9"/>
        <v>11762705.84049619</v>
      </c>
      <c r="BZ17" s="48">
        <f t="shared" si="9"/>
        <v>11683425.643767761</v>
      </c>
      <c r="CA17" s="48">
        <f t="shared" si="9"/>
        <v>11605206.983435934</v>
      </c>
      <c r="CB17" s="48">
        <f t="shared" si="9"/>
        <v>11528028.680840818</v>
      </c>
      <c r="CC17" s="48">
        <f t="shared" si="9"/>
        <v>11451870.116979811</v>
      </c>
      <c r="CD17" s="48">
        <f t="shared" si="9"/>
        <v>11376711.214142373</v>
      </c>
      <c r="CE17" s="48">
        <f t="shared" si="9"/>
        <v>11302532.418263288</v>
      </c>
      <c r="CF17" s="48">
        <f t="shared" si="9"/>
        <v>11229314.681961799</v>
      </c>
      <c r="CG17" s="48">
        <f t="shared" si="9"/>
        <v>11157039.448235748</v>
      </c>
      <c r="CH17" s="48">
        <f t="shared" si="9"/>
        <v>11085688.634781379</v>
      </c>
      <c r="CI17" s="48">
        <f t="shared" si="9"/>
        <v>11015244.618910989</v>
      </c>
      <c r="CJ17" s="48">
        <f t="shared" si="9"/>
        <v>10945690.223041959</v>
      </c>
      <c r="CK17" s="48">
        <f t="shared" si="9"/>
        <v>10877008.700732164</v>
      </c>
      <c r="CL17" s="48">
        <f t="shared" si="9"/>
        <v>10809183.723237786</v>
      </c>
      <c r="CM17" s="48">
        <f t="shared" si="9"/>
        <v>10742199.366570979</v>
      </c>
    </row>
    <row r="18" spans="1:91" x14ac:dyDescent="0.25">
      <c r="A18" s="48" t="s">
        <v>77</v>
      </c>
      <c r="B18" s="48">
        <f>B7*0.98</f>
        <v>0</v>
      </c>
      <c r="C18" s="48">
        <f t="shared" ref="C18:BN18" si="10">C7*0.98</f>
        <v>0</v>
      </c>
      <c r="D18" s="48">
        <f t="shared" si="10"/>
        <v>0</v>
      </c>
      <c r="E18" s="48">
        <f t="shared" si="10"/>
        <v>0</v>
      </c>
      <c r="F18" s="48">
        <f t="shared" si="10"/>
        <v>0</v>
      </c>
      <c r="G18" s="48">
        <f t="shared" si="10"/>
        <v>0</v>
      </c>
      <c r="H18" s="48">
        <f t="shared" si="10"/>
        <v>0</v>
      </c>
      <c r="I18" s="48">
        <f t="shared" si="10"/>
        <v>0</v>
      </c>
      <c r="J18" s="48">
        <f t="shared" si="10"/>
        <v>0</v>
      </c>
      <c r="K18" s="48">
        <f t="shared" si="10"/>
        <v>0</v>
      </c>
      <c r="L18" s="48">
        <f t="shared" si="10"/>
        <v>0</v>
      </c>
      <c r="M18" s="48">
        <f t="shared" si="10"/>
        <v>0</v>
      </c>
      <c r="N18" s="48">
        <f t="shared" si="10"/>
        <v>0</v>
      </c>
      <c r="O18" s="48">
        <f t="shared" si="10"/>
        <v>0</v>
      </c>
      <c r="P18" s="48">
        <f t="shared" si="10"/>
        <v>0</v>
      </c>
      <c r="Q18" s="48">
        <f t="shared" si="10"/>
        <v>0</v>
      </c>
      <c r="R18" s="48">
        <f t="shared" si="10"/>
        <v>0</v>
      </c>
      <c r="S18" s="48">
        <f t="shared" si="10"/>
        <v>0</v>
      </c>
      <c r="T18" s="48">
        <f t="shared" si="10"/>
        <v>0</v>
      </c>
      <c r="U18" s="48">
        <f t="shared" si="10"/>
        <v>0</v>
      </c>
      <c r="V18" s="48">
        <f t="shared" si="10"/>
        <v>0</v>
      </c>
      <c r="W18" s="48">
        <f t="shared" si="10"/>
        <v>0</v>
      </c>
      <c r="X18" s="48">
        <f t="shared" si="10"/>
        <v>0</v>
      </c>
      <c r="Y18" s="48">
        <f t="shared" si="10"/>
        <v>0</v>
      </c>
      <c r="Z18" s="48">
        <f t="shared" si="10"/>
        <v>0</v>
      </c>
      <c r="AA18" s="48">
        <f t="shared" si="10"/>
        <v>0</v>
      </c>
      <c r="AB18" s="48">
        <f t="shared" si="10"/>
        <v>0</v>
      </c>
      <c r="AC18" s="48">
        <f t="shared" si="10"/>
        <v>0</v>
      </c>
      <c r="AD18" s="48">
        <f t="shared" si="10"/>
        <v>0</v>
      </c>
      <c r="AE18" s="48">
        <f t="shared" si="10"/>
        <v>0</v>
      </c>
      <c r="AF18" s="48">
        <f t="shared" si="10"/>
        <v>24749.329331063225</v>
      </c>
      <c r="AG18" s="48">
        <f t="shared" si="10"/>
        <v>49153.657006007452</v>
      </c>
      <c r="AH18" s="48">
        <f t="shared" si="10"/>
        <v>73220.146993648232</v>
      </c>
      <c r="AI18" s="48">
        <f t="shared" si="10"/>
        <v>96955.766279577641</v>
      </c>
      <c r="AJ18" s="48">
        <f t="shared" si="10"/>
        <v>120367.2915903488</v>
      </c>
      <c r="AK18" s="48">
        <f t="shared" si="10"/>
        <v>143461.31584408594</v>
      </c>
      <c r="AL18" s="48">
        <f t="shared" si="10"/>
        <v>166244.25434041719</v>
      </c>
      <c r="AM18" s="48">
        <f t="shared" si="10"/>
        <v>188722.35070193847</v>
      </c>
      <c r="AN18" s="48">
        <f t="shared" si="10"/>
        <v>210901.68257876643</v>
      </c>
      <c r="AO18" s="48">
        <f t="shared" si="10"/>
        <v>232788.16712713041</v>
      </c>
      <c r="AP18" s="48">
        <f t="shared" si="10"/>
        <v>249715.70961074159</v>
      </c>
      <c r="AQ18" s="48">
        <f t="shared" si="10"/>
        <v>290073.71965663909</v>
      </c>
      <c r="AR18" s="48">
        <f t="shared" si="10"/>
        <v>354799.48361971334</v>
      </c>
      <c r="AS18" s="48">
        <f t="shared" si="10"/>
        <v>387083.47207633714</v>
      </c>
      <c r="AT18" s="48">
        <f t="shared" si="10"/>
        <v>440381.94817088323</v>
      </c>
      <c r="AU18" s="48">
        <f t="shared" si="10"/>
        <v>535358.24907200143</v>
      </c>
      <c r="AV18" s="48">
        <f t="shared" si="10"/>
        <v>683116.08305987786</v>
      </c>
      <c r="AW18" s="48">
        <f t="shared" si="10"/>
        <v>934632.83263353084</v>
      </c>
      <c r="AX18" s="48">
        <f t="shared" si="10"/>
        <v>1019447.1694628213</v>
      </c>
      <c r="AY18" s="48">
        <f t="shared" si="10"/>
        <v>1102314.2383547043</v>
      </c>
      <c r="AZ18" s="48">
        <f t="shared" si="10"/>
        <v>1183300.3397307564</v>
      </c>
      <c r="BA18" s="48">
        <f t="shared" si="10"/>
        <v>1262468.7979337799</v>
      </c>
      <c r="BB18" s="48">
        <f t="shared" si="10"/>
        <v>1339880.1263616441</v>
      </c>
      <c r="BC18" s="48">
        <f t="shared" si="10"/>
        <v>1415592.1817264571</v>
      </c>
      <c r="BD18" s="48">
        <f t="shared" si="10"/>
        <v>1489660.3082654965</v>
      </c>
      <c r="BE18" s="48">
        <f t="shared" si="10"/>
        <v>1562137.4726593064</v>
      </c>
      <c r="BF18" s="48">
        <f t="shared" si="10"/>
        <v>1633074.3903481704</v>
      </c>
      <c r="BG18" s="48">
        <f t="shared" si="10"/>
        <v>1702519.6438800257</v>
      </c>
      <c r="BH18" s="48">
        <f t="shared" si="10"/>
        <v>1770519.7715783182</v>
      </c>
      <c r="BI18" s="48">
        <f t="shared" si="10"/>
        <v>1752287.8746169854</v>
      </c>
      <c r="BJ18" s="48">
        <f t="shared" si="10"/>
        <v>1734427.6358043549</v>
      </c>
      <c r="BK18" s="48">
        <f t="shared" si="10"/>
        <v>1716927.8053982572</v>
      </c>
      <c r="BL18" s="48">
        <f t="shared" si="10"/>
        <v>1699777.5831467763</v>
      </c>
      <c r="BM18" s="48">
        <f t="shared" si="10"/>
        <v>1682966.5960607091</v>
      </c>
      <c r="BN18" s="48">
        <f t="shared" si="10"/>
        <v>1666484.8774921058</v>
      </c>
      <c r="BO18" s="48">
        <f t="shared" ref="BO18:CM18" si="11">BO7*0.98</f>
        <v>1650322.8474302213</v>
      </c>
      <c r="BP18" s="48">
        <f t="shared" si="11"/>
        <v>1634471.293933026</v>
      </c>
      <c r="BQ18" s="48">
        <f t="shared" si="11"/>
        <v>1618921.3556186529</v>
      </c>
      <c r="BR18" s="48">
        <f t="shared" si="11"/>
        <v>1603664.5051468536</v>
      </c>
      <c r="BS18" s="48">
        <f t="shared" si="11"/>
        <v>1588692.5336257732</v>
      </c>
      <c r="BT18" s="48">
        <f t="shared" si="11"/>
        <v>1573997.5358841165</v>
      </c>
      <c r="BU18" s="48">
        <f t="shared" si="11"/>
        <v>1559571.896553203</v>
      </c>
      <c r="BV18" s="48">
        <f t="shared" si="11"/>
        <v>1545408.2769074123</v>
      </c>
      <c r="BW18" s="48">
        <f t="shared" si="11"/>
        <v>1531499.6024152453</v>
      </c>
      <c r="BX18" s="48">
        <f t="shared" si="11"/>
        <v>1517839.0509566357</v>
      </c>
      <c r="BY18" s="48">
        <f t="shared" si="11"/>
        <v>1504420.0416652707</v>
      </c>
      <c r="BZ18" s="48">
        <f t="shared" si="11"/>
        <v>1491236.2243575905</v>
      </c>
      <c r="CA18" s="48">
        <f t="shared" si="11"/>
        <v>1478281.4695127851</v>
      </c>
      <c r="CB18" s="48">
        <f t="shared" si="11"/>
        <v>1465549.8587705696</v>
      </c>
      <c r="CC18" s="48">
        <f t="shared" si="11"/>
        <v>1453035.6759157926</v>
      </c>
      <c r="CD18" s="48">
        <f t="shared" si="11"/>
        <v>1440733.3983210211</v>
      </c>
      <c r="CE18" s="48">
        <f t="shared" si="11"/>
        <v>1428637.6888201917</v>
      </c>
      <c r="CF18" s="48">
        <f t="shared" si="11"/>
        <v>1416743.3879882013</v>
      </c>
      <c r="CG18" s="48">
        <f t="shared" si="11"/>
        <v>1405045.5068029775</v>
      </c>
      <c r="CH18" s="48">
        <f t="shared" si="11"/>
        <v>1393539.2196681034</v>
      </c>
      <c r="CI18" s="48">
        <f t="shared" si="11"/>
        <v>1382219.8577754921</v>
      </c>
      <c r="CJ18" s="48">
        <f t="shared" si="11"/>
        <v>1371082.9027889394</v>
      </c>
      <c r="CK18" s="48">
        <f t="shared" si="11"/>
        <v>1360123.9808305912</v>
      </c>
      <c r="CL18" s="48">
        <f t="shared" si="11"/>
        <v>1349338.8567535202</v>
      </c>
      <c r="CM18" s="48">
        <f t="shared" si="11"/>
        <v>1338723.4286846549</v>
      </c>
    </row>
    <row r="19" spans="1:91" x14ac:dyDescent="0.25">
      <c r="A19" s="48" t="s">
        <v>78</v>
      </c>
      <c r="B19" s="48">
        <f>B8*0.82</f>
        <v>0</v>
      </c>
      <c r="C19" s="48">
        <f t="shared" ref="C19:BN19" si="12">C8*0.82</f>
        <v>0</v>
      </c>
      <c r="D19" s="48">
        <f t="shared" si="12"/>
        <v>0</v>
      </c>
      <c r="E19" s="48">
        <f t="shared" si="12"/>
        <v>0</v>
      </c>
      <c r="F19" s="48">
        <f t="shared" si="12"/>
        <v>0</v>
      </c>
      <c r="G19" s="48">
        <f t="shared" si="12"/>
        <v>0</v>
      </c>
      <c r="H19" s="48">
        <f t="shared" si="12"/>
        <v>0</v>
      </c>
      <c r="I19" s="48">
        <f t="shared" si="12"/>
        <v>0</v>
      </c>
      <c r="J19" s="48">
        <f t="shared" si="12"/>
        <v>0</v>
      </c>
      <c r="K19" s="48">
        <f t="shared" si="12"/>
        <v>0</v>
      </c>
      <c r="L19" s="48">
        <f t="shared" si="12"/>
        <v>0</v>
      </c>
      <c r="M19" s="48">
        <f t="shared" si="12"/>
        <v>0</v>
      </c>
      <c r="N19" s="48">
        <f t="shared" si="12"/>
        <v>0</v>
      </c>
      <c r="O19" s="48">
        <f t="shared" si="12"/>
        <v>0</v>
      </c>
      <c r="P19" s="48">
        <f t="shared" si="12"/>
        <v>0</v>
      </c>
      <c r="Q19" s="48">
        <f t="shared" si="12"/>
        <v>0</v>
      </c>
      <c r="R19" s="48">
        <f t="shared" si="12"/>
        <v>0</v>
      </c>
      <c r="S19" s="48">
        <f t="shared" si="12"/>
        <v>0</v>
      </c>
      <c r="T19" s="48">
        <f t="shared" si="12"/>
        <v>0</v>
      </c>
      <c r="U19" s="48">
        <f t="shared" si="12"/>
        <v>0</v>
      </c>
      <c r="V19" s="48">
        <f t="shared" si="12"/>
        <v>0</v>
      </c>
      <c r="W19" s="48">
        <f t="shared" si="12"/>
        <v>0</v>
      </c>
      <c r="X19" s="48">
        <f t="shared" si="12"/>
        <v>0</v>
      </c>
      <c r="Y19" s="48">
        <f t="shared" si="12"/>
        <v>0</v>
      </c>
      <c r="Z19" s="48">
        <f t="shared" si="12"/>
        <v>0</v>
      </c>
      <c r="AA19" s="48">
        <f t="shared" si="12"/>
        <v>0</v>
      </c>
      <c r="AB19" s="48">
        <f t="shared" si="12"/>
        <v>0</v>
      </c>
      <c r="AC19" s="48">
        <f t="shared" si="12"/>
        <v>0</v>
      </c>
      <c r="AD19" s="48">
        <f t="shared" si="12"/>
        <v>0</v>
      </c>
      <c r="AE19" s="48">
        <f t="shared" si="12"/>
        <v>0</v>
      </c>
      <c r="AF19" s="48">
        <f t="shared" si="12"/>
        <v>2801.481838335274</v>
      </c>
      <c r="AG19" s="48">
        <f t="shared" si="12"/>
        <v>5602.963676670548</v>
      </c>
      <c r="AH19" s="48">
        <f t="shared" si="12"/>
        <v>8404.4455150058202</v>
      </c>
      <c r="AI19" s="48">
        <f t="shared" si="12"/>
        <v>11205.927353341096</v>
      </c>
      <c r="AJ19" s="48">
        <f t="shared" si="12"/>
        <v>14007.409191676368</v>
      </c>
      <c r="AK19" s="48">
        <f t="shared" si="12"/>
        <v>16808.89103001164</v>
      </c>
      <c r="AL19" s="48">
        <f t="shared" si="12"/>
        <v>19610.37286834692</v>
      </c>
      <c r="AM19" s="48">
        <f t="shared" si="12"/>
        <v>22411.854706682192</v>
      </c>
      <c r="AN19" s="48">
        <f t="shared" si="12"/>
        <v>25213.336545017457</v>
      </c>
      <c r="AO19" s="48">
        <f t="shared" si="12"/>
        <v>28014.818383352736</v>
      </c>
      <c r="AP19" s="48">
        <f t="shared" si="12"/>
        <v>30250.355354227657</v>
      </c>
      <c r="AQ19" s="48">
        <f t="shared" si="12"/>
        <v>35369.752797765839</v>
      </c>
      <c r="AR19" s="48">
        <f t="shared" si="12"/>
        <v>43543.888126534468</v>
      </c>
      <c r="AS19" s="48">
        <f t="shared" si="12"/>
        <v>47813.577516343132</v>
      </c>
      <c r="AT19" s="48">
        <f t="shared" si="12"/>
        <v>54747.026790448137</v>
      </c>
      <c r="AU19" s="48">
        <f t="shared" si="12"/>
        <v>66979.547457778594</v>
      </c>
      <c r="AV19" s="48">
        <f t="shared" si="12"/>
        <v>86494.103577643837</v>
      </c>
      <c r="AW19" s="48">
        <f t="shared" si="12"/>
        <v>119747.35103991099</v>
      </c>
      <c r="AX19" s="48">
        <f t="shared" si="12"/>
        <v>132148.59164368984</v>
      </c>
      <c r="AY19" s="48">
        <f t="shared" si="12"/>
        <v>144549.83224746867</v>
      </c>
      <c r="AZ19" s="48">
        <f t="shared" si="12"/>
        <v>156951.0728512475</v>
      </c>
      <c r="BA19" s="48">
        <f t="shared" si="12"/>
        <v>169352.31345502631</v>
      </c>
      <c r="BB19" s="48">
        <f t="shared" si="12"/>
        <v>181753.55405880517</v>
      </c>
      <c r="BC19" s="48">
        <f t="shared" si="12"/>
        <v>194154.794662584</v>
      </c>
      <c r="BD19" s="48">
        <f t="shared" si="12"/>
        <v>206556.0352663628</v>
      </c>
      <c r="BE19" s="48">
        <f t="shared" si="12"/>
        <v>218957.27587014169</v>
      </c>
      <c r="BF19" s="48">
        <f t="shared" si="12"/>
        <v>231358.51647392046</v>
      </c>
      <c r="BG19" s="48">
        <f t="shared" si="12"/>
        <v>243759.75707769929</v>
      </c>
      <c r="BH19" s="48">
        <f t="shared" si="12"/>
        <v>256160.99445626431</v>
      </c>
      <c r="BI19" s="48">
        <f t="shared" si="12"/>
        <v>256160.99445626431</v>
      </c>
      <c r="BJ19" s="48">
        <f t="shared" si="12"/>
        <v>256160.99445626431</v>
      </c>
      <c r="BK19" s="48">
        <f t="shared" si="12"/>
        <v>256160.99445626431</v>
      </c>
      <c r="BL19" s="48">
        <f t="shared" si="12"/>
        <v>256160.99445626431</v>
      </c>
      <c r="BM19" s="48">
        <f t="shared" si="12"/>
        <v>256160.99445626431</v>
      </c>
      <c r="BN19" s="48">
        <f t="shared" si="12"/>
        <v>256160.99445626431</v>
      </c>
      <c r="BO19" s="48">
        <f t="shared" ref="BO19:CM19" si="13">BO8*0.82</f>
        <v>256160.99445626431</v>
      </c>
      <c r="BP19" s="48">
        <f t="shared" si="13"/>
        <v>256160.99445626431</v>
      </c>
      <c r="BQ19" s="48">
        <f t="shared" si="13"/>
        <v>256160.99445626431</v>
      </c>
      <c r="BR19" s="48">
        <f t="shared" si="13"/>
        <v>256160.99445626431</v>
      </c>
      <c r="BS19" s="48">
        <f t="shared" si="13"/>
        <v>256160.99445626431</v>
      </c>
      <c r="BT19" s="48">
        <f t="shared" si="13"/>
        <v>256160.99445626431</v>
      </c>
      <c r="BU19" s="48">
        <f t="shared" si="13"/>
        <v>256160.99445626431</v>
      </c>
      <c r="BV19" s="48">
        <f t="shared" si="13"/>
        <v>256160.99445626431</v>
      </c>
      <c r="BW19" s="48">
        <f t="shared" si="13"/>
        <v>256160.99445626431</v>
      </c>
      <c r="BX19" s="48">
        <f t="shared" si="13"/>
        <v>256160.99445626431</v>
      </c>
      <c r="BY19" s="48">
        <f t="shared" si="13"/>
        <v>256160.99445626431</v>
      </c>
      <c r="BZ19" s="48">
        <f t="shared" si="13"/>
        <v>256160.99445626431</v>
      </c>
      <c r="CA19" s="48">
        <f t="shared" si="13"/>
        <v>256160.99445626431</v>
      </c>
      <c r="CB19" s="48">
        <f t="shared" si="13"/>
        <v>256160.99445626431</v>
      </c>
      <c r="CC19" s="48">
        <f t="shared" si="13"/>
        <v>256160.99445626431</v>
      </c>
      <c r="CD19" s="48">
        <f t="shared" si="13"/>
        <v>256160.99445626431</v>
      </c>
      <c r="CE19" s="48">
        <f t="shared" si="13"/>
        <v>256160.99445626431</v>
      </c>
      <c r="CF19" s="48">
        <f t="shared" si="13"/>
        <v>256160.99445626431</v>
      </c>
      <c r="CG19" s="48">
        <f t="shared" si="13"/>
        <v>256160.99445626431</v>
      </c>
      <c r="CH19" s="48">
        <f t="shared" si="13"/>
        <v>256160.99445626431</v>
      </c>
      <c r="CI19" s="48">
        <f t="shared" si="13"/>
        <v>256160.99445626431</v>
      </c>
      <c r="CJ19" s="48">
        <f t="shared" si="13"/>
        <v>256160.99445626431</v>
      </c>
      <c r="CK19" s="48">
        <f t="shared" si="13"/>
        <v>256160.99445626431</v>
      </c>
      <c r="CL19" s="48">
        <f t="shared" si="13"/>
        <v>256160.99445626431</v>
      </c>
      <c r="CM19" s="48">
        <f t="shared" si="13"/>
        <v>256160.99445626431</v>
      </c>
    </row>
    <row r="20" spans="1:91" x14ac:dyDescent="0.25">
      <c r="A20" s="48" t="s">
        <v>90</v>
      </c>
      <c r="B20" s="48">
        <f>B9*0.65</f>
        <v>0</v>
      </c>
      <c r="C20" s="48">
        <f t="shared" ref="C20:BN20" si="14">C9*0.65</f>
        <v>0</v>
      </c>
      <c r="D20" s="48">
        <f t="shared" si="14"/>
        <v>0</v>
      </c>
      <c r="E20" s="48">
        <f t="shared" si="14"/>
        <v>0</v>
      </c>
      <c r="F20" s="48">
        <f t="shared" si="14"/>
        <v>0</v>
      </c>
      <c r="G20" s="48">
        <f t="shared" si="14"/>
        <v>0</v>
      </c>
      <c r="H20" s="48">
        <f t="shared" si="14"/>
        <v>0</v>
      </c>
      <c r="I20" s="48">
        <f t="shared" si="14"/>
        <v>0</v>
      </c>
      <c r="J20" s="48">
        <f t="shared" si="14"/>
        <v>0</v>
      </c>
      <c r="K20" s="48">
        <f t="shared" si="14"/>
        <v>0</v>
      </c>
      <c r="L20" s="48">
        <f t="shared" si="14"/>
        <v>0</v>
      </c>
      <c r="M20" s="48">
        <f t="shared" si="14"/>
        <v>0</v>
      </c>
      <c r="N20" s="48">
        <f t="shared" si="14"/>
        <v>0</v>
      </c>
      <c r="O20" s="48">
        <f t="shared" si="14"/>
        <v>0</v>
      </c>
      <c r="P20" s="48">
        <f t="shared" si="14"/>
        <v>0</v>
      </c>
      <c r="Q20" s="48">
        <f t="shared" si="14"/>
        <v>0</v>
      </c>
      <c r="R20" s="48">
        <f t="shared" si="14"/>
        <v>0</v>
      </c>
      <c r="S20" s="48">
        <f t="shared" si="14"/>
        <v>0</v>
      </c>
      <c r="T20" s="48">
        <f t="shared" si="14"/>
        <v>0</v>
      </c>
      <c r="U20" s="48">
        <f t="shared" si="14"/>
        <v>0</v>
      </c>
      <c r="V20" s="48">
        <f t="shared" si="14"/>
        <v>0</v>
      </c>
      <c r="W20" s="48">
        <f t="shared" si="14"/>
        <v>0</v>
      </c>
      <c r="X20" s="48">
        <f t="shared" si="14"/>
        <v>0</v>
      </c>
      <c r="Y20" s="48">
        <f t="shared" si="14"/>
        <v>0</v>
      </c>
      <c r="Z20" s="48">
        <f t="shared" si="14"/>
        <v>0</v>
      </c>
      <c r="AA20" s="48">
        <f t="shared" si="14"/>
        <v>0</v>
      </c>
      <c r="AB20" s="48">
        <f t="shared" si="14"/>
        <v>0</v>
      </c>
      <c r="AC20" s="48">
        <f t="shared" si="14"/>
        <v>0</v>
      </c>
      <c r="AD20" s="48">
        <f t="shared" si="14"/>
        <v>0</v>
      </c>
      <c r="AE20" s="48">
        <f t="shared" si="14"/>
        <v>0</v>
      </c>
      <c r="AF20" s="48">
        <f t="shared" si="14"/>
        <v>138599.56472198345</v>
      </c>
      <c r="AG20" s="48">
        <f t="shared" si="14"/>
        <v>273457.71379753767</v>
      </c>
      <c r="AH20" s="48">
        <f t="shared" si="14"/>
        <v>404723.92573324346</v>
      </c>
      <c r="AI20" s="48">
        <f t="shared" si="14"/>
        <v>532539.82098634238</v>
      </c>
      <c r="AJ20" s="48">
        <f t="shared" si="14"/>
        <v>657039.67163612996</v>
      </c>
      <c r="AK20" s="48">
        <f t="shared" si="14"/>
        <v>778350.87189472397</v>
      </c>
      <c r="AL20" s="48">
        <f t="shared" si="14"/>
        <v>896594.37292321946</v>
      </c>
      <c r="AM20" s="48">
        <f t="shared" si="14"/>
        <v>1011885.0850730242</v>
      </c>
      <c r="AN20" s="48">
        <f t="shared" si="14"/>
        <v>1124332.2503643718</v>
      </c>
      <c r="AO20" s="48">
        <f t="shared" si="14"/>
        <v>1234039.7877399891</v>
      </c>
      <c r="AP20" s="48">
        <f t="shared" si="14"/>
        <v>1527995.2742244024</v>
      </c>
      <c r="AQ20" s="48">
        <f t="shared" si="14"/>
        <v>1967130.5156948098</v>
      </c>
      <c r="AR20" s="48">
        <f t="shared" si="14"/>
        <v>2598021.0199561203</v>
      </c>
      <c r="AS20" s="48">
        <f t="shared" si="14"/>
        <v>3251413.8990502795</v>
      </c>
      <c r="AT20" s="48">
        <f t="shared" si="14"/>
        <v>4998965.2574780276</v>
      </c>
      <c r="AU20" s="48">
        <f t="shared" si="14"/>
        <v>8192818.5498469528</v>
      </c>
      <c r="AV20" s="48">
        <f t="shared" si="14"/>
        <v>10999483.226062525</v>
      </c>
      <c r="AW20" s="48">
        <f t="shared" si="14"/>
        <v>16417552.904479241</v>
      </c>
      <c r="AX20" s="48">
        <f t="shared" si="14"/>
        <v>19071444.584975265</v>
      </c>
      <c r="AY20" s="48">
        <f t="shared" si="14"/>
        <v>21673021.79211675</v>
      </c>
      <c r="AZ20" s="48">
        <f t="shared" si="14"/>
        <v>24223816.291296955</v>
      </c>
      <c r="BA20" s="48">
        <f t="shared" si="14"/>
        <v>26725300.625887387</v>
      </c>
      <c r="BB20" s="48">
        <f t="shared" si="14"/>
        <v>29178890.951934762</v>
      </c>
      <c r="BC20" s="48">
        <f t="shared" si="14"/>
        <v>31585949.711580537</v>
      </c>
      <c r="BD20" s="48">
        <f t="shared" si="14"/>
        <v>33947788.155807592</v>
      </c>
      <c r="BE20" s="48">
        <f t="shared" si="14"/>
        <v>36265668.726328865</v>
      </c>
      <c r="BF20" s="48">
        <f t="shared" si="14"/>
        <v>38540807.305709042</v>
      </c>
      <c r="BG20" s="48">
        <f t="shared" si="14"/>
        <v>40774375.344146028</v>
      </c>
      <c r="BH20" s="48">
        <f t="shared" si="14"/>
        <v>42967496.11918278</v>
      </c>
      <c r="BI20" s="48">
        <f t="shared" si="14"/>
        <v>42581996.264889657</v>
      </c>
      <c r="BJ20" s="48">
        <f t="shared" si="14"/>
        <v>42203352.229177132</v>
      </c>
      <c r="BK20" s="48">
        <f t="shared" si="14"/>
        <v>41831382.735779516</v>
      </c>
      <c r="BL20" s="48">
        <f t="shared" si="14"/>
        <v>41465912.84348508</v>
      </c>
      <c r="BM20" s="48">
        <f t="shared" si="14"/>
        <v>41106773.671794437</v>
      </c>
      <c r="BN20" s="48">
        <f t="shared" si="14"/>
        <v>40753802.140712865</v>
      </c>
      <c r="BO20" s="48">
        <f t="shared" ref="BO20:CM20" si="15">BO9*0.65</f>
        <v>40406840.723834582</v>
      </c>
      <c r="BP20" s="48">
        <f t="shared" si="15"/>
        <v>40065737.213933289</v>
      </c>
      <c r="BQ20" s="48">
        <f t="shared" si="15"/>
        <v>39730344.500326388</v>
      </c>
      <c r="BR20" s="48">
        <f t="shared" si="15"/>
        <v>39400520.3573284</v>
      </c>
      <c r="BS20" s="48">
        <f t="shared" si="15"/>
        <v>39076127.243154719</v>
      </c>
      <c r="BT20" s="48">
        <f t="shared" si="15"/>
        <v>38757032.108678281</v>
      </c>
      <c r="BU20" s="48">
        <f t="shared" si="15"/>
        <v>38443106.215480417</v>
      </c>
      <c r="BV20" s="48">
        <f t="shared" si="15"/>
        <v>38134224.962673269</v>
      </c>
      <c r="BW20" s="48">
        <f t="shared" si="15"/>
        <v>37830267.722004265</v>
      </c>
      <c r="BX20" s="48">
        <f t="shared" si="15"/>
        <v>37531117.680784315</v>
      </c>
      <c r="BY20" s="48">
        <f t="shared" si="15"/>
        <v>37236661.692209892</v>
      </c>
      <c r="BZ20" s="48">
        <f t="shared" si="15"/>
        <v>36946790.132676281</v>
      </c>
      <c r="CA20" s="48">
        <f t="shared" si="15"/>
        <v>36661396.765703775</v>
      </c>
      <c r="CB20" s="48">
        <f t="shared" si="15"/>
        <v>36380378.612122275</v>
      </c>
      <c r="CC20" s="48">
        <f t="shared" si="15"/>
        <v>36103635.826180644</v>
      </c>
      <c r="CD20" s="48">
        <f t="shared" si="15"/>
        <v>35831071.577268109</v>
      </c>
      <c r="CE20" s="48">
        <f t="shared" si="15"/>
        <v>35562591.936953053</v>
      </c>
      <c r="CF20" s="48">
        <f t="shared" si="15"/>
        <v>35298105.771062598</v>
      </c>
      <c r="CG20" s="48">
        <f t="shared" si="15"/>
        <v>35037524.63654238</v>
      </c>
      <c r="CH20" s="48">
        <f t="shared" si="15"/>
        <v>34780762.682851195</v>
      </c>
      <c r="CI20" s="48">
        <f t="shared" si="15"/>
        <v>34527736.557659894</v>
      </c>
      <c r="CJ20" s="48">
        <f t="shared" si="15"/>
        <v>34278365.316636555</v>
      </c>
      <c r="CK20" s="48">
        <f t="shared" si="15"/>
        <v>34032570.337113149</v>
      </c>
      <c r="CL20" s="48">
        <f t="shared" si="15"/>
        <v>33790275.235439949</v>
      </c>
      <c r="CM20" s="48">
        <f t="shared" si="15"/>
        <v>33551405.787845522</v>
      </c>
    </row>
    <row r="22" spans="1:91" x14ac:dyDescent="0.25">
      <c r="B22" s="48">
        <v>1961</v>
      </c>
      <c r="C22" s="48">
        <v>1962</v>
      </c>
      <c r="D22" s="48">
        <v>1963</v>
      </c>
      <c r="E22" s="48">
        <v>1964</v>
      </c>
      <c r="F22" s="48">
        <v>1965</v>
      </c>
      <c r="G22" s="48">
        <v>1966</v>
      </c>
      <c r="H22" s="48">
        <v>1967</v>
      </c>
      <c r="I22" s="48">
        <v>1968</v>
      </c>
      <c r="J22" s="48">
        <v>1969</v>
      </c>
      <c r="K22" s="48">
        <v>1970</v>
      </c>
      <c r="L22" s="48">
        <v>1971</v>
      </c>
      <c r="M22" s="48">
        <v>1972</v>
      </c>
      <c r="N22" s="48">
        <v>1973</v>
      </c>
      <c r="O22" s="48">
        <v>1974</v>
      </c>
      <c r="P22" s="48">
        <v>1975</v>
      </c>
      <c r="Q22" s="48">
        <v>1976</v>
      </c>
      <c r="R22" s="48">
        <v>1977</v>
      </c>
      <c r="S22" s="48">
        <v>1978</v>
      </c>
      <c r="T22" s="48">
        <v>1979</v>
      </c>
      <c r="U22" s="48">
        <v>1980</v>
      </c>
      <c r="V22" s="48">
        <v>1981</v>
      </c>
      <c r="W22" s="48">
        <v>1982</v>
      </c>
      <c r="X22" s="48">
        <v>1983</v>
      </c>
      <c r="Y22" s="48">
        <v>1984</v>
      </c>
      <c r="Z22" s="48">
        <v>1985</v>
      </c>
      <c r="AA22" s="48">
        <v>1986</v>
      </c>
      <c r="AB22" s="48">
        <v>1987</v>
      </c>
      <c r="AC22" s="48">
        <v>1988</v>
      </c>
      <c r="AD22" s="48">
        <v>1989</v>
      </c>
      <c r="AE22" s="48">
        <v>1990</v>
      </c>
      <c r="AF22" s="48">
        <v>1991</v>
      </c>
      <c r="AG22" s="48">
        <v>1992</v>
      </c>
      <c r="AH22" s="48">
        <v>1993</v>
      </c>
      <c r="AI22" s="48">
        <v>1994</v>
      </c>
      <c r="AJ22" s="48">
        <v>1995</v>
      </c>
      <c r="AK22" s="48">
        <v>1996</v>
      </c>
      <c r="AL22" s="48">
        <v>1997</v>
      </c>
      <c r="AM22" s="48">
        <v>1998</v>
      </c>
      <c r="AN22" s="48">
        <v>1999</v>
      </c>
      <c r="AO22" s="48">
        <v>2000</v>
      </c>
      <c r="AP22" s="48">
        <v>2001</v>
      </c>
      <c r="AQ22" s="48">
        <v>2002</v>
      </c>
      <c r="AR22" s="48">
        <v>2003</v>
      </c>
      <c r="AS22" s="48">
        <v>2004</v>
      </c>
      <c r="AT22" s="48">
        <v>2005</v>
      </c>
      <c r="AU22" s="48">
        <v>2006</v>
      </c>
      <c r="AV22" s="48">
        <v>2007</v>
      </c>
      <c r="AW22" s="48">
        <v>2008</v>
      </c>
      <c r="AX22" s="48">
        <v>2009</v>
      </c>
      <c r="AY22" s="48">
        <v>2010</v>
      </c>
      <c r="AZ22" s="48">
        <v>2011</v>
      </c>
      <c r="BA22" s="48">
        <v>2012</v>
      </c>
      <c r="BB22" s="48">
        <v>2013</v>
      </c>
      <c r="BC22" s="48">
        <v>2014</v>
      </c>
      <c r="BD22" s="48">
        <v>2015</v>
      </c>
      <c r="BE22" s="48">
        <v>2016</v>
      </c>
      <c r="BF22" s="48">
        <v>2017</v>
      </c>
      <c r="BG22" s="48">
        <v>2018</v>
      </c>
      <c r="BH22" s="48">
        <v>2019</v>
      </c>
      <c r="BI22" s="48">
        <v>2020</v>
      </c>
      <c r="BJ22" s="48">
        <v>2021</v>
      </c>
      <c r="BK22" s="48">
        <v>2022</v>
      </c>
      <c r="BL22" s="48">
        <v>2023</v>
      </c>
      <c r="BM22" s="48">
        <v>2024</v>
      </c>
      <c r="BN22" s="48">
        <v>2025</v>
      </c>
      <c r="BO22" s="48">
        <v>2026</v>
      </c>
      <c r="BP22" s="48">
        <v>2027</v>
      </c>
      <c r="BQ22" s="48">
        <v>2028</v>
      </c>
      <c r="BR22" s="48">
        <v>2029</v>
      </c>
      <c r="BS22" s="48">
        <v>2030</v>
      </c>
      <c r="BT22" s="48">
        <v>2031</v>
      </c>
      <c r="BU22" s="48">
        <v>2032</v>
      </c>
      <c r="BV22" s="48">
        <v>2033</v>
      </c>
      <c r="BW22" s="48">
        <v>2034</v>
      </c>
      <c r="BX22" s="48">
        <v>2035</v>
      </c>
      <c r="BY22" s="48">
        <v>2036</v>
      </c>
      <c r="BZ22" s="48">
        <v>2037</v>
      </c>
      <c r="CA22" s="48">
        <v>2038</v>
      </c>
      <c r="CB22" s="48">
        <v>2039</v>
      </c>
      <c r="CC22" s="48">
        <v>2040</v>
      </c>
      <c r="CD22" s="48">
        <v>2041</v>
      </c>
      <c r="CE22" s="48">
        <v>2042</v>
      </c>
      <c r="CF22" s="48">
        <v>2043</v>
      </c>
      <c r="CG22" s="48">
        <v>2044</v>
      </c>
      <c r="CH22" s="48">
        <v>2045</v>
      </c>
      <c r="CI22" s="48">
        <v>2046</v>
      </c>
      <c r="CJ22" s="48">
        <v>2047</v>
      </c>
      <c r="CK22" s="48">
        <v>2048</v>
      </c>
      <c r="CL22" s="48">
        <v>2049</v>
      </c>
      <c r="CM22" s="48">
        <v>2050</v>
      </c>
    </row>
    <row r="23" spans="1:91" x14ac:dyDescent="0.25">
      <c r="A23" s="48" t="s">
        <v>91</v>
      </c>
      <c r="B23" s="48">
        <f>SUM(B13:B14)</f>
        <v>0</v>
      </c>
      <c r="C23" s="48">
        <f t="shared" ref="C23:BN23" si="16">SUM(C13:C14)</f>
        <v>0</v>
      </c>
      <c r="D23" s="48">
        <f t="shared" si="16"/>
        <v>0</v>
      </c>
      <c r="E23" s="48">
        <f t="shared" si="16"/>
        <v>0</v>
      </c>
      <c r="F23" s="48">
        <f t="shared" si="16"/>
        <v>0</v>
      </c>
      <c r="G23" s="48">
        <f t="shared" si="16"/>
        <v>0</v>
      </c>
      <c r="H23" s="48">
        <f t="shared" si="16"/>
        <v>0</v>
      </c>
      <c r="I23" s="48">
        <f t="shared" si="16"/>
        <v>0</v>
      </c>
      <c r="J23" s="48">
        <f t="shared" si="16"/>
        <v>0</v>
      </c>
      <c r="K23" s="48">
        <f t="shared" si="16"/>
        <v>0</v>
      </c>
      <c r="L23" s="48">
        <f t="shared" si="16"/>
        <v>0</v>
      </c>
      <c r="M23" s="48">
        <f t="shared" si="16"/>
        <v>0</v>
      </c>
      <c r="N23" s="48">
        <f t="shared" si="16"/>
        <v>0</v>
      </c>
      <c r="O23" s="48">
        <f t="shared" si="16"/>
        <v>0</v>
      </c>
      <c r="P23" s="48">
        <f t="shared" si="16"/>
        <v>0</v>
      </c>
      <c r="Q23" s="48">
        <f t="shared" si="16"/>
        <v>0</v>
      </c>
      <c r="R23" s="48">
        <f t="shared" si="16"/>
        <v>0</v>
      </c>
      <c r="S23" s="48">
        <f t="shared" si="16"/>
        <v>0</v>
      </c>
      <c r="T23" s="48">
        <f t="shared" si="16"/>
        <v>0</v>
      </c>
      <c r="U23" s="48">
        <f t="shared" si="16"/>
        <v>0</v>
      </c>
      <c r="V23" s="48">
        <f t="shared" si="16"/>
        <v>0</v>
      </c>
      <c r="W23" s="48">
        <f t="shared" si="16"/>
        <v>0</v>
      </c>
      <c r="X23" s="48">
        <f t="shared" si="16"/>
        <v>0</v>
      </c>
      <c r="Y23" s="48">
        <f t="shared" si="16"/>
        <v>0</v>
      </c>
      <c r="Z23" s="48">
        <f t="shared" si="16"/>
        <v>0</v>
      </c>
      <c r="AA23" s="48">
        <f t="shared" si="16"/>
        <v>0</v>
      </c>
      <c r="AB23" s="48">
        <f t="shared" si="16"/>
        <v>0</v>
      </c>
      <c r="AC23" s="48">
        <f t="shared" si="16"/>
        <v>0</v>
      </c>
      <c r="AD23" s="48">
        <f t="shared" si="16"/>
        <v>0</v>
      </c>
      <c r="AE23" s="48">
        <f t="shared" si="16"/>
        <v>0</v>
      </c>
      <c r="AF23" s="48">
        <f t="shared" si="16"/>
        <v>264298.13384870189</v>
      </c>
      <c r="AG23" s="48">
        <f t="shared" si="16"/>
        <v>520633.93324715138</v>
      </c>
      <c r="AH23" s="48">
        <f t="shared" si="16"/>
        <v>769361.87263473251</v>
      </c>
      <c r="AI23" s="48">
        <f t="shared" si="16"/>
        <v>1010815.693040224</v>
      </c>
      <c r="AJ23" s="48">
        <f t="shared" si="16"/>
        <v>1245309.8961211501</v>
      </c>
      <c r="AK23" s="48">
        <f t="shared" si="16"/>
        <v>1473141.1108468894</v>
      </c>
      <c r="AL23" s="48">
        <f t="shared" si="16"/>
        <v>1694589.3453137057</v>
      </c>
      <c r="AM23" s="48">
        <f t="shared" si="16"/>
        <v>1909919.13479971</v>
      </c>
      <c r="AN23" s="48">
        <f t="shared" si="16"/>
        <v>2119380.5959568662</v>
      </c>
      <c r="AO23" s="48">
        <f t="shared" si="16"/>
        <v>2323210.3959727613</v>
      </c>
      <c r="AP23" s="48">
        <f t="shared" si="16"/>
        <v>2528030.7295535938</v>
      </c>
      <c r="AQ23" s="48">
        <f t="shared" si="16"/>
        <v>3025243.1509060082</v>
      </c>
      <c r="AR23" s="48">
        <f t="shared" si="16"/>
        <v>3914439.356290834</v>
      </c>
      <c r="AS23" s="48">
        <f t="shared" si="16"/>
        <v>4710896.3697284199</v>
      </c>
      <c r="AT23" s="48">
        <f t="shared" si="16"/>
        <v>5525197.0183615312</v>
      </c>
      <c r="AU23" s="48">
        <f t="shared" si="16"/>
        <v>7231647.8086248199</v>
      </c>
      <c r="AV23" s="48">
        <f t="shared" si="16"/>
        <v>10062408.411293173</v>
      </c>
      <c r="AW23" s="48">
        <f t="shared" si="16"/>
        <v>13916648.357646741</v>
      </c>
      <c r="AX23" s="48">
        <f t="shared" si="16"/>
        <v>14989749.552085569</v>
      </c>
      <c r="AY23" s="48">
        <f t="shared" si="16"/>
        <v>16052595.374386443</v>
      </c>
      <c r="AZ23" s="48">
        <f t="shared" si="16"/>
        <v>17105346.28058739</v>
      </c>
      <c r="BA23" s="48">
        <f t="shared" si="16"/>
        <v>18148158.904882386</v>
      </c>
      <c r="BB23" s="48">
        <f t="shared" si="16"/>
        <v>19181186.192052074</v>
      </c>
      <c r="BC23" s="48">
        <f t="shared" si="16"/>
        <v>20204577.523639631</v>
      </c>
      <c r="BD23" s="48">
        <f t="shared" si="16"/>
        <v>21218478.838245515</v>
      </c>
      <c r="BE23" s="48">
        <f t="shared" si="16"/>
        <v>22223032.746287949</v>
      </c>
      <c r="BF23" s="48">
        <f t="shared" si="16"/>
        <v>23218378.639551979</v>
      </c>
      <c r="BG23" s="48">
        <f t="shared" si="16"/>
        <v>24204652.795827199</v>
      </c>
      <c r="BH23" s="48">
        <f t="shared" si="16"/>
        <v>25181987.072291125</v>
      </c>
      <c r="BI23" s="48">
        <f t="shared" si="16"/>
        <v>25064612.762262426</v>
      </c>
      <c r="BJ23" s="48">
        <f t="shared" si="16"/>
        <v>24948435.012843952</v>
      </c>
      <c r="BK23" s="48">
        <f t="shared" si="16"/>
        <v>24833433.107161608</v>
      </c>
      <c r="BL23" s="48">
        <f t="shared" si="16"/>
        <v>24719586.874522451</v>
      </c>
      <c r="BM23" s="48">
        <f t="shared" si="16"/>
        <v>24606876.670366194</v>
      </c>
      <c r="BN23" s="48">
        <f t="shared" si="16"/>
        <v>24495283.357162248</v>
      </c>
      <c r="BO23" s="48">
        <f t="shared" ref="BO23:CM23" si="17">SUM(BO13:BO14)</f>
        <v>24384788.286198508</v>
      </c>
      <c r="BP23" s="48">
        <f t="shared" si="17"/>
        <v>24275373.280211478</v>
      </c>
      <c r="BQ23" s="48">
        <f t="shared" si="17"/>
        <v>24167020.616810769</v>
      </c>
      <c r="BR23" s="48">
        <f t="shared" si="17"/>
        <v>24059713.012653835</v>
      </c>
      <c r="BS23" s="48">
        <f t="shared" si="17"/>
        <v>23953433.608330019</v>
      </c>
      <c r="BT23" s="48">
        <f t="shared" si="17"/>
        <v>23848165.953915156</v>
      </c>
      <c r="BU23" s="48">
        <f t="shared" si="17"/>
        <v>23743893.99516074</v>
      </c>
      <c r="BV23" s="48">
        <f t="shared" si="17"/>
        <v>23640602.060283817</v>
      </c>
      <c r="BW23" s="48">
        <f t="shared" si="17"/>
        <v>23538274.847325832</v>
      </c>
      <c r="BX23" s="48">
        <f t="shared" si="17"/>
        <v>23436897.412050642</v>
      </c>
      <c r="BY23" s="48">
        <f t="shared" si="17"/>
        <v>23336455.156353746</v>
      </c>
      <c r="BZ23" s="48">
        <f t="shared" si="17"/>
        <v>23236933.81715643</v>
      </c>
      <c r="CA23" s="48">
        <f t="shared" si="17"/>
        <v>23138319.455760162</v>
      </c>
      <c r="CB23" s="48">
        <f t="shared" si="17"/>
        <v>23040598.447637934</v>
      </c>
      <c r="CC23" s="48">
        <f t="shared" si="17"/>
        <v>22943757.472640749</v>
      </c>
      <c r="CD23" s="48">
        <f t="shared" si="17"/>
        <v>22847783.505598642</v>
      </c>
      <c r="CE23" s="48">
        <f t="shared" si="17"/>
        <v>22752663.807296842</v>
      </c>
      <c r="CF23" s="48">
        <f t="shared" si="17"/>
        <v>22658385.915808756</v>
      </c>
      <c r="CG23" s="48">
        <f t="shared" si="17"/>
        <v>22564937.638168637</v>
      </c>
      <c r="CH23" s="48">
        <f t="shared" si="17"/>
        <v>22472307.042367555</v>
      </c>
      <c r="CI23" s="48">
        <f t="shared" si="17"/>
        <v>22380482.449657399</v>
      </c>
      <c r="CJ23" s="48">
        <f t="shared" si="17"/>
        <v>22289452.427148387</v>
      </c>
      <c r="CK23" s="48">
        <f t="shared" si="17"/>
        <v>22199205.780686386</v>
      </c>
      <c r="CL23" s="48">
        <f t="shared" si="17"/>
        <v>22109731.547997098</v>
      </c>
      <c r="CM23" s="48">
        <f t="shared" si="17"/>
        <v>22021018.992084838</v>
      </c>
    </row>
    <row r="24" spans="1:91" x14ac:dyDescent="0.25">
      <c r="A24" s="48" t="s">
        <v>22</v>
      </c>
      <c r="B24" s="48">
        <f>SUM(B15:B20)</f>
        <v>0</v>
      </c>
      <c r="C24" s="48">
        <f t="shared" ref="C24:BN24" si="18">SUM(C15:C20)</f>
        <v>0</v>
      </c>
      <c r="D24" s="48">
        <f t="shared" si="18"/>
        <v>0</v>
      </c>
      <c r="E24" s="48">
        <f t="shared" si="18"/>
        <v>0</v>
      </c>
      <c r="F24" s="48">
        <f t="shared" si="18"/>
        <v>0</v>
      </c>
      <c r="G24" s="48">
        <f t="shared" si="18"/>
        <v>0</v>
      </c>
      <c r="H24" s="48">
        <f t="shared" si="18"/>
        <v>0</v>
      </c>
      <c r="I24" s="48">
        <f t="shared" si="18"/>
        <v>0</v>
      </c>
      <c r="J24" s="48">
        <f t="shared" si="18"/>
        <v>0</v>
      </c>
      <c r="K24" s="48">
        <f t="shared" si="18"/>
        <v>0</v>
      </c>
      <c r="L24" s="48">
        <f t="shared" si="18"/>
        <v>0</v>
      </c>
      <c r="M24" s="48">
        <f t="shared" si="18"/>
        <v>0</v>
      </c>
      <c r="N24" s="48">
        <f t="shared" si="18"/>
        <v>0</v>
      </c>
      <c r="O24" s="48">
        <f t="shared" si="18"/>
        <v>0</v>
      </c>
      <c r="P24" s="48">
        <f t="shared" si="18"/>
        <v>0</v>
      </c>
      <c r="Q24" s="48">
        <f t="shared" si="18"/>
        <v>0</v>
      </c>
      <c r="R24" s="48">
        <f t="shared" si="18"/>
        <v>0</v>
      </c>
      <c r="S24" s="48">
        <f t="shared" si="18"/>
        <v>0</v>
      </c>
      <c r="T24" s="48">
        <f t="shared" si="18"/>
        <v>0</v>
      </c>
      <c r="U24" s="48">
        <f t="shared" si="18"/>
        <v>0</v>
      </c>
      <c r="V24" s="48">
        <f t="shared" si="18"/>
        <v>0</v>
      </c>
      <c r="W24" s="48">
        <f t="shared" si="18"/>
        <v>0</v>
      </c>
      <c r="X24" s="48">
        <f t="shared" si="18"/>
        <v>0</v>
      </c>
      <c r="Y24" s="48">
        <f t="shared" si="18"/>
        <v>0</v>
      </c>
      <c r="Z24" s="48">
        <f t="shared" si="18"/>
        <v>0</v>
      </c>
      <c r="AA24" s="48">
        <f t="shared" si="18"/>
        <v>0</v>
      </c>
      <c r="AB24" s="48">
        <f t="shared" si="18"/>
        <v>0</v>
      </c>
      <c r="AC24" s="48">
        <f t="shared" si="18"/>
        <v>0</v>
      </c>
      <c r="AD24" s="48">
        <f t="shared" si="18"/>
        <v>0</v>
      </c>
      <c r="AE24" s="48">
        <f t="shared" si="18"/>
        <v>0</v>
      </c>
      <c r="AF24" s="48">
        <f t="shared" si="18"/>
        <v>777759.74624482286</v>
      </c>
      <c r="AG24" s="48">
        <f t="shared" si="18"/>
        <v>1533792.1904538609</v>
      </c>
      <c r="AH24" s="48">
        <f t="shared" si="18"/>
        <v>2269044.276230094</v>
      </c>
      <c r="AI24" s="48">
        <f t="shared" si="18"/>
        <v>2984406.6930602789</v>
      </c>
      <c r="AJ24" s="48">
        <f t="shared" si="18"/>
        <v>3680718.1010939237</v>
      </c>
      <c r="AK24" s="48">
        <f t="shared" si="18"/>
        <v>4358768.9738319088</v>
      </c>
      <c r="AL24" s="48">
        <f t="shared" si="18"/>
        <v>5019305.098966619</v>
      </c>
      <c r="AM24" s="48">
        <f t="shared" si="18"/>
        <v>5663030.772797944</v>
      </c>
      <c r="AN24" s="48">
        <f t="shared" si="18"/>
        <v>6290611.7194757117</v>
      </c>
      <c r="AO24" s="48">
        <f t="shared" si="18"/>
        <v>6902677.7626944361</v>
      </c>
      <c r="AP24" s="48">
        <f t="shared" si="18"/>
        <v>7508541.5116121201</v>
      </c>
      <c r="AQ24" s="48">
        <f t="shared" si="18"/>
        <v>8605931.4565988872</v>
      </c>
      <c r="AR24" s="48">
        <f t="shared" si="18"/>
        <v>10082151.800710507</v>
      </c>
      <c r="AS24" s="48">
        <f t="shared" si="18"/>
        <v>10285869.821985975</v>
      </c>
      <c r="AT24" s="48">
        <f t="shared" si="18"/>
        <v>12902610.85683178</v>
      </c>
      <c r="AU24" s="48">
        <f t="shared" si="18"/>
        <v>17390371.995686293</v>
      </c>
      <c r="AV24" s="48">
        <f t="shared" si="18"/>
        <v>22066463.194527514</v>
      </c>
      <c r="AW24" s="48">
        <f t="shared" si="18"/>
        <v>30990901.786748089</v>
      </c>
      <c r="AX24" s="48">
        <f t="shared" si="18"/>
        <v>35552080.06755881</v>
      </c>
      <c r="AY24" s="48">
        <f t="shared" si="18"/>
        <v>40030396.551835775</v>
      </c>
      <c r="AZ24" s="48">
        <f t="shared" si="18"/>
        <v>44428125.276055232</v>
      </c>
      <c r="BA24" s="48">
        <f t="shared" si="18"/>
        <v>48747456.841562301</v>
      </c>
      <c r="BB24" s="48">
        <f t="shared" si="18"/>
        <v>52990502.245586351</v>
      </c>
      <c r="BC24" s="48">
        <f t="shared" si="18"/>
        <v>57159296.501211599</v>
      </c>
      <c r="BD24" s="48">
        <f t="shared" si="18"/>
        <v>61255802.059848338</v>
      </c>
      <c r="BE24" s="48">
        <f t="shared" si="18"/>
        <v>65281912.04875882</v>
      </c>
      <c r="BF24" s="48">
        <f t="shared" si="18"/>
        <v>69239453.335282221</v>
      </c>
      <c r="BG24" s="48">
        <f t="shared" si="18"/>
        <v>73130189.428567305</v>
      </c>
      <c r="BH24" s="48">
        <f t="shared" si="18"/>
        <v>76955814.75744161</v>
      </c>
      <c r="BI24" s="48">
        <f t="shared" si="18"/>
        <v>76318164.428839087</v>
      </c>
      <c r="BJ24" s="48">
        <f t="shared" si="18"/>
        <v>75691155.723274812</v>
      </c>
      <c r="BK24" s="48">
        <f t="shared" si="18"/>
        <v>75074521.600511879</v>
      </c>
      <c r="BL24" s="48">
        <f t="shared" si="18"/>
        <v>74468003.965958089</v>
      </c>
      <c r="BM24" s="48">
        <f t="shared" si="18"/>
        <v>73871353.296032876</v>
      </c>
      <c r="BN24" s="48">
        <f t="shared" si="18"/>
        <v>73284328.282345057</v>
      </c>
      <c r="BO24" s="48">
        <f t="shared" ref="BO24:CM24" si="19">SUM(BO15:BO20)</f>
        <v>72706695.493581548</v>
      </c>
      <c r="BP24" s="48">
        <f t="shared" si="19"/>
        <v>72138229.054080173</v>
      </c>
      <c r="BQ24" s="48">
        <f t="shared" si="19"/>
        <v>71578710.338127732</v>
      </c>
      <c r="BR24" s="48">
        <f t="shared" si="19"/>
        <v>71027927.679087177</v>
      </c>
      <c r="BS24" s="48">
        <f t="shared" si="19"/>
        <v>70485676.092516273</v>
      </c>
      <c r="BT24" s="48">
        <f t="shared" si="19"/>
        <v>69951757.012493655</v>
      </c>
      <c r="BU24" s="48">
        <f t="shared" si="19"/>
        <v>69425978.04041858</v>
      </c>
      <c r="BV24" s="48">
        <f t="shared" si="19"/>
        <v>68908152.705597222</v>
      </c>
      <c r="BW24" s="48">
        <f t="shared" si="19"/>
        <v>68398100.236971125</v>
      </c>
      <c r="BX24" s="48">
        <f t="shared" si="19"/>
        <v>67895645.345384061</v>
      </c>
      <c r="BY24" s="48">
        <f t="shared" si="19"/>
        <v>67400618.015820414</v>
      </c>
      <c r="BZ24" s="48">
        <f t="shared" si="19"/>
        <v>66912853.309083536</v>
      </c>
      <c r="CA24" s="48">
        <f t="shared" si="19"/>
        <v>66432191.172413953</v>
      </c>
      <c r="CB24" s="48">
        <f t="shared" si="19"/>
        <v>65958476.258578815</v>
      </c>
      <c r="CC24" s="48">
        <f t="shared" si="19"/>
        <v>65491557.75299038</v>
      </c>
      <c r="CD24" s="48">
        <f t="shared" si="19"/>
        <v>65031289.208439164</v>
      </c>
      <c r="CE24" s="48">
        <f t="shared" si="19"/>
        <v>64577528.387050763</v>
      </c>
      <c r="CF24" s="48">
        <f t="shared" si="19"/>
        <v>64130137.109098673</v>
      </c>
      <c r="CG24" s="48">
        <f t="shared" si="19"/>
        <v>63688981.108326808</v>
      </c>
      <c r="CH24" s="48">
        <f t="shared" si="19"/>
        <v>63253929.893454954</v>
      </c>
      <c r="CI24" s="48">
        <f t="shared" si="19"/>
        <v>62824856.615559742</v>
      </c>
      <c r="CJ24" s="48">
        <f t="shared" si="19"/>
        <v>62401637.941040576</v>
      </c>
      <c r="CK24" s="48">
        <f t="shared" si="19"/>
        <v>61984153.929896623</v>
      </c>
      <c r="CL24" s="48">
        <f t="shared" si="19"/>
        <v>61572287.919056296</v>
      </c>
      <c r="CM24" s="48">
        <f t="shared" si="19"/>
        <v>61165926.410514846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M28"/>
  <sheetViews>
    <sheetView topLeftCell="BQ1" workbookViewId="0">
      <selection activeCell="B2" sqref="B2:CM11"/>
    </sheetView>
  </sheetViews>
  <sheetFormatPr defaultRowHeight="15" x14ac:dyDescent="0.25"/>
  <cols>
    <col min="1" max="1" width="12.42578125" style="48" bestFit="1" customWidth="1"/>
    <col min="2" max="90" width="9.140625" style="48"/>
    <col min="91" max="92" width="10" style="48" bestFit="1" customWidth="1"/>
    <col min="93" max="93" width="9.7109375" style="48" bestFit="1" customWidth="1"/>
    <col min="94" max="16384" width="9.140625" style="48"/>
  </cols>
  <sheetData>
    <row r="1" spans="1:91" x14ac:dyDescent="0.25">
      <c r="B1" s="48">
        <v>1961</v>
      </c>
      <c r="C1" s="48">
        <v>1962</v>
      </c>
      <c r="D1" s="48">
        <v>1963</v>
      </c>
      <c r="E1" s="48">
        <v>1964</v>
      </c>
      <c r="F1" s="48">
        <v>1965</v>
      </c>
      <c r="G1" s="48">
        <v>1966</v>
      </c>
      <c r="H1" s="48">
        <v>1967</v>
      </c>
      <c r="I1" s="48">
        <v>1968</v>
      </c>
      <c r="J1" s="48">
        <v>1969</v>
      </c>
      <c r="K1" s="48">
        <v>1970</v>
      </c>
      <c r="L1" s="48">
        <v>1971</v>
      </c>
      <c r="M1" s="48">
        <v>1972</v>
      </c>
      <c r="N1" s="48">
        <v>1973</v>
      </c>
      <c r="O1" s="48">
        <v>1974</v>
      </c>
      <c r="P1" s="48">
        <v>1975</v>
      </c>
      <c r="Q1" s="48">
        <v>1976</v>
      </c>
      <c r="R1" s="48">
        <v>1977</v>
      </c>
      <c r="S1" s="48">
        <v>1978</v>
      </c>
      <c r="T1" s="48">
        <v>1979</v>
      </c>
      <c r="U1" s="48">
        <v>1980</v>
      </c>
      <c r="V1" s="48">
        <v>1981</v>
      </c>
      <c r="W1" s="48">
        <v>1982</v>
      </c>
      <c r="X1" s="48">
        <v>1983</v>
      </c>
      <c r="Y1" s="48">
        <v>1984</v>
      </c>
      <c r="Z1" s="48">
        <v>1985</v>
      </c>
      <c r="AA1" s="48">
        <v>1986</v>
      </c>
      <c r="AB1" s="48">
        <v>1987</v>
      </c>
      <c r="AC1" s="48">
        <v>1988</v>
      </c>
      <c r="AD1" s="48">
        <v>1989</v>
      </c>
      <c r="AE1" s="48">
        <v>1990</v>
      </c>
      <c r="AF1" s="48">
        <v>1991</v>
      </c>
      <c r="AG1" s="48">
        <v>1992</v>
      </c>
      <c r="AH1" s="48">
        <v>1993</v>
      </c>
      <c r="AI1" s="48">
        <v>1994</v>
      </c>
      <c r="AJ1" s="48">
        <v>1995</v>
      </c>
      <c r="AK1" s="48">
        <v>1996</v>
      </c>
      <c r="AL1" s="48">
        <v>1997</v>
      </c>
      <c r="AM1" s="48">
        <v>1998</v>
      </c>
      <c r="AN1" s="48">
        <v>1999</v>
      </c>
      <c r="AO1" s="48">
        <v>2000</v>
      </c>
      <c r="AP1" s="48">
        <v>2001</v>
      </c>
      <c r="AQ1" s="48">
        <v>2002</v>
      </c>
      <c r="AR1" s="48">
        <v>2003</v>
      </c>
      <c r="AS1" s="48">
        <v>2004</v>
      </c>
      <c r="AT1" s="48">
        <v>2005</v>
      </c>
      <c r="AU1" s="48">
        <v>2006</v>
      </c>
      <c r="AV1" s="48">
        <v>2007</v>
      </c>
      <c r="AW1" s="48">
        <v>2008</v>
      </c>
      <c r="AX1" s="48">
        <v>2009</v>
      </c>
      <c r="AY1" s="48">
        <v>2010</v>
      </c>
      <c r="AZ1" s="48">
        <v>2011</v>
      </c>
      <c r="BA1" s="48">
        <v>2012</v>
      </c>
      <c r="BB1" s="48">
        <v>2013</v>
      </c>
      <c r="BC1" s="48">
        <v>2014</v>
      </c>
      <c r="BD1" s="48">
        <v>2015</v>
      </c>
      <c r="BE1" s="48">
        <v>2016</v>
      </c>
      <c r="BF1" s="48">
        <v>2017</v>
      </c>
      <c r="BG1" s="48">
        <v>2018</v>
      </c>
      <c r="BH1" s="48">
        <v>2019</v>
      </c>
      <c r="BI1" s="48">
        <v>2020</v>
      </c>
      <c r="BJ1" s="48">
        <v>2021</v>
      </c>
      <c r="BK1" s="48">
        <v>2022</v>
      </c>
      <c r="BL1" s="48">
        <v>2023</v>
      </c>
      <c r="BM1" s="48">
        <v>2024</v>
      </c>
      <c r="BN1" s="48">
        <v>2025</v>
      </c>
      <c r="BO1" s="48">
        <v>2026</v>
      </c>
      <c r="BP1" s="48">
        <v>2027</v>
      </c>
      <c r="BQ1" s="48">
        <v>2028</v>
      </c>
      <c r="BR1" s="48">
        <v>2029</v>
      </c>
      <c r="BS1" s="48">
        <v>2030</v>
      </c>
      <c r="BT1" s="48">
        <v>2031</v>
      </c>
      <c r="BU1" s="48">
        <v>2032</v>
      </c>
      <c r="BV1" s="48">
        <v>2033</v>
      </c>
      <c r="BW1" s="48">
        <v>2034</v>
      </c>
      <c r="BX1" s="48">
        <v>2035</v>
      </c>
      <c r="BY1" s="48">
        <v>2036</v>
      </c>
      <c r="BZ1" s="48">
        <v>2037</v>
      </c>
      <c r="CA1" s="48">
        <v>2038</v>
      </c>
      <c r="CB1" s="48">
        <v>2039</v>
      </c>
      <c r="CC1" s="48">
        <v>2040</v>
      </c>
      <c r="CD1" s="48">
        <v>2041</v>
      </c>
      <c r="CE1" s="48">
        <v>2042</v>
      </c>
      <c r="CF1" s="48">
        <v>2043</v>
      </c>
      <c r="CG1" s="48">
        <v>2044</v>
      </c>
      <c r="CH1" s="48">
        <v>2045</v>
      </c>
      <c r="CI1" s="48">
        <v>2046</v>
      </c>
      <c r="CJ1" s="48">
        <v>2047</v>
      </c>
      <c r="CK1" s="48">
        <v>2048</v>
      </c>
      <c r="CL1" s="48">
        <v>2049</v>
      </c>
      <c r="CM1" s="48">
        <v>2050</v>
      </c>
    </row>
    <row r="2" spans="1:91" x14ac:dyDescent="0.25">
      <c r="A2" s="48" t="s">
        <v>79</v>
      </c>
      <c r="B2" s="48">
        <v>0</v>
      </c>
      <c r="C2" s="48">
        <v>0</v>
      </c>
      <c r="D2" s="48">
        <v>0</v>
      </c>
      <c r="E2" s="48">
        <v>0</v>
      </c>
      <c r="F2" s="48">
        <v>0</v>
      </c>
      <c r="G2" s="48">
        <v>0</v>
      </c>
      <c r="H2" s="48">
        <v>0</v>
      </c>
      <c r="I2" s="48">
        <v>0</v>
      </c>
      <c r="J2" s="48">
        <v>0</v>
      </c>
      <c r="K2" s="48">
        <v>0</v>
      </c>
      <c r="L2" s="48">
        <v>0</v>
      </c>
      <c r="M2" s="48">
        <v>0</v>
      </c>
      <c r="N2" s="48">
        <v>0</v>
      </c>
      <c r="O2" s="48">
        <v>0</v>
      </c>
      <c r="P2" s="48">
        <v>0</v>
      </c>
      <c r="Q2" s="48">
        <v>0</v>
      </c>
      <c r="R2" s="48">
        <v>0</v>
      </c>
      <c r="S2" s="48">
        <v>0</v>
      </c>
      <c r="T2" s="48">
        <v>0</v>
      </c>
      <c r="U2" s="48">
        <v>0</v>
      </c>
      <c r="V2" s="48">
        <v>0</v>
      </c>
      <c r="W2" s="48">
        <v>0</v>
      </c>
      <c r="X2" s="48">
        <v>0</v>
      </c>
      <c r="Y2" s="48">
        <v>0</v>
      </c>
      <c r="Z2" s="48">
        <v>0</v>
      </c>
      <c r="AA2" s="48">
        <v>0</v>
      </c>
      <c r="AB2" s="48">
        <v>0</v>
      </c>
      <c r="AC2" s="48">
        <v>0</v>
      </c>
      <c r="AD2" s="48">
        <v>0</v>
      </c>
      <c r="AE2" s="48">
        <v>0</v>
      </c>
      <c r="AF2" s="48">
        <v>362052.23814890668</v>
      </c>
      <c r="AG2" s="48">
        <v>713197.1688317142</v>
      </c>
      <c r="AH2" s="48">
        <v>1053920.3734722363</v>
      </c>
      <c r="AI2" s="48">
        <v>1384679.0315619507</v>
      </c>
      <c r="AJ2" s="48">
        <v>1705903.9672892469</v>
      </c>
      <c r="AK2" s="48">
        <v>2018001.5217080677</v>
      </c>
      <c r="AL2" s="48">
        <v>2321355.2675530217</v>
      </c>
      <c r="AM2" s="48">
        <v>2616327.5819174112</v>
      </c>
      <c r="AN2" s="48">
        <v>2903261.0903518712</v>
      </c>
      <c r="AO2" s="48">
        <v>3182479.9944832348</v>
      </c>
      <c r="AP2" s="48">
        <v>3426203.2706303596</v>
      </c>
      <c r="AQ2" s="48">
        <v>4099611.705200511</v>
      </c>
      <c r="AR2" s="48">
        <v>5302568.9229361145</v>
      </c>
      <c r="AS2" s="48">
        <v>6337478.9155522091</v>
      </c>
      <c r="AT2" s="48">
        <v>7196282.0242403457</v>
      </c>
      <c r="AU2" s="48">
        <v>8890469.8267315794</v>
      </c>
      <c r="AV2" s="48">
        <v>11817403.669567054</v>
      </c>
      <c r="AW2" s="48">
        <v>16749587.094767973</v>
      </c>
      <c r="AX2" s="48">
        <v>17981467.125449497</v>
      </c>
      <c r="AY2" s="48">
        <v>19322308.086294051</v>
      </c>
      <c r="AZ2" s="48">
        <v>20651567.381988008</v>
      </c>
      <c r="BA2" s="48">
        <v>21969394.424161527</v>
      </c>
      <c r="BB2" s="48">
        <v>23275936.065428935</v>
      </c>
      <c r="BC2" s="48">
        <v>24571336.653941341</v>
      </c>
      <c r="BD2" s="48">
        <v>25855738.086549751</v>
      </c>
      <c r="BE2" s="48">
        <v>27129279.860619571</v>
      </c>
      <c r="BF2" s="48">
        <v>28392099.124536492</v>
      </c>
      <c r="BG2" s="48">
        <v>29644330.726941921</v>
      </c>
      <c r="BH2" s="48">
        <v>30886108.174233552</v>
      </c>
      <c r="BI2" s="48">
        <v>30757707.875701215</v>
      </c>
      <c r="BJ2" s="48">
        <v>30630370.733573735</v>
      </c>
      <c r="BK2" s="48">
        <v>30504083.5978656</v>
      </c>
      <c r="BL2" s="48">
        <v>30378833.534567155</v>
      </c>
      <c r="BM2" s="48">
        <v>30254607.82122878</v>
      </c>
      <c r="BN2" s="48">
        <v>30131393.942652877</v>
      </c>
      <c r="BO2" s="48">
        <v>30009179.586690791</v>
      </c>
      <c r="BP2" s="48">
        <v>29887952.640141539</v>
      </c>
      <c r="BQ2" s="48">
        <v>29767701.184749603</v>
      </c>
      <c r="BR2" s="48">
        <v>29648413.493298877</v>
      </c>
      <c r="BS2" s="48">
        <v>29530078.025800221</v>
      </c>
      <c r="BT2" s="48">
        <v>29412683.425769936</v>
      </c>
      <c r="BU2" s="48">
        <v>29296218.516596623</v>
      </c>
      <c r="BV2" s="48">
        <v>29180672.297994055</v>
      </c>
      <c r="BW2" s="48">
        <v>29066033.942537647</v>
      </c>
      <c r="BX2" s="48">
        <v>28952292.792282254</v>
      </c>
      <c r="BY2" s="48">
        <v>28839438.355459042</v>
      </c>
      <c r="BZ2" s="48">
        <v>28727460.303249352</v>
      </c>
      <c r="CA2" s="48">
        <v>28616348.466633409</v>
      </c>
      <c r="CB2" s="48">
        <v>28506092.833311882</v>
      </c>
      <c r="CC2" s="48">
        <v>28396683.544698332</v>
      </c>
      <c r="CD2" s="48">
        <v>28288110.89298068</v>
      </c>
      <c r="CE2" s="48">
        <v>28180365.318249799</v>
      </c>
      <c r="CF2" s="48">
        <v>28073437.405693486</v>
      </c>
      <c r="CG2" s="48">
        <v>27967317.882854093</v>
      </c>
      <c r="CH2" s="48">
        <v>27861997.616948105</v>
      </c>
      <c r="CI2" s="48">
        <v>27757467.612246051</v>
      </c>
      <c r="CJ2" s="48">
        <v>27653719.007511187</v>
      </c>
      <c r="CK2" s="48">
        <v>27550743.073495403</v>
      </c>
      <c r="CL2" s="48">
        <v>27448531.210490867</v>
      </c>
      <c r="CM2" s="48">
        <v>27347074.945935961</v>
      </c>
    </row>
    <row r="3" spans="1:91" x14ac:dyDescent="0.25">
      <c r="A3" s="48" t="s">
        <v>80</v>
      </c>
      <c r="B3" s="48">
        <v>0</v>
      </c>
      <c r="C3" s="48">
        <v>0</v>
      </c>
      <c r="D3" s="48">
        <v>0</v>
      </c>
      <c r="E3" s="48">
        <v>0</v>
      </c>
      <c r="F3" s="48">
        <v>0</v>
      </c>
      <c r="G3" s="48">
        <v>0</v>
      </c>
      <c r="H3" s="48">
        <v>0</v>
      </c>
      <c r="I3" s="48">
        <v>0</v>
      </c>
      <c r="J3" s="48">
        <v>0</v>
      </c>
      <c r="K3" s="48">
        <v>0</v>
      </c>
      <c r="L3" s="48">
        <v>0</v>
      </c>
      <c r="M3" s="48">
        <v>0</v>
      </c>
      <c r="N3" s="48">
        <v>0</v>
      </c>
      <c r="O3" s="48">
        <v>0</v>
      </c>
      <c r="P3" s="48">
        <v>0</v>
      </c>
      <c r="Q3" s="48">
        <v>0</v>
      </c>
      <c r="R3" s="48">
        <v>0</v>
      </c>
      <c r="S3" s="48">
        <v>0</v>
      </c>
      <c r="T3" s="48">
        <v>0</v>
      </c>
      <c r="U3" s="48">
        <v>0</v>
      </c>
      <c r="V3" s="48">
        <v>0</v>
      </c>
      <c r="W3" s="48">
        <v>0</v>
      </c>
      <c r="X3" s="48">
        <v>0</v>
      </c>
      <c r="Y3" s="48">
        <v>0</v>
      </c>
      <c r="Z3" s="48">
        <v>0</v>
      </c>
      <c r="AA3" s="48">
        <v>0</v>
      </c>
      <c r="AB3" s="48">
        <v>0</v>
      </c>
      <c r="AC3" s="48">
        <v>0</v>
      </c>
      <c r="AD3" s="48">
        <v>0</v>
      </c>
      <c r="AE3" s="48">
        <v>0</v>
      </c>
      <c r="AF3" s="48">
        <v>0</v>
      </c>
      <c r="AG3" s="48">
        <v>0</v>
      </c>
      <c r="AH3" s="48">
        <v>0</v>
      </c>
      <c r="AI3" s="48">
        <v>0</v>
      </c>
      <c r="AJ3" s="48">
        <v>0</v>
      </c>
      <c r="AK3" s="48">
        <v>0</v>
      </c>
      <c r="AL3" s="48">
        <v>0</v>
      </c>
      <c r="AM3" s="48">
        <v>0</v>
      </c>
      <c r="AN3" s="48">
        <v>0</v>
      </c>
      <c r="AO3" s="48">
        <v>0</v>
      </c>
      <c r="AP3" s="48">
        <v>0</v>
      </c>
      <c r="AQ3" s="48">
        <v>0</v>
      </c>
      <c r="AR3" s="48">
        <v>0</v>
      </c>
      <c r="AS3" s="48">
        <v>0</v>
      </c>
      <c r="AT3" s="48">
        <v>0</v>
      </c>
      <c r="AU3" s="48">
        <v>0</v>
      </c>
      <c r="AV3" s="48">
        <v>0</v>
      </c>
      <c r="AW3" s="48">
        <v>0</v>
      </c>
      <c r="AX3" s="48">
        <v>0</v>
      </c>
      <c r="AY3" s="48">
        <v>0</v>
      </c>
      <c r="AZ3" s="48">
        <v>0</v>
      </c>
      <c r="BA3" s="48">
        <v>0</v>
      </c>
      <c r="BB3" s="48">
        <v>0</v>
      </c>
      <c r="BC3" s="48">
        <v>0</v>
      </c>
      <c r="BD3" s="48">
        <v>0</v>
      </c>
      <c r="BE3" s="48">
        <v>0</v>
      </c>
      <c r="BF3" s="48">
        <v>0</v>
      </c>
      <c r="BG3" s="48">
        <v>0</v>
      </c>
      <c r="BH3" s="48">
        <v>0</v>
      </c>
      <c r="BI3" s="48">
        <v>1889155.9418674442</v>
      </c>
      <c r="BJ3" s="48">
        <v>3740902.8551830556</v>
      </c>
      <c r="BK3" s="48">
        <v>5555796.3195787976</v>
      </c>
      <c r="BL3" s="48">
        <v>7334384.580302042</v>
      </c>
      <c r="BM3" s="48">
        <v>9077208.638987679</v>
      </c>
      <c r="BN3" s="48">
        <v>10784802.343351694</v>
      </c>
      <c r="BO3" s="48">
        <v>12457692.475818787</v>
      </c>
      <c r="BP3" s="48">
        <v>14096398.841096224</v>
      </c>
      <c r="BQ3" s="48">
        <v>15701434.352706194</v>
      </c>
      <c r="BR3" s="48">
        <v>17273305.118488658</v>
      </c>
      <c r="BS3" s="48">
        <v>18812510.525086656</v>
      </c>
      <c r="BT3" s="48">
        <v>20319543.321425725</v>
      </c>
      <c r="BU3" s="48">
        <v>21794889.701199207</v>
      </c>
      <c r="BV3" s="48">
        <v>23239029.38437083</v>
      </c>
      <c r="BW3" s="48">
        <v>24652435.697705973</v>
      </c>
      <c r="BX3" s="48">
        <v>26035575.654342938</v>
      </c>
      <c r="BY3" s="48">
        <v>27388910.032415215</v>
      </c>
      <c r="BZ3" s="48">
        <v>28712893.452735819</v>
      </c>
      <c r="CA3" s="48">
        <v>30007974.455554485</v>
      </c>
      <c r="CB3" s="48">
        <v>31274595.57639863</v>
      </c>
      <c r="CC3" s="48">
        <v>32513193.421008468</v>
      </c>
      <c r="CD3" s="48">
        <v>33724198.739377007</v>
      </c>
      <c r="CE3" s="48">
        <v>34908036.498905085</v>
      </c>
      <c r="CF3" s="48">
        <v>36065125.956681952</v>
      </c>
      <c r="CG3" s="48">
        <v>37195880.730901361</v>
      </c>
      <c r="CH3" s="48">
        <v>38300708.871423177</v>
      </c>
      <c r="CI3" s="48">
        <v>39380012.929490693</v>
      </c>
      <c r="CJ3" s="48">
        <v>40434190.026613101</v>
      </c>
      <c r="CK3" s="48">
        <v>41463631.922623046</v>
      </c>
      <c r="CL3" s="48">
        <v>42468725.082918786</v>
      </c>
      <c r="CM3" s="48">
        <v>43449850.744900435</v>
      </c>
    </row>
    <row r="4" spans="1:91" x14ac:dyDescent="0.25">
      <c r="A4" s="48" t="s">
        <v>81</v>
      </c>
      <c r="B4" s="48">
        <v>0</v>
      </c>
      <c r="C4" s="48">
        <v>0</v>
      </c>
      <c r="D4" s="48">
        <v>0</v>
      </c>
      <c r="E4" s="48">
        <v>0</v>
      </c>
      <c r="F4" s="48">
        <v>0</v>
      </c>
      <c r="G4" s="48">
        <v>0</v>
      </c>
      <c r="H4" s="48">
        <v>0</v>
      </c>
      <c r="I4" s="48">
        <v>0</v>
      </c>
      <c r="J4" s="48">
        <v>0</v>
      </c>
      <c r="K4" s="48">
        <v>0</v>
      </c>
      <c r="L4" s="48">
        <v>0</v>
      </c>
      <c r="M4" s="48">
        <v>0</v>
      </c>
      <c r="N4" s="48">
        <v>0</v>
      </c>
      <c r="O4" s="48">
        <v>0</v>
      </c>
      <c r="P4" s="48">
        <v>0</v>
      </c>
      <c r="Q4" s="48">
        <v>0</v>
      </c>
      <c r="R4" s="48">
        <v>0</v>
      </c>
      <c r="S4" s="48">
        <v>0</v>
      </c>
      <c r="T4" s="48">
        <v>0</v>
      </c>
      <c r="U4" s="48">
        <v>0</v>
      </c>
      <c r="V4" s="48">
        <v>0</v>
      </c>
      <c r="W4" s="48">
        <v>0</v>
      </c>
      <c r="X4" s="48">
        <v>0</v>
      </c>
      <c r="Y4" s="48">
        <v>0</v>
      </c>
      <c r="Z4" s="48">
        <v>0</v>
      </c>
      <c r="AA4" s="48">
        <v>0</v>
      </c>
      <c r="AB4" s="48">
        <v>0</v>
      </c>
      <c r="AC4" s="48">
        <v>0</v>
      </c>
      <c r="AD4" s="48">
        <v>0</v>
      </c>
      <c r="AE4" s="48">
        <v>0</v>
      </c>
      <c r="AF4" s="48">
        <v>270161.24955538806</v>
      </c>
      <c r="AG4" s="48">
        <v>534967.18121228588</v>
      </c>
      <c r="AH4" s="48">
        <v>794575.46729436051</v>
      </c>
      <c r="AI4" s="48">
        <v>1049137.6506541937</v>
      </c>
      <c r="AJ4" s="48">
        <v>1298799.4396584283</v>
      </c>
      <c r="AK4" s="48">
        <v>1543700.9862996873</v>
      </c>
      <c r="AL4" s="48">
        <v>1783977.1485506233</v>
      </c>
      <c r="AM4" s="48">
        <v>2019757.7379920268</v>
      </c>
      <c r="AN4" s="48">
        <v>2251167.7536703693</v>
      </c>
      <c r="AO4" s="48">
        <v>2478327.603069996</v>
      </c>
      <c r="AP4" s="48">
        <v>2621817.0316209975</v>
      </c>
      <c r="AQ4" s="48">
        <v>2913751.5380588663</v>
      </c>
      <c r="AR4" s="48">
        <v>3281340.6865054397</v>
      </c>
      <c r="AS4" s="48">
        <v>3066287.3244988308</v>
      </c>
      <c r="AT4" s="48">
        <v>3453257.3071962814</v>
      </c>
      <c r="AU4" s="48">
        <v>4019022.8433644911</v>
      </c>
      <c r="AV4" s="48">
        <v>4818734.9040552219</v>
      </c>
      <c r="AW4" s="48">
        <v>5172925.8328054808</v>
      </c>
      <c r="AX4" s="48">
        <v>7184411.7113961279</v>
      </c>
      <c r="AY4" s="48">
        <v>8025387.3916528122</v>
      </c>
      <c r="AZ4" s="48">
        <v>8854412.5807904359</v>
      </c>
      <c r="BA4" s="48">
        <v>9671740.2112404648</v>
      </c>
      <c r="BB4" s="48">
        <v>10477616.1276772</v>
      </c>
      <c r="BC4" s="48">
        <v>11272279.333560033</v>
      </c>
      <c r="BD4" s="48">
        <v>12055962.227455793</v>
      </c>
      <c r="BE4" s="48">
        <v>12828890.829632103</v>
      </c>
      <c r="BF4" s="48">
        <v>13591284.999385903</v>
      </c>
      <c r="BG4" s="48">
        <v>14343358.643545993</v>
      </c>
      <c r="BH4" s="48">
        <v>15085318.644881405</v>
      </c>
      <c r="BI4" s="48">
        <v>14984577.441109072</v>
      </c>
      <c r="BJ4" s="48">
        <v>14885172.830269817</v>
      </c>
      <c r="BK4" s="48">
        <v>14787078.387610566</v>
      </c>
      <c r="BL4" s="48">
        <v>14690268.380382566</v>
      </c>
      <c r="BM4" s="48">
        <v>14594717.745336197</v>
      </c>
      <c r="BN4" s="48">
        <v>14500402.067088399</v>
      </c>
      <c r="BO4" s="48">
        <v>14407297.557323486</v>
      </c>
      <c r="BP4" s="48">
        <v>14315381.03479014</v>
      </c>
      <c r="BQ4" s="48">
        <v>14224629.90605926</v>
      </c>
      <c r="BR4" s="48">
        <v>14135022.147009073</v>
      </c>
      <c r="BS4" s="48">
        <v>14046536.285005707</v>
      </c>
      <c r="BT4" s="48">
        <v>13959151.381748881</v>
      </c>
      <c r="BU4" s="48">
        <v>13872847.01675394</v>
      </c>
      <c r="BV4" s="48">
        <v>13787603.271442901</v>
      </c>
      <c r="BW4" s="48">
        <v>13703400.713818418</v>
      </c>
      <c r="BX4" s="48">
        <v>13620220.383695945</v>
      </c>
      <c r="BY4" s="48">
        <v>13538043.77847049</v>
      </c>
      <c r="BZ4" s="48">
        <v>13456852.839395542</v>
      </c>
      <c r="CA4" s="48">
        <v>13376629.938352767</v>
      </c>
      <c r="CB4" s="48">
        <v>13297357.865092173</v>
      </c>
      <c r="CC4" s="48">
        <v>13219019.814923245</v>
      </c>
      <c r="CD4" s="48">
        <v>13141599.376838677</v>
      </c>
      <c r="CE4" s="48">
        <v>13065080.522052968</v>
      </c>
      <c r="CF4" s="48">
        <v>12989447.592939148</v>
      </c>
      <c r="CG4" s="48">
        <v>12914685.292347528</v>
      </c>
      <c r="CH4" s="48">
        <v>12840778.673291234</v>
      </c>
      <c r="CI4" s="48">
        <v>12767713.128983853</v>
      </c>
      <c r="CJ4" s="48">
        <v>12695474.383215312</v>
      </c>
      <c r="CK4" s="48">
        <v>12624048.481052591</v>
      </c>
      <c r="CL4" s="48">
        <v>12553421.779852627</v>
      </c>
      <c r="CM4" s="48">
        <v>12483580.940575207</v>
      </c>
    </row>
    <row r="5" spans="1:91" x14ac:dyDescent="0.25">
      <c r="A5" s="48" t="s">
        <v>75</v>
      </c>
      <c r="B5" s="48">
        <v>0</v>
      </c>
      <c r="C5" s="48">
        <v>0</v>
      </c>
      <c r="D5" s="48">
        <v>0</v>
      </c>
      <c r="E5" s="48">
        <v>0</v>
      </c>
      <c r="F5" s="48">
        <v>0</v>
      </c>
      <c r="G5" s="48">
        <v>0</v>
      </c>
      <c r="H5" s="48">
        <v>0</v>
      </c>
      <c r="I5" s="48">
        <v>0</v>
      </c>
      <c r="J5" s="48">
        <v>0</v>
      </c>
      <c r="K5" s="48">
        <v>0</v>
      </c>
      <c r="L5" s="48">
        <v>0</v>
      </c>
      <c r="M5" s="48">
        <v>0</v>
      </c>
      <c r="N5" s="48">
        <v>0</v>
      </c>
      <c r="O5" s="48">
        <v>0</v>
      </c>
      <c r="P5" s="48">
        <v>0</v>
      </c>
      <c r="Q5" s="48">
        <v>0</v>
      </c>
      <c r="R5" s="48">
        <v>0</v>
      </c>
      <c r="S5" s="48">
        <v>0</v>
      </c>
      <c r="T5" s="48">
        <v>0</v>
      </c>
      <c r="U5" s="48">
        <v>0</v>
      </c>
      <c r="V5" s="48">
        <v>0</v>
      </c>
      <c r="W5" s="48">
        <v>0</v>
      </c>
      <c r="X5" s="48">
        <v>0</v>
      </c>
      <c r="Y5" s="48">
        <v>0</v>
      </c>
      <c r="Z5" s="48">
        <v>0</v>
      </c>
      <c r="AA5" s="48">
        <v>0</v>
      </c>
      <c r="AB5" s="48">
        <v>0</v>
      </c>
      <c r="AC5" s="48">
        <v>0</v>
      </c>
      <c r="AD5" s="48">
        <v>0</v>
      </c>
      <c r="AE5" s="48">
        <v>0</v>
      </c>
      <c r="AF5" s="48">
        <v>194049.07492341602</v>
      </c>
      <c r="AG5" s="48">
        <v>381255.24497308611</v>
      </c>
      <c r="AH5" s="48">
        <v>561974.19877558958</v>
      </c>
      <c r="AI5" s="48">
        <v>736537.39359258232</v>
      </c>
      <c r="AJ5" s="48">
        <v>905254.08422466356</v>
      </c>
      <c r="AK5" s="48">
        <v>1068413.1514155138</v>
      </c>
      <c r="AL5" s="48">
        <v>1226284.7524977517</v>
      </c>
      <c r="AM5" s="48">
        <v>1379121.8141210626</v>
      </c>
      <c r="AN5" s="48">
        <v>1527161.3844119962</v>
      </c>
      <c r="AO5" s="48">
        <v>1670625.8597701294</v>
      </c>
      <c r="AP5" s="48">
        <v>1756440.1693223289</v>
      </c>
      <c r="AQ5" s="48">
        <v>1940254.0818755243</v>
      </c>
      <c r="AR5" s="48">
        <v>2172174.8990216735</v>
      </c>
      <c r="AS5" s="48">
        <v>2018151.3242159788</v>
      </c>
      <c r="AT5" s="48">
        <v>2260086.9140459197</v>
      </c>
      <c r="AU5" s="48">
        <v>2615940.6269577206</v>
      </c>
      <c r="AV5" s="48">
        <v>3132063.5329496893</v>
      </c>
      <c r="AW5" s="48">
        <v>3357635.840045406</v>
      </c>
      <c r="AX5" s="48">
        <v>4656909.806600987</v>
      </c>
      <c r="AY5" s="48">
        <v>5195066.7732302053</v>
      </c>
      <c r="AZ5" s="48">
        <v>5724168.6579570202</v>
      </c>
      <c r="BA5" s="48">
        <v>6244442.0966272661</v>
      </c>
      <c r="BB5" s="48">
        <v>6756106.224498447</v>
      </c>
      <c r="BC5" s="48">
        <v>7259372.9839865956</v>
      </c>
      <c r="BD5" s="48">
        <v>7754447.4173842892</v>
      </c>
      <c r="BE5" s="48">
        <v>8241527.9453992406</v>
      </c>
      <c r="BF5" s="48">
        <v>8720806.6323083751</v>
      </c>
      <c r="BG5" s="48">
        <v>9192469.4384717569</v>
      </c>
      <c r="BH5" s="48">
        <v>9656695.6468499955</v>
      </c>
      <c r="BI5" s="48">
        <v>9581171.860664973</v>
      </c>
      <c r="BJ5" s="48">
        <v>9506820.2310099155</v>
      </c>
      <c r="BK5" s="48">
        <v>9433613.6795762256</v>
      </c>
      <c r="BL5" s="48">
        <v>9361525.9557396863</v>
      </c>
      <c r="BM5" s="48">
        <v>9290531.605176175</v>
      </c>
      <c r="BN5" s="48">
        <v>9220605.9398947004</v>
      </c>
      <c r="BO5" s="48">
        <v>9151725.0096136183</v>
      </c>
      <c r="BP5" s="48">
        <v>9083865.5744102951</v>
      </c>
      <c r="BQ5" s="48">
        <v>9017005.078578623</v>
      </c>
      <c r="BR5" s="48">
        <v>8951121.6256326288</v>
      </c>
      <c r="BS5" s="48">
        <v>8886193.9543979298</v>
      </c>
      <c r="BT5" s="48">
        <v>8822201.4161362629</v>
      </c>
      <c r="BU5" s="48">
        <v>8759123.952651307</v>
      </c>
      <c r="BV5" s="48">
        <v>8696942.0753271487</v>
      </c>
      <c r="BW5" s="48">
        <v>8635636.8450532295</v>
      </c>
      <c r="BX5" s="48">
        <v>8575189.8529924583</v>
      </c>
      <c r="BY5" s="48">
        <v>8515583.2021513972</v>
      </c>
      <c r="BZ5" s="48">
        <v>8456799.4897137899</v>
      </c>
      <c r="CA5" s="48">
        <v>8398821.7901007663</v>
      </c>
      <c r="CB5" s="48">
        <v>8341633.6387231695</v>
      </c>
      <c r="CC5" s="48">
        <v>8285219.0163931036</v>
      </c>
      <c r="CD5" s="48">
        <v>8229562.3343638591</v>
      </c>
      <c r="CE5" s="48">
        <v>8174648.4199687336</v>
      </c>
      <c r="CF5" s="48">
        <v>8120462.5028310474</v>
      </c>
      <c r="CG5" s="48">
        <v>8066990.2016189592</v>
      </c>
      <c r="CH5" s="48">
        <v>8014217.5113202166</v>
      </c>
      <c r="CI5" s="48">
        <v>7962130.7910130639</v>
      </c>
      <c r="CJ5" s="48">
        <v>7910716.7521110447</v>
      </c>
      <c r="CK5" s="48">
        <v>7859962.4470602227</v>
      </c>
      <c r="CL5" s="48">
        <v>7809855.2584688356</v>
      </c>
      <c r="CM5" s="48">
        <v>7760382.8886500224</v>
      </c>
    </row>
    <row r="6" spans="1:91" x14ac:dyDescent="0.25">
      <c r="A6" s="48" t="s">
        <v>76</v>
      </c>
      <c r="B6" s="48">
        <v>0</v>
      </c>
      <c r="C6" s="48">
        <v>0</v>
      </c>
      <c r="D6" s="48">
        <v>0</v>
      </c>
      <c r="E6" s="48">
        <v>0</v>
      </c>
      <c r="F6" s="48">
        <v>0</v>
      </c>
      <c r="G6" s="48">
        <v>0</v>
      </c>
      <c r="H6" s="48">
        <v>0</v>
      </c>
      <c r="I6" s="48">
        <v>0</v>
      </c>
      <c r="J6" s="48">
        <v>0</v>
      </c>
      <c r="K6" s="48">
        <v>0</v>
      </c>
      <c r="L6" s="48">
        <v>0</v>
      </c>
      <c r="M6" s="48">
        <v>0</v>
      </c>
      <c r="N6" s="48">
        <v>0</v>
      </c>
      <c r="O6" s="48">
        <v>0</v>
      </c>
      <c r="P6" s="48">
        <v>0</v>
      </c>
      <c r="Q6" s="48">
        <v>0</v>
      </c>
      <c r="R6" s="48">
        <v>0</v>
      </c>
      <c r="S6" s="48">
        <v>0</v>
      </c>
      <c r="T6" s="48">
        <v>0</v>
      </c>
      <c r="U6" s="48">
        <v>0</v>
      </c>
      <c r="V6" s="48">
        <v>0</v>
      </c>
      <c r="W6" s="48">
        <v>0</v>
      </c>
      <c r="X6" s="48">
        <v>0</v>
      </c>
      <c r="Y6" s="48">
        <v>0</v>
      </c>
      <c r="Z6" s="48">
        <v>0</v>
      </c>
      <c r="AA6" s="48">
        <v>0</v>
      </c>
      <c r="AB6" s="48">
        <v>0</v>
      </c>
      <c r="AC6" s="48">
        <v>0</v>
      </c>
      <c r="AD6" s="48">
        <v>0</v>
      </c>
      <c r="AE6" s="48">
        <v>0</v>
      </c>
      <c r="AF6" s="48">
        <v>340168.03052168625</v>
      </c>
      <c r="AG6" s="48">
        <v>669268.5683244575</v>
      </c>
      <c r="AH6" s="48">
        <v>987833.09489007608</v>
      </c>
      <c r="AI6" s="48">
        <v>1296359.5975515635</v>
      </c>
      <c r="AJ6" s="48">
        <v>1595315.1670841221</v>
      </c>
      <c r="AK6" s="48">
        <v>1885138.3572454581</v>
      </c>
      <c r="AL6" s="48">
        <v>2166241.3313341513</v>
      </c>
      <c r="AM6" s="48">
        <v>2439011.8178624194</v>
      </c>
      <c r="AN6" s="48">
        <v>2703814.8948579407</v>
      </c>
      <c r="AO6" s="48">
        <v>2960994.620062171</v>
      </c>
      <c r="AP6" s="48">
        <v>3116337.3174925712</v>
      </c>
      <c r="AQ6" s="48">
        <v>3445952.3433444318</v>
      </c>
      <c r="AR6" s="48">
        <v>3861645.979367699</v>
      </c>
      <c r="AS6" s="48">
        <v>3591256.0607808442</v>
      </c>
      <c r="AT6" s="48">
        <v>4025513.0527243656</v>
      </c>
      <c r="AU6" s="48">
        <v>4663547.2756360602</v>
      </c>
      <c r="AV6" s="48">
        <v>5585113.6709762039</v>
      </c>
      <c r="AW6" s="48">
        <v>5988886.4228482135</v>
      </c>
      <c r="AX6" s="48">
        <v>8308439.6686795987</v>
      </c>
      <c r="AY6" s="48">
        <v>9270861.8871248569</v>
      </c>
      <c r="AZ6" s="48">
        <v>10217554.239816897</v>
      </c>
      <c r="BA6" s="48">
        <v>11148899.235185772</v>
      </c>
      <c r="BB6" s="48">
        <v>12065267.079267308</v>
      </c>
      <c r="BC6" s="48">
        <v>12967016.166351406</v>
      </c>
      <c r="BD6" s="48">
        <v>13854493.546334296</v>
      </c>
      <c r="BE6" s="48">
        <v>14728035.370054984</v>
      </c>
      <c r="BF6" s="48">
        <v>15587967.31381667</v>
      </c>
      <c r="BG6" s="48">
        <v>16434604.984219169</v>
      </c>
      <c r="BH6" s="48">
        <v>17268252.848655928</v>
      </c>
      <c r="BI6" s="48">
        <v>17136804.164852947</v>
      </c>
      <c r="BJ6" s="48">
        <v>17007341.579080597</v>
      </c>
      <c r="BK6" s="48">
        <v>16879820.416009162</v>
      </c>
      <c r="BL6" s="48">
        <v>16754197.330240795</v>
      </c>
      <c r="BM6" s="48">
        <v>16630430.257186987</v>
      </c>
      <c r="BN6" s="48">
        <v>16508478.366107291</v>
      </c>
      <c r="BO6" s="48">
        <v>16388302.015199296</v>
      </c>
      <c r="BP6" s="48">
        <v>16269862.708635932</v>
      </c>
      <c r="BQ6" s="48">
        <v>16153123.05545246</v>
      </c>
      <c r="BR6" s="48">
        <v>16038046.73019072</v>
      </c>
      <c r="BS6" s="48">
        <v>15924598.435213812</v>
      </c>
      <c r="BT6" s="48">
        <v>15812743.864608934</v>
      </c>
      <c r="BU6" s="48">
        <v>15702449.669600913</v>
      </c>
      <c r="BV6" s="48">
        <v>15593683.425403144</v>
      </c>
      <c r="BW6" s="48">
        <v>15486413.599436769</v>
      </c>
      <c r="BX6" s="48">
        <v>15380609.520852553</v>
      </c>
      <c r="BY6" s="48">
        <v>15276241.351293752</v>
      </c>
      <c r="BZ6" s="48">
        <v>15173280.056841247</v>
      </c>
      <c r="CA6" s="48">
        <v>15071697.381085629</v>
      </c>
      <c r="CB6" s="48">
        <v>14971465.81927379</v>
      </c>
      <c r="CC6" s="48">
        <v>14872558.593480274</v>
      </c>
      <c r="CD6" s="48">
        <v>14774949.628756328</v>
      </c>
      <c r="CE6" s="48">
        <v>14678613.530212061</v>
      </c>
      <c r="CF6" s="48">
        <v>14583525.560989348</v>
      </c>
      <c r="CG6" s="48">
        <v>14489661.621085387</v>
      </c>
      <c r="CH6" s="48">
        <v>14396998.226988804</v>
      </c>
      <c r="CI6" s="48">
        <v>14305512.492092194</v>
      </c>
      <c r="CJ6" s="48">
        <v>14215182.1078467</v>
      </c>
      <c r="CK6" s="48">
        <v>14125985.325626187</v>
      </c>
      <c r="CL6" s="48">
        <v>14037900.939269852</v>
      </c>
      <c r="CM6" s="48">
        <v>13950908.268273998</v>
      </c>
    </row>
    <row r="7" spans="1:91" x14ac:dyDescent="0.25">
      <c r="A7" s="48" t="s">
        <v>82</v>
      </c>
      <c r="B7" s="48">
        <v>0</v>
      </c>
      <c r="C7" s="48">
        <v>0</v>
      </c>
      <c r="D7" s="48">
        <v>0</v>
      </c>
      <c r="E7" s="48">
        <v>0</v>
      </c>
      <c r="F7" s="48">
        <v>0</v>
      </c>
      <c r="G7" s="48">
        <v>0</v>
      </c>
      <c r="H7" s="48">
        <v>0</v>
      </c>
      <c r="I7" s="48">
        <v>0</v>
      </c>
      <c r="J7" s="48">
        <v>0</v>
      </c>
      <c r="K7" s="48">
        <v>0</v>
      </c>
      <c r="L7" s="48">
        <v>0</v>
      </c>
      <c r="M7" s="48">
        <v>0</v>
      </c>
      <c r="N7" s="48">
        <v>0</v>
      </c>
      <c r="O7" s="48">
        <v>0</v>
      </c>
      <c r="P7" s="48">
        <v>0</v>
      </c>
      <c r="Q7" s="48">
        <v>0</v>
      </c>
      <c r="R7" s="48">
        <v>0</v>
      </c>
      <c r="S7" s="48">
        <v>0</v>
      </c>
      <c r="T7" s="48">
        <v>0</v>
      </c>
      <c r="U7" s="48">
        <v>0</v>
      </c>
      <c r="V7" s="48">
        <v>0</v>
      </c>
      <c r="W7" s="48">
        <v>0</v>
      </c>
      <c r="X7" s="48">
        <v>0</v>
      </c>
      <c r="Y7" s="48">
        <v>0</v>
      </c>
      <c r="Z7" s="48">
        <v>0</v>
      </c>
      <c r="AA7" s="48">
        <v>0</v>
      </c>
      <c r="AB7" s="48">
        <v>0</v>
      </c>
      <c r="AC7" s="48">
        <v>0</v>
      </c>
      <c r="AD7" s="48">
        <v>0</v>
      </c>
      <c r="AE7" s="48">
        <v>0</v>
      </c>
      <c r="AF7" s="48">
        <v>25254.417684758395</v>
      </c>
      <c r="AG7" s="48">
        <v>50156.792863272909</v>
      </c>
      <c r="AH7" s="48">
        <v>74714.435707804325</v>
      </c>
      <c r="AI7" s="48">
        <v>98934.455387324124</v>
      </c>
      <c r="AJ7" s="48">
        <v>122823.76692892735</v>
      </c>
      <c r="AK7" s="48">
        <v>146389.09780008771</v>
      </c>
      <c r="AL7" s="48">
        <v>169636.99422491551</v>
      </c>
      <c r="AM7" s="48">
        <v>192573.827246876</v>
      </c>
      <c r="AN7" s="48">
        <v>215205.79854976168</v>
      </c>
      <c r="AO7" s="48">
        <v>237538.94604809227</v>
      </c>
      <c r="AP7" s="48">
        <v>254811.94858238936</v>
      </c>
      <c r="AQ7" s="48">
        <v>295993.59148636641</v>
      </c>
      <c r="AR7" s="48">
        <v>362040.28940787079</v>
      </c>
      <c r="AS7" s="48">
        <v>394983.1347717726</v>
      </c>
      <c r="AT7" s="48">
        <v>449369.3348682482</v>
      </c>
      <c r="AU7" s="48">
        <v>546283.92762449128</v>
      </c>
      <c r="AV7" s="48">
        <v>697057.22761212033</v>
      </c>
      <c r="AW7" s="48">
        <v>904890.38298640342</v>
      </c>
      <c r="AX7" s="48">
        <v>1040252.2137375725</v>
      </c>
      <c r="AY7" s="48">
        <v>1124810.4473007186</v>
      </c>
      <c r="AZ7" s="48">
        <v>1207449.3262558738</v>
      </c>
      <c r="BA7" s="48">
        <v>1288233.4672793671</v>
      </c>
      <c r="BB7" s="48">
        <v>1367224.6187363716</v>
      </c>
      <c r="BC7" s="48">
        <v>1444481.8180882216</v>
      </c>
      <c r="BD7" s="48">
        <v>1520061.5390464254</v>
      </c>
      <c r="BE7" s="48">
        <v>1594017.8292441901</v>
      </c>
      <c r="BF7" s="48">
        <v>1666402.4391307861</v>
      </c>
      <c r="BG7" s="48">
        <v>1737264.9427347207</v>
      </c>
      <c r="BH7" s="48">
        <v>1806652.828141141</v>
      </c>
      <c r="BI7" s="48">
        <v>1788048.8516499852</v>
      </c>
      <c r="BJ7" s="48">
        <v>1769824.1181677091</v>
      </c>
      <c r="BK7" s="48">
        <v>1751967.1483655686</v>
      </c>
      <c r="BL7" s="48">
        <v>1734466.9215783433</v>
      </c>
      <c r="BM7" s="48">
        <v>1717312.8531231727</v>
      </c>
      <c r="BN7" s="48">
        <v>1700494.7729511284</v>
      </c>
      <c r="BO7" s="48">
        <v>1684002.9055410421</v>
      </c>
      <c r="BP7" s="48">
        <v>1667827.8509520674</v>
      </c>
      <c r="BQ7" s="48">
        <v>1651960.566957809</v>
      </c>
      <c r="BR7" s="48">
        <v>1636392.3521906671</v>
      </c>
      <c r="BS7" s="48">
        <v>1621114.8302303809</v>
      </c>
      <c r="BT7" s="48">
        <v>1606119.9345756292</v>
      </c>
      <c r="BU7" s="48">
        <v>1591399.894442044</v>
      </c>
      <c r="BV7" s="48">
        <v>1576947.2213340942</v>
      </c>
      <c r="BW7" s="48">
        <v>1562754.6963420871</v>
      </c>
      <c r="BX7" s="48">
        <v>1548815.358119016</v>
      </c>
      <c r="BY7" s="48">
        <v>1535122.4914951741</v>
      </c>
      <c r="BZ7" s="48">
        <v>1521669.6166914189</v>
      </c>
      <c r="CA7" s="48">
        <v>1508450.4790946788</v>
      </c>
      <c r="CB7" s="48">
        <v>1495459.0395618058</v>
      </c>
      <c r="CC7" s="48">
        <v>1482689.4652201966</v>
      </c>
      <c r="CD7" s="48">
        <v>1470136.1207357359</v>
      </c>
      <c r="CE7" s="48">
        <v>1457793.5600206037</v>
      </c>
      <c r="CF7" s="48">
        <v>1445656.5183553074</v>
      </c>
      <c r="CG7" s="48">
        <v>1433719.9049009974</v>
      </c>
      <c r="CH7" s="48">
        <v>1421978.7955796972</v>
      </c>
      <c r="CI7" s="48">
        <v>1410428.4263015226</v>
      </c>
      <c r="CJ7" s="48">
        <v>1399064.1865193259</v>
      </c>
      <c r="CK7" s="48">
        <v>1387881.6130924399</v>
      </c>
      <c r="CL7" s="48">
        <v>1376876.3844423676</v>
      </c>
      <c r="CM7" s="48">
        <v>1366044.3149843419</v>
      </c>
    </row>
    <row r="8" spans="1:91" x14ac:dyDescent="0.25">
      <c r="A8" s="48" t="s">
        <v>83</v>
      </c>
      <c r="B8" s="48">
        <v>0</v>
      </c>
      <c r="C8" s="48">
        <v>0</v>
      </c>
      <c r="D8" s="48">
        <v>0</v>
      </c>
      <c r="E8" s="48">
        <v>0</v>
      </c>
      <c r="F8" s="48">
        <v>0</v>
      </c>
      <c r="G8" s="48">
        <v>0</v>
      </c>
      <c r="H8" s="48">
        <v>0</v>
      </c>
      <c r="I8" s="48">
        <v>0</v>
      </c>
      <c r="J8" s="48">
        <v>0</v>
      </c>
      <c r="K8" s="48">
        <v>0</v>
      </c>
      <c r="L8" s="48">
        <v>0</v>
      </c>
      <c r="M8" s="48">
        <v>0</v>
      </c>
      <c r="N8" s="48">
        <v>0</v>
      </c>
      <c r="O8" s="48">
        <v>0</v>
      </c>
      <c r="P8" s="48">
        <v>0</v>
      </c>
      <c r="Q8" s="48">
        <v>0</v>
      </c>
      <c r="R8" s="48">
        <v>0</v>
      </c>
      <c r="S8" s="48">
        <v>0</v>
      </c>
      <c r="T8" s="48">
        <v>0</v>
      </c>
      <c r="U8" s="48">
        <v>0</v>
      </c>
      <c r="V8" s="48">
        <v>0</v>
      </c>
      <c r="W8" s="48">
        <v>0</v>
      </c>
      <c r="X8" s="48">
        <v>0</v>
      </c>
      <c r="Y8" s="48">
        <v>0</v>
      </c>
      <c r="Z8" s="48">
        <v>0</v>
      </c>
      <c r="AA8" s="48">
        <v>0</v>
      </c>
      <c r="AB8" s="48">
        <v>0</v>
      </c>
      <c r="AC8" s="48">
        <v>0</v>
      </c>
      <c r="AD8" s="48">
        <v>0</v>
      </c>
      <c r="AE8" s="48">
        <v>0</v>
      </c>
      <c r="AF8" s="48">
        <v>0</v>
      </c>
      <c r="AG8" s="48">
        <v>0</v>
      </c>
      <c r="AH8" s="48">
        <v>0</v>
      </c>
      <c r="AI8" s="48">
        <v>0</v>
      </c>
      <c r="AJ8" s="48">
        <v>0</v>
      </c>
      <c r="AK8" s="48">
        <v>0</v>
      </c>
      <c r="AL8" s="48">
        <v>0</v>
      </c>
      <c r="AM8" s="48">
        <v>0</v>
      </c>
      <c r="AN8" s="48">
        <v>0</v>
      </c>
      <c r="AO8" s="48">
        <v>0</v>
      </c>
      <c r="AP8" s="48">
        <v>0</v>
      </c>
      <c r="AQ8" s="48">
        <v>0</v>
      </c>
      <c r="AR8" s="48">
        <v>0</v>
      </c>
      <c r="AS8" s="48">
        <v>0</v>
      </c>
      <c r="AT8" s="48">
        <v>0</v>
      </c>
      <c r="AU8" s="48">
        <v>0</v>
      </c>
      <c r="AV8" s="48">
        <v>0</v>
      </c>
      <c r="AW8" s="48">
        <v>0</v>
      </c>
      <c r="AX8" s="48">
        <v>0</v>
      </c>
      <c r="AY8" s="48">
        <v>0</v>
      </c>
      <c r="AZ8" s="48">
        <v>0</v>
      </c>
      <c r="BA8" s="48">
        <v>0</v>
      </c>
      <c r="BB8" s="48">
        <v>0</v>
      </c>
      <c r="BC8" s="48">
        <v>0</v>
      </c>
      <c r="BD8" s="48">
        <v>0</v>
      </c>
      <c r="BE8" s="48">
        <v>0</v>
      </c>
      <c r="BF8" s="48">
        <v>0</v>
      </c>
      <c r="BG8" s="48">
        <v>0</v>
      </c>
      <c r="BH8" s="48">
        <v>0</v>
      </c>
      <c r="BI8" s="48">
        <v>5232247.2894498259</v>
      </c>
      <c r="BJ8" s="48">
        <v>7009730.7633223142</v>
      </c>
      <c r="BK8" s="48">
        <v>8751503.6295081396</v>
      </c>
      <c r="BL8" s="48">
        <v>10458098.78275083</v>
      </c>
      <c r="BM8" s="48">
        <v>12130042.066119537</v>
      </c>
      <c r="BN8" s="48">
        <v>13767852.358406657</v>
      </c>
      <c r="BO8" s="48">
        <v>15372041.660486143</v>
      </c>
      <c r="BP8" s="48">
        <v>16943115.1806444</v>
      </c>
      <c r="BQ8" s="48">
        <v>18481571.418895736</v>
      </c>
      <c r="BR8" s="48">
        <v>19987902.250294078</v>
      </c>
      <c r="BS8" s="48">
        <v>21462593.007252529</v>
      </c>
      <c r="BT8" s="48">
        <v>22906122.560882293</v>
      </c>
      <c r="BU8" s="48">
        <v>24318963.401362326</v>
      </c>
      <c r="BV8" s="48">
        <v>25701581.717350844</v>
      </c>
      <c r="BW8" s="48">
        <v>27054437.47444994</v>
      </c>
      <c r="BX8" s="48">
        <v>28377984.492734082</v>
      </c>
      <c r="BY8" s="48">
        <v>29672670.523353491</v>
      </c>
      <c r="BZ8" s="48">
        <v>30938937.324223094</v>
      </c>
      <c r="CA8" s="48">
        <v>32177220.734807525</v>
      </c>
      <c r="CB8" s="48">
        <v>33387950.750012852</v>
      </c>
      <c r="CC8" s="48">
        <v>34571551.593195207</v>
      </c>
      <c r="CD8" s="48">
        <v>35728441.7882967</v>
      </c>
      <c r="CE8" s="48">
        <v>36859034.231118649</v>
      </c>
      <c r="CF8" s="48">
        <v>37963736.259742148</v>
      </c>
      <c r="CG8" s="48">
        <v>39042949.724105962</v>
      </c>
      <c r="CH8" s="48">
        <v>40097071.054751404</v>
      </c>
      <c r="CI8" s="48">
        <v>41126491.330743901</v>
      </c>
      <c r="CJ8" s="48">
        <v>42131596.346780986</v>
      </c>
      <c r="CK8" s="48">
        <v>43112766.679495826</v>
      </c>
      <c r="CL8" s="48">
        <v>44070377.752965979</v>
      </c>
      <c r="CM8" s="48">
        <v>45004799.903436415</v>
      </c>
    </row>
    <row r="9" spans="1:91" x14ac:dyDescent="0.25">
      <c r="A9" s="48" t="s">
        <v>80</v>
      </c>
      <c r="B9" s="48">
        <v>0</v>
      </c>
      <c r="C9" s="48">
        <v>0</v>
      </c>
      <c r="D9" s="48">
        <v>0</v>
      </c>
      <c r="E9" s="48">
        <v>0</v>
      </c>
      <c r="F9" s="48">
        <v>0</v>
      </c>
      <c r="G9" s="48">
        <v>0</v>
      </c>
      <c r="H9" s="48">
        <v>0</v>
      </c>
      <c r="I9" s="48">
        <v>0</v>
      </c>
      <c r="J9" s="48">
        <v>0</v>
      </c>
      <c r="K9" s="48">
        <v>0</v>
      </c>
      <c r="L9" s="48">
        <v>0</v>
      </c>
      <c r="M9" s="48">
        <v>0</v>
      </c>
      <c r="N9" s="48">
        <v>0</v>
      </c>
      <c r="O9" s="48">
        <v>0</v>
      </c>
      <c r="P9" s="48">
        <v>0</v>
      </c>
      <c r="Q9" s="48">
        <v>0</v>
      </c>
      <c r="R9" s="48">
        <v>0</v>
      </c>
      <c r="S9" s="48">
        <v>0</v>
      </c>
      <c r="T9" s="48">
        <v>0</v>
      </c>
      <c r="U9" s="48">
        <v>0</v>
      </c>
      <c r="V9" s="48">
        <v>0</v>
      </c>
      <c r="W9" s="48">
        <v>0</v>
      </c>
      <c r="X9" s="48">
        <v>0</v>
      </c>
      <c r="Y9" s="48">
        <v>0</v>
      </c>
      <c r="Z9" s="48">
        <v>0</v>
      </c>
      <c r="AA9" s="48">
        <v>0</v>
      </c>
      <c r="AB9" s="48">
        <v>0</v>
      </c>
      <c r="AC9" s="48">
        <v>0</v>
      </c>
      <c r="AD9" s="48">
        <v>0</v>
      </c>
      <c r="AE9" s="48">
        <v>0</v>
      </c>
      <c r="AF9" s="48">
        <v>3416.4412662625296</v>
      </c>
      <c r="AG9" s="48">
        <v>6832.8825325250591</v>
      </c>
      <c r="AH9" s="48">
        <v>10249.323798787587</v>
      </c>
      <c r="AI9" s="48">
        <v>13665.765065050118</v>
      </c>
      <c r="AJ9" s="48">
        <v>17082.206331312645</v>
      </c>
      <c r="AK9" s="48">
        <v>20498.647597575175</v>
      </c>
      <c r="AL9" s="48">
        <v>23915.088863837707</v>
      </c>
      <c r="AM9" s="48">
        <v>27331.530130100236</v>
      </c>
      <c r="AN9" s="48">
        <v>30747.971396362755</v>
      </c>
      <c r="AO9" s="48">
        <v>34164.412662625291</v>
      </c>
      <c r="AP9" s="48">
        <v>36890.677261253244</v>
      </c>
      <c r="AQ9" s="48">
        <v>43133.844875324197</v>
      </c>
      <c r="AR9" s="48">
        <v>53102.302593334723</v>
      </c>
      <c r="AS9" s="48">
        <v>58309.240873589188</v>
      </c>
      <c r="AT9" s="48">
        <v>66764.666817619684</v>
      </c>
      <c r="AU9" s="48">
        <v>81682.374948510493</v>
      </c>
      <c r="AV9" s="48">
        <v>105480.61411907786</v>
      </c>
      <c r="AW9" s="48">
        <v>138558.46956944911</v>
      </c>
      <c r="AX9" s="48">
        <v>161156.81907767052</v>
      </c>
      <c r="AY9" s="48">
        <v>176280.28322862033</v>
      </c>
      <c r="AZ9" s="48">
        <v>191403.74737957012</v>
      </c>
      <c r="BA9" s="48">
        <v>206527.21153051991</v>
      </c>
      <c r="BB9" s="48">
        <v>221650.67568146973</v>
      </c>
      <c r="BC9" s="48">
        <v>236774.13983241952</v>
      </c>
      <c r="BD9" s="48">
        <v>251897.60398336934</v>
      </c>
      <c r="BE9" s="48">
        <v>267021.06813431915</v>
      </c>
      <c r="BF9" s="48">
        <v>282144.53228526888</v>
      </c>
      <c r="BG9" s="48">
        <v>297267.99643621867</v>
      </c>
      <c r="BH9" s="48">
        <v>312391.45665398089</v>
      </c>
      <c r="BI9" s="48">
        <v>312391.45665398089</v>
      </c>
      <c r="BJ9" s="48">
        <v>312391.45665398089</v>
      </c>
      <c r="BK9" s="48">
        <v>312391.45665398089</v>
      </c>
      <c r="BL9" s="48">
        <v>312391.45665398089</v>
      </c>
      <c r="BM9" s="48">
        <v>312391.45665398089</v>
      </c>
      <c r="BN9" s="48">
        <v>312391.45665398089</v>
      </c>
      <c r="BO9" s="48">
        <v>312391.45665398089</v>
      </c>
      <c r="BP9" s="48">
        <v>312391.45665398089</v>
      </c>
      <c r="BQ9" s="48">
        <v>312391.45665398089</v>
      </c>
      <c r="BR9" s="48">
        <v>312391.45665398089</v>
      </c>
      <c r="BS9" s="48">
        <v>312391.45665398089</v>
      </c>
      <c r="BT9" s="48">
        <v>312391.45665398089</v>
      </c>
      <c r="BU9" s="48">
        <v>312391.45665398089</v>
      </c>
      <c r="BV9" s="48">
        <v>312391.45665398089</v>
      </c>
      <c r="BW9" s="48">
        <v>312391.45665398089</v>
      </c>
      <c r="BX9" s="48">
        <v>312391.45665398089</v>
      </c>
      <c r="BY9" s="48">
        <v>312391.45665398089</v>
      </c>
      <c r="BZ9" s="48">
        <v>312391.45665398089</v>
      </c>
      <c r="CA9" s="48">
        <v>312391.45665398089</v>
      </c>
      <c r="CB9" s="48">
        <v>312391.45665398089</v>
      </c>
      <c r="CC9" s="48">
        <v>312391.45665398089</v>
      </c>
      <c r="CD9" s="48">
        <v>312391.45665398089</v>
      </c>
      <c r="CE9" s="48">
        <v>312391.45665398089</v>
      </c>
      <c r="CF9" s="48">
        <v>312391.45665398089</v>
      </c>
      <c r="CG9" s="48">
        <v>312391.45665398089</v>
      </c>
      <c r="CH9" s="48">
        <v>312391.45665398089</v>
      </c>
      <c r="CI9" s="48">
        <v>312391.45665398089</v>
      </c>
      <c r="CJ9" s="48">
        <v>312391.45665398089</v>
      </c>
      <c r="CK9" s="48">
        <v>312391.45665398089</v>
      </c>
      <c r="CL9" s="48">
        <v>312391.45665398089</v>
      </c>
      <c r="CM9" s="48">
        <v>312391.45665398089</v>
      </c>
    </row>
    <row r="10" spans="1:91" x14ac:dyDescent="0.25">
      <c r="A10" s="48" t="s">
        <v>84</v>
      </c>
      <c r="B10" s="48">
        <v>0</v>
      </c>
      <c r="C10" s="48">
        <v>0</v>
      </c>
      <c r="D10" s="48">
        <v>0</v>
      </c>
      <c r="E10" s="48">
        <v>0</v>
      </c>
      <c r="F10" s="48">
        <v>0</v>
      </c>
      <c r="G10" s="48">
        <v>0</v>
      </c>
      <c r="H10" s="48">
        <v>0</v>
      </c>
      <c r="I10" s="48">
        <v>0</v>
      </c>
      <c r="J10" s="48">
        <v>0</v>
      </c>
      <c r="K10" s="48">
        <v>0</v>
      </c>
      <c r="L10" s="48">
        <v>0</v>
      </c>
      <c r="M10" s="48">
        <v>0</v>
      </c>
      <c r="N10" s="48">
        <v>0</v>
      </c>
      <c r="O10" s="48">
        <v>0</v>
      </c>
      <c r="P10" s="48">
        <v>0</v>
      </c>
      <c r="Q10" s="48">
        <v>0</v>
      </c>
      <c r="R10" s="48">
        <v>0</v>
      </c>
      <c r="S10" s="48">
        <v>0</v>
      </c>
      <c r="T10" s="48">
        <v>0</v>
      </c>
      <c r="U10" s="48">
        <v>0</v>
      </c>
      <c r="V10" s="48">
        <v>0</v>
      </c>
      <c r="W10" s="48">
        <v>0</v>
      </c>
      <c r="X10" s="48">
        <v>0</v>
      </c>
      <c r="Y10" s="48">
        <v>0</v>
      </c>
      <c r="Z10" s="48">
        <v>0</v>
      </c>
      <c r="AA10" s="48">
        <v>0</v>
      </c>
      <c r="AB10" s="48">
        <v>0</v>
      </c>
      <c r="AC10" s="48">
        <v>0</v>
      </c>
      <c r="AD10" s="48">
        <v>0</v>
      </c>
      <c r="AE10" s="48">
        <v>0</v>
      </c>
      <c r="AF10" s="48">
        <v>0</v>
      </c>
      <c r="AG10" s="48">
        <v>0</v>
      </c>
      <c r="AH10" s="48">
        <v>0</v>
      </c>
      <c r="AI10" s="48">
        <v>0</v>
      </c>
      <c r="AJ10" s="48">
        <v>0</v>
      </c>
      <c r="AK10" s="48">
        <v>0</v>
      </c>
      <c r="AL10" s="48">
        <v>0</v>
      </c>
      <c r="AM10" s="48">
        <v>0</v>
      </c>
      <c r="AN10" s="48">
        <v>0</v>
      </c>
      <c r="AO10" s="48">
        <v>0</v>
      </c>
      <c r="AP10" s="48">
        <v>68980.364085721056</v>
      </c>
      <c r="AQ10" s="48">
        <v>83401.554127270196</v>
      </c>
      <c r="AR10" s="48">
        <v>111702.67319864212</v>
      </c>
      <c r="AS10" s="48">
        <v>216760.92660335195</v>
      </c>
      <c r="AT10" s="48">
        <v>697208.05298994563</v>
      </c>
      <c r="AU10" s="48">
        <v>1901550.8592583756</v>
      </c>
      <c r="AV10" s="48">
        <v>3681291.6218185239</v>
      </c>
      <c r="AW10" s="48">
        <v>4557838.0832964052</v>
      </c>
      <c r="AX10" s="48">
        <v>4777637.3089934224</v>
      </c>
      <c r="AY10" s="48">
        <v>4993103.772799449</v>
      </c>
      <c r="AZ10" s="48">
        <v>5204364.3377849916</v>
      </c>
      <c r="BA10" s="48">
        <v>5411540.9621653156</v>
      </c>
      <c r="BB10" s="48">
        <v>5614750.9340742351</v>
      </c>
      <c r="BC10" s="48">
        <v>5814107.0929806447</v>
      </c>
      <c r="BD10" s="48">
        <v>6009718.0386261465</v>
      </c>
      <c r="BE10" s="48">
        <v>6201688.3282965655</v>
      </c>
      <c r="BF10" s="48">
        <v>6390118.6631803587</v>
      </c>
      <c r="BG10" s="48">
        <v>6575106.0645117871</v>
      </c>
      <c r="BH10" s="48">
        <v>6756738.7310272641</v>
      </c>
      <c r="BI10" s="48">
        <v>8668243.3912551794</v>
      </c>
      <c r="BJ10" s="48">
        <v>10545753.410446089</v>
      </c>
      <c r="BK10" s="48">
        <v>12390167.648671782</v>
      </c>
      <c r="BL10" s="48">
        <v>14202353.553579003</v>
      </c>
      <c r="BM10" s="48">
        <v>15983148.520715509</v>
      </c>
      <c r="BN10" s="48">
        <v>17733361.183771856</v>
      </c>
      <c r="BO10" s="48">
        <v>19453772.638915598</v>
      </c>
      <c r="BP10" s="48">
        <v>21145137.607112497</v>
      </c>
      <c r="BQ10" s="48">
        <v>22808185.538068611</v>
      </c>
      <c r="BR10" s="48">
        <v>24443621.659185641</v>
      </c>
      <c r="BS10" s="48">
        <v>26052127.972698614</v>
      </c>
      <c r="BT10" s="48">
        <v>27634364.203957904</v>
      </c>
      <c r="BU10" s="48">
        <v>29190968.703625601</v>
      </c>
      <c r="BV10" s="48">
        <v>30722559.306378331</v>
      </c>
      <c r="BW10" s="48">
        <v>32229734.148543127</v>
      </c>
      <c r="BX10" s="48">
        <v>33713072.446939729</v>
      </c>
      <c r="BY10" s="48">
        <v>35173135.241059601</v>
      </c>
      <c r="BZ10" s="48">
        <v>36610466.100579828</v>
      </c>
      <c r="CA10" s="48">
        <v>38025591.800085917</v>
      </c>
      <c r="CB10" s="48">
        <v>39419022.962763414</v>
      </c>
      <c r="CC10" s="48">
        <v>40791254.674710125</v>
      </c>
      <c r="CD10" s="48">
        <v>42142767.071422145</v>
      </c>
      <c r="CE10" s="48">
        <v>43474025.897912681</v>
      </c>
      <c r="CF10" s="48">
        <v>44785483.04383669</v>
      </c>
      <c r="CG10" s="48">
        <v>46077577.054912873</v>
      </c>
      <c r="CH10" s="48">
        <v>47350733.621858604</v>
      </c>
      <c r="CI10" s="48">
        <v>48605366.047983557</v>
      </c>
      <c r="CJ10" s="48">
        <v>49841875.696520172</v>
      </c>
      <c r="CK10" s="48">
        <v>51060652.41870895</v>
      </c>
      <c r="CL10" s="48">
        <v>52262074.963596717</v>
      </c>
      <c r="CM10" s="48">
        <v>53446511.370453633</v>
      </c>
    </row>
    <row r="11" spans="1:91" x14ac:dyDescent="0.25">
      <c r="A11" s="48" t="s">
        <v>85</v>
      </c>
      <c r="B11" s="48">
        <v>0</v>
      </c>
      <c r="C11" s="48">
        <v>0</v>
      </c>
      <c r="D11" s="48">
        <v>0</v>
      </c>
      <c r="E11" s="48">
        <v>0</v>
      </c>
      <c r="F11" s="48">
        <v>0</v>
      </c>
      <c r="G11" s="48">
        <v>0</v>
      </c>
      <c r="H11" s="48">
        <v>0</v>
      </c>
      <c r="I11" s="48">
        <v>0</v>
      </c>
      <c r="J11" s="48">
        <v>0</v>
      </c>
      <c r="K11" s="48">
        <v>0</v>
      </c>
      <c r="L11" s="48">
        <v>0</v>
      </c>
      <c r="M11" s="48">
        <v>0</v>
      </c>
      <c r="N11" s="48">
        <v>0</v>
      </c>
      <c r="O11" s="48">
        <v>0</v>
      </c>
      <c r="P11" s="48">
        <v>0</v>
      </c>
      <c r="Q11" s="48">
        <v>0</v>
      </c>
      <c r="R11" s="48">
        <v>0</v>
      </c>
      <c r="S11" s="48">
        <v>0</v>
      </c>
      <c r="T11" s="48">
        <v>0</v>
      </c>
      <c r="U11" s="48">
        <v>0</v>
      </c>
      <c r="V11" s="48">
        <v>0</v>
      </c>
      <c r="W11" s="48">
        <v>0</v>
      </c>
      <c r="X11" s="48">
        <v>0</v>
      </c>
      <c r="Y11" s="48">
        <v>0</v>
      </c>
      <c r="Z11" s="48">
        <v>0</v>
      </c>
      <c r="AA11" s="48">
        <v>0</v>
      </c>
      <c r="AB11" s="48">
        <v>0</v>
      </c>
      <c r="AC11" s="48">
        <v>0</v>
      </c>
      <c r="AD11" s="48">
        <v>0</v>
      </c>
      <c r="AE11" s="48">
        <v>0</v>
      </c>
      <c r="AF11" s="48">
        <v>213230.09957228223</v>
      </c>
      <c r="AG11" s="48">
        <v>420704.17507313489</v>
      </c>
      <c r="AH11" s="48">
        <v>622652.19343575917</v>
      </c>
      <c r="AI11" s="48">
        <v>819292.03228668054</v>
      </c>
      <c r="AJ11" s="48">
        <v>1010830.2640555844</v>
      </c>
      <c r="AK11" s="48">
        <v>1197462.8798380368</v>
      </c>
      <c r="AL11" s="48">
        <v>1379375.9583434146</v>
      </c>
      <c r="AM11" s="48">
        <v>1556746.2847277294</v>
      </c>
      <c r="AN11" s="48">
        <v>1729741.9236374951</v>
      </c>
      <c r="AO11" s="48">
        <v>1898522.750369214</v>
      </c>
      <c r="AP11" s="48">
        <v>2350761.9603452343</v>
      </c>
      <c r="AQ11" s="48">
        <v>3026354.6395304766</v>
      </c>
      <c r="AR11" s="48">
        <v>3996955.4153171079</v>
      </c>
      <c r="AS11" s="48">
        <v>5002175.2293081218</v>
      </c>
      <c r="AT11" s="48">
        <v>7690715.7807354275</v>
      </c>
      <c r="AU11" s="48">
        <v>12604336.230533773</v>
      </c>
      <c r="AV11" s="48">
        <v>16922281.886250038</v>
      </c>
      <c r="AW11" s="48">
        <v>25257773.699198831</v>
      </c>
      <c r="AX11" s="48">
        <v>29340683.976885021</v>
      </c>
      <c r="AY11" s="48">
        <v>33343110.449410386</v>
      </c>
      <c r="AZ11" s="48">
        <v>37267409.678918391</v>
      </c>
      <c r="BA11" s="48">
        <v>41115847.116749823</v>
      </c>
      <c r="BB11" s="48">
        <v>44890601.464515015</v>
      </c>
      <c r="BC11" s="48">
        <v>48593768.787046976</v>
      </c>
      <c r="BD11" s="48">
        <v>52227366.393550143</v>
      </c>
      <c r="BE11" s="48">
        <v>55793336.50204441</v>
      </c>
      <c r="BF11" s="48">
        <v>59293549.701090828</v>
      </c>
      <c r="BG11" s="48">
        <v>62729808.221763119</v>
      </c>
      <c r="BH11" s="48">
        <v>66103840.183358125</v>
      </c>
      <c r="BI11" s="48">
        <v>97608663.936817229</v>
      </c>
      <c r="BJ11" s="48">
        <v>128553198.61710963</v>
      </c>
      <c r="BK11" s="48">
        <v>158952258.95565081</v>
      </c>
      <c r="BL11" s="48">
        <v>188820141.95406175</v>
      </c>
      <c r="BM11" s="48">
        <v>218170649.30463925</v>
      </c>
      <c r="BN11" s="48">
        <v>247017108.65571821</v>
      </c>
      <c r="BO11" s="48">
        <v>275372393.79076624</v>
      </c>
      <c r="BP11" s="48">
        <v>303248943.78539968</v>
      </c>
      <c r="BQ11" s="48">
        <v>330658781.20221251</v>
      </c>
      <c r="BR11" s="48">
        <v>357613529.37933147</v>
      </c>
      <c r="BS11" s="48">
        <v>384124428.86492848</v>
      </c>
      <c r="BT11" s="48">
        <v>410202353.04650885</v>
      </c>
      <c r="BU11" s="48">
        <v>435857823.02063131</v>
      </c>
      <c r="BV11" s="48">
        <v>461101021.74577892</v>
      </c>
      <c r="BW11" s="48">
        <v>485941807.51837963</v>
      </c>
      <c r="BX11" s="48">
        <v>510389726.80944169</v>
      </c>
      <c r="BY11" s="48">
        <v>534454026.49691665</v>
      </c>
      <c r="BZ11" s="48">
        <v>558143665.52672338</v>
      </c>
      <c r="CA11" s="48">
        <v>581467326.0333184</v>
      </c>
      <c r="CB11" s="48">
        <v>604433423.94881988</v>
      </c>
      <c r="CC11" s="48">
        <v>627050119.12791193</v>
      </c>
      <c r="CD11" s="48">
        <v>649325325.01412249</v>
      </c>
      <c r="CE11" s="48">
        <v>671266717.87152743</v>
      </c>
      <c r="CF11" s="48">
        <v>692881745.60450947</v>
      </c>
      <c r="CG11" s="48">
        <v>714177636.18685389</v>
      </c>
      <c r="CH11" s="48">
        <v>735161405.72022343</v>
      </c>
      <c r="CI11" s="48">
        <v>755839866.14088905</v>
      </c>
      <c r="CJ11" s="48">
        <v>776219632.5924933</v>
      </c>
      <c r="CK11" s="48">
        <v>796307130.48161578</v>
      </c>
      <c r="CL11" s="48">
        <v>816108602.23194242</v>
      </c>
      <c r="CM11" s="48">
        <v>835630113.7519604</v>
      </c>
    </row>
    <row r="13" spans="1:91" x14ac:dyDescent="0.25">
      <c r="A13" s="48" t="s">
        <v>86</v>
      </c>
    </row>
    <row r="14" spans="1:91" x14ac:dyDescent="0.25">
      <c r="B14" s="48">
        <v>1961</v>
      </c>
      <c r="C14" s="48">
        <v>1962</v>
      </c>
      <c r="D14" s="48">
        <v>1963</v>
      </c>
      <c r="E14" s="48">
        <v>1964</v>
      </c>
      <c r="F14" s="48">
        <v>1965</v>
      </c>
      <c r="G14" s="48">
        <v>1966</v>
      </c>
      <c r="H14" s="48">
        <v>1967</v>
      </c>
      <c r="I14" s="48">
        <v>1968</v>
      </c>
      <c r="J14" s="48">
        <v>1969</v>
      </c>
      <c r="K14" s="48">
        <v>1970</v>
      </c>
      <c r="L14" s="48">
        <v>1971</v>
      </c>
      <c r="M14" s="48">
        <v>1972</v>
      </c>
      <c r="N14" s="48">
        <v>1973</v>
      </c>
      <c r="O14" s="48">
        <v>1974</v>
      </c>
      <c r="P14" s="48">
        <v>1975</v>
      </c>
      <c r="Q14" s="48">
        <v>1976</v>
      </c>
      <c r="R14" s="48">
        <v>1977</v>
      </c>
      <c r="S14" s="48">
        <v>1978</v>
      </c>
      <c r="T14" s="48">
        <v>1979</v>
      </c>
      <c r="U14" s="48">
        <v>1980</v>
      </c>
      <c r="V14" s="48">
        <v>1981</v>
      </c>
      <c r="W14" s="48">
        <v>1982</v>
      </c>
      <c r="X14" s="48">
        <v>1983</v>
      </c>
      <c r="Y14" s="48">
        <v>1984</v>
      </c>
      <c r="Z14" s="48">
        <v>1985</v>
      </c>
      <c r="AA14" s="48">
        <v>1986</v>
      </c>
      <c r="AB14" s="48">
        <v>1987</v>
      </c>
      <c r="AC14" s="48">
        <v>1988</v>
      </c>
      <c r="AD14" s="48">
        <v>1989</v>
      </c>
      <c r="AE14" s="48">
        <v>1990</v>
      </c>
      <c r="AF14" s="48">
        <v>1991</v>
      </c>
      <c r="AG14" s="48">
        <v>1992</v>
      </c>
      <c r="AH14" s="48">
        <v>1993</v>
      </c>
      <c r="AI14" s="48">
        <v>1994</v>
      </c>
      <c r="AJ14" s="48">
        <v>1995</v>
      </c>
      <c r="AK14" s="48">
        <v>1996</v>
      </c>
      <c r="AL14" s="48">
        <v>1997</v>
      </c>
      <c r="AM14" s="48">
        <v>1998</v>
      </c>
      <c r="AN14" s="48">
        <v>1999</v>
      </c>
      <c r="AO14" s="48">
        <v>2000</v>
      </c>
      <c r="AP14" s="48">
        <v>2001</v>
      </c>
      <c r="AQ14" s="48">
        <v>2002</v>
      </c>
      <c r="AR14" s="48">
        <v>2003</v>
      </c>
      <c r="AS14" s="48">
        <v>2004</v>
      </c>
      <c r="AT14" s="48">
        <v>2005</v>
      </c>
      <c r="AU14" s="48">
        <v>2006</v>
      </c>
      <c r="AV14" s="48">
        <v>2007</v>
      </c>
      <c r="AW14" s="48">
        <v>2008</v>
      </c>
      <c r="AX14" s="48">
        <v>2009</v>
      </c>
      <c r="AY14" s="48">
        <v>2010</v>
      </c>
      <c r="AZ14" s="48">
        <v>2011</v>
      </c>
      <c r="BA14" s="48">
        <v>2012</v>
      </c>
      <c r="BB14" s="48">
        <v>2013</v>
      </c>
      <c r="BC14" s="48">
        <v>2014</v>
      </c>
      <c r="BD14" s="48">
        <v>2015</v>
      </c>
      <c r="BE14" s="48">
        <v>2016</v>
      </c>
      <c r="BF14" s="48">
        <v>2017</v>
      </c>
      <c r="BG14" s="48">
        <v>2018</v>
      </c>
      <c r="BH14" s="48">
        <v>2019</v>
      </c>
      <c r="BI14" s="48">
        <v>2020</v>
      </c>
      <c r="BJ14" s="48">
        <v>2021</v>
      </c>
      <c r="BK14" s="48">
        <v>2022</v>
      </c>
      <c r="BL14" s="48">
        <v>2023</v>
      </c>
      <c r="BM14" s="48">
        <v>2024</v>
      </c>
      <c r="BN14" s="48">
        <v>2025</v>
      </c>
      <c r="BO14" s="48">
        <v>2026</v>
      </c>
      <c r="BP14" s="48">
        <v>2027</v>
      </c>
      <c r="BQ14" s="48">
        <v>2028</v>
      </c>
      <c r="BR14" s="48">
        <v>2029</v>
      </c>
      <c r="BS14" s="48">
        <v>2030</v>
      </c>
      <c r="BT14" s="48">
        <v>2031</v>
      </c>
      <c r="BU14" s="48">
        <v>2032</v>
      </c>
      <c r="BV14" s="48">
        <v>2033</v>
      </c>
      <c r="BW14" s="48">
        <v>2034</v>
      </c>
      <c r="BX14" s="48">
        <v>2035</v>
      </c>
      <c r="BY14" s="48">
        <v>2036</v>
      </c>
      <c r="BZ14" s="48">
        <v>2037</v>
      </c>
      <c r="CA14" s="48">
        <v>2038</v>
      </c>
      <c r="CB14" s="48">
        <v>2039</v>
      </c>
      <c r="CC14" s="48">
        <v>2040</v>
      </c>
      <c r="CD14" s="48">
        <v>2041</v>
      </c>
      <c r="CE14" s="48">
        <v>2042</v>
      </c>
      <c r="CF14" s="48">
        <v>2043</v>
      </c>
      <c r="CG14" s="48">
        <v>2044</v>
      </c>
      <c r="CH14" s="48">
        <v>2045</v>
      </c>
      <c r="CI14" s="48">
        <v>2046</v>
      </c>
      <c r="CJ14" s="48">
        <v>2047</v>
      </c>
      <c r="CK14" s="48">
        <v>2048</v>
      </c>
      <c r="CL14" s="48">
        <v>2049</v>
      </c>
      <c r="CM14" s="48">
        <v>2050</v>
      </c>
    </row>
    <row r="15" spans="1:91" x14ac:dyDescent="0.25">
      <c r="A15" s="48" t="s">
        <v>79</v>
      </c>
      <c r="B15" s="48">
        <f>B2*0.73</f>
        <v>0</v>
      </c>
      <c r="C15" s="48">
        <f t="shared" ref="C15:BN15" si="0">C2*0.73</f>
        <v>0</v>
      </c>
      <c r="D15" s="48">
        <f t="shared" si="0"/>
        <v>0</v>
      </c>
      <c r="E15" s="48">
        <f t="shared" si="0"/>
        <v>0</v>
      </c>
      <c r="F15" s="48">
        <f t="shared" si="0"/>
        <v>0</v>
      </c>
      <c r="G15" s="48">
        <f t="shared" si="0"/>
        <v>0</v>
      </c>
      <c r="H15" s="48">
        <f t="shared" si="0"/>
        <v>0</v>
      </c>
      <c r="I15" s="48">
        <f t="shared" si="0"/>
        <v>0</v>
      </c>
      <c r="J15" s="48">
        <f t="shared" si="0"/>
        <v>0</v>
      </c>
      <c r="K15" s="48">
        <f t="shared" si="0"/>
        <v>0</v>
      </c>
      <c r="L15" s="48">
        <f t="shared" si="0"/>
        <v>0</v>
      </c>
      <c r="M15" s="48">
        <f t="shared" si="0"/>
        <v>0</v>
      </c>
      <c r="N15" s="48">
        <f t="shared" si="0"/>
        <v>0</v>
      </c>
      <c r="O15" s="48">
        <f t="shared" si="0"/>
        <v>0</v>
      </c>
      <c r="P15" s="48">
        <f t="shared" si="0"/>
        <v>0</v>
      </c>
      <c r="Q15" s="48">
        <f t="shared" si="0"/>
        <v>0</v>
      </c>
      <c r="R15" s="48">
        <f t="shared" si="0"/>
        <v>0</v>
      </c>
      <c r="S15" s="48">
        <f t="shared" si="0"/>
        <v>0</v>
      </c>
      <c r="T15" s="48">
        <f t="shared" si="0"/>
        <v>0</v>
      </c>
      <c r="U15" s="48">
        <f t="shared" si="0"/>
        <v>0</v>
      </c>
      <c r="V15" s="48">
        <f t="shared" si="0"/>
        <v>0</v>
      </c>
      <c r="W15" s="48">
        <f t="shared" si="0"/>
        <v>0</v>
      </c>
      <c r="X15" s="48">
        <f t="shared" si="0"/>
        <v>0</v>
      </c>
      <c r="Y15" s="48">
        <f t="shared" si="0"/>
        <v>0</v>
      </c>
      <c r="Z15" s="48">
        <f t="shared" si="0"/>
        <v>0</v>
      </c>
      <c r="AA15" s="48">
        <f t="shared" si="0"/>
        <v>0</v>
      </c>
      <c r="AB15" s="48">
        <f t="shared" si="0"/>
        <v>0</v>
      </c>
      <c r="AC15" s="48">
        <f t="shared" si="0"/>
        <v>0</v>
      </c>
      <c r="AD15" s="48">
        <f t="shared" si="0"/>
        <v>0</v>
      </c>
      <c r="AE15" s="48">
        <f t="shared" si="0"/>
        <v>0</v>
      </c>
      <c r="AF15" s="48">
        <f t="shared" si="0"/>
        <v>264298.13384870189</v>
      </c>
      <c r="AG15" s="48">
        <f t="shared" si="0"/>
        <v>520633.93324715138</v>
      </c>
      <c r="AH15" s="48">
        <f t="shared" si="0"/>
        <v>769361.87263473251</v>
      </c>
      <c r="AI15" s="48">
        <f t="shared" si="0"/>
        <v>1010815.693040224</v>
      </c>
      <c r="AJ15" s="48">
        <f t="shared" si="0"/>
        <v>1245309.8961211501</v>
      </c>
      <c r="AK15" s="48">
        <f t="shared" si="0"/>
        <v>1473141.1108468894</v>
      </c>
      <c r="AL15" s="48">
        <f t="shared" si="0"/>
        <v>1694589.3453137057</v>
      </c>
      <c r="AM15" s="48">
        <f t="shared" si="0"/>
        <v>1909919.13479971</v>
      </c>
      <c r="AN15" s="48">
        <f t="shared" si="0"/>
        <v>2119380.5959568662</v>
      </c>
      <c r="AO15" s="48">
        <f t="shared" si="0"/>
        <v>2323210.3959727613</v>
      </c>
      <c r="AP15" s="48">
        <f t="shared" si="0"/>
        <v>2501128.3875601627</v>
      </c>
      <c r="AQ15" s="48">
        <f t="shared" si="0"/>
        <v>2992716.5447963728</v>
      </c>
      <c r="AR15" s="48">
        <f t="shared" si="0"/>
        <v>3870875.3137433636</v>
      </c>
      <c r="AS15" s="48">
        <f t="shared" si="0"/>
        <v>4626359.6083531128</v>
      </c>
      <c r="AT15" s="48">
        <f t="shared" si="0"/>
        <v>5253285.8776954524</v>
      </c>
      <c r="AU15" s="48">
        <f t="shared" si="0"/>
        <v>6490042.973514053</v>
      </c>
      <c r="AV15" s="48">
        <f t="shared" si="0"/>
        <v>8626704.6787839495</v>
      </c>
      <c r="AW15" s="48">
        <f t="shared" si="0"/>
        <v>12227198.579180621</v>
      </c>
      <c r="AX15" s="48">
        <f t="shared" si="0"/>
        <v>13126471.001578134</v>
      </c>
      <c r="AY15" s="48">
        <f t="shared" si="0"/>
        <v>14105284.902994657</v>
      </c>
      <c r="AZ15" s="48">
        <f t="shared" si="0"/>
        <v>15075644.188851245</v>
      </c>
      <c r="BA15" s="48">
        <f t="shared" si="0"/>
        <v>16037657.929637915</v>
      </c>
      <c r="BB15" s="48">
        <f t="shared" si="0"/>
        <v>16991433.327763122</v>
      </c>
      <c r="BC15" s="48">
        <f t="shared" si="0"/>
        <v>17937075.757377177</v>
      </c>
      <c r="BD15" s="48">
        <f t="shared" si="0"/>
        <v>18874688.803181317</v>
      </c>
      <c r="BE15" s="48">
        <f t="shared" si="0"/>
        <v>19804374.298252288</v>
      </c>
      <c r="BF15" s="48">
        <f t="shared" si="0"/>
        <v>20726232.360911638</v>
      </c>
      <c r="BG15" s="48">
        <f t="shared" si="0"/>
        <v>21640361.430667602</v>
      </c>
      <c r="BH15" s="48">
        <f t="shared" si="0"/>
        <v>22546858.967190493</v>
      </c>
      <c r="BI15" s="48">
        <f t="shared" si="0"/>
        <v>22453126.749261886</v>
      </c>
      <c r="BJ15" s="48">
        <f t="shared" si="0"/>
        <v>22360170.635508824</v>
      </c>
      <c r="BK15" s="48">
        <f t="shared" si="0"/>
        <v>22267981.026441887</v>
      </c>
      <c r="BL15" s="48">
        <f t="shared" si="0"/>
        <v>22176548.480234023</v>
      </c>
      <c r="BM15" s="48">
        <f t="shared" si="0"/>
        <v>22085863.709497008</v>
      </c>
      <c r="BN15" s="48">
        <f t="shared" si="0"/>
        <v>21995917.578136601</v>
      </c>
      <c r="BO15" s="48">
        <f t="shared" ref="BO15:CM15" si="1">BO2*0.73</f>
        <v>21906701.098284278</v>
      </c>
      <c r="BP15" s="48">
        <f t="shared" si="1"/>
        <v>21818205.427303322</v>
      </c>
      <c r="BQ15" s="48">
        <f t="shared" si="1"/>
        <v>21730421.86486721</v>
      </c>
      <c r="BR15" s="48">
        <f t="shared" si="1"/>
        <v>21643341.85010818</v>
      </c>
      <c r="BS15" s="48">
        <f t="shared" si="1"/>
        <v>21556956.95883416</v>
      </c>
      <c r="BT15" s="48">
        <f t="shared" si="1"/>
        <v>21471258.900812052</v>
      </c>
      <c r="BU15" s="48">
        <f t="shared" si="1"/>
        <v>21386239.517115533</v>
      </c>
      <c r="BV15" s="48">
        <f t="shared" si="1"/>
        <v>21301890.777535658</v>
      </c>
      <c r="BW15" s="48">
        <f t="shared" si="1"/>
        <v>21218204.778052483</v>
      </c>
      <c r="BX15" s="48">
        <f t="shared" si="1"/>
        <v>21135173.738366045</v>
      </c>
      <c r="BY15" s="48">
        <f t="shared" si="1"/>
        <v>21052789.999485102</v>
      </c>
      <c r="BZ15" s="48">
        <f t="shared" si="1"/>
        <v>20971046.021372028</v>
      </c>
      <c r="CA15" s="48">
        <f t="shared" si="1"/>
        <v>20889934.380642388</v>
      </c>
      <c r="CB15" s="48">
        <f t="shared" si="1"/>
        <v>20809447.768317673</v>
      </c>
      <c r="CC15" s="48">
        <f t="shared" si="1"/>
        <v>20729578.987629782</v>
      </c>
      <c r="CD15" s="48">
        <f t="shared" si="1"/>
        <v>20650320.951875895</v>
      </c>
      <c r="CE15" s="48">
        <f t="shared" si="1"/>
        <v>20571666.682322353</v>
      </c>
      <c r="CF15" s="48">
        <f t="shared" si="1"/>
        <v>20493609.306156244</v>
      </c>
      <c r="CG15" s="48">
        <f t="shared" si="1"/>
        <v>20416142.054483488</v>
      </c>
      <c r="CH15" s="48">
        <f t="shared" si="1"/>
        <v>20339258.260372117</v>
      </c>
      <c r="CI15" s="48">
        <f t="shared" si="1"/>
        <v>20262951.356939618</v>
      </c>
      <c r="CJ15" s="48">
        <f t="shared" si="1"/>
        <v>20187214.875483166</v>
      </c>
      <c r="CK15" s="48">
        <f t="shared" si="1"/>
        <v>20112042.443651643</v>
      </c>
      <c r="CL15" s="48">
        <f t="shared" si="1"/>
        <v>20037427.783658333</v>
      </c>
      <c r="CM15" s="48">
        <f t="shared" si="1"/>
        <v>19963364.71053325</v>
      </c>
    </row>
    <row r="16" spans="1:91" x14ac:dyDescent="0.25">
      <c r="A16" s="48" t="s">
        <v>80</v>
      </c>
      <c r="B16" s="48">
        <f>B3</f>
        <v>0</v>
      </c>
      <c r="C16" s="48">
        <f t="shared" ref="C16:BN16" si="2">C3</f>
        <v>0</v>
      </c>
      <c r="D16" s="48">
        <f t="shared" si="2"/>
        <v>0</v>
      </c>
      <c r="E16" s="48">
        <f t="shared" si="2"/>
        <v>0</v>
      </c>
      <c r="F16" s="48">
        <f t="shared" si="2"/>
        <v>0</v>
      </c>
      <c r="G16" s="48">
        <f t="shared" si="2"/>
        <v>0</v>
      </c>
      <c r="H16" s="48">
        <f t="shared" si="2"/>
        <v>0</v>
      </c>
      <c r="I16" s="48">
        <f t="shared" si="2"/>
        <v>0</v>
      </c>
      <c r="J16" s="48">
        <f t="shared" si="2"/>
        <v>0</v>
      </c>
      <c r="K16" s="48">
        <f t="shared" si="2"/>
        <v>0</v>
      </c>
      <c r="L16" s="48">
        <f t="shared" si="2"/>
        <v>0</v>
      </c>
      <c r="M16" s="48">
        <f t="shared" si="2"/>
        <v>0</v>
      </c>
      <c r="N16" s="48">
        <f t="shared" si="2"/>
        <v>0</v>
      </c>
      <c r="O16" s="48">
        <f t="shared" si="2"/>
        <v>0</v>
      </c>
      <c r="P16" s="48">
        <f t="shared" si="2"/>
        <v>0</v>
      </c>
      <c r="Q16" s="48">
        <f t="shared" si="2"/>
        <v>0</v>
      </c>
      <c r="R16" s="48">
        <f t="shared" si="2"/>
        <v>0</v>
      </c>
      <c r="S16" s="48">
        <f t="shared" si="2"/>
        <v>0</v>
      </c>
      <c r="T16" s="48">
        <f t="shared" si="2"/>
        <v>0</v>
      </c>
      <c r="U16" s="48">
        <f t="shared" si="2"/>
        <v>0</v>
      </c>
      <c r="V16" s="48">
        <f t="shared" si="2"/>
        <v>0</v>
      </c>
      <c r="W16" s="48">
        <f t="shared" si="2"/>
        <v>0</v>
      </c>
      <c r="X16" s="48">
        <f t="shared" si="2"/>
        <v>0</v>
      </c>
      <c r="Y16" s="48">
        <f t="shared" si="2"/>
        <v>0</v>
      </c>
      <c r="Z16" s="48">
        <f t="shared" si="2"/>
        <v>0</v>
      </c>
      <c r="AA16" s="48">
        <f t="shared" si="2"/>
        <v>0</v>
      </c>
      <c r="AB16" s="48">
        <f t="shared" si="2"/>
        <v>0</v>
      </c>
      <c r="AC16" s="48">
        <f t="shared" si="2"/>
        <v>0</v>
      </c>
      <c r="AD16" s="48">
        <f t="shared" si="2"/>
        <v>0</v>
      </c>
      <c r="AE16" s="48">
        <f t="shared" si="2"/>
        <v>0</v>
      </c>
      <c r="AF16" s="48">
        <f t="shared" si="2"/>
        <v>0</v>
      </c>
      <c r="AG16" s="48">
        <f t="shared" si="2"/>
        <v>0</v>
      </c>
      <c r="AH16" s="48">
        <f t="shared" si="2"/>
        <v>0</v>
      </c>
      <c r="AI16" s="48">
        <f t="shared" si="2"/>
        <v>0</v>
      </c>
      <c r="AJ16" s="48">
        <f t="shared" si="2"/>
        <v>0</v>
      </c>
      <c r="AK16" s="48">
        <f t="shared" si="2"/>
        <v>0</v>
      </c>
      <c r="AL16" s="48">
        <f t="shared" si="2"/>
        <v>0</v>
      </c>
      <c r="AM16" s="48">
        <f t="shared" si="2"/>
        <v>0</v>
      </c>
      <c r="AN16" s="48">
        <f t="shared" si="2"/>
        <v>0</v>
      </c>
      <c r="AO16" s="48">
        <f t="shared" si="2"/>
        <v>0</v>
      </c>
      <c r="AP16" s="48">
        <f t="shared" si="2"/>
        <v>0</v>
      </c>
      <c r="AQ16" s="48">
        <f t="shared" si="2"/>
        <v>0</v>
      </c>
      <c r="AR16" s="48">
        <f t="shared" si="2"/>
        <v>0</v>
      </c>
      <c r="AS16" s="48">
        <f t="shared" si="2"/>
        <v>0</v>
      </c>
      <c r="AT16" s="48">
        <f t="shared" si="2"/>
        <v>0</v>
      </c>
      <c r="AU16" s="48">
        <f t="shared" si="2"/>
        <v>0</v>
      </c>
      <c r="AV16" s="48">
        <f t="shared" si="2"/>
        <v>0</v>
      </c>
      <c r="AW16" s="48">
        <f t="shared" si="2"/>
        <v>0</v>
      </c>
      <c r="AX16" s="48">
        <f t="shared" si="2"/>
        <v>0</v>
      </c>
      <c r="AY16" s="48">
        <f t="shared" si="2"/>
        <v>0</v>
      </c>
      <c r="AZ16" s="48">
        <f t="shared" si="2"/>
        <v>0</v>
      </c>
      <c r="BA16" s="48">
        <f t="shared" si="2"/>
        <v>0</v>
      </c>
      <c r="BB16" s="48">
        <f t="shared" si="2"/>
        <v>0</v>
      </c>
      <c r="BC16" s="48">
        <f t="shared" si="2"/>
        <v>0</v>
      </c>
      <c r="BD16" s="48">
        <f t="shared" si="2"/>
        <v>0</v>
      </c>
      <c r="BE16" s="48">
        <f t="shared" si="2"/>
        <v>0</v>
      </c>
      <c r="BF16" s="48">
        <f t="shared" si="2"/>
        <v>0</v>
      </c>
      <c r="BG16" s="48">
        <f t="shared" si="2"/>
        <v>0</v>
      </c>
      <c r="BH16" s="48">
        <f t="shared" si="2"/>
        <v>0</v>
      </c>
      <c r="BI16" s="48">
        <f t="shared" si="2"/>
        <v>1889155.9418674442</v>
      </c>
      <c r="BJ16" s="48">
        <f t="shared" si="2"/>
        <v>3740902.8551830556</v>
      </c>
      <c r="BK16" s="48">
        <f t="shared" si="2"/>
        <v>5555796.3195787976</v>
      </c>
      <c r="BL16" s="48">
        <f t="shared" si="2"/>
        <v>7334384.580302042</v>
      </c>
      <c r="BM16" s="48">
        <f t="shared" si="2"/>
        <v>9077208.638987679</v>
      </c>
      <c r="BN16" s="48">
        <f t="shared" si="2"/>
        <v>10784802.343351694</v>
      </c>
      <c r="BO16" s="48">
        <f t="shared" ref="BO16:CM16" si="3">BO3</f>
        <v>12457692.475818787</v>
      </c>
      <c r="BP16" s="48">
        <f t="shared" si="3"/>
        <v>14096398.841096224</v>
      </c>
      <c r="BQ16" s="48">
        <f t="shared" si="3"/>
        <v>15701434.352706194</v>
      </c>
      <c r="BR16" s="48">
        <f t="shared" si="3"/>
        <v>17273305.118488658</v>
      </c>
      <c r="BS16" s="48">
        <f t="shared" si="3"/>
        <v>18812510.525086656</v>
      </c>
      <c r="BT16" s="48">
        <f t="shared" si="3"/>
        <v>20319543.321425725</v>
      </c>
      <c r="BU16" s="48">
        <f t="shared" si="3"/>
        <v>21794889.701199207</v>
      </c>
      <c r="BV16" s="48">
        <f t="shared" si="3"/>
        <v>23239029.38437083</v>
      </c>
      <c r="BW16" s="48">
        <f t="shared" si="3"/>
        <v>24652435.697705973</v>
      </c>
      <c r="BX16" s="48">
        <f t="shared" si="3"/>
        <v>26035575.654342938</v>
      </c>
      <c r="BY16" s="48">
        <f t="shared" si="3"/>
        <v>27388910.032415215</v>
      </c>
      <c r="BZ16" s="48">
        <f t="shared" si="3"/>
        <v>28712893.452735819</v>
      </c>
      <c r="CA16" s="48">
        <f t="shared" si="3"/>
        <v>30007974.455554485</v>
      </c>
      <c r="CB16" s="48">
        <f t="shared" si="3"/>
        <v>31274595.57639863</v>
      </c>
      <c r="CC16" s="48">
        <f t="shared" si="3"/>
        <v>32513193.421008468</v>
      </c>
      <c r="CD16" s="48">
        <f t="shared" si="3"/>
        <v>33724198.739377007</v>
      </c>
      <c r="CE16" s="48">
        <f t="shared" si="3"/>
        <v>34908036.498905085</v>
      </c>
      <c r="CF16" s="48">
        <f t="shared" si="3"/>
        <v>36065125.956681952</v>
      </c>
      <c r="CG16" s="48">
        <f t="shared" si="3"/>
        <v>37195880.730901361</v>
      </c>
      <c r="CH16" s="48">
        <f t="shared" si="3"/>
        <v>38300708.871423177</v>
      </c>
      <c r="CI16" s="48">
        <f t="shared" si="3"/>
        <v>39380012.929490693</v>
      </c>
      <c r="CJ16" s="48">
        <f t="shared" si="3"/>
        <v>40434190.026613101</v>
      </c>
      <c r="CK16" s="48">
        <f t="shared" si="3"/>
        <v>41463631.922623046</v>
      </c>
      <c r="CL16" s="48">
        <f t="shared" si="3"/>
        <v>42468725.082918786</v>
      </c>
      <c r="CM16" s="48">
        <f t="shared" si="3"/>
        <v>43449850.744900435</v>
      </c>
    </row>
    <row r="17" spans="1:91" x14ac:dyDescent="0.25">
      <c r="A17" s="48" t="s">
        <v>74</v>
      </c>
      <c r="B17" s="48">
        <f>B4*0.77</f>
        <v>0</v>
      </c>
      <c r="C17" s="48">
        <f t="shared" ref="C17:BN17" si="4">C4*0.77</f>
        <v>0</v>
      </c>
      <c r="D17" s="48">
        <f t="shared" si="4"/>
        <v>0</v>
      </c>
      <c r="E17" s="48">
        <f t="shared" si="4"/>
        <v>0</v>
      </c>
      <c r="F17" s="48">
        <f t="shared" si="4"/>
        <v>0</v>
      </c>
      <c r="G17" s="48">
        <f t="shared" si="4"/>
        <v>0</v>
      </c>
      <c r="H17" s="48">
        <f t="shared" si="4"/>
        <v>0</v>
      </c>
      <c r="I17" s="48">
        <f t="shared" si="4"/>
        <v>0</v>
      </c>
      <c r="J17" s="48">
        <f t="shared" si="4"/>
        <v>0</v>
      </c>
      <c r="K17" s="48">
        <f t="shared" si="4"/>
        <v>0</v>
      </c>
      <c r="L17" s="48">
        <f t="shared" si="4"/>
        <v>0</v>
      </c>
      <c r="M17" s="48">
        <f t="shared" si="4"/>
        <v>0</v>
      </c>
      <c r="N17" s="48">
        <f t="shared" si="4"/>
        <v>0</v>
      </c>
      <c r="O17" s="48">
        <f t="shared" si="4"/>
        <v>0</v>
      </c>
      <c r="P17" s="48">
        <f t="shared" si="4"/>
        <v>0</v>
      </c>
      <c r="Q17" s="48">
        <f t="shared" si="4"/>
        <v>0</v>
      </c>
      <c r="R17" s="48">
        <f t="shared" si="4"/>
        <v>0</v>
      </c>
      <c r="S17" s="48">
        <f t="shared" si="4"/>
        <v>0</v>
      </c>
      <c r="T17" s="48">
        <f t="shared" si="4"/>
        <v>0</v>
      </c>
      <c r="U17" s="48">
        <f t="shared" si="4"/>
        <v>0</v>
      </c>
      <c r="V17" s="48">
        <f t="shared" si="4"/>
        <v>0</v>
      </c>
      <c r="W17" s="48">
        <f t="shared" si="4"/>
        <v>0</v>
      </c>
      <c r="X17" s="48">
        <f t="shared" si="4"/>
        <v>0</v>
      </c>
      <c r="Y17" s="48">
        <f t="shared" si="4"/>
        <v>0</v>
      </c>
      <c r="Z17" s="48">
        <f t="shared" si="4"/>
        <v>0</v>
      </c>
      <c r="AA17" s="48">
        <f t="shared" si="4"/>
        <v>0</v>
      </c>
      <c r="AB17" s="48">
        <f t="shared" si="4"/>
        <v>0</v>
      </c>
      <c r="AC17" s="48">
        <f t="shared" si="4"/>
        <v>0</v>
      </c>
      <c r="AD17" s="48">
        <f t="shared" si="4"/>
        <v>0</v>
      </c>
      <c r="AE17" s="48">
        <f t="shared" si="4"/>
        <v>0</v>
      </c>
      <c r="AF17" s="48">
        <f t="shared" si="4"/>
        <v>208024.1621576488</v>
      </c>
      <c r="AG17" s="48">
        <f t="shared" si="4"/>
        <v>411924.72953346017</v>
      </c>
      <c r="AH17" s="48">
        <f t="shared" si="4"/>
        <v>611823.10981665761</v>
      </c>
      <c r="AI17" s="48">
        <f t="shared" si="4"/>
        <v>807835.99100372917</v>
      </c>
      <c r="AJ17" s="48">
        <f t="shared" si="4"/>
        <v>1000075.5685369899</v>
      </c>
      <c r="AK17" s="48">
        <f t="shared" si="4"/>
        <v>1188649.7594507593</v>
      </c>
      <c r="AL17" s="48">
        <f t="shared" si="4"/>
        <v>1373662.40438398</v>
      </c>
      <c r="AM17" s="48">
        <f t="shared" si="4"/>
        <v>1555213.4582538607</v>
      </c>
      <c r="AN17" s="48">
        <f t="shared" si="4"/>
        <v>1733399.1703261845</v>
      </c>
      <c r="AO17" s="48">
        <f t="shared" si="4"/>
        <v>1908312.254363897</v>
      </c>
      <c r="AP17" s="48">
        <f t="shared" si="4"/>
        <v>2018799.114348168</v>
      </c>
      <c r="AQ17" s="48">
        <f t="shared" si="4"/>
        <v>2243588.684305327</v>
      </c>
      <c r="AR17" s="48">
        <f t="shared" si="4"/>
        <v>2526632.3286091886</v>
      </c>
      <c r="AS17" s="48">
        <f t="shared" si="4"/>
        <v>2361041.2398640998</v>
      </c>
      <c r="AT17" s="48">
        <f t="shared" si="4"/>
        <v>2659008.1265411368</v>
      </c>
      <c r="AU17" s="48">
        <f t="shared" si="4"/>
        <v>3094647.5893906583</v>
      </c>
      <c r="AV17" s="48">
        <f t="shared" si="4"/>
        <v>3710425.8761225208</v>
      </c>
      <c r="AW17" s="48">
        <f t="shared" si="4"/>
        <v>3983152.8912602202</v>
      </c>
      <c r="AX17" s="48">
        <f t="shared" si="4"/>
        <v>5531997.0177750187</v>
      </c>
      <c r="AY17" s="48">
        <f t="shared" si="4"/>
        <v>6179548.2915726658</v>
      </c>
      <c r="AZ17" s="48">
        <f t="shared" si="4"/>
        <v>6817897.6872086357</v>
      </c>
      <c r="BA17" s="48">
        <f t="shared" si="4"/>
        <v>7447239.9626551578</v>
      </c>
      <c r="BB17" s="48">
        <f t="shared" si="4"/>
        <v>8067764.4183114441</v>
      </c>
      <c r="BC17" s="48">
        <f t="shared" si="4"/>
        <v>8679655.0868412256</v>
      </c>
      <c r="BD17" s="48">
        <f t="shared" si="4"/>
        <v>9283090.9151409604</v>
      </c>
      <c r="BE17" s="48">
        <f t="shared" si="4"/>
        <v>9878245.9388167206</v>
      </c>
      <c r="BF17" s="48">
        <f t="shared" si="4"/>
        <v>10465289.449527144</v>
      </c>
      <c r="BG17" s="48">
        <f t="shared" si="4"/>
        <v>11044386.155530415</v>
      </c>
      <c r="BH17" s="48">
        <f t="shared" si="4"/>
        <v>11615695.356558682</v>
      </c>
      <c r="BI17" s="48">
        <f t="shared" si="4"/>
        <v>11538124.629653987</v>
      </c>
      <c r="BJ17" s="48">
        <f t="shared" si="4"/>
        <v>11461583.079307759</v>
      </c>
      <c r="BK17" s="48">
        <f t="shared" si="4"/>
        <v>11386050.358460136</v>
      </c>
      <c r="BL17" s="48">
        <f t="shared" si="4"/>
        <v>11311506.652894575</v>
      </c>
      <c r="BM17" s="48">
        <f t="shared" si="4"/>
        <v>11237932.663908873</v>
      </c>
      <c r="BN17" s="48">
        <f t="shared" si="4"/>
        <v>11165309.591658067</v>
      </c>
      <c r="BO17" s="48">
        <f t="shared" ref="BO17:CM17" si="5">BO4*0.77</f>
        <v>11093619.119139085</v>
      </c>
      <c r="BP17" s="48">
        <f t="shared" si="5"/>
        <v>11022843.396788407</v>
      </c>
      <c r="BQ17" s="48">
        <f t="shared" si="5"/>
        <v>10952965.02766563</v>
      </c>
      <c r="BR17" s="48">
        <f t="shared" si="5"/>
        <v>10883967.053196987</v>
      </c>
      <c r="BS17" s="48">
        <f t="shared" si="5"/>
        <v>10815832.939454395</v>
      </c>
      <c r="BT17" s="48">
        <f t="shared" si="5"/>
        <v>10748546.563946638</v>
      </c>
      <c r="BU17" s="48">
        <f t="shared" si="5"/>
        <v>10682092.202900534</v>
      </c>
      <c r="BV17" s="48">
        <f t="shared" si="5"/>
        <v>10616454.519011034</v>
      </c>
      <c r="BW17" s="48">
        <f t="shared" si="5"/>
        <v>10551618.549640182</v>
      </c>
      <c r="BX17" s="48">
        <f t="shared" si="5"/>
        <v>10487569.695445878</v>
      </c>
      <c r="BY17" s="48">
        <f t="shared" si="5"/>
        <v>10424293.709422277</v>
      </c>
      <c r="BZ17" s="48">
        <f t="shared" si="5"/>
        <v>10361776.686334567</v>
      </c>
      <c r="CA17" s="48">
        <f t="shared" si="5"/>
        <v>10300005.052531632</v>
      </c>
      <c r="CB17" s="48">
        <f t="shared" si="5"/>
        <v>10238965.556120973</v>
      </c>
      <c r="CC17" s="48">
        <f t="shared" si="5"/>
        <v>10178645.257490899</v>
      </c>
      <c r="CD17" s="48">
        <f t="shared" si="5"/>
        <v>10119031.520165781</v>
      </c>
      <c r="CE17" s="48">
        <f t="shared" si="5"/>
        <v>10060112.001980785</v>
      </c>
      <c r="CF17" s="48">
        <f t="shared" si="5"/>
        <v>10001874.646563144</v>
      </c>
      <c r="CG17" s="48">
        <f t="shared" si="5"/>
        <v>9944307.6751075964</v>
      </c>
      <c r="CH17" s="48">
        <f t="shared" si="5"/>
        <v>9887399.5784342512</v>
      </c>
      <c r="CI17" s="48">
        <f t="shared" si="5"/>
        <v>9831139.1093175672</v>
      </c>
      <c r="CJ17" s="48">
        <f t="shared" si="5"/>
        <v>9775515.2750757895</v>
      </c>
      <c r="CK17" s="48">
        <f t="shared" si="5"/>
        <v>9720517.3304104954</v>
      </c>
      <c r="CL17" s="48">
        <f t="shared" si="5"/>
        <v>9666134.7704865225</v>
      </c>
      <c r="CM17" s="48">
        <f t="shared" si="5"/>
        <v>9612357.3242429085</v>
      </c>
    </row>
    <row r="18" spans="1:91" x14ac:dyDescent="0.25">
      <c r="A18" s="48" t="s">
        <v>75</v>
      </c>
      <c r="B18" s="48">
        <f>B5*0.73</f>
        <v>0</v>
      </c>
      <c r="C18" s="48">
        <f t="shared" ref="C18:BN18" si="6">C5*0.73</f>
        <v>0</v>
      </c>
      <c r="D18" s="48">
        <f t="shared" si="6"/>
        <v>0</v>
      </c>
      <c r="E18" s="48">
        <f t="shared" si="6"/>
        <v>0</v>
      </c>
      <c r="F18" s="48">
        <f t="shared" si="6"/>
        <v>0</v>
      </c>
      <c r="G18" s="48">
        <f t="shared" si="6"/>
        <v>0</v>
      </c>
      <c r="H18" s="48">
        <f t="shared" si="6"/>
        <v>0</v>
      </c>
      <c r="I18" s="48">
        <f t="shared" si="6"/>
        <v>0</v>
      </c>
      <c r="J18" s="48">
        <f t="shared" si="6"/>
        <v>0</v>
      </c>
      <c r="K18" s="48">
        <f t="shared" si="6"/>
        <v>0</v>
      </c>
      <c r="L18" s="48">
        <f t="shared" si="6"/>
        <v>0</v>
      </c>
      <c r="M18" s="48">
        <f t="shared" si="6"/>
        <v>0</v>
      </c>
      <c r="N18" s="48">
        <f t="shared" si="6"/>
        <v>0</v>
      </c>
      <c r="O18" s="48">
        <f t="shared" si="6"/>
        <v>0</v>
      </c>
      <c r="P18" s="48">
        <f t="shared" si="6"/>
        <v>0</v>
      </c>
      <c r="Q18" s="48">
        <f t="shared" si="6"/>
        <v>0</v>
      </c>
      <c r="R18" s="48">
        <f t="shared" si="6"/>
        <v>0</v>
      </c>
      <c r="S18" s="48">
        <f t="shared" si="6"/>
        <v>0</v>
      </c>
      <c r="T18" s="48">
        <f t="shared" si="6"/>
        <v>0</v>
      </c>
      <c r="U18" s="48">
        <f t="shared" si="6"/>
        <v>0</v>
      </c>
      <c r="V18" s="48">
        <f t="shared" si="6"/>
        <v>0</v>
      </c>
      <c r="W18" s="48">
        <f t="shared" si="6"/>
        <v>0</v>
      </c>
      <c r="X18" s="48">
        <f t="shared" si="6"/>
        <v>0</v>
      </c>
      <c r="Y18" s="48">
        <f t="shared" si="6"/>
        <v>0</v>
      </c>
      <c r="Z18" s="48">
        <f t="shared" si="6"/>
        <v>0</v>
      </c>
      <c r="AA18" s="48">
        <f t="shared" si="6"/>
        <v>0</v>
      </c>
      <c r="AB18" s="48">
        <f t="shared" si="6"/>
        <v>0</v>
      </c>
      <c r="AC18" s="48">
        <f t="shared" si="6"/>
        <v>0</v>
      </c>
      <c r="AD18" s="48">
        <f t="shared" si="6"/>
        <v>0</v>
      </c>
      <c r="AE18" s="48">
        <f t="shared" si="6"/>
        <v>0</v>
      </c>
      <c r="AF18" s="48">
        <f t="shared" si="6"/>
        <v>141655.8246940937</v>
      </c>
      <c r="AG18" s="48">
        <f t="shared" si="6"/>
        <v>278316.32883035287</v>
      </c>
      <c r="AH18" s="48">
        <f t="shared" si="6"/>
        <v>410241.16510618036</v>
      </c>
      <c r="AI18" s="48">
        <f t="shared" si="6"/>
        <v>537672.29732258513</v>
      </c>
      <c r="AJ18" s="48">
        <f t="shared" si="6"/>
        <v>660835.48148400441</v>
      </c>
      <c r="AK18" s="48">
        <f t="shared" si="6"/>
        <v>779941.60053332511</v>
      </c>
      <c r="AL18" s="48">
        <f t="shared" si="6"/>
        <v>895187.86932335875</v>
      </c>
      <c r="AM18" s="48">
        <f t="shared" si="6"/>
        <v>1006758.9243083757</v>
      </c>
      <c r="AN18" s="48">
        <f t="shared" si="6"/>
        <v>1114827.8106207573</v>
      </c>
      <c r="AO18" s="48">
        <f t="shared" si="6"/>
        <v>1219556.8776321944</v>
      </c>
      <c r="AP18" s="48">
        <f t="shared" si="6"/>
        <v>1282201.3236053002</v>
      </c>
      <c r="AQ18" s="48">
        <f t="shared" si="6"/>
        <v>1416385.4797691326</v>
      </c>
      <c r="AR18" s="48">
        <f t="shared" si="6"/>
        <v>1585687.6762858217</v>
      </c>
      <c r="AS18" s="48">
        <f t="shared" si="6"/>
        <v>1473250.4666776645</v>
      </c>
      <c r="AT18" s="48">
        <f t="shared" si="6"/>
        <v>1649863.4472535213</v>
      </c>
      <c r="AU18" s="48">
        <f t="shared" si="6"/>
        <v>1909636.6576791359</v>
      </c>
      <c r="AV18" s="48">
        <f t="shared" si="6"/>
        <v>2286406.3790532732</v>
      </c>
      <c r="AW18" s="48">
        <f t="shared" si="6"/>
        <v>2451074.1632331465</v>
      </c>
      <c r="AX18" s="48">
        <f t="shared" si="6"/>
        <v>3399544.1588187204</v>
      </c>
      <c r="AY18" s="48">
        <f t="shared" si="6"/>
        <v>3792398.74445805</v>
      </c>
      <c r="AZ18" s="48">
        <f t="shared" si="6"/>
        <v>4178643.1203086246</v>
      </c>
      <c r="BA18" s="48">
        <f t="shared" si="6"/>
        <v>4558442.7305379044</v>
      </c>
      <c r="BB18" s="48">
        <f t="shared" si="6"/>
        <v>4931957.5438838666</v>
      </c>
      <c r="BC18" s="48">
        <f t="shared" si="6"/>
        <v>5299342.2783102151</v>
      </c>
      <c r="BD18" s="48">
        <f t="shared" si="6"/>
        <v>5660746.614690531</v>
      </c>
      <c r="BE18" s="48">
        <f t="shared" si="6"/>
        <v>6016315.4001414459</v>
      </c>
      <c r="BF18" s="48">
        <f t="shared" si="6"/>
        <v>6366188.8415851137</v>
      </c>
      <c r="BG18" s="48">
        <f t="shared" si="6"/>
        <v>6710502.690084382</v>
      </c>
      <c r="BH18" s="48">
        <f t="shared" si="6"/>
        <v>7049387.8222004967</v>
      </c>
      <c r="BI18" s="48">
        <f t="shared" si="6"/>
        <v>6994255.4582854304</v>
      </c>
      <c r="BJ18" s="48">
        <f t="shared" si="6"/>
        <v>6939978.7686372381</v>
      </c>
      <c r="BK18" s="48">
        <f t="shared" si="6"/>
        <v>6886537.9860906443</v>
      </c>
      <c r="BL18" s="48">
        <f t="shared" si="6"/>
        <v>6833913.947689971</v>
      </c>
      <c r="BM18" s="48">
        <f t="shared" si="6"/>
        <v>6782088.0717786076</v>
      </c>
      <c r="BN18" s="48">
        <f t="shared" si="6"/>
        <v>6731042.3361231312</v>
      </c>
      <c r="BO18" s="48">
        <f t="shared" ref="BO18:CM18" si="7">BO5*0.73</f>
        <v>6680759.2570179412</v>
      </c>
      <c r="BP18" s="48">
        <f t="shared" si="7"/>
        <v>6631221.8693195153</v>
      </c>
      <c r="BQ18" s="48">
        <f t="shared" si="7"/>
        <v>6582413.7073623948</v>
      </c>
      <c r="BR18" s="48">
        <f t="shared" si="7"/>
        <v>6534318.7867118185</v>
      </c>
      <c r="BS18" s="48">
        <f t="shared" si="7"/>
        <v>6486921.5867104884</v>
      </c>
      <c r="BT18" s="48">
        <f t="shared" si="7"/>
        <v>6440207.0337794721</v>
      </c>
      <c r="BU18" s="48">
        <f t="shared" si="7"/>
        <v>6394160.4854354542</v>
      </c>
      <c r="BV18" s="48">
        <f t="shared" si="7"/>
        <v>6348767.7149888184</v>
      </c>
      <c r="BW18" s="48">
        <f t="shared" si="7"/>
        <v>6304014.8968888577</v>
      </c>
      <c r="BX18" s="48">
        <f t="shared" si="7"/>
        <v>6259888.5926844943</v>
      </c>
      <c r="BY18" s="48">
        <f t="shared" si="7"/>
        <v>6216375.7375705196</v>
      </c>
      <c r="BZ18" s="48">
        <f t="shared" si="7"/>
        <v>6173463.6274910662</v>
      </c>
      <c r="CA18" s="48">
        <f t="shared" si="7"/>
        <v>6131139.9067735597</v>
      </c>
      <c r="CB18" s="48">
        <f t="shared" si="7"/>
        <v>6089392.5562679134</v>
      </c>
      <c r="CC18" s="48">
        <f t="shared" si="7"/>
        <v>6048209.8819669653</v>
      </c>
      <c r="CD18" s="48">
        <f t="shared" si="7"/>
        <v>6007580.5040856171</v>
      </c>
      <c r="CE18" s="48">
        <f t="shared" si="7"/>
        <v>5967493.346577175</v>
      </c>
      <c r="CF18" s="48">
        <f t="shared" si="7"/>
        <v>5927937.6270666644</v>
      </c>
      <c r="CG18" s="48">
        <f t="shared" si="7"/>
        <v>5888902.8471818399</v>
      </c>
      <c r="CH18" s="48">
        <f t="shared" si="7"/>
        <v>5850378.7832637578</v>
      </c>
      <c r="CI18" s="48">
        <f t="shared" si="7"/>
        <v>5812355.4774395367</v>
      </c>
      <c r="CJ18" s="48">
        <f t="shared" si="7"/>
        <v>5774823.2290410623</v>
      </c>
      <c r="CK18" s="48">
        <f t="shared" si="7"/>
        <v>5737772.5863539623</v>
      </c>
      <c r="CL18" s="48">
        <f t="shared" si="7"/>
        <v>5701194.3386822501</v>
      </c>
      <c r="CM18" s="48">
        <f t="shared" si="7"/>
        <v>5665079.5087145166</v>
      </c>
    </row>
    <row r="19" spans="1:91" x14ac:dyDescent="0.25">
      <c r="A19" s="48" t="s">
        <v>76</v>
      </c>
      <c r="B19" s="48">
        <f>B6*0.77</f>
        <v>0</v>
      </c>
      <c r="C19" s="48">
        <f t="shared" ref="C19:BN19" si="8">C6*0.77</f>
        <v>0</v>
      </c>
      <c r="D19" s="48">
        <f t="shared" si="8"/>
        <v>0</v>
      </c>
      <c r="E19" s="48">
        <f t="shared" si="8"/>
        <v>0</v>
      </c>
      <c r="F19" s="48">
        <f t="shared" si="8"/>
        <v>0</v>
      </c>
      <c r="G19" s="48">
        <f t="shared" si="8"/>
        <v>0</v>
      </c>
      <c r="H19" s="48">
        <f t="shared" si="8"/>
        <v>0</v>
      </c>
      <c r="I19" s="48">
        <f t="shared" si="8"/>
        <v>0</v>
      </c>
      <c r="J19" s="48">
        <f t="shared" si="8"/>
        <v>0</v>
      </c>
      <c r="K19" s="48">
        <f t="shared" si="8"/>
        <v>0</v>
      </c>
      <c r="L19" s="48">
        <f t="shared" si="8"/>
        <v>0</v>
      </c>
      <c r="M19" s="48">
        <f t="shared" si="8"/>
        <v>0</v>
      </c>
      <c r="N19" s="48">
        <f t="shared" si="8"/>
        <v>0</v>
      </c>
      <c r="O19" s="48">
        <f t="shared" si="8"/>
        <v>0</v>
      </c>
      <c r="P19" s="48">
        <f t="shared" si="8"/>
        <v>0</v>
      </c>
      <c r="Q19" s="48">
        <f t="shared" si="8"/>
        <v>0</v>
      </c>
      <c r="R19" s="48">
        <f t="shared" si="8"/>
        <v>0</v>
      </c>
      <c r="S19" s="48">
        <f t="shared" si="8"/>
        <v>0</v>
      </c>
      <c r="T19" s="48">
        <f t="shared" si="8"/>
        <v>0</v>
      </c>
      <c r="U19" s="48">
        <f t="shared" si="8"/>
        <v>0</v>
      </c>
      <c r="V19" s="48">
        <f t="shared" si="8"/>
        <v>0</v>
      </c>
      <c r="W19" s="48">
        <f t="shared" si="8"/>
        <v>0</v>
      </c>
      <c r="X19" s="48">
        <f t="shared" si="8"/>
        <v>0</v>
      </c>
      <c r="Y19" s="48">
        <f t="shared" si="8"/>
        <v>0</v>
      </c>
      <c r="Z19" s="48">
        <f t="shared" si="8"/>
        <v>0</v>
      </c>
      <c r="AA19" s="48">
        <f t="shared" si="8"/>
        <v>0</v>
      </c>
      <c r="AB19" s="48">
        <f t="shared" si="8"/>
        <v>0</v>
      </c>
      <c r="AC19" s="48">
        <f t="shared" si="8"/>
        <v>0</v>
      </c>
      <c r="AD19" s="48">
        <f t="shared" si="8"/>
        <v>0</v>
      </c>
      <c r="AE19" s="48">
        <f t="shared" si="8"/>
        <v>0</v>
      </c>
      <c r="AF19" s="48">
        <f t="shared" si="8"/>
        <v>261929.38350169841</v>
      </c>
      <c r="AG19" s="48">
        <f t="shared" si="8"/>
        <v>515336.79760983231</v>
      </c>
      <c r="AH19" s="48">
        <f t="shared" si="8"/>
        <v>760631.4830653586</v>
      </c>
      <c r="AI19" s="48">
        <f t="shared" si="8"/>
        <v>998196.89011470391</v>
      </c>
      <c r="AJ19" s="48">
        <f t="shared" si="8"/>
        <v>1228392.6786547741</v>
      </c>
      <c r="AK19" s="48">
        <f t="shared" si="8"/>
        <v>1451556.5350790028</v>
      </c>
      <c r="AL19" s="48">
        <f t="shared" si="8"/>
        <v>1668005.8251272966</v>
      </c>
      <c r="AM19" s="48">
        <f t="shared" si="8"/>
        <v>1878039.0997540629</v>
      </c>
      <c r="AN19" s="48">
        <f t="shared" si="8"/>
        <v>2081937.4690406143</v>
      </c>
      <c r="AO19" s="48">
        <f t="shared" si="8"/>
        <v>2279965.8574478719</v>
      </c>
      <c r="AP19" s="48">
        <f t="shared" si="8"/>
        <v>2399579.7344692796</v>
      </c>
      <c r="AQ19" s="48">
        <f t="shared" si="8"/>
        <v>2653383.3043752126</v>
      </c>
      <c r="AR19" s="48">
        <f t="shared" si="8"/>
        <v>2973467.4041131283</v>
      </c>
      <c r="AS19" s="48">
        <f t="shared" si="8"/>
        <v>2765267.1668012501</v>
      </c>
      <c r="AT19" s="48">
        <f t="shared" si="8"/>
        <v>3099645.0505977618</v>
      </c>
      <c r="AU19" s="48">
        <f t="shared" si="8"/>
        <v>3590931.4022397664</v>
      </c>
      <c r="AV19" s="48">
        <f t="shared" si="8"/>
        <v>4300537.5266516767</v>
      </c>
      <c r="AW19" s="48">
        <f t="shared" si="8"/>
        <v>4611442.5455931248</v>
      </c>
      <c r="AX19" s="48">
        <f t="shared" si="8"/>
        <v>6397498.5448832912</v>
      </c>
      <c r="AY19" s="48">
        <f t="shared" si="8"/>
        <v>7138563.6530861398</v>
      </c>
      <c r="AZ19" s="48">
        <f t="shared" si="8"/>
        <v>7867516.7646590108</v>
      </c>
      <c r="BA19" s="48">
        <f t="shared" si="8"/>
        <v>8584652.411093045</v>
      </c>
      <c r="BB19" s="48">
        <f t="shared" si="8"/>
        <v>9290255.6510358267</v>
      </c>
      <c r="BC19" s="48">
        <f t="shared" si="8"/>
        <v>9984602.4480905831</v>
      </c>
      <c r="BD19" s="48">
        <f t="shared" si="8"/>
        <v>10667960.030677408</v>
      </c>
      <c r="BE19" s="48">
        <f t="shared" si="8"/>
        <v>11340587.234942337</v>
      </c>
      <c r="BF19" s="48">
        <f t="shared" si="8"/>
        <v>12002734.831638837</v>
      </c>
      <c r="BG19" s="48">
        <f t="shared" si="8"/>
        <v>12654645.83784876</v>
      </c>
      <c r="BH19" s="48">
        <f t="shared" si="8"/>
        <v>13296554.693465065</v>
      </c>
      <c r="BI19" s="48">
        <f t="shared" si="8"/>
        <v>13195339.206936769</v>
      </c>
      <c r="BJ19" s="48">
        <f t="shared" si="8"/>
        <v>13095653.01589206</v>
      </c>
      <c r="BK19" s="48">
        <f t="shared" si="8"/>
        <v>12997461.720327055</v>
      </c>
      <c r="BL19" s="48">
        <f t="shared" si="8"/>
        <v>12900731.944285413</v>
      </c>
      <c r="BM19" s="48">
        <f t="shared" si="8"/>
        <v>12805431.298033981</v>
      </c>
      <c r="BN19" s="48">
        <f t="shared" si="8"/>
        <v>12711528.341902614</v>
      </c>
      <c r="BO19" s="48">
        <f t="shared" ref="BO19:CM19" si="9">BO6*0.77</f>
        <v>12618992.551703459</v>
      </c>
      <c r="BP19" s="48">
        <f t="shared" si="9"/>
        <v>12527794.285649668</v>
      </c>
      <c r="BQ19" s="48">
        <f t="shared" si="9"/>
        <v>12437904.752698395</v>
      </c>
      <c r="BR19" s="48">
        <f t="shared" si="9"/>
        <v>12349295.982246855</v>
      </c>
      <c r="BS19" s="48">
        <f t="shared" si="9"/>
        <v>12261940.795114635</v>
      </c>
      <c r="BT19" s="48">
        <f t="shared" si="9"/>
        <v>12175812.775748879</v>
      </c>
      <c r="BU19" s="48">
        <f t="shared" si="9"/>
        <v>12090886.245592704</v>
      </c>
      <c r="BV19" s="48">
        <f t="shared" si="9"/>
        <v>12007136.237560421</v>
      </c>
      <c r="BW19" s="48">
        <f t="shared" si="9"/>
        <v>11924538.471566312</v>
      </c>
      <c r="BX19" s="48">
        <f t="shared" si="9"/>
        <v>11843069.331056466</v>
      </c>
      <c r="BY19" s="48">
        <f t="shared" si="9"/>
        <v>11762705.84049619</v>
      </c>
      <c r="BZ19" s="48">
        <f t="shared" si="9"/>
        <v>11683425.643767761</v>
      </c>
      <c r="CA19" s="48">
        <f t="shared" si="9"/>
        <v>11605206.983435934</v>
      </c>
      <c r="CB19" s="48">
        <f t="shared" si="9"/>
        <v>11528028.680840818</v>
      </c>
      <c r="CC19" s="48">
        <f t="shared" si="9"/>
        <v>11451870.116979811</v>
      </c>
      <c r="CD19" s="48">
        <f t="shared" si="9"/>
        <v>11376711.214142373</v>
      </c>
      <c r="CE19" s="48">
        <f t="shared" si="9"/>
        <v>11302532.418263288</v>
      </c>
      <c r="CF19" s="48">
        <f t="shared" si="9"/>
        <v>11229314.681961799</v>
      </c>
      <c r="CG19" s="48">
        <f t="shared" si="9"/>
        <v>11157039.448235748</v>
      </c>
      <c r="CH19" s="48">
        <f t="shared" si="9"/>
        <v>11085688.634781379</v>
      </c>
      <c r="CI19" s="48">
        <f t="shared" si="9"/>
        <v>11015244.618910989</v>
      </c>
      <c r="CJ19" s="48">
        <f t="shared" si="9"/>
        <v>10945690.223041959</v>
      </c>
      <c r="CK19" s="48">
        <f t="shared" si="9"/>
        <v>10877008.700732164</v>
      </c>
      <c r="CL19" s="48">
        <f t="shared" si="9"/>
        <v>10809183.723237786</v>
      </c>
      <c r="CM19" s="48">
        <f t="shared" si="9"/>
        <v>10742199.366570979</v>
      </c>
    </row>
    <row r="20" spans="1:91" x14ac:dyDescent="0.25">
      <c r="A20" s="48" t="s">
        <v>82</v>
      </c>
      <c r="B20" s="48">
        <f>B7*0.98</f>
        <v>0</v>
      </c>
      <c r="C20" s="48">
        <f t="shared" ref="C20:BN20" si="10">C7*0.98</f>
        <v>0</v>
      </c>
      <c r="D20" s="48">
        <f t="shared" si="10"/>
        <v>0</v>
      </c>
      <c r="E20" s="48">
        <f t="shared" si="10"/>
        <v>0</v>
      </c>
      <c r="F20" s="48">
        <f t="shared" si="10"/>
        <v>0</v>
      </c>
      <c r="G20" s="48">
        <f t="shared" si="10"/>
        <v>0</v>
      </c>
      <c r="H20" s="48">
        <f t="shared" si="10"/>
        <v>0</v>
      </c>
      <c r="I20" s="48">
        <f t="shared" si="10"/>
        <v>0</v>
      </c>
      <c r="J20" s="48">
        <f t="shared" si="10"/>
        <v>0</v>
      </c>
      <c r="K20" s="48">
        <f t="shared" si="10"/>
        <v>0</v>
      </c>
      <c r="L20" s="48">
        <f t="shared" si="10"/>
        <v>0</v>
      </c>
      <c r="M20" s="48">
        <f t="shared" si="10"/>
        <v>0</v>
      </c>
      <c r="N20" s="48">
        <f t="shared" si="10"/>
        <v>0</v>
      </c>
      <c r="O20" s="48">
        <f t="shared" si="10"/>
        <v>0</v>
      </c>
      <c r="P20" s="48">
        <f t="shared" si="10"/>
        <v>0</v>
      </c>
      <c r="Q20" s="48">
        <f t="shared" si="10"/>
        <v>0</v>
      </c>
      <c r="R20" s="48">
        <f t="shared" si="10"/>
        <v>0</v>
      </c>
      <c r="S20" s="48">
        <f t="shared" si="10"/>
        <v>0</v>
      </c>
      <c r="T20" s="48">
        <f t="shared" si="10"/>
        <v>0</v>
      </c>
      <c r="U20" s="48">
        <f t="shared" si="10"/>
        <v>0</v>
      </c>
      <c r="V20" s="48">
        <f t="shared" si="10"/>
        <v>0</v>
      </c>
      <c r="W20" s="48">
        <f t="shared" si="10"/>
        <v>0</v>
      </c>
      <c r="X20" s="48">
        <f t="shared" si="10"/>
        <v>0</v>
      </c>
      <c r="Y20" s="48">
        <f t="shared" si="10"/>
        <v>0</v>
      </c>
      <c r="Z20" s="48">
        <f t="shared" si="10"/>
        <v>0</v>
      </c>
      <c r="AA20" s="48">
        <f t="shared" si="10"/>
        <v>0</v>
      </c>
      <c r="AB20" s="48">
        <f t="shared" si="10"/>
        <v>0</v>
      </c>
      <c r="AC20" s="48">
        <f t="shared" si="10"/>
        <v>0</v>
      </c>
      <c r="AD20" s="48">
        <f t="shared" si="10"/>
        <v>0</v>
      </c>
      <c r="AE20" s="48">
        <f t="shared" si="10"/>
        <v>0</v>
      </c>
      <c r="AF20" s="48">
        <f t="shared" si="10"/>
        <v>24749.329331063225</v>
      </c>
      <c r="AG20" s="48">
        <f t="shared" si="10"/>
        <v>49153.657006007452</v>
      </c>
      <c r="AH20" s="48">
        <f t="shared" si="10"/>
        <v>73220.146993648232</v>
      </c>
      <c r="AI20" s="48">
        <f t="shared" si="10"/>
        <v>96955.766279577641</v>
      </c>
      <c r="AJ20" s="48">
        <f t="shared" si="10"/>
        <v>120367.2915903488</v>
      </c>
      <c r="AK20" s="48">
        <f t="shared" si="10"/>
        <v>143461.31584408594</v>
      </c>
      <c r="AL20" s="48">
        <f t="shared" si="10"/>
        <v>166244.25434041719</v>
      </c>
      <c r="AM20" s="48">
        <f t="shared" si="10"/>
        <v>188722.35070193847</v>
      </c>
      <c r="AN20" s="48">
        <f t="shared" si="10"/>
        <v>210901.68257876643</v>
      </c>
      <c r="AO20" s="48">
        <f t="shared" si="10"/>
        <v>232788.16712713041</v>
      </c>
      <c r="AP20" s="48">
        <f t="shared" si="10"/>
        <v>249715.70961074159</v>
      </c>
      <c r="AQ20" s="48">
        <f t="shared" si="10"/>
        <v>290073.71965663909</v>
      </c>
      <c r="AR20" s="48">
        <f t="shared" si="10"/>
        <v>354799.48361971334</v>
      </c>
      <c r="AS20" s="48">
        <f t="shared" si="10"/>
        <v>387083.47207633714</v>
      </c>
      <c r="AT20" s="48">
        <f t="shared" si="10"/>
        <v>440381.94817088323</v>
      </c>
      <c r="AU20" s="48">
        <f t="shared" si="10"/>
        <v>535358.24907200143</v>
      </c>
      <c r="AV20" s="48">
        <f t="shared" si="10"/>
        <v>683116.08305987786</v>
      </c>
      <c r="AW20" s="48">
        <f t="shared" si="10"/>
        <v>886792.57532667532</v>
      </c>
      <c r="AX20" s="48">
        <f t="shared" si="10"/>
        <v>1019447.1694628211</v>
      </c>
      <c r="AY20" s="48">
        <f t="shared" si="10"/>
        <v>1102314.2383547043</v>
      </c>
      <c r="AZ20" s="48">
        <f t="shared" si="10"/>
        <v>1183300.3397307564</v>
      </c>
      <c r="BA20" s="48">
        <f t="shared" si="10"/>
        <v>1262468.7979337799</v>
      </c>
      <c r="BB20" s="48">
        <f t="shared" si="10"/>
        <v>1339880.1263616441</v>
      </c>
      <c r="BC20" s="48">
        <f t="shared" si="10"/>
        <v>1415592.1817264571</v>
      </c>
      <c r="BD20" s="48">
        <f t="shared" si="10"/>
        <v>1489660.3082654967</v>
      </c>
      <c r="BE20" s="48">
        <f t="shared" si="10"/>
        <v>1562137.4726593064</v>
      </c>
      <c r="BF20" s="48">
        <f t="shared" si="10"/>
        <v>1633074.3903481704</v>
      </c>
      <c r="BG20" s="48">
        <f t="shared" si="10"/>
        <v>1702519.6438800262</v>
      </c>
      <c r="BH20" s="48">
        <f t="shared" si="10"/>
        <v>1770519.7715783182</v>
      </c>
      <c r="BI20" s="48">
        <f t="shared" si="10"/>
        <v>1752287.8746169854</v>
      </c>
      <c r="BJ20" s="48">
        <f t="shared" si="10"/>
        <v>1734427.6358043549</v>
      </c>
      <c r="BK20" s="48">
        <f t="shared" si="10"/>
        <v>1716927.8053982572</v>
      </c>
      <c r="BL20" s="48">
        <f t="shared" si="10"/>
        <v>1699777.5831467763</v>
      </c>
      <c r="BM20" s="48">
        <f t="shared" si="10"/>
        <v>1682966.5960607091</v>
      </c>
      <c r="BN20" s="48">
        <f t="shared" si="10"/>
        <v>1666484.8774921058</v>
      </c>
      <c r="BO20" s="48">
        <f t="shared" ref="BO20:CM20" si="11">BO7*0.98</f>
        <v>1650322.8474302213</v>
      </c>
      <c r="BP20" s="48">
        <f t="shared" si="11"/>
        <v>1634471.293933026</v>
      </c>
      <c r="BQ20" s="48">
        <f t="shared" si="11"/>
        <v>1618921.3556186529</v>
      </c>
      <c r="BR20" s="48">
        <f t="shared" si="11"/>
        <v>1603664.5051468536</v>
      </c>
      <c r="BS20" s="48">
        <f t="shared" si="11"/>
        <v>1588692.5336257732</v>
      </c>
      <c r="BT20" s="48">
        <f t="shared" si="11"/>
        <v>1573997.5358841165</v>
      </c>
      <c r="BU20" s="48">
        <f t="shared" si="11"/>
        <v>1559571.896553203</v>
      </c>
      <c r="BV20" s="48">
        <f t="shared" si="11"/>
        <v>1545408.2769074123</v>
      </c>
      <c r="BW20" s="48">
        <f t="shared" si="11"/>
        <v>1531499.6024152453</v>
      </c>
      <c r="BX20" s="48">
        <f t="shared" si="11"/>
        <v>1517839.0509566357</v>
      </c>
      <c r="BY20" s="48">
        <f t="shared" si="11"/>
        <v>1504420.0416652707</v>
      </c>
      <c r="BZ20" s="48">
        <f t="shared" si="11"/>
        <v>1491236.2243575905</v>
      </c>
      <c r="CA20" s="48">
        <f t="shared" si="11"/>
        <v>1478281.4695127851</v>
      </c>
      <c r="CB20" s="48">
        <f t="shared" si="11"/>
        <v>1465549.8587705696</v>
      </c>
      <c r="CC20" s="48">
        <f t="shared" si="11"/>
        <v>1453035.6759157926</v>
      </c>
      <c r="CD20" s="48">
        <f t="shared" si="11"/>
        <v>1440733.3983210211</v>
      </c>
      <c r="CE20" s="48">
        <f t="shared" si="11"/>
        <v>1428637.6888201917</v>
      </c>
      <c r="CF20" s="48">
        <f t="shared" si="11"/>
        <v>1416743.3879882013</v>
      </c>
      <c r="CG20" s="48">
        <f t="shared" si="11"/>
        <v>1405045.5068029775</v>
      </c>
      <c r="CH20" s="48">
        <f t="shared" si="11"/>
        <v>1393539.2196681034</v>
      </c>
      <c r="CI20" s="48">
        <f t="shared" si="11"/>
        <v>1382219.8577754921</v>
      </c>
      <c r="CJ20" s="48">
        <f t="shared" si="11"/>
        <v>1371082.9027889394</v>
      </c>
      <c r="CK20" s="48">
        <f t="shared" si="11"/>
        <v>1360123.9808305912</v>
      </c>
      <c r="CL20" s="48">
        <f t="shared" si="11"/>
        <v>1349338.8567535202</v>
      </c>
      <c r="CM20" s="48">
        <f t="shared" si="11"/>
        <v>1338723.4286846549</v>
      </c>
    </row>
    <row r="21" spans="1:91" x14ac:dyDescent="0.25">
      <c r="A21" s="48" t="s">
        <v>83</v>
      </c>
      <c r="B21" s="48">
        <f>B8*0.82</f>
        <v>0</v>
      </c>
      <c r="C21" s="48">
        <f t="shared" ref="C21:BN21" si="12">C8*0.82</f>
        <v>0</v>
      </c>
      <c r="D21" s="48">
        <f t="shared" si="12"/>
        <v>0</v>
      </c>
      <c r="E21" s="48">
        <f t="shared" si="12"/>
        <v>0</v>
      </c>
      <c r="F21" s="48">
        <f t="shared" si="12"/>
        <v>0</v>
      </c>
      <c r="G21" s="48">
        <f t="shared" si="12"/>
        <v>0</v>
      </c>
      <c r="H21" s="48">
        <f t="shared" si="12"/>
        <v>0</v>
      </c>
      <c r="I21" s="48">
        <f t="shared" si="12"/>
        <v>0</v>
      </c>
      <c r="J21" s="48">
        <f t="shared" si="12"/>
        <v>0</v>
      </c>
      <c r="K21" s="48">
        <f t="shared" si="12"/>
        <v>0</v>
      </c>
      <c r="L21" s="48">
        <f t="shared" si="12"/>
        <v>0</v>
      </c>
      <c r="M21" s="48">
        <f t="shared" si="12"/>
        <v>0</v>
      </c>
      <c r="N21" s="48">
        <f t="shared" si="12"/>
        <v>0</v>
      </c>
      <c r="O21" s="48">
        <f t="shared" si="12"/>
        <v>0</v>
      </c>
      <c r="P21" s="48">
        <f t="shared" si="12"/>
        <v>0</v>
      </c>
      <c r="Q21" s="48">
        <f t="shared" si="12"/>
        <v>0</v>
      </c>
      <c r="R21" s="48">
        <f t="shared" si="12"/>
        <v>0</v>
      </c>
      <c r="S21" s="48">
        <f t="shared" si="12"/>
        <v>0</v>
      </c>
      <c r="T21" s="48">
        <f t="shared" si="12"/>
        <v>0</v>
      </c>
      <c r="U21" s="48">
        <f t="shared" si="12"/>
        <v>0</v>
      </c>
      <c r="V21" s="48">
        <f t="shared" si="12"/>
        <v>0</v>
      </c>
      <c r="W21" s="48">
        <f t="shared" si="12"/>
        <v>0</v>
      </c>
      <c r="X21" s="48">
        <f t="shared" si="12"/>
        <v>0</v>
      </c>
      <c r="Y21" s="48">
        <f t="shared" si="12"/>
        <v>0</v>
      </c>
      <c r="Z21" s="48">
        <f t="shared" si="12"/>
        <v>0</v>
      </c>
      <c r="AA21" s="48">
        <f t="shared" si="12"/>
        <v>0</v>
      </c>
      <c r="AB21" s="48">
        <f t="shared" si="12"/>
        <v>0</v>
      </c>
      <c r="AC21" s="48">
        <f t="shared" si="12"/>
        <v>0</v>
      </c>
      <c r="AD21" s="48">
        <f t="shared" si="12"/>
        <v>0</v>
      </c>
      <c r="AE21" s="48">
        <f t="shared" si="12"/>
        <v>0</v>
      </c>
      <c r="AF21" s="48">
        <f t="shared" si="12"/>
        <v>0</v>
      </c>
      <c r="AG21" s="48">
        <f t="shared" si="12"/>
        <v>0</v>
      </c>
      <c r="AH21" s="48">
        <f t="shared" si="12"/>
        <v>0</v>
      </c>
      <c r="AI21" s="48">
        <f t="shared" si="12"/>
        <v>0</v>
      </c>
      <c r="AJ21" s="48">
        <f t="shared" si="12"/>
        <v>0</v>
      </c>
      <c r="AK21" s="48">
        <f t="shared" si="12"/>
        <v>0</v>
      </c>
      <c r="AL21" s="48">
        <f t="shared" si="12"/>
        <v>0</v>
      </c>
      <c r="AM21" s="48">
        <f t="shared" si="12"/>
        <v>0</v>
      </c>
      <c r="AN21" s="48">
        <f t="shared" si="12"/>
        <v>0</v>
      </c>
      <c r="AO21" s="48">
        <f t="shared" si="12"/>
        <v>0</v>
      </c>
      <c r="AP21" s="48">
        <f t="shared" si="12"/>
        <v>0</v>
      </c>
      <c r="AQ21" s="48">
        <f t="shared" si="12"/>
        <v>0</v>
      </c>
      <c r="AR21" s="48">
        <f t="shared" si="12"/>
        <v>0</v>
      </c>
      <c r="AS21" s="48">
        <f t="shared" si="12"/>
        <v>0</v>
      </c>
      <c r="AT21" s="48">
        <f t="shared" si="12"/>
        <v>0</v>
      </c>
      <c r="AU21" s="48">
        <f t="shared" si="12"/>
        <v>0</v>
      </c>
      <c r="AV21" s="48">
        <f t="shared" si="12"/>
        <v>0</v>
      </c>
      <c r="AW21" s="48">
        <f t="shared" si="12"/>
        <v>0</v>
      </c>
      <c r="AX21" s="48">
        <f t="shared" si="12"/>
        <v>0</v>
      </c>
      <c r="AY21" s="48">
        <f t="shared" si="12"/>
        <v>0</v>
      </c>
      <c r="AZ21" s="48">
        <f t="shared" si="12"/>
        <v>0</v>
      </c>
      <c r="BA21" s="48">
        <f t="shared" si="12"/>
        <v>0</v>
      </c>
      <c r="BB21" s="48">
        <f t="shared" si="12"/>
        <v>0</v>
      </c>
      <c r="BC21" s="48">
        <f t="shared" si="12"/>
        <v>0</v>
      </c>
      <c r="BD21" s="48">
        <f t="shared" si="12"/>
        <v>0</v>
      </c>
      <c r="BE21" s="48">
        <f t="shared" si="12"/>
        <v>0</v>
      </c>
      <c r="BF21" s="48">
        <f t="shared" si="12"/>
        <v>0</v>
      </c>
      <c r="BG21" s="48">
        <f t="shared" si="12"/>
        <v>0</v>
      </c>
      <c r="BH21" s="48">
        <f t="shared" si="12"/>
        <v>0</v>
      </c>
      <c r="BI21" s="48">
        <f t="shared" si="12"/>
        <v>4290442.7773488574</v>
      </c>
      <c r="BJ21" s="48">
        <f t="shared" si="12"/>
        <v>5747979.2259242972</v>
      </c>
      <c r="BK21" s="48">
        <f t="shared" si="12"/>
        <v>7176232.9761966737</v>
      </c>
      <c r="BL21" s="48">
        <f t="shared" si="12"/>
        <v>8575641.0018556807</v>
      </c>
      <c r="BM21" s="48">
        <f t="shared" si="12"/>
        <v>9946634.4942180198</v>
      </c>
      <c r="BN21" s="48">
        <f t="shared" si="12"/>
        <v>11289638.933893459</v>
      </c>
      <c r="BO21" s="48">
        <f t="shared" ref="BO21:CM21" si="13">BO8*0.82</f>
        <v>12605074.161598636</v>
      </c>
      <c r="BP21" s="48">
        <f t="shared" si="13"/>
        <v>13893354.448128408</v>
      </c>
      <c r="BQ21" s="48">
        <f t="shared" si="13"/>
        <v>15154888.563494503</v>
      </c>
      <c r="BR21" s="48">
        <f t="shared" si="13"/>
        <v>16390079.845241142</v>
      </c>
      <c r="BS21" s="48">
        <f t="shared" si="13"/>
        <v>17599326.265947074</v>
      </c>
      <c r="BT21" s="48">
        <f t="shared" si="13"/>
        <v>18783020.499923479</v>
      </c>
      <c r="BU21" s="48">
        <f t="shared" si="13"/>
        <v>19941549.989117105</v>
      </c>
      <c r="BV21" s="48">
        <f t="shared" si="13"/>
        <v>21075297.008227691</v>
      </c>
      <c r="BW21" s="48">
        <f t="shared" si="13"/>
        <v>22184638.729048949</v>
      </c>
      <c r="BX21" s="48">
        <f t="shared" si="13"/>
        <v>23269947.284041945</v>
      </c>
      <c r="BY21" s="48">
        <f t="shared" si="13"/>
        <v>24331589.829149861</v>
      </c>
      <c r="BZ21" s="48">
        <f t="shared" si="13"/>
        <v>25369928.605862934</v>
      </c>
      <c r="CA21" s="48">
        <f t="shared" si="13"/>
        <v>26385321.002542168</v>
      </c>
      <c r="CB21" s="48">
        <f t="shared" si="13"/>
        <v>27378119.615010537</v>
      </c>
      <c r="CC21" s="48">
        <f t="shared" si="13"/>
        <v>28348672.306420069</v>
      </c>
      <c r="CD21" s="48">
        <f t="shared" si="13"/>
        <v>29297322.266403291</v>
      </c>
      <c r="CE21" s="48">
        <f t="shared" si="13"/>
        <v>30224408.069517292</v>
      </c>
      <c r="CF21" s="48">
        <f t="shared" si="13"/>
        <v>31130263.732988559</v>
      </c>
      <c r="CG21" s="48">
        <f t="shared" si="13"/>
        <v>32015218.773766886</v>
      </c>
      <c r="CH21" s="48">
        <f t="shared" si="13"/>
        <v>32879598.264896151</v>
      </c>
      <c r="CI21" s="48">
        <f t="shared" si="13"/>
        <v>33723722.891209997</v>
      </c>
      <c r="CJ21" s="48">
        <f t="shared" si="13"/>
        <v>34547909.004360408</v>
      </c>
      <c r="CK21" s="48">
        <f t="shared" si="13"/>
        <v>35352468.677186579</v>
      </c>
      <c r="CL21" s="48">
        <f t="shared" si="13"/>
        <v>36137709.757432103</v>
      </c>
      <c r="CM21" s="48">
        <f t="shared" si="13"/>
        <v>36903935.920817859</v>
      </c>
    </row>
    <row r="22" spans="1:91" x14ac:dyDescent="0.25">
      <c r="A22" s="48" t="s">
        <v>87</v>
      </c>
      <c r="B22" s="48">
        <f>B9</f>
        <v>0</v>
      </c>
      <c r="C22" s="48">
        <f t="shared" ref="C22:BN22" si="14">C9</f>
        <v>0</v>
      </c>
      <c r="D22" s="48">
        <f t="shared" si="14"/>
        <v>0</v>
      </c>
      <c r="E22" s="48">
        <f t="shared" si="14"/>
        <v>0</v>
      </c>
      <c r="F22" s="48">
        <f t="shared" si="14"/>
        <v>0</v>
      </c>
      <c r="G22" s="48">
        <f t="shared" si="14"/>
        <v>0</v>
      </c>
      <c r="H22" s="48">
        <f t="shared" si="14"/>
        <v>0</v>
      </c>
      <c r="I22" s="48">
        <f t="shared" si="14"/>
        <v>0</v>
      </c>
      <c r="J22" s="48">
        <f t="shared" si="14"/>
        <v>0</v>
      </c>
      <c r="K22" s="48">
        <f t="shared" si="14"/>
        <v>0</v>
      </c>
      <c r="L22" s="48">
        <f t="shared" si="14"/>
        <v>0</v>
      </c>
      <c r="M22" s="48">
        <f t="shared" si="14"/>
        <v>0</v>
      </c>
      <c r="N22" s="48">
        <f t="shared" si="14"/>
        <v>0</v>
      </c>
      <c r="O22" s="48">
        <f t="shared" si="14"/>
        <v>0</v>
      </c>
      <c r="P22" s="48">
        <f t="shared" si="14"/>
        <v>0</v>
      </c>
      <c r="Q22" s="48">
        <f t="shared" si="14"/>
        <v>0</v>
      </c>
      <c r="R22" s="48">
        <f t="shared" si="14"/>
        <v>0</v>
      </c>
      <c r="S22" s="48">
        <f t="shared" si="14"/>
        <v>0</v>
      </c>
      <c r="T22" s="48">
        <f t="shared" si="14"/>
        <v>0</v>
      </c>
      <c r="U22" s="48">
        <f t="shared" si="14"/>
        <v>0</v>
      </c>
      <c r="V22" s="48">
        <f t="shared" si="14"/>
        <v>0</v>
      </c>
      <c r="W22" s="48">
        <f t="shared" si="14"/>
        <v>0</v>
      </c>
      <c r="X22" s="48">
        <f t="shared" si="14"/>
        <v>0</v>
      </c>
      <c r="Y22" s="48">
        <f t="shared" si="14"/>
        <v>0</v>
      </c>
      <c r="Z22" s="48">
        <f t="shared" si="14"/>
        <v>0</v>
      </c>
      <c r="AA22" s="48">
        <f t="shared" si="14"/>
        <v>0</v>
      </c>
      <c r="AB22" s="48">
        <f t="shared" si="14"/>
        <v>0</v>
      </c>
      <c r="AC22" s="48">
        <f t="shared" si="14"/>
        <v>0</v>
      </c>
      <c r="AD22" s="48">
        <f t="shared" si="14"/>
        <v>0</v>
      </c>
      <c r="AE22" s="48">
        <f t="shared" si="14"/>
        <v>0</v>
      </c>
      <c r="AF22" s="48">
        <f t="shared" si="14"/>
        <v>3416.4412662625296</v>
      </c>
      <c r="AG22" s="48">
        <f t="shared" si="14"/>
        <v>6832.8825325250591</v>
      </c>
      <c r="AH22" s="48">
        <f t="shared" si="14"/>
        <v>10249.323798787587</v>
      </c>
      <c r="AI22" s="48">
        <f t="shared" si="14"/>
        <v>13665.765065050118</v>
      </c>
      <c r="AJ22" s="48">
        <f t="shared" si="14"/>
        <v>17082.206331312645</v>
      </c>
      <c r="AK22" s="48">
        <f t="shared" si="14"/>
        <v>20498.647597575175</v>
      </c>
      <c r="AL22" s="48">
        <f t="shared" si="14"/>
        <v>23915.088863837707</v>
      </c>
      <c r="AM22" s="48">
        <f t="shared" si="14"/>
        <v>27331.530130100236</v>
      </c>
      <c r="AN22" s="48">
        <f t="shared" si="14"/>
        <v>30747.971396362755</v>
      </c>
      <c r="AO22" s="48">
        <f t="shared" si="14"/>
        <v>34164.412662625291</v>
      </c>
      <c r="AP22" s="48">
        <f t="shared" si="14"/>
        <v>36890.677261253244</v>
      </c>
      <c r="AQ22" s="48">
        <f t="shared" si="14"/>
        <v>43133.844875324197</v>
      </c>
      <c r="AR22" s="48">
        <f t="shared" si="14"/>
        <v>53102.302593334723</v>
      </c>
      <c r="AS22" s="48">
        <f t="shared" si="14"/>
        <v>58309.240873589188</v>
      </c>
      <c r="AT22" s="48">
        <f t="shared" si="14"/>
        <v>66764.666817619684</v>
      </c>
      <c r="AU22" s="48">
        <f t="shared" si="14"/>
        <v>81682.374948510493</v>
      </c>
      <c r="AV22" s="48">
        <f t="shared" si="14"/>
        <v>105480.61411907786</v>
      </c>
      <c r="AW22" s="48">
        <f t="shared" si="14"/>
        <v>138558.46956944911</v>
      </c>
      <c r="AX22" s="48">
        <f t="shared" si="14"/>
        <v>161156.81907767052</v>
      </c>
      <c r="AY22" s="48">
        <f t="shared" si="14"/>
        <v>176280.28322862033</v>
      </c>
      <c r="AZ22" s="48">
        <f t="shared" si="14"/>
        <v>191403.74737957012</v>
      </c>
      <c r="BA22" s="48">
        <f t="shared" si="14"/>
        <v>206527.21153051991</v>
      </c>
      <c r="BB22" s="48">
        <f t="shared" si="14"/>
        <v>221650.67568146973</v>
      </c>
      <c r="BC22" s="48">
        <f t="shared" si="14"/>
        <v>236774.13983241952</v>
      </c>
      <c r="BD22" s="48">
        <f t="shared" si="14"/>
        <v>251897.60398336934</v>
      </c>
      <c r="BE22" s="48">
        <f t="shared" si="14"/>
        <v>267021.06813431915</v>
      </c>
      <c r="BF22" s="48">
        <f t="shared" si="14"/>
        <v>282144.53228526888</v>
      </c>
      <c r="BG22" s="48">
        <f t="shared" si="14"/>
        <v>297267.99643621867</v>
      </c>
      <c r="BH22" s="48">
        <f t="shared" si="14"/>
        <v>312391.45665398089</v>
      </c>
      <c r="BI22" s="48">
        <f t="shared" si="14"/>
        <v>312391.45665398089</v>
      </c>
      <c r="BJ22" s="48">
        <f t="shared" si="14"/>
        <v>312391.45665398089</v>
      </c>
      <c r="BK22" s="48">
        <f t="shared" si="14"/>
        <v>312391.45665398089</v>
      </c>
      <c r="BL22" s="48">
        <f t="shared" si="14"/>
        <v>312391.45665398089</v>
      </c>
      <c r="BM22" s="48">
        <f t="shared" si="14"/>
        <v>312391.45665398089</v>
      </c>
      <c r="BN22" s="48">
        <f t="shared" si="14"/>
        <v>312391.45665398089</v>
      </c>
      <c r="BO22" s="48">
        <f t="shared" ref="BO22:CM22" si="15">BO9</f>
        <v>312391.45665398089</v>
      </c>
      <c r="BP22" s="48">
        <f t="shared" si="15"/>
        <v>312391.45665398089</v>
      </c>
      <c r="BQ22" s="48">
        <f t="shared" si="15"/>
        <v>312391.45665398089</v>
      </c>
      <c r="BR22" s="48">
        <f t="shared" si="15"/>
        <v>312391.45665398089</v>
      </c>
      <c r="BS22" s="48">
        <f t="shared" si="15"/>
        <v>312391.45665398089</v>
      </c>
      <c r="BT22" s="48">
        <f t="shared" si="15"/>
        <v>312391.45665398089</v>
      </c>
      <c r="BU22" s="48">
        <f t="shared" si="15"/>
        <v>312391.45665398089</v>
      </c>
      <c r="BV22" s="48">
        <f t="shared" si="15"/>
        <v>312391.45665398089</v>
      </c>
      <c r="BW22" s="48">
        <f t="shared" si="15"/>
        <v>312391.45665398089</v>
      </c>
      <c r="BX22" s="48">
        <f t="shared" si="15"/>
        <v>312391.45665398089</v>
      </c>
      <c r="BY22" s="48">
        <f t="shared" si="15"/>
        <v>312391.45665398089</v>
      </c>
      <c r="BZ22" s="48">
        <f t="shared" si="15"/>
        <v>312391.45665398089</v>
      </c>
      <c r="CA22" s="48">
        <f t="shared" si="15"/>
        <v>312391.45665398089</v>
      </c>
      <c r="CB22" s="48">
        <f t="shared" si="15"/>
        <v>312391.45665398089</v>
      </c>
      <c r="CC22" s="48">
        <f t="shared" si="15"/>
        <v>312391.45665398089</v>
      </c>
      <c r="CD22" s="48">
        <f t="shared" si="15"/>
        <v>312391.45665398089</v>
      </c>
      <c r="CE22" s="48">
        <f t="shared" si="15"/>
        <v>312391.45665398089</v>
      </c>
      <c r="CF22" s="48">
        <f t="shared" si="15"/>
        <v>312391.45665398089</v>
      </c>
      <c r="CG22" s="48">
        <f t="shared" si="15"/>
        <v>312391.45665398089</v>
      </c>
      <c r="CH22" s="48">
        <f t="shared" si="15"/>
        <v>312391.45665398089</v>
      </c>
      <c r="CI22" s="48">
        <f t="shared" si="15"/>
        <v>312391.45665398089</v>
      </c>
      <c r="CJ22" s="48">
        <f t="shared" si="15"/>
        <v>312391.45665398089</v>
      </c>
      <c r="CK22" s="48">
        <f t="shared" si="15"/>
        <v>312391.45665398089</v>
      </c>
      <c r="CL22" s="48">
        <f t="shared" si="15"/>
        <v>312391.45665398089</v>
      </c>
      <c r="CM22" s="48">
        <f t="shared" si="15"/>
        <v>312391.45665398089</v>
      </c>
    </row>
    <row r="23" spans="1:91" x14ac:dyDescent="0.25">
      <c r="A23" s="48" t="s">
        <v>84</v>
      </c>
      <c r="B23" s="48">
        <f>B10*0.39</f>
        <v>0</v>
      </c>
      <c r="C23" s="48">
        <f t="shared" ref="C23:BN23" si="16">C10*0.39</f>
        <v>0</v>
      </c>
      <c r="D23" s="48">
        <f t="shared" si="16"/>
        <v>0</v>
      </c>
      <c r="E23" s="48">
        <f t="shared" si="16"/>
        <v>0</v>
      </c>
      <c r="F23" s="48">
        <f t="shared" si="16"/>
        <v>0</v>
      </c>
      <c r="G23" s="48">
        <f t="shared" si="16"/>
        <v>0</v>
      </c>
      <c r="H23" s="48">
        <f t="shared" si="16"/>
        <v>0</v>
      </c>
      <c r="I23" s="48">
        <f t="shared" si="16"/>
        <v>0</v>
      </c>
      <c r="J23" s="48">
        <f t="shared" si="16"/>
        <v>0</v>
      </c>
      <c r="K23" s="48">
        <f t="shared" si="16"/>
        <v>0</v>
      </c>
      <c r="L23" s="48">
        <f t="shared" si="16"/>
        <v>0</v>
      </c>
      <c r="M23" s="48">
        <f t="shared" si="16"/>
        <v>0</v>
      </c>
      <c r="N23" s="48">
        <f t="shared" si="16"/>
        <v>0</v>
      </c>
      <c r="O23" s="48">
        <f t="shared" si="16"/>
        <v>0</v>
      </c>
      <c r="P23" s="48">
        <f t="shared" si="16"/>
        <v>0</v>
      </c>
      <c r="Q23" s="48">
        <f t="shared" si="16"/>
        <v>0</v>
      </c>
      <c r="R23" s="48">
        <f t="shared" si="16"/>
        <v>0</v>
      </c>
      <c r="S23" s="48">
        <f t="shared" si="16"/>
        <v>0</v>
      </c>
      <c r="T23" s="48">
        <f t="shared" si="16"/>
        <v>0</v>
      </c>
      <c r="U23" s="48">
        <f t="shared" si="16"/>
        <v>0</v>
      </c>
      <c r="V23" s="48">
        <f t="shared" si="16"/>
        <v>0</v>
      </c>
      <c r="W23" s="48">
        <f t="shared" si="16"/>
        <v>0</v>
      </c>
      <c r="X23" s="48">
        <f t="shared" si="16"/>
        <v>0</v>
      </c>
      <c r="Y23" s="48">
        <f t="shared" si="16"/>
        <v>0</v>
      </c>
      <c r="Z23" s="48">
        <f t="shared" si="16"/>
        <v>0</v>
      </c>
      <c r="AA23" s="48">
        <f t="shared" si="16"/>
        <v>0</v>
      </c>
      <c r="AB23" s="48">
        <f t="shared" si="16"/>
        <v>0</v>
      </c>
      <c r="AC23" s="48">
        <f t="shared" si="16"/>
        <v>0</v>
      </c>
      <c r="AD23" s="48">
        <f t="shared" si="16"/>
        <v>0</v>
      </c>
      <c r="AE23" s="48">
        <f t="shared" si="16"/>
        <v>0</v>
      </c>
      <c r="AF23" s="48">
        <f t="shared" si="16"/>
        <v>0</v>
      </c>
      <c r="AG23" s="48">
        <f t="shared" si="16"/>
        <v>0</v>
      </c>
      <c r="AH23" s="48">
        <f t="shared" si="16"/>
        <v>0</v>
      </c>
      <c r="AI23" s="48">
        <f t="shared" si="16"/>
        <v>0</v>
      </c>
      <c r="AJ23" s="48">
        <f t="shared" si="16"/>
        <v>0</v>
      </c>
      <c r="AK23" s="48">
        <f t="shared" si="16"/>
        <v>0</v>
      </c>
      <c r="AL23" s="48">
        <f t="shared" si="16"/>
        <v>0</v>
      </c>
      <c r="AM23" s="48">
        <f t="shared" si="16"/>
        <v>0</v>
      </c>
      <c r="AN23" s="48">
        <f t="shared" si="16"/>
        <v>0</v>
      </c>
      <c r="AO23" s="48">
        <f t="shared" si="16"/>
        <v>0</v>
      </c>
      <c r="AP23" s="48">
        <f t="shared" si="16"/>
        <v>26902.341993431211</v>
      </c>
      <c r="AQ23" s="48">
        <f t="shared" si="16"/>
        <v>32526.606109635377</v>
      </c>
      <c r="AR23" s="48">
        <f t="shared" si="16"/>
        <v>43564.042547470432</v>
      </c>
      <c r="AS23" s="48">
        <f t="shared" si="16"/>
        <v>84536.761375307266</v>
      </c>
      <c r="AT23" s="48">
        <f t="shared" si="16"/>
        <v>271911.14066607878</v>
      </c>
      <c r="AU23" s="48">
        <f t="shared" si="16"/>
        <v>741604.83511076646</v>
      </c>
      <c r="AV23" s="48">
        <f t="shared" si="16"/>
        <v>1435703.7325092244</v>
      </c>
      <c r="AW23" s="48">
        <f t="shared" si="16"/>
        <v>1777556.8524855981</v>
      </c>
      <c r="AX23" s="48">
        <f t="shared" si="16"/>
        <v>1863278.5505074349</v>
      </c>
      <c r="AY23" s="48">
        <f t="shared" si="16"/>
        <v>1947310.4713917852</v>
      </c>
      <c r="AZ23" s="48">
        <f t="shared" si="16"/>
        <v>2029702.0917361467</v>
      </c>
      <c r="BA23" s="48">
        <f t="shared" si="16"/>
        <v>2110500.9752444732</v>
      </c>
      <c r="BB23" s="48">
        <f t="shared" si="16"/>
        <v>2189752.8642889517</v>
      </c>
      <c r="BC23" s="48">
        <f t="shared" si="16"/>
        <v>2267501.7662624517</v>
      </c>
      <c r="BD23" s="48">
        <f t="shared" si="16"/>
        <v>2343790.0350641971</v>
      </c>
      <c r="BE23" s="48">
        <f t="shared" si="16"/>
        <v>2418658.4480356607</v>
      </c>
      <c r="BF23" s="48">
        <f t="shared" si="16"/>
        <v>2492146.2786403401</v>
      </c>
      <c r="BG23" s="48">
        <f t="shared" si="16"/>
        <v>2564291.3651595972</v>
      </c>
      <c r="BH23" s="48">
        <f t="shared" si="16"/>
        <v>2635128.1051006331</v>
      </c>
      <c r="BI23" s="48">
        <f t="shared" si="16"/>
        <v>3380614.92258952</v>
      </c>
      <c r="BJ23" s="48">
        <f t="shared" si="16"/>
        <v>4112843.8300739746</v>
      </c>
      <c r="BK23" s="48">
        <f t="shared" si="16"/>
        <v>4832165.3829819951</v>
      </c>
      <c r="BL23" s="48">
        <f t="shared" si="16"/>
        <v>5538917.885895811</v>
      </c>
      <c r="BM23" s="48">
        <f t="shared" si="16"/>
        <v>6233427.9230790483</v>
      </c>
      <c r="BN23" s="48">
        <f t="shared" si="16"/>
        <v>6916010.861671024</v>
      </c>
      <c r="BO23" s="48">
        <f t="shared" ref="BO23:CM23" si="17">BO10*0.39</f>
        <v>7586971.3291770834</v>
      </c>
      <c r="BP23" s="48">
        <f t="shared" si="17"/>
        <v>8246603.6667738743</v>
      </c>
      <c r="BQ23" s="48">
        <f t="shared" si="17"/>
        <v>8895192.3598467596</v>
      </c>
      <c r="BR23" s="48">
        <f t="shared" si="17"/>
        <v>9533012.4470824003</v>
      </c>
      <c r="BS23" s="48">
        <f t="shared" si="17"/>
        <v>10160329.909352459</v>
      </c>
      <c r="BT23" s="48">
        <f t="shared" si="17"/>
        <v>10777402.039543582</v>
      </c>
      <c r="BU23" s="48">
        <f t="shared" si="17"/>
        <v>11384477.794413984</v>
      </c>
      <c r="BV23" s="48">
        <f t="shared" si="17"/>
        <v>11981798.12948755</v>
      </c>
      <c r="BW23" s="48">
        <f t="shared" si="17"/>
        <v>12569596.31793182</v>
      </c>
      <c r="BX23" s="48">
        <f t="shared" si="17"/>
        <v>13148098.254306495</v>
      </c>
      <c r="BY23" s="48">
        <f t="shared" si="17"/>
        <v>13717522.744013244</v>
      </c>
      <c r="BZ23" s="48">
        <f t="shared" si="17"/>
        <v>14278081.779226134</v>
      </c>
      <c r="CA23" s="48">
        <f t="shared" si="17"/>
        <v>14829980.802033508</v>
      </c>
      <c r="CB23" s="48">
        <f t="shared" si="17"/>
        <v>15373418.955477731</v>
      </c>
      <c r="CC23" s="48">
        <f t="shared" si="17"/>
        <v>15908589.32313695</v>
      </c>
      <c r="CD23" s="48">
        <f t="shared" si="17"/>
        <v>16435679.157854637</v>
      </c>
      <c r="CE23" s="48">
        <f t="shared" si="17"/>
        <v>16954870.100185946</v>
      </c>
      <c r="CF23" s="48">
        <f t="shared" si="17"/>
        <v>17466338.387096308</v>
      </c>
      <c r="CG23" s="48">
        <f t="shared" si="17"/>
        <v>17970255.051416021</v>
      </c>
      <c r="CH23" s="48">
        <f t="shared" si="17"/>
        <v>18466786.112524856</v>
      </c>
      <c r="CI23" s="48">
        <f t="shared" si="17"/>
        <v>18956092.758713588</v>
      </c>
      <c r="CJ23" s="48">
        <f t="shared" si="17"/>
        <v>19438331.521642867</v>
      </c>
      <c r="CK23" s="48">
        <f t="shared" si="17"/>
        <v>19913654.443296492</v>
      </c>
      <c r="CL23" s="48">
        <f t="shared" si="17"/>
        <v>20382209.235802721</v>
      </c>
      <c r="CM23" s="48">
        <f t="shared" si="17"/>
        <v>20844139.434476919</v>
      </c>
    </row>
    <row r="24" spans="1:91" x14ac:dyDescent="0.25">
      <c r="A24" s="48" t="s">
        <v>85</v>
      </c>
      <c r="B24" s="48">
        <f>B11*0.65</f>
        <v>0</v>
      </c>
      <c r="C24" s="48">
        <f t="shared" ref="C24:BN24" si="18">C11*0.65</f>
        <v>0</v>
      </c>
      <c r="D24" s="48">
        <f t="shared" si="18"/>
        <v>0</v>
      </c>
      <c r="E24" s="48">
        <f t="shared" si="18"/>
        <v>0</v>
      </c>
      <c r="F24" s="48">
        <f t="shared" si="18"/>
        <v>0</v>
      </c>
      <c r="G24" s="48">
        <f t="shared" si="18"/>
        <v>0</v>
      </c>
      <c r="H24" s="48">
        <f t="shared" si="18"/>
        <v>0</v>
      </c>
      <c r="I24" s="48">
        <f t="shared" si="18"/>
        <v>0</v>
      </c>
      <c r="J24" s="48">
        <f t="shared" si="18"/>
        <v>0</v>
      </c>
      <c r="K24" s="48">
        <f t="shared" si="18"/>
        <v>0</v>
      </c>
      <c r="L24" s="48">
        <f t="shared" si="18"/>
        <v>0</v>
      </c>
      <c r="M24" s="48">
        <f t="shared" si="18"/>
        <v>0</v>
      </c>
      <c r="N24" s="48">
        <f t="shared" si="18"/>
        <v>0</v>
      </c>
      <c r="O24" s="48">
        <f t="shared" si="18"/>
        <v>0</v>
      </c>
      <c r="P24" s="48">
        <f t="shared" si="18"/>
        <v>0</v>
      </c>
      <c r="Q24" s="48">
        <f t="shared" si="18"/>
        <v>0</v>
      </c>
      <c r="R24" s="48">
        <f t="shared" si="18"/>
        <v>0</v>
      </c>
      <c r="S24" s="48">
        <f t="shared" si="18"/>
        <v>0</v>
      </c>
      <c r="T24" s="48">
        <f t="shared" si="18"/>
        <v>0</v>
      </c>
      <c r="U24" s="48">
        <f t="shared" si="18"/>
        <v>0</v>
      </c>
      <c r="V24" s="48">
        <f t="shared" si="18"/>
        <v>0</v>
      </c>
      <c r="W24" s="48">
        <f t="shared" si="18"/>
        <v>0</v>
      </c>
      <c r="X24" s="48">
        <f t="shared" si="18"/>
        <v>0</v>
      </c>
      <c r="Y24" s="48">
        <f t="shared" si="18"/>
        <v>0</v>
      </c>
      <c r="Z24" s="48">
        <f t="shared" si="18"/>
        <v>0</v>
      </c>
      <c r="AA24" s="48">
        <f t="shared" si="18"/>
        <v>0</v>
      </c>
      <c r="AB24" s="48">
        <f t="shared" si="18"/>
        <v>0</v>
      </c>
      <c r="AC24" s="48">
        <f t="shared" si="18"/>
        <v>0</v>
      </c>
      <c r="AD24" s="48">
        <f t="shared" si="18"/>
        <v>0</v>
      </c>
      <c r="AE24" s="48">
        <f t="shared" si="18"/>
        <v>0</v>
      </c>
      <c r="AF24" s="48">
        <f t="shared" si="18"/>
        <v>138599.56472198345</v>
      </c>
      <c r="AG24" s="48">
        <f t="shared" si="18"/>
        <v>273457.71379753767</v>
      </c>
      <c r="AH24" s="48">
        <f t="shared" si="18"/>
        <v>404723.92573324346</v>
      </c>
      <c r="AI24" s="48">
        <f t="shared" si="18"/>
        <v>532539.82098634238</v>
      </c>
      <c r="AJ24" s="48">
        <f t="shared" si="18"/>
        <v>657039.67163612996</v>
      </c>
      <c r="AK24" s="48">
        <f t="shared" si="18"/>
        <v>778350.87189472397</v>
      </c>
      <c r="AL24" s="48">
        <f t="shared" si="18"/>
        <v>896594.37292321946</v>
      </c>
      <c r="AM24" s="48">
        <f t="shared" si="18"/>
        <v>1011885.0850730242</v>
      </c>
      <c r="AN24" s="48">
        <f t="shared" si="18"/>
        <v>1124332.2503643718</v>
      </c>
      <c r="AO24" s="48">
        <f t="shared" si="18"/>
        <v>1234039.7877399891</v>
      </c>
      <c r="AP24" s="48">
        <f t="shared" si="18"/>
        <v>1527995.2742244024</v>
      </c>
      <c r="AQ24" s="48">
        <f t="shared" si="18"/>
        <v>1967130.5156948098</v>
      </c>
      <c r="AR24" s="48">
        <f t="shared" si="18"/>
        <v>2598021.0199561203</v>
      </c>
      <c r="AS24" s="48">
        <f t="shared" si="18"/>
        <v>3251413.8990502795</v>
      </c>
      <c r="AT24" s="48">
        <f t="shared" si="18"/>
        <v>4998965.2574780276</v>
      </c>
      <c r="AU24" s="48">
        <f t="shared" si="18"/>
        <v>8192818.5498469528</v>
      </c>
      <c r="AV24" s="48">
        <f t="shared" si="18"/>
        <v>10999483.226062525</v>
      </c>
      <c r="AW24" s="48">
        <f t="shared" si="18"/>
        <v>16417552.904479241</v>
      </c>
      <c r="AX24" s="48">
        <f t="shared" si="18"/>
        <v>19071444.584975265</v>
      </c>
      <c r="AY24" s="48">
        <f t="shared" si="18"/>
        <v>21673021.79211675</v>
      </c>
      <c r="AZ24" s="48">
        <f t="shared" si="18"/>
        <v>24223816.291296955</v>
      </c>
      <c r="BA24" s="48">
        <f t="shared" si="18"/>
        <v>26725300.625887387</v>
      </c>
      <c r="BB24" s="48">
        <f t="shared" si="18"/>
        <v>29178890.951934762</v>
      </c>
      <c r="BC24" s="48">
        <f t="shared" si="18"/>
        <v>31585949.711580537</v>
      </c>
      <c r="BD24" s="48">
        <f t="shared" si="18"/>
        <v>33947788.155807592</v>
      </c>
      <c r="BE24" s="48">
        <f t="shared" si="18"/>
        <v>36265668.726328865</v>
      </c>
      <c r="BF24" s="48">
        <f t="shared" si="18"/>
        <v>38540807.305709042</v>
      </c>
      <c r="BG24" s="48">
        <f t="shared" si="18"/>
        <v>40774375.344146028</v>
      </c>
      <c r="BH24" s="48">
        <f t="shared" si="18"/>
        <v>42967496.11918278</v>
      </c>
      <c r="BI24" s="48">
        <f t="shared" si="18"/>
        <v>63445631.558931202</v>
      </c>
      <c r="BJ24" s="48">
        <f t="shared" si="18"/>
        <v>83559579.101121262</v>
      </c>
      <c r="BK24" s="48">
        <f t="shared" si="18"/>
        <v>103318968.32117303</v>
      </c>
      <c r="BL24" s="48">
        <f t="shared" si="18"/>
        <v>122733092.27014014</v>
      </c>
      <c r="BM24" s="48">
        <f t="shared" si="18"/>
        <v>141810922.04801551</v>
      </c>
      <c r="BN24" s="48">
        <f t="shared" si="18"/>
        <v>160561120.62621683</v>
      </c>
      <c r="BO24" s="48">
        <f t="shared" ref="BO24:CM24" si="19">BO11*0.65</f>
        <v>178992055.96399805</v>
      </c>
      <c r="BP24" s="48">
        <f t="shared" si="19"/>
        <v>197111813.46050981</v>
      </c>
      <c r="BQ24" s="48">
        <f t="shared" si="19"/>
        <v>214928207.78143814</v>
      </c>
      <c r="BR24" s="48">
        <f t="shared" si="19"/>
        <v>232448794.09656546</v>
      </c>
      <c r="BS24" s="48">
        <f t="shared" si="19"/>
        <v>249680878.76220351</v>
      </c>
      <c r="BT24" s="48">
        <f t="shared" si="19"/>
        <v>266631529.48023075</v>
      </c>
      <c r="BU24" s="48">
        <f t="shared" si="19"/>
        <v>283307584.96341038</v>
      </c>
      <c r="BV24" s="48">
        <f t="shared" si="19"/>
        <v>299715664.13475633</v>
      </c>
      <c r="BW24" s="48">
        <f t="shared" si="19"/>
        <v>315862174.8869468</v>
      </c>
      <c r="BX24" s="48">
        <f t="shared" si="19"/>
        <v>331753322.42613709</v>
      </c>
      <c r="BY24" s="48">
        <f t="shared" si="19"/>
        <v>347395117.22299582</v>
      </c>
      <c r="BZ24" s="48">
        <f t="shared" si="19"/>
        <v>362793382.59237021</v>
      </c>
      <c r="CA24" s="48">
        <f t="shared" si="19"/>
        <v>377953761.92165697</v>
      </c>
      <c r="CB24" s="48">
        <f t="shared" si="19"/>
        <v>392881725.56673294</v>
      </c>
      <c r="CC24" s="48">
        <f t="shared" si="19"/>
        <v>407582577.43314278</v>
      </c>
      <c r="CD24" s="48">
        <f t="shared" si="19"/>
        <v>422061461.25917965</v>
      </c>
      <c r="CE24" s="48">
        <f t="shared" si="19"/>
        <v>436323366.61649287</v>
      </c>
      <c r="CF24" s="48">
        <f t="shared" si="19"/>
        <v>450373134.64293116</v>
      </c>
      <c r="CG24" s="48">
        <f t="shared" si="19"/>
        <v>464215463.52145505</v>
      </c>
      <c r="CH24" s="48">
        <f t="shared" si="19"/>
        <v>477854913.71814525</v>
      </c>
      <c r="CI24" s="48">
        <f t="shared" si="19"/>
        <v>491295912.99157792</v>
      </c>
      <c r="CJ24" s="48">
        <f t="shared" si="19"/>
        <v>504542761.18512064</v>
      </c>
      <c r="CK24" s="48">
        <f t="shared" si="19"/>
        <v>517599634.81305027</v>
      </c>
      <c r="CL24" s="48">
        <f t="shared" si="19"/>
        <v>530470591.45076257</v>
      </c>
      <c r="CM24" s="48">
        <f t="shared" si="19"/>
        <v>543159573.93877423</v>
      </c>
    </row>
    <row r="26" spans="1:91" x14ac:dyDescent="0.25">
      <c r="B26" s="48">
        <v>1961</v>
      </c>
      <c r="C26" s="48">
        <v>1962</v>
      </c>
      <c r="D26" s="48">
        <v>1963</v>
      </c>
      <c r="E26" s="48">
        <v>1964</v>
      </c>
      <c r="F26" s="48">
        <v>1965</v>
      </c>
      <c r="G26" s="48">
        <v>1966</v>
      </c>
      <c r="H26" s="48">
        <v>1967</v>
      </c>
      <c r="I26" s="48">
        <v>1968</v>
      </c>
      <c r="J26" s="48">
        <v>1969</v>
      </c>
      <c r="K26" s="48">
        <v>1970</v>
      </c>
      <c r="L26" s="48">
        <v>1971</v>
      </c>
      <c r="M26" s="48">
        <v>1972</v>
      </c>
      <c r="N26" s="48">
        <v>1973</v>
      </c>
      <c r="O26" s="48">
        <v>1974</v>
      </c>
      <c r="P26" s="48">
        <v>1975</v>
      </c>
      <c r="Q26" s="48">
        <v>1976</v>
      </c>
      <c r="R26" s="48">
        <v>1977</v>
      </c>
      <c r="S26" s="48">
        <v>1978</v>
      </c>
      <c r="T26" s="48">
        <v>1979</v>
      </c>
      <c r="U26" s="48">
        <v>1980</v>
      </c>
      <c r="V26" s="48">
        <v>1981</v>
      </c>
      <c r="W26" s="48">
        <v>1982</v>
      </c>
      <c r="X26" s="48">
        <v>1983</v>
      </c>
      <c r="Y26" s="48">
        <v>1984</v>
      </c>
      <c r="Z26" s="48">
        <v>1985</v>
      </c>
      <c r="AA26" s="48">
        <v>1986</v>
      </c>
      <c r="AB26" s="48">
        <v>1987</v>
      </c>
      <c r="AC26" s="48">
        <v>1988</v>
      </c>
      <c r="AD26" s="48">
        <v>1989</v>
      </c>
      <c r="AE26" s="48">
        <v>1990</v>
      </c>
      <c r="AF26" s="48">
        <v>1991</v>
      </c>
      <c r="AG26" s="48">
        <v>1992</v>
      </c>
      <c r="AH26" s="48">
        <v>1993</v>
      </c>
      <c r="AI26" s="48">
        <v>1994</v>
      </c>
      <c r="AJ26" s="48">
        <v>1995</v>
      </c>
      <c r="AK26" s="48">
        <v>1996</v>
      </c>
      <c r="AL26" s="48">
        <v>1997</v>
      </c>
      <c r="AM26" s="48">
        <v>1998</v>
      </c>
      <c r="AN26" s="48">
        <v>1999</v>
      </c>
      <c r="AO26" s="48">
        <v>2000</v>
      </c>
      <c r="AP26" s="48">
        <v>2001</v>
      </c>
      <c r="AQ26" s="48">
        <v>2002</v>
      </c>
      <c r="AR26" s="48">
        <v>2003</v>
      </c>
      <c r="AS26" s="48">
        <v>2004</v>
      </c>
      <c r="AT26" s="48">
        <v>2005</v>
      </c>
      <c r="AU26" s="48">
        <v>2006</v>
      </c>
      <c r="AV26" s="48">
        <v>2007</v>
      </c>
      <c r="AW26" s="48">
        <v>2008</v>
      </c>
      <c r="AX26" s="48">
        <v>2009</v>
      </c>
      <c r="AY26" s="48">
        <v>2010</v>
      </c>
      <c r="AZ26" s="48">
        <v>2011</v>
      </c>
      <c r="BA26" s="48">
        <v>2012</v>
      </c>
      <c r="BB26" s="48">
        <v>2013</v>
      </c>
      <c r="BC26" s="48">
        <v>2014</v>
      </c>
      <c r="BD26" s="48">
        <v>2015</v>
      </c>
      <c r="BE26" s="48">
        <v>2016</v>
      </c>
      <c r="BF26" s="48">
        <v>2017</v>
      </c>
      <c r="BG26" s="48">
        <v>2018</v>
      </c>
      <c r="BH26" s="48">
        <v>2019</v>
      </c>
      <c r="BI26" s="48">
        <v>2020</v>
      </c>
      <c r="BJ26" s="48">
        <v>2021</v>
      </c>
      <c r="BK26" s="48">
        <v>2022</v>
      </c>
      <c r="BL26" s="48">
        <v>2023</v>
      </c>
      <c r="BM26" s="48">
        <v>2024</v>
      </c>
      <c r="BN26" s="48">
        <v>2025</v>
      </c>
      <c r="BO26" s="48">
        <v>2026</v>
      </c>
      <c r="BP26" s="48">
        <v>2027</v>
      </c>
      <c r="BQ26" s="48">
        <v>2028</v>
      </c>
      <c r="BR26" s="48">
        <v>2029</v>
      </c>
      <c r="BS26" s="48">
        <v>2030</v>
      </c>
      <c r="BT26" s="48">
        <v>2031</v>
      </c>
      <c r="BU26" s="48">
        <v>2032</v>
      </c>
      <c r="BV26" s="48">
        <v>2033</v>
      </c>
      <c r="BW26" s="48">
        <v>2034</v>
      </c>
      <c r="BX26" s="48">
        <v>2035</v>
      </c>
      <c r="BY26" s="48">
        <v>2036</v>
      </c>
      <c r="BZ26" s="48">
        <v>2037</v>
      </c>
      <c r="CA26" s="48">
        <v>2038</v>
      </c>
      <c r="CB26" s="48">
        <v>2039</v>
      </c>
      <c r="CC26" s="48">
        <v>2040</v>
      </c>
      <c r="CD26" s="48">
        <v>2041</v>
      </c>
      <c r="CE26" s="48">
        <v>2042</v>
      </c>
      <c r="CF26" s="48">
        <v>2043</v>
      </c>
      <c r="CG26" s="48">
        <v>2044</v>
      </c>
      <c r="CH26" s="48">
        <v>2045</v>
      </c>
      <c r="CI26" s="48">
        <v>2046</v>
      </c>
      <c r="CJ26" s="48">
        <v>2047</v>
      </c>
      <c r="CK26" s="48">
        <v>2048</v>
      </c>
      <c r="CL26" s="48">
        <v>2049</v>
      </c>
      <c r="CM26" s="48">
        <v>2050</v>
      </c>
    </row>
    <row r="27" spans="1:91" x14ac:dyDescent="0.25">
      <c r="A27" s="48" t="s">
        <v>21</v>
      </c>
      <c r="B27" s="48">
        <f t="shared" ref="B27:BM27" si="20">SUM(B15,B16,B23)</f>
        <v>0</v>
      </c>
      <c r="C27" s="48">
        <f t="shared" si="20"/>
        <v>0</v>
      </c>
      <c r="D27" s="48">
        <f t="shared" si="20"/>
        <v>0</v>
      </c>
      <c r="E27" s="48">
        <f t="shared" si="20"/>
        <v>0</v>
      </c>
      <c r="F27" s="48">
        <f t="shared" si="20"/>
        <v>0</v>
      </c>
      <c r="G27" s="48">
        <f t="shared" si="20"/>
        <v>0</v>
      </c>
      <c r="H27" s="48">
        <f t="shared" si="20"/>
        <v>0</v>
      </c>
      <c r="I27" s="48">
        <f t="shared" si="20"/>
        <v>0</v>
      </c>
      <c r="J27" s="48">
        <f t="shared" si="20"/>
        <v>0</v>
      </c>
      <c r="K27" s="48">
        <f t="shared" si="20"/>
        <v>0</v>
      </c>
      <c r="L27" s="48">
        <f t="shared" si="20"/>
        <v>0</v>
      </c>
      <c r="M27" s="48">
        <f t="shared" si="20"/>
        <v>0</v>
      </c>
      <c r="N27" s="48">
        <f t="shared" si="20"/>
        <v>0</v>
      </c>
      <c r="O27" s="48">
        <f t="shared" si="20"/>
        <v>0</v>
      </c>
      <c r="P27" s="48">
        <f t="shared" si="20"/>
        <v>0</v>
      </c>
      <c r="Q27" s="48">
        <f t="shared" si="20"/>
        <v>0</v>
      </c>
      <c r="R27" s="48">
        <f t="shared" si="20"/>
        <v>0</v>
      </c>
      <c r="S27" s="48">
        <f t="shared" si="20"/>
        <v>0</v>
      </c>
      <c r="T27" s="48">
        <f t="shared" si="20"/>
        <v>0</v>
      </c>
      <c r="U27" s="48">
        <f t="shared" si="20"/>
        <v>0</v>
      </c>
      <c r="V27" s="48">
        <f t="shared" si="20"/>
        <v>0</v>
      </c>
      <c r="W27" s="48">
        <f t="shared" si="20"/>
        <v>0</v>
      </c>
      <c r="X27" s="48">
        <f t="shared" si="20"/>
        <v>0</v>
      </c>
      <c r="Y27" s="48">
        <f t="shared" si="20"/>
        <v>0</v>
      </c>
      <c r="Z27" s="48">
        <f t="shared" si="20"/>
        <v>0</v>
      </c>
      <c r="AA27" s="48">
        <f t="shared" si="20"/>
        <v>0</v>
      </c>
      <c r="AB27" s="48">
        <f t="shared" si="20"/>
        <v>0</v>
      </c>
      <c r="AC27" s="48">
        <f t="shared" si="20"/>
        <v>0</v>
      </c>
      <c r="AD27" s="48">
        <f t="shared" si="20"/>
        <v>0</v>
      </c>
      <c r="AE27" s="48">
        <f t="shared" si="20"/>
        <v>0</v>
      </c>
      <c r="AF27" s="48">
        <f t="shared" si="20"/>
        <v>264298.13384870189</v>
      </c>
      <c r="AG27" s="48">
        <f t="shared" si="20"/>
        <v>520633.93324715138</v>
      </c>
      <c r="AH27" s="48">
        <f t="shared" si="20"/>
        <v>769361.87263473251</v>
      </c>
      <c r="AI27" s="48">
        <f t="shared" si="20"/>
        <v>1010815.693040224</v>
      </c>
      <c r="AJ27" s="48">
        <f t="shared" si="20"/>
        <v>1245309.8961211501</v>
      </c>
      <c r="AK27" s="48">
        <f t="shared" si="20"/>
        <v>1473141.1108468894</v>
      </c>
      <c r="AL27" s="48">
        <f t="shared" si="20"/>
        <v>1694589.3453137057</v>
      </c>
      <c r="AM27" s="48">
        <f t="shared" si="20"/>
        <v>1909919.13479971</v>
      </c>
      <c r="AN27" s="48">
        <f t="shared" si="20"/>
        <v>2119380.5959568662</v>
      </c>
      <c r="AO27" s="48">
        <f t="shared" si="20"/>
        <v>2323210.3959727613</v>
      </c>
      <c r="AP27" s="48">
        <f t="shared" si="20"/>
        <v>2528030.7295535938</v>
      </c>
      <c r="AQ27" s="48">
        <f t="shared" si="20"/>
        <v>3025243.1509060082</v>
      </c>
      <c r="AR27" s="48">
        <f t="shared" si="20"/>
        <v>3914439.356290834</v>
      </c>
      <c r="AS27" s="48">
        <f t="shared" si="20"/>
        <v>4710896.3697284199</v>
      </c>
      <c r="AT27" s="48">
        <f t="shared" si="20"/>
        <v>5525197.0183615312</v>
      </c>
      <c r="AU27" s="48">
        <f t="shared" si="20"/>
        <v>7231647.8086248199</v>
      </c>
      <c r="AV27" s="48">
        <f t="shared" si="20"/>
        <v>10062408.411293173</v>
      </c>
      <c r="AW27" s="48">
        <f t="shared" si="20"/>
        <v>14004755.431666218</v>
      </c>
      <c r="AX27" s="48">
        <f t="shared" si="20"/>
        <v>14989749.552085569</v>
      </c>
      <c r="AY27" s="48">
        <f t="shared" si="20"/>
        <v>16052595.374386443</v>
      </c>
      <c r="AZ27" s="48">
        <f t="shared" si="20"/>
        <v>17105346.28058739</v>
      </c>
      <c r="BA27" s="48">
        <f t="shared" si="20"/>
        <v>18148158.904882386</v>
      </c>
      <c r="BB27" s="48">
        <f t="shared" si="20"/>
        <v>19181186.192052074</v>
      </c>
      <c r="BC27" s="48">
        <f t="shared" si="20"/>
        <v>20204577.523639631</v>
      </c>
      <c r="BD27" s="48">
        <f t="shared" si="20"/>
        <v>21218478.838245515</v>
      </c>
      <c r="BE27" s="48">
        <f t="shared" si="20"/>
        <v>22223032.746287949</v>
      </c>
      <c r="BF27" s="48">
        <f t="shared" si="20"/>
        <v>23218378.639551979</v>
      </c>
      <c r="BG27" s="48">
        <f t="shared" si="20"/>
        <v>24204652.795827199</v>
      </c>
      <c r="BH27" s="48">
        <f t="shared" si="20"/>
        <v>25181987.072291125</v>
      </c>
      <c r="BI27" s="48">
        <f t="shared" si="20"/>
        <v>27722897.613718852</v>
      </c>
      <c r="BJ27" s="48">
        <f t="shared" si="20"/>
        <v>30213917.320765853</v>
      </c>
      <c r="BK27" s="48">
        <f t="shared" si="20"/>
        <v>32655942.729002677</v>
      </c>
      <c r="BL27" s="48">
        <f t="shared" si="20"/>
        <v>35049850.946431875</v>
      </c>
      <c r="BM27" s="48">
        <f t="shared" si="20"/>
        <v>37396500.271563739</v>
      </c>
      <c r="BN27" s="48">
        <f t="shared" ref="BN27:CL27" si="21">SUM(BN15,BN16,BN23)</f>
        <v>39696730.783159316</v>
      </c>
      <c r="BO27" s="48">
        <f t="shared" si="21"/>
        <v>41951364.903280146</v>
      </c>
      <c r="BP27" s="48">
        <f t="shared" si="21"/>
        <v>44161207.935173422</v>
      </c>
      <c r="BQ27" s="48">
        <f t="shared" si="21"/>
        <v>46327048.57742016</v>
      </c>
      <c r="BR27" s="48">
        <f t="shared" si="21"/>
        <v>48449659.415679239</v>
      </c>
      <c r="BS27" s="48">
        <f t="shared" si="21"/>
        <v>50529797.393273272</v>
      </c>
      <c r="BT27" s="48">
        <f t="shared" si="21"/>
        <v>52568204.261781365</v>
      </c>
      <c r="BU27" s="48">
        <f t="shared" si="21"/>
        <v>54565607.012728721</v>
      </c>
      <c r="BV27" s="48">
        <f t="shared" si="21"/>
        <v>56522718.29139404</v>
      </c>
      <c r="BW27" s="48">
        <f t="shared" si="21"/>
        <v>58440236.793690279</v>
      </c>
      <c r="BX27" s="48">
        <f t="shared" si="21"/>
        <v>60318847.647015482</v>
      </c>
      <c r="BY27" s="48">
        <f t="shared" si="21"/>
        <v>62159222.775913559</v>
      </c>
      <c r="BZ27" s="48">
        <f t="shared" si="21"/>
        <v>63962021.253333978</v>
      </c>
      <c r="CA27" s="48">
        <f t="shared" si="21"/>
        <v>65727889.638230376</v>
      </c>
      <c r="CB27" s="48">
        <f t="shared" si="21"/>
        <v>67457462.30019404</v>
      </c>
      <c r="CC27" s="48">
        <f t="shared" si="21"/>
        <v>69151361.731775209</v>
      </c>
      <c r="CD27" s="48">
        <f t="shared" si="21"/>
        <v>70810198.849107534</v>
      </c>
      <c r="CE27" s="48">
        <f t="shared" si="21"/>
        <v>72434573.281413376</v>
      </c>
      <c r="CF27" s="48">
        <f t="shared" si="21"/>
        <v>74025073.6499345</v>
      </c>
      <c r="CG27" s="48">
        <f t="shared" si="21"/>
        <v>75582277.836800873</v>
      </c>
      <c r="CH27" s="48">
        <f t="shared" si="21"/>
        <v>77106753.244320154</v>
      </c>
      <c r="CI27" s="48">
        <f t="shared" si="21"/>
        <v>78599057.045143902</v>
      </c>
      <c r="CJ27" s="48">
        <f t="shared" si="21"/>
        <v>80059736.423739135</v>
      </c>
      <c r="CK27" s="48">
        <f t="shared" si="21"/>
        <v>81489328.809571177</v>
      </c>
      <c r="CL27" s="48">
        <f t="shared" si="21"/>
        <v>82888362.102379844</v>
      </c>
      <c r="CM27" s="48">
        <f>SUM(CM15,CM16,CM23)</f>
        <v>84257354.889910609</v>
      </c>
    </row>
    <row r="28" spans="1:91" x14ac:dyDescent="0.25">
      <c r="A28" s="48" t="s">
        <v>22</v>
      </c>
      <c r="B28" s="48">
        <f t="shared" ref="B28:BM28" si="22">SUM(B17:B22,B24)</f>
        <v>0</v>
      </c>
      <c r="C28" s="48">
        <f t="shared" si="22"/>
        <v>0</v>
      </c>
      <c r="D28" s="48">
        <f t="shared" si="22"/>
        <v>0</v>
      </c>
      <c r="E28" s="48">
        <f t="shared" si="22"/>
        <v>0</v>
      </c>
      <c r="F28" s="48">
        <f t="shared" si="22"/>
        <v>0</v>
      </c>
      <c r="G28" s="48">
        <f t="shared" si="22"/>
        <v>0</v>
      </c>
      <c r="H28" s="48">
        <f t="shared" si="22"/>
        <v>0</v>
      </c>
      <c r="I28" s="48">
        <f t="shared" si="22"/>
        <v>0</v>
      </c>
      <c r="J28" s="48">
        <f t="shared" si="22"/>
        <v>0</v>
      </c>
      <c r="K28" s="48">
        <f t="shared" si="22"/>
        <v>0</v>
      </c>
      <c r="L28" s="48">
        <f t="shared" si="22"/>
        <v>0</v>
      </c>
      <c r="M28" s="48">
        <f t="shared" si="22"/>
        <v>0</v>
      </c>
      <c r="N28" s="48">
        <f t="shared" si="22"/>
        <v>0</v>
      </c>
      <c r="O28" s="48">
        <f t="shared" si="22"/>
        <v>0</v>
      </c>
      <c r="P28" s="48">
        <f t="shared" si="22"/>
        <v>0</v>
      </c>
      <c r="Q28" s="48">
        <f t="shared" si="22"/>
        <v>0</v>
      </c>
      <c r="R28" s="48">
        <f t="shared" si="22"/>
        <v>0</v>
      </c>
      <c r="S28" s="48">
        <f t="shared" si="22"/>
        <v>0</v>
      </c>
      <c r="T28" s="48">
        <f t="shared" si="22"/>
        <v>0</v>
      </c>
      <c r="U28" s="48">
        <f t="shared" si="22"/>
        <v>0</v>
      </c>
      <c r="V28" s="48">
        <f t="shared" si="22"/>
        <v>0</v>
      </c>
      <c r="W28" s="48">
        <f t="shared" si="22"/>
        <v>0</v>
      </c>
      <c r="X28" s="48">
        <f t="shared" si="22"/>
        <v>0</v>
      </c>
      <c r="Y28" s="48">
        <f t="shared" si="22"/>
        <v>0</v>
      </c>
      <c r="Z28" s="48">
        <f t="shared" si="22"/>
        <v>0</v>
      </c>
      <c r="AA28" s="48">
        <f t="shared" si="22"/>
        <v>0</v>
      </c>
      <c r="AB28" s="48">
        <f t="shared" si="22"/>
        <v>0</v>
      </c>
      <c r="AC28" s="48">
        <f t="shared" si="22"/>
        <v>0</v>
      </c>
      <c r="AD28" s="48">
        <f t="shared" si="22"/>
        <v>0</v>
      </c>
      <c r="AE28" s="48">
        <f t="shared" si="22"/>
        <v>0</v>
      </c>
      <c r="AF28" s="48">
        <f t="shared" si="22"/>
        <v>778374.70567275002</v>
      </c>
      <c r="AG28" s="48">
        <f t="shared" si="22"/>
        <v>1535022.1093097155</v>
      </c>
      <c r="AH28" s="48">
        <f t="shared" si="22"/>
        <v>2270889.154513876</v>
      </c>
      <c r="AI28" s="48">
        <f t="shared" si="22"/>
        <v>2986866.5307719884</v>
      </c>
      <c r="AJ28" s="48">
        <f t="shared" si="22"/>
        <v>3683792.8982335599</v>
      </c>
      <c r="AK28" s="48">
        <f t="shared" si="22"/>
        <v>4362458.7303994726</v>
      </c>
      <c r="AL28" s="48">
        <f t="shared" si="22"/>
        <v>5023609.8149621096</v>
      </c>
      <c r="AM28" s="48">
        <f t="shared" si="22"/>
        <v>5667950.4482213622</v>
      </c>
      <c r="AN28" s="48">
        <f t="shared" si="22"/>
        <v>6296146.3543270566</v>
      </c>
      <c r="AO28" s="48">
        <f t="shared" si="22"/>
        <v>6908827.3569737086</v>
      </c>
      <c r="AP28" s="48">
        <f t="shared" si="22"/>
        <v>7515181.8335191449</v>
      </c>
      <c r="AQ28" s="48">
        <f t="shared" si="22"/>
        <v>8613695.5486764461</v>
      </c>
      <c r="AR28" s="48">
        <f t="shared" si="22"/>
        <v>10091710.215177305</v>
      </c>
      <c r="AS28" s="48">
        <f t="shared" si="22"/>
        <v>10296365.485343222</v>
      </c>
      <c r="AT28" s="48">
        <f t="shared" si="22"/>
        <v>12914628.496858951</v>
      </c>
      <c r="AU28" s="48">
        <f t="shared" si="22"/>
        <v>17405074.823177025</v>
      </c>
      <c r="AV28" s="48">
        <f t="shared" si="22"/>
        <v>22085449.70506895</v>
      </c>
      <c r="AW28" s="48">
        <f t="shared" si="22"/>
        <v>28488573.549461856</v>
      </c>
      <c r="AX28" s="48">
        <f t="shared" si="22"/>
        <v>35581088.29499279</v>
      </c>
      <c r="AY28" s="48">
        <f t="shared" si="22"/>
        <v>40062127.00281693</v>
      </c>
      <c r="AZ28" s="48">
        <f t="shared" si="22"/>
        <v>44462577.950583547</v>
      </c>
      <c r="BA28" s="48">
        <f t="shared" si="22"/>
        <v>48784631.739637792</v>
      </c>
      <c r="BB28" s="48">
        <f t="shared" si="22"/>
        <v>53030399.367209017</v>
      </c>
      <c r="BC28" s="48">
        <f t="shared" si="22"/>
        <v>57201915.846381441</v>
      </c>
      <c r="BD28" s="48">
        <f t="shared" si="22"/>
        <v>61301143.628565356</v>
      </c>
      <c r="BE28" s="48">
        <f t="shared" si="22"/>
        <v>65329975.841022998</v>
      </c>
      <c r="BF28" s="48">
        <f t="shared" si="22"/>
        <v>69290239.351093575</v>
      </c>
      <c r="BG28" s="48">
        <f t="shared" si="22"/>
        <v>73183697.667925835</v>
      </c>
      <c r="BH28" s="48">
        <f t="shared" si="22"/>
        <v>77012045.219639331</v>
      </c>
      <c r="BI28" s="48">
        <f t="shared" si="22"/>
        <v>101528472.96242721</v>
      </c>
      <c r="BJ28" s="48">
        <f t="shared" si="22"/>
        <v>122851592.28334096</v>
      </c>
      <c r="BK28" s="48">
        <f t="shared" si="22"/>
        <v>143794570.62429976</v>
      </c>
      <c r="BL28" s="48">
        <f t="shared" si="22"/>
        <v>164367054.85666654</v>
      </c>
      <c r="BM28" s="48">
        <f t="shared" si="22"/>
        <v>184578366.62866968</v>
      </c>
      <c r="BN28" s="48">
        <f t="shared" ref="BN28:CL28" si="23">SUM(BN17:BN22,BN24)</f>
        <v>204437516.16394019</v>
      </c>
      <c r="BO28" s="48">
        <f t="shared" si="23"/>
        <v>223953215.35754138</v>
      </c>
      <c r="BP28" s="48">
        <f t="shared" si="23"/>
        <v>243133890.2109828</v>
      </c>
      <c r="BQ28" s="48">
        <f t="shared" si="23"/>
        <v>261987692.6449317</v>
      </c>
      <c r="BR28" s="48">
        <f t="shared" si="23"/>
        <v>280522511.72576308</v>
      </c>
      <c r="BS28" s="48">
        <f t="shared" si="23"/>
        <v>298745984.33970988</v>
      </c>
      <c r="BT28" s="48">
        <f t="shared" si="23"/>
        <v>316665505.34616733</v>
      </c>
      <c r="BU28" s="48">
        <f t="shared" si="23"/>
        <v>334288237.23966336</v>
      </c>
      <c r="BV28" s="48">
        <f t="shared" si="23"/>
        <v>351621119.34810567</v>
      </c>
      <c r="BW28" s="48">
        <f t="shared" si="23"/>
        <v>368670876.59316033</v>
      </c>
      <c r="BX28" s="48">
        <f t="shared" si="23"/>
        <v>385444027.83697653</v>
      </c>
      <c r="BY28" s="48">
        <f t="shared" si="23"/>
        <v>401946893.83795393</v>
      </c>
      <c r="BZ28" s="48">
        <f t="shared" si="23"/>
        <v>418185604.83683813</v>
      </c>
      <c r="CA28" s="48">
        <f t="shared" si="23"/>
        <v>434166107.79310703</v>
      </c>
      <c r="CB28" s="48">
        <f t="shared" si="23"/>
        <v>449894173.29039776</v>
      </c>
      <c r="CC28" s="48">
        <f t="shared" si="23"/>
        <v>465375402.12857032</v>
      </c>
      <c r="CD28" s="48">
        <f t="shared" si="23"/>
        <v>480615231.61895174</v>
      </c>
      <c r="CE28" s="48">
        <f t="shared" si="23"/>
        <v>495618941.59830558</v>
      </c>
      <c r="CF28" s="48">
        <f t="shared" si="23"/>
        <v>510391660.17615354</v>
      </c>
      <c r="CG28" s="48">
        <f t="shared" si="23"/>
        <v>524938369.22920406</v>
      </c>
      <c r="CH28" s="48">
        <f t="shared" si="23"/>
        <v>539263909.6558429</v>
      </c>
      <c r="CI28" s="48">
        <f t="shared" si="23"/>
        <v>553372986.40288544</v>
      </c>
      <c r="CJ28" s="48">
        <f t="shared" si="23"/>
        <v>567270173.27608275</v>
      </c>
      <c r="CK28" s="48">
        <f t="shared" si="23"/>
        <v>580959917.54521799</v>
      </c>
      <c r="CL28" s="48">
        <f t="shared" si="23"/>
        <v>594446544.35400867</v>
      </c>
      <c r="CM28" s="48">
        <f>SUM(CM17:CM22,CM24)</f>
        <v>607734260.94445908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4"/>
  <sheetViews>
    <sheetView workbookViewId="0">
      <selection activeCell="E16" sqref="E16"/>
    </sheetView>
  </sheetViews>
  <sheetFormatPr defaultRowHeight="15" x14ac:dyDescent="0.25"/>
  <cols>
    <col min="2" max="2" width="9.85546875" bestFit="1" customWidth="1"/>
    <col min="5" max="5" width="19.5703125" bestFit="1" customWidth="1"/>
    <col min="6" max="6" width="11.28515625" bestFit="1" customWidth="1"/>
  </cols>
  <sheetData>
    <row r="1" spans="1:6" x14ac:dyDescent="0.25">
      <c r="A1" s="46"/>
      <c r="B1" s="46"/>
      <c r="C1" s="46" t="s">
        <v>68</v>
      </c>
      <c r="D1" s="46" t="s">
        <v>36</v>
      </c>
      <c r="E1" s="46" t="s">
        <v>69</v>
      </c>
      <c r="F1" s="46" t="s">
        <v>58</v>
      </c>
    </row>
    <row r="2" spans="1:6" x14ac:dyDescent="0.25">
      <c r="A2" s="46" t="s">
        <v>38</v>
      </c>
      <c r="B2" s="46" t="s">
        <v>70</v>
      </c>
      <c r="C2" s="45">
        <f>'RUN SPECS'!I8/1000000</f>
        <v>160.40880000000001</v>
      </c>
      <c r="D2" s="45">
        <f>'RUN SPECS'!J8/1000000</f>
        <v>265.02019999999999</v>
      </c>
      <c r="E2" s="45">
        <f>'RUN SPECS'!K8/1000000</f>
        <v>297.10700000000003</v>
      </c>
      <c r="F2" s="45">
        <f>'RUN SPECS'!L8/1000000</f>
        <v>19.190000000000001</v>
      </c>
    </row>
    <row r="3" spans="1:6" x14ac:dyDescent="0.25">
      <c r="A3" s="46" t="s">
        <v>71</v>
      </c>
      <c r="B3" s="46" t="s">
        <v>70</v>
      </c>
      <c r="C3" s="45">
        <f>'RUN SPECS'!I29/1000000</f>
        <v>1320.710315</v>
      </c>
      <c r="D3" s="45">
        <f>'RUN SPECS'!J29/1000000</f>
        <v>3044.0605409999998</v>
      </c>
      <c r="E3" s="45">
        <f>'RUN SPECS'!K29/1000000</f>
        <v>3868.0574299999998</v>
      </c>
      <c r="F3" s="45">
        <f>'RUN SPECS'!L29/1000000</f>
        <v>414.8</v>
      </c>
    </row>
    <row r="4" spans="1:6" x14ac:dyDescent="0.25">
      <c r="A4" s="46" t="s">
        <v>72</v>
      </c>
      <c r="B4" s="46" t="s">
        <v>70</v>
      </c>
      <c r="C4" s="47">
        <f>SUM(C2:C3)</f>
        <v>1481.119115</v>
      </c>
      <c r="D4" s="47">
        <f>SUM(D2:D3)</f>
        <v>3309.0807409999998</v>
      </c>
      <c r="E4" s="47">
        <f>SUM(E2:E3)</f>
        <v>4165.1644299999998</v>
      </c>
      <c r="F4" s="47">
        <f>SUM(F2:F3)</f>
        <v>433.99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Z70"/>
  <sheetViews>
    <sheetView topLeftCell="BB1" workbookViewId="0">
      <selection activeCell="BU18" sqref="BU18"/>
    </sheetView>
  </sheetViews>
  <sheetFormatPr defaultRowHeight="15" x14ac:dyDescent="0.25"/>
  <cols>
    <col min="1" max="1" width="8.42578125" bestFit="1" customWidth="1"/>
    <col min="2" max="2" width="26.140625" style="50" bestFit="1" customWidth="1"/>
    <col min="3" max="3" width="15.7109375" bestFit="1" customWidth="1"/>
    <col min="4" max="4" width="12" bestFit="1" customWidth="1"/>
    <col min="21" max="22" width="12" bestFit="1" customWidth="1"/>
    <col min="33" max="33" width="12" bestFit="1" customWidth="1"/>
    <col min="65" max="65" width="8.42578125" bestFit="1" customWidth="1"/>
    <col min="66" max="66" width="26.140625" bestFit="1" customWidth="1"/>
    <col min="67" max="73" width="5" bestFit="1" customWidth="1"/>
    <col min="75" max="75" width="10" style="50" bestFit="1" customWidth="1"/>
  </cols>
  <sheetData>
    <row r="1" spans="1:78" x14ac:dyDescent="0.25">
      <c r="A1" s="48" t="s">
        <v>93</v>
      </c>
      <c r="B1" s="50" t="s">
        <v>94</v>
      </c>
      <c r="C1" s="48" t="s">
        <v>73</v>
      </c>
      <c r="D1" s="48">
        <v>1991</v>
      </c>
      <c r="E1" s="48">
        <v>1992</v>
      </c>
      <c r="F1" s="48">
        <v>1993</v>
      </c>
      <c r="G1" s="48">
        <v>1994</v>
      </c>
      <c r="H1" s="48">
        <v>1995</v>
      </c>
      <c r="I1" s="48">
        <v>1996</v>
      </c>
      <c r="J1" s="48">
        <v>1997</v>
      </c>
      <c r="K1" s="48">
        <v>1998</v>
      </c>
      <c r="L1" s="48">
        <v>1999</v>
      </c>
      <c r="M1" s="48">
        <v>2000</v>
      </c>
      <c r="N1" s="48">
        <v>2001</v>
      </c>
      <c r="O1" s="48">
        <v>2002</v>
      </c>
      <c r="P1" s="48">
        <v>2003</v>
      </c>
      <c r="Q1" s="48">
        <v>2004</v>
      </c>
      <c r="R1" s="48">
        <v>2005</v>
      </c>
      <c r="S1" s="48">
        <v>2006</v>
      </c>
      <c r="T1" s="48">
        <v>2007</v>
      </c>
      <c r="U1" s="48">
        <v>2008</v>
      </c>
      <c r="V1" s="48">
        <v>2009</v>
      </c>
      <c r="W1" s="48">
        <v>2010</v>
      </c>
      <c r="X1" s="48">
        <v>2011</v>
      </c>
      <c r="Y1" s="48">
        <v>2012</v>
      </c>
      <c r="Z1" s="48">
        <v>2013</v>
      </c>
      <c r="AA1" s="48">
        <v>2014</v>
      </c>
      <c r="AB1" s="48">
        <v>2015</v>
      </c>
      <c r="AC1" s="48">
        <v>2016</v>
      </c>
      <c r="AD1" s="48">
        <v>2017</v>
      </c>
      <c r="AE1" s="48">
        <v>2018</v>
      </c>
      <c r="AF1" s="48">
        <v>2019</v>
      </c>
      <c r="AG1" s="48">
        <v>2020</v>
      </c>
      <c r="AH1" s="48">
        <v>2021</v>
      </c>
      <c r="AI1" s="48">
        <v>2022</v>
      </c>
      <c r="AJ1" s="48">
        <v>2023</v>
      </c>
      <c r="AK1" s="48">
        <v>2024</v>
      </c>
      <c r="AL1" s="48">
        <v>2025</v>
      </c>
      <c r="AM1" s="48">
        <v>2026</v>
      </c>
      <c r="AN1" s="48">
        <v>2027</v>
      </c>
      <c r="AO1" s="48">
        <v>2028</v>
      </c>
      <c r="AP1" s="48">
        <v>2029</v>
      </c>
      <c r="AQ1" s="48">
        <v>2030</v>
      </c>
      <c r="AR1" s="48">
        <v>2031</v>
      </c>
      <c r="AS1" s="48">
        <v>2032</v>
      </c>
      <c r="AT1" s="48">
        <v>2033</v>
      </c>
      <c r="AU1" s="48">
        <v>2034</v>
      </c>
      <c r="AV1" s="48">
        <v>2035</v>
      </c>
      <c r="AW1" s="48">
        <v>2036</v>
      </c>
      <c r="AX1" s="48">
        <v>2037</v>
      </c>
      <c r="AY1" s="48">
        <v>2038</v>
      </c>
      <c r="AZ1" s="48">
        <v>2039</v>
      </c>
      <c r="BA1" s="48">
        <v>2040</v>
      </c>
      <c r="BB1" s="48">
        <v>2041</v>
      </c>
      <c r="BC1" s="48">
        <v>2042</v>
      </c>
      <c r="BD1" s="48">
        <v>2043</v>
      </c>
      <c r="BE1" s="48">
        <v>2044</v>
      </c>
      <c r="BF1" s="48">
        <v>2045</v>
      </c>
      <c r="BG1" s="48">
        <v>2046</v>
      </c>
      <c r="BH1" s="48">
        <v>2047</v>
      </c>
      <c r="BI1" s="48">
        <v>2048</v>
      </c>
      <c r="BJ1" s="48">
        <v>2049</v>
      </c>
      <c r="BK1" s="48">
        <v>2050</v>
      </c>
      <c r="BM1" s="56" t="s">
        <v>93</v>
      </c>
      <c r="BN1" s="56" t="s">
        <v>94</v>
      </c>
      <c r="BO1" s="56">
        <v>1991</v>
      </c>
      <c r="BP1" s="56">
        <v>2000</v>
      </c>
      <c r="BQ1" s="56">
        <v>2010</v>
      </c>
      <c r="BR1" s="56">
        <v>2020</v>
      </c>
      <c r="BS1" s="56">
        <v>2030</v>
      </c>
      <c r="BT1" s="56">
        <v>2040</v>
      </c>
      <c r="BU1" s="56">
        <v>2050</v>
      </c>
      <c r="BV1" s="50" t="s">
        <v>134</v>
      </c>
      <c r="BW1" s="50" t="s">
        <v>137</v>
      </c>
      <c r="BX1" s="50" t="s">
        <v>133</v>
      </c>
    </row>
    <row r="2" spans="1:78" x14ac:dyDescent="0.25">
      <c r="A2" s="48" t="s">
        <v>71</v>
      </c>
      <c r="B2" s="50" t="s">
        <v>96</v>
      </c>
      <c r="C2" s="48" t="s">
        <v>92</v>
      </c>
      <c r="D2" s="49">
        <f>'LUC-2013-01-08-Run1'!AF170</f>
        <v>1.4576020775705699E-5</v>
      </c>
      <c r="E2" s="49">
        <f>'LUC-2013-01-08-Run1'!AG170</f>
        <v>1.4744344075930342E-5</v>
      </c>
      <c r="F2" s="49">
        <f>'LUC-2013-01-08-Run1'!AH170</f>
        <v>1.491461116683932E-5</v>
      </c>
      <c r="G2" s="49">
        <f>'LUC-2013-01-08-Run1'!AI170</f>
        <v>1.5086844495249086E-5</v>
      </c>
      <c r="H2" s="49">
        <f>'LUC-2013-01-08-Run1'!AJ170</f>
        <v>1.5261066767191021E-5</v>
      </c>
      <c r="I2" s="49">
        <f>'LUC-2013-01-08-Run1'!AK170</f>
        <v>1.5437300950904844E-5</v>
      </c>
      <c r="J2" s="49">
        <f>'LUC-2013-01-08-Run1'!AL170</f>
        <v>1.5615570279866575E-5</v>
      </c>
      <c r="K2" s="49">
        <f>'LUC-2013-01-08-Run1'!AM170</f>
        <v>1.5795898255851482E-5</v>
      </c>
      <c r="L2" s="49">
        <f>'LUC-2013-01-08-Run1'!AN170</f>
        <v>1.5978308652032388E-5</v>
      </c>
      <c r="M2" s="49">
        <f>'LUC-2013-01-08-Run1'!AO170</f>
        <v>1.6162825516113752E-5</v>
      </c>
      <c r="N2" s="49">
        <f>'LUC-2013-01-08-Run1'!AP170</f>
        <v>1.6349473173501959E-5</v>
      </c>
      <c r="O2" s="49">
        <f>'LUC-2013-01-08-Run1'!AQ170</f>
        <v>1.6538276230512205E-5</v>
      </c>
      <c r="P2" s="49">
        <f>'LUC-2013-01-08-Run1'!AR170</f>
        <v>1.6729259577612421E-5</v>
      </c>
      <c r="Q2" s="49">
        <f>'LUC-2013-01-08-Run1'!AS170</f>
        <v>1.6922448392704658E-5</v>
      </c>
      <c r="R2" s="49">
        <f>'LUC-2013-01-08-Run1'!AT170</f>
        <v>1.7117868144444366E-5</v>
      </c>
      <c r="S2" s="49">
        <f>'LUC-2013-01-08-Run1'!AU170</f>
        <v>1.7315544595598001E-5</v>
      </c>
      <c r="T2" s="49">
        <f>'LUC-2013-01-08-Run1'!AV170</f>
        <v>1.7415409204547775E-5</v>
      </c>
      <c r="U2" s="49">
        <f>'LUC-2013-01-08-Run1'!AW170</f>
        <v>1.7515849766512809E-5</v>
      </c>
      <c r="V2" s="49">
        <f>'LUC-2013-01-08-Run1'!AX170</f>
        <v>1.7616869603209166E-5</v>
      </c>
      <c r="W2" s="49">
        <f>'LUC-2013-01-08-Run1'!AY170</f>
        <v>1.7718472055510372E-5</v>
      </c>
      <c r="X2" s="49">
        <f>'LUC-2013-01-08-Run1'!AZ170</f>
        <v>1.78206604835579E-5</v>
      </c>
      <c r="Y2" s="49">
        <f>'LUC-2013-01-08-Run1'!BA170</f>
        <v>1.7923438266872302E-5</v>
      </c>
      <c r="Z2" s="49">
        <f>'LUC-2013-01-08-Run1'!BB170</f>
        <v>1.8026808804464961E-5</v>
      </c>
      <c r="AA2" s="49">
        <f>'LUC-2013-01-08-Run1'!BC170</f>
        <v>1.8130775514950517E-5</v>
      </c>
      <c r="AB2" s="49">
        <f>'LUC-2013-01-08-Run1'!BD170</f>
        <v>1.8235341836659911E-5</v>
      </c>
      <c r="AC2" s="49">
        <f>'LUC-2013-01-08-Run1'!BE170</f>
        <v>1.834051122775411E-5</v>
      </c>
      <c r="AD2" s="49">
        <f>'LUC-2013-01-08-Run1'!BF170</f>
        <v>1.8446287166338464E-5</v>
      </c>
      <c r="AE2" s="49">
        <f>'LUC-2013-01-08-Run1'!BG170</f>
        <v>1.8552673150577734E-5</v>
      </c>
      <c r="AF2" s="49">
        <f>'LUC-2013-01-08-Run1'!BH170</f>
        <v>1.8659672698811777E-5</v>
      </c>
      <c r="AG2" s="49">
        <f>'LUC-2013-01-08-Run1'!BI170</f>
        <v>1.8767289349671913E-5</v>
      </c>
      <c r="AH2" s="49">
        <f>'LUC-2013-01-08-Run1'!BJ170</f>
        <v>1.8875526662197948E-5</v>
      </c>
      <c r="AI2" s="49">
        <f>'LUC-2013-01-08-Run1'!BK170</f>
        <v>1.8984388215955872E-5</v>
      </c>
      <c r="AJ2" s="49">
        <f>'LUC-2013-01-08-Run1'!BL170</f>
        <v>1.9093877611156248E-5</v>
      </c>
      <c r="AK2" s="49">
        <f>'LUC-2013-01-08-Run1'!BM170</f>
        <v>1.9203998468773267E-5</v>
      </c>
      <c r="AL2" s="49">
        <f>'LUC-2013-01-08-Run1'!BN170</f>
        <v>1.9314754430664504E-5</v>
      </c>
      <c r="AM2" s="49">
        <f>'LUC-2013-01-08-Run1'!BO170</f>
        <v>1.942614915969137E-5</v>
      </c>
      <c r="AN2" s="49">
        <f>'LUC-2013-01-08-Run1'!BP170</f>
        <v>1.9538186339840227E-5</v>
      </c>
      <c r="AO2" s="49">
        <f>'LUC-2013-01-08-Run1'!BQ170</f>
        <v>1.9650869676344238E-5</v>
      </c>
      <c r="AP2" s="49">
        <f>'LUC-2013-01-08-Run1'!BR170</f>
        <v>1.9764202895805899E-5</v>
      </c>
      <c r="AQ2" s="49">
        <f>'LUC-2013-01-08-Run1'!BS170</f>
        <v>1.9878189746320288E-5</v>
      </c>
      <c r="AR2" s="49">
        <f>'LUC-2013-01-08-Run1'!BT170</f>
        <v>1.9992833997599013E-5</v>
      </c>
      <c r="AS2" s="49">
        <f>'LUC-2013-01-08-Run1'!BU170</f>
        <v>2.0108139441094886E-5</v>
      </c>
      <c r="AT2" s="49">
        <f>'LUC-2013-01-08-Run1'!BV170</f>
        <v>2.022410989012731E-5</v>
      </c>
      <c r="AU2" s="49">
        <f>'LUC-2013-01-08-Run1'!BW170</f>
        <v>2.0340749180008397E-5</v>
      </c>
      <c r="AV2" s="49">
        <f>'LUC-2013-01-08-Run1'!BX170</f>
        <v>2.0458061168169796E-5</v>
      </c>
      <c r="AW2" s="49">
        <f>'LUC-2013-01-08-Run1'!BY170</f>
        <v>2.0576049734290275E-5</v>
      </c>
      <c r="AX2" s="49">
        <f>'LUC-2013-01-08-Run1'!BZ170</f>
        <v>2.0694718780424024E-5</v>
      </c>
      <c r="AY2" s="49">
        <f>'LUC-2013-01-08-Run1'!CA170</f>
        <v>2.0814072231129699E-5</v>
      </c>
      <c r="AZ2" s="49">
        <f>'LUC-2013-01-08-Run1'!CB170</f>
        <v>2.093411403360021E-5</v>
      </c>
      <c r="BA2" s="49">
        <f>'LUC-2013-01-08-Run1'!CC170</f>
        <v>2.1054848157793275E-5</v>
      </c>
      <c r="BB2" s="49">
        <f>'LUC-2013-01-08-Run1'!CD170</f>
        <v>2.1176278596562695E-5</v>
      </c>
      <c r="BC2" s="49">
        <f>'LUC-2013-01-08-Run1'!CE170</f>
        <v>2.129840936579041E-5</v>
      </c>
      <c r="BD2" s="49">
        <f>'LUC-2013-01-08-Run1'!CF170</f>
        <v>2.1421244504519316E-5</v>
      </c>
      <c r="BE2" s="49">
        <f>'LUC-2013-01-08-Run1'!CG170</f>
        <v>2.1544788075086836E-5</v>
      </c>
      <c r="BF2" s="49">
        <f>'LUC-2013-01-08-Run1'!CH170</f>
        <v>2.1669044163259267E-5</v>
      </c>
      <c r="BG2" s="49">
        <f>'LUC-2013-01-08-Run1'!CI170</f>
        <v>2.1794016878366904E-5</v>
      </c>
      <c r="BH2" s="49">
        <f>'LUC-2013-01-08-Run1'!CJ170</f>
        <v>2.1919710353439944E-5</v>
      </c>
      <c r="BI2" s="49">
        <f>'LUC-2013-01-08-Run1'!CK170</f>
        <v>2.2046128745345164E-5</v>
      </c>
      <c r="BJ2" s="49">
        <f>'LUC-2013-01-08-Run1'!CL170</f>
        <v>2.21732762349234E-5</v>
      </c>
      <c r="BK2" s="49">
        <f>'LUC-2013-01-08-Run1'!CM170</f>
        <v>2.2301157027127814E-5</v>
      </c>
      <c r="BM2" s="104" t="s">
        <v>71</v>
      </c>
      <c r="BN2" s="50" t="s">
        <v>96</v>
      </c>
      <c r="BO2" s="64">
        <f>D2*1000000</f>
        <v>14.576020775705699</v>
      </c>
      <c r="BP2" s="64">
        <f t="shared" ref="BP2:BP12" si="0">M2*1000000</f>
        <v>16.162825516113752</v>
      </c>
      <c r="BQ2" s="64">
        <f t="shared" ref="BQ2:BQ12" si="1">W2*1000000</f>
        <v>17.718472055510372</v>
      </c>
      <c r="BR2" s="64">
        <f t="shared" ref="BR2:BR12" si="2">AG2*1000000</f>
        <v>18.767289349671913</v>
      </c>
      <c r="BS2" s="64">
        <f t="shared" ref="BS2:BS12" si="3">AQ2*1000000</f>
        <v>19.878189746320288</v>
      </c>
      <c r="BT2" s="64">
        <f t="shared" ref="BT2:BT12" si="4">BA2*1000000</f>
        <v>21.054848157793273</v>
      </c>
      <c r="BU2" s="64">
        <f t="shared" ref="BU2:BU12" si="5">BK2*1000000</f>
        <v>22.301157027127815</v>
      </c>
      <c r="BV2" s="47">
        <f>SUM(M2:M5)*1000000</f>
        <v>158.45234416895434</v>
      </c>
      <c r="BW2" s="47">
        <f>SUM(BU2:BU5)</f>
        <v>229.72210399346713</v>
      </c>
      <c r="BX2" s="96">
        <f t="shared" ref="BX2:BX12" si="6">(BK2-R2)/R2</f>
        <v>0.30279990702964338</v>
      </c>
    </row>
    <row r="3" spans="1:78" x14ac:dyDescent="0.25">
      <c r="A3" s="50" t="s">
        <v>71</v>
      </c>
      <c r="B3" s="50" t="s">
        <v>97</v>
      </c>
      <c r="C3" s="48" t="s">
        <v>92</v>
      </c>
      <c r="D3" s="49">
        <f>'LUC-2013-01-08-Run1'!AF171</f>
        <v>9.3999999999999994E-5</v>
      </c>
      <c r="E3" s="49">
        <f>'LUC-2013-01-08-Run1'!AG171</f>
        <v>9.5133333333333333E-5</v>
      </c>
      <c r="F3" s="49">
        <f>'LUC-2013-01-08-Run1'!AH171</f>
        <v>9.6266666666666658E-5</v>
      </c>
      <c r="G3" s="49">
        <f>'LUC-2013-01-08-Run1'!AI171</f>
        <v>9.7399999999999996E-5</v>
      </c>
      <c r="H3" s="49">
        <f>'LUC-2013-01-08-Run1'!AJ171</f>
        <v>9.8533333333333334E-5</v>
      </c>
      <c r="I3" s="49">
        <f>'LUC-2013-01-08-Run1'!AK171</f>
        <v>9.9666666666666659E-5</v>
      </c>
      <c r="J3" s="49">
        <f>'LUC-2013-01-08-Run1'!AL171</f>
        <v>1.008E-4</v>
      </c>
      <c r="K3" s="49">
        <f>'LUC-2013-01-08-Run1'!AM171</f>
        <v>1.0193333333333334E-4</v>
      </c>
      <c r="L3" s="49">
        <f>'LUC-2013-01-08-Run1'!AN171</f>
        <v>1.0306666666666666E-4</v>
      </c>
      <c r="M3" s="49">
        <f>'LUC-2013-01-08-Run1'!AO171</f>
        <v>1.042E-4</v>
      </c>
      <c r="N3" s="49">
        <f>'LUC-2013-01-08-Run1'!AP171</f>
        <v>1.0533333333333334E-4</v>
      </c>
      <c r="O3" s="49">
        <f>'LUC-2013-01-08-Run1'!AQ171</f>
        <v>1.0646666666666666E-4</v>
      </c>
      <c r="P3" s="49">
        <f>'LUC-2013-01-08-Run1'!AR171</f>
        <v>1.076E-4</v>
      </c>
      <c r="Q3" s="49">
        <f>'LUC-2013-01-08-Run1'!AS171</f>
        <v>1.0873333333333334E-4</v>
      </c>
      <c r="R3" s="49">
        <f>'LUC-2013-01-08-Run1'!AT171</f>
        <v>1.0986666666666666E-4</v>
      </c>
      <c r="S3" s="49">
        <f>'LUC-2013-01-08-Run1'!AU171</f>
        <v>1.11E-4</v>
      </c>
      <c r="T3" s="49">
        <f>'LUC-2013-01-08-Run1'!AV171</f>
        <v>1.1170833333333333E-4</v>
      </c>
      <c r="U3" s="49">
        <f>'LUC-2013-01-08-Run1'!AW171</f>
        <v>1.1241666666666667E-4</v>
      </c>
      <c r="V3" s="49">
        <f>'LUC-2013-01-08-Run1'!AX171</f>
        <v>1.13125E-4</v>
      </c>
      <c r="W3" s="49">
        <f>'LUC-2013-01-08-Run1'!AY171</f>
        <v>1.1383333333333333E-4</v>
      </c>
      <c r="X3" s="49">
        <f>'LUC-2013-01-08-Run1'!AZ171</f>
        <v>1.1454166666666667E-4</v>
      </c>
      <c r="Y3" s="49">
        <f>'LUC-2013-01-08-Run1'!BA171</f>
        <v>1.1525E-4</v>
      </c>
      <c r="Z3" s="49">
        <f>'LUC-2013-01-08-Run1'!BB171</f>
        <v>1.1595833333333334E-4</v>
      </c>
      <c r="AA3" s="49">
        <f>'LUC-2013-01-08-Run1'!BC171</f>
        <v>1.1666666666666667E-4</v>
      </c>
      <c r="AB3" s="49">
        <f>'LUC-2013-01-08-Run1'!BD171</f>
        <v>1.1737499999999999E-4</v>
      </c>
      <c r="AC3" s="49">
        <f>'LUC-2013-01-08-Run1'!BE171</f>
        <v>1.1808333333333333E-4</v>
      </c>
      <c r="AD3" s="49">
        <f>'LUC-2013-01-08-Run1'!BF171</f>
        <v>1.1879166666666666E-4</v>
      </c>
      <c r="AE3" s="49">
        <f>'LUC-2013-01-08-Run1'!BG171</f>
        <v>1.195E-4</v>
      </c>
      <c r="AF3" s="49">
        <f>'LUC-2013-01-08-Run1'!BH171</f>
        <v>1.2020833333333333E-4</v>
      </c>
      <c r="AG3" s="49">
        <f>'LUC-2013-01-08-Run1'!BI171</f>
        <v>1.2091666666666666E-4</v>
      </c>
      <c r="AH3" s="49">
        <f>'LUC-2013-01-08-Run1'!BJ171</f>
        <v>1.21625E-4</v>
      </c>
      <c r="AI3" s="49">
        <f>'LUC-2013-01-08-Run1'!BK171</f>
        <v>1.2233333333333334E-4</v>
      </c>
      <c r="AJ3" s="49">
        <f>'LUC-2013-01-08-Run1'!BL171</f>
        <v>1.2304166666666667E-4</v>
      </c>
      <c r="AK3" s="49">
        <f>'LUC-2013-01-08-Run1'!BM171</f>
        <v>1.2375E-4</v>
      </c>
      <c r="AL3" s="49">
        <f>'LUC-2013-01-08-Run1'!BN171</f>
        <v>1.2445833333333333E-4</v>
      </c>
      <c r="AM3" s="49">
        <f>'LUC-2013-01-08-Run1'!BO171</f>
        <v>1.2516666666666666E-4</v>
      </c>
      <c r="AN3" s="49">
        <f>'LUC-2013-01-08-Run1'!BP171</f>
        <v>1.2587499999999998E-4</v>
      </c>
      <c r="AO3" s="49">
        <f>'LUC-2013-01-08-Run1'!BQ171</f>
        <v>1.2658333333333334E-4</v>
      </c>
      <c r="AP3" s="49">
        <f>'LUC-2013-01-08-Run1'!BR171</f>
        <v>1.2729166666666667E-4</v>
      </c>
      <c r="AQ3" s="49">
        <f>'LUC-2013-01-08-Run1'!BS171</f>
        <v>1.2799999999999999E-4</v>
      </c>
      <c r="AR3" s="49">
        <f>'LUC-2013-01-08-Run1'!BT171</f>
        <v>1.2855000000000001E-4</v>
      </c>
      <c r="AS3" s="49">
        <f>'LUC-2013-01-08-Run1'!BU171</f>
        <v>1.2909999999999999E-4</v>
      </c>
      <c r="AT3" s="49">
        <f>'LUC-2013-01-08-Run1'!BV171</f>
        <v>1.2964999999999998E-4</v>
      </c>
      <c r="AU3" s="49">
        <f>'LUC-2013-01-08-Run1'!BW171</f>
        <v>1.3019999999999999E-4</v>
      </c>
      <c r="AV3" s="49">
        <f>'LUC-2013-01-08-Run1'!BX171</f>
        <v>1.3075000000000001E-4</v>
      </c>
      <c r="AW3" s="49">
        <f>'LUC-2013-01-08-Run1'!BY171</f>
        <v>1.3129999999999999E-4</v>
      </c>
      <c r="AX3" s="49">
        <f>'LUC-2013-01-08-Run1'!BZ171</f>
        <v>1.3184999999999998E-4</v>
      </c>
      <c r="AY3" s="49">
        <f>'LUC-2013-01-08-Run1'!CA171</f>
        <v>1.3239999999999999E-4</v>
      </c>
      <c r="AZ3" s="49">
        <f>'LUC-2013-01-08-Run1'!CB171</f>
        <v>1.3295000000000001E-4</v>
      </c>
      <c r="BA3" s="49">
        <f>'LUC-2013-01-08-Run1'!CC171</f>
        <v>1.3349999999999999E-4</v>
      </c>
      <c r="BB3" s="49">
        <f>'LUC-2013-01-08-Run1'!CD171</f>
        <v>1.3404999999999998E-4</v>
      </c>
      <c r="BC3" s="49">
        <f>'LUC-2013-01-08-Run1'!CE171</f>
        <v>1.3459999999999999E-4</v>
      </c>
      <c r="BD3" s="49">
        <f>'LUC-2013-01-08-Run1'!CF171</f>
        <v>1.3515000000000001E-4</v>
      </c>
      <c r="BE3" s="49">
        <f>'LUC-2013-01-08-Run1'!CG171</f>
        <v>1.3569999999999999E-4</v>
      </c>
      <c r="BF3" s="49">
        <f>'LUC-2013-01-08-Run1'!CH171</f>
        <v>1.3624999999999998E-4</v>
      </c>
      <c r="BG3" s="49">
        <f>'LUC-2013-01-08-Run1'!CI171</f>
        <v>1.3679999999999999E-4</v>
      </c>
      <c r="BH3" s="49">
        <f>'LUC-2013-01-08-Run1'!CJ171</f>
        <v>1.3735E-4</v>
      </c>
      <c r="BI3" s="49">
        <f>'LUC-2013-01-08-Run1'!CK171</f>
        <v>1.3789999999999999E-4</v>
      </c>
      <c r="BJ3" s="49">
        <f>'LUC-2013-01-08-Run1'!CL171</f>
        <v>1.3844999999999998E-4</v>
      </c>
      <c r="BK3" s="49">
        <f>'LUC-2013-01-08-Run1'!CM171</f>
        <v>1.3899999999999999E-4</v>
      </c>
      <c r="BM3" s="105"/>
      <c r="BN3" s="50" t="s">
        <v>97</v>
      </c>
      <c r="BO3" s="64">
        <f t="shared" ref="BO3:BO12" si="7">D3*1000000</f>
        <v>94</v>
      </c>
      <c r="BP3" s="64">
        <f t="shared" si="0"/>
        <v>104.2</v>
      </c>
      <c r="BQ3" s="64">
        <f t="shared" si="1"/>
        <v>113.83333333333333</v>
      </c>
      <c r="BR3" s="64">
        <f t="shared" si="2"/>
        <v>120.91666666666666</v>
      </c>
      <c r="BS3" s="64">
        <f t="shared" si="3"/>
        <v>128</v>
      </c>
      <c r="BT3" s="64">
        <f t="shared" si="4"/>
        <v>133.5</v>
      </c>
      <c r="BU3" s="64">
        <f t="shared" si="5"/>
        <v>139</v>
      </c>
      <c r="BV3" s="50"/>
      <c r="BX3" s="96">
        <f t="shared" si="6"/>
        <v>0.26516990291262132</v>
      </c>
    </row>
    <row r="4" spans="1:78" x14ac:dyDescent="0.25">
      <c r="A4" s="50" t="s">
        <v>71</v>
      </c>
      <c r="B4" s="50" t="s">
        <v>95</v>
      </c>
      <c r="C4" s="48" t="s">
        <v>92</v>
      </c>
      <c r="D4" s="49">
        <f>'LUC-2013-01-08-Run1'!AF172</f>
        <v>2.2657361086823666E-5</v>
      </c>
      <c r="E4" s="49">
        <f>'LUC-2013-01-08-Run1'!AG172</f>
        <v>2.281708065138335E-5</v>
      </c>
      <c r="F4" s="49">
        <f>'LUC-2013-01-08-Run1'!AH172</f>
        <v>2.2977926134323617E-5</v>
      </c>
      <c r="G4" s="49">
        <f>'LUC-2013-01-08-Run1'!AI172</f>
        <v>2.313990547263204E-5</v>
      </c>
      <c r="H4" s="49">
        <f>'LUC-2013-01-08-Run1'!AJ172</f>
        <v>2.3303026659246768E-5</v>
      </c>
      <c r="I4" s="49">
        <f>'LUC-2013-01-08-Run1'!AK172</f>
        <v>2.3467297743450924E-5</v>
      </c>
      <c r="J4" s="49">
        <f>'LUC-2013-01-08-Run1'!AL172</f>
        <v>2.3632726831269813E-5</v>
      </c>
      <c r="K4" s="49">
        <f>'LUC-2013-01-08-Run1'!AM172</f>
        <v>2.379932208587091E-5</v>
      </c>
      <c r="L4" s="49">
        <f>'LUC-2013-01-08-Run1'!AN172</f>
        <v>2.3967091727966676E-5</v>
      </c>
      <c r="M4" s="49">
        <f>'LUC-2013-01-08-Run1'!AO172</f>
        <v>2.4136044036220217E-5</v>
      </c>
      <c r="N4" s="49">
        <f>'LUC-2013-01-08-Run1'!AP172</f>
        <v>2.4306187347653793E-5</v>
      </c>
      <c r="O4" s="49">
        <f>'LUC-2013-01-08-Run1'!AQ172</f>
        <v>2.4477530058060215E-5</v>
      </c>
      <c r="P4" s="49">
        <f>'LUC-2013-01-08-Run1'!AR172</f>
        <v>2.4650080622417135E-5</v>
      </c>
      <c r="Q4" s="49">
        <f>'LUC-2013-01-08-Run1'!AS172</f>
        <v>2.4823847555304266E-5</v>
      </c>
      <c r="R4" s="49">
        <f>'LUC-2013-01-08-Run1'!AT172</f>
        <v>2.4998839431323531E-5</v>
      </c>
      <c r="S4" s="49">
        <f>'LUC-2013-01-08-Run1'!AU172</f>
        <v>2.5175064885522186E-5</v>
      </c>
      <c r="T4" s="49">
        <f>'LUC-2013-01-08-Run1'!AV172</f>
        <v>2.5376465404606362E-5</v>
      </c>
      <c r="U4" s="49">
        <f>'LUC-2013-01-08-Run1'!AW172</f>
        <v>2.5579477127843213E-5</v>
      </c>
      <c r="V4" s="49">
        <f>'LUC-2013-01-08-Run1'!AX172</f>
        <v>2.578411294486596E-5</v>
      </c>
      <c r="W4" s="49">
        <f>'LUC-2013-01-08-Run1'!AY172</f>
        <v>2.5990385848424887E-5</v>
      </c>
      <c r="X4" s="49">
        <f>'LUC-2013-01-08-Run1'!AZ172</f>
        <v>2.6198308935212287E-5</v>
      </c>
      <c r="Y4" s="49">
        <f>'LUC-2013-01-08-Run1'!BA172</f>
        <v>2.6407895406693984E-5</v>
      </c>
      <c r="Z4" s="49">
        <f>'LUC-2013-01-08-Run1'!BB172</f>
        <v>2.6619158569947534E-5</v>
      </c>
      <c r="AA4" s="49">
        <f>'LUC-2013-01-08-Run1'!BC172</f>
        <v>2.6832111838507114E-5</v>
      </c>
      <c r="AB4" s="49">
        <f>'LUC-2013-01-08-Run1'!BD172</f>
        <v>2.7046768733215171E-5</v>
      </c>
      <c r="AC4" s="49">
        <f>'LUC-2013-01-08-Run1'!BE172</f>
        <v>2.7263142883080892E-5</v>
      </c>
      <c r="AD4" s="49">
        <f>'LUC-2013-01-08-Run1'!BF172</f>
        <v>2.7481248026145541E-5</v>
      </c>
      <c r="AE4" s="49">
        <f>'LUC-2013-01-08-Run1'!BG172</f>
        <v>2.7701098010354706E-5</v>
      </c>
      <c r="AF4" s="49">
        <f>'LUC-2013-01-08-Run1'!BH172</f>
        <v>2.7922706794437544E-5</v>
      </c>
      <c r="AG4" s="49">
        <f>'LUC-2013-01-08-Run1'!BI172</f>
        <v>2.8146088448793043E-5</v>
      </c>
      <c r="AH4" s="49">
        <f>'LUC-2013-01-08-Run1'!BJ172</f>
        <v>2.8371257156383386E-5</v>
      </c>
      <c r="AI4" s="49">
        <f>'LUC-2013-01-08-Run1'!BK172</f>
        <v>2.8598227213634453E-5</v>
      </c>
      <c r="AJ4" s="49">
        <f>'LUC-2013-01-08-Run1'!BL172</f>
        <v>2.8827013031343528E-5</v>
      </c>
      <c r="AK4" s="49">
        <f>'LUC-2013-01-08-Run1'!BM172</f>
        <v>2.9057629135594278E-5</v>
      </c>
      <c r="AL4" s="49">
        <f>'LUC-2013-01-08-Run1'!BN172</f>
        <v>2.9290090168679031E-5</v>
      </c>
      <c r="AM4" s="49">
        <f>'LUC-2013-01-08-Run1'!BO172</f>
        <v>2.9524410890028464E-5</v>
      </c>
      <c r="AN4" s="49">
        <f>'LUC-2013-01-08-Run1'!BP172</f>
        <v>2.9760606177148692E-5</v>
      </c>
      <c r="AO4" s="49">
        <f>'LUC-2013-01-08-Run1'!BQ172</f>
        <v>2.9998691026565881E-5</v>
      </c>
      <c r="AP4" s="49">
        <f>'LUC-2013-01-08-Run1'!BR172</f>
        <v>3.0238680554778409E-5</v>
      </c>
      <c r="AQ4" s="49">
        <f>'LUC-2013-01-08-Run1'!BS172</f>
        <v>3.0480589999216637E-5</v>
      </c>
      <c r="AR4" s="49">
        <f>'LUC-2013-01-08-Run1'!BT172</f>
        <v>3.0724434719210369E-5</v>
      </c>
      <c r="AS4" s="49">
        <f>'LUC-2013-01-08-Run1'!BU172</f>
        <v>3.0970230196964053E-5</v>
      </c>
      <c r="AT4" s="49">
        <f>'LUC-2013-01-08-Run1'!BV172</f>
        <v>3.1217992038539765E-5</v>
      </c>
      <c r="AU4" s="49">
        <f>'LUC-2013-01-08-Run1'!BW172</f>
        <v>3.1467735974848084E-5</v>
      </c>
      <c r="AV4" s="49">
        <f>'LUC-2013-01-08-Run1'!BX172</f>
        <v>3.1719477862646865E-5</v>
      </c>
      <c r="AW4" s="49">
        <f>'LUC-2013-01-08-Run1'!BY172</f>
        <v>3.1973233685548038E-5</v>
      </c>
      <c r="AX4" s="49">
        <f>'LUC-2013-01-08-Run1'!BZ172</f>
        <v>3.2229019555032424E-5</v>
      </c>
      <c r="AY4" s="49">
        <f>'LUC-2013-01-08-Run1'!CA172</f>
        <v>3.2486851711472685E-5</v>
      </c>
      <c r="AZ4" s="49">
        <f>'LUC-2013-01-08-Run1'!CB172</f>
        <v>3.2746746525164468E-5</v>
      </c>
      <c r="BA4" s="49">
        <f>'LUC-2013-01-08-Run1'!CC172</f>
        <v>3.3008720497365782E-5</v>
      </c>
      <c r="BB4" s="49">
        <f>'LUC-2013-01-08-Run1'!CD172</f>
        <v>3.3272790261344708E-5</v>
      </c>
      <c r="BC4" s="49">
        <f>'LUC-2013-01-08-Run1'!CE172</f>
        <v>3.3538972583435463E-5</v>
      </c>
      <c r="BD4" s="49">
        <f>'LUC-2013-01-08-Run1'!CF172</f>
        <v>3.3807284364102947E-5</v>
      </c>
      <c r="BE4" s="49">
        <f>'LUC-2013-01-08-Run1'!CG172</f>
        <v>3.4077742639015773E-5</v>
      </c>
      <c r="BF4" s="49">
        <f>'LUC-2013-01-08-Run1'!CH172</f>
        <v>3.4350364580127896E-5</v>
      </c>
      <c r="BG4" s="49">
        <f>'LUC-2013-01-08-Run1'!CI172</f>
        <v>3.4625167496768918E-5</v>
      </c>
      <c r="BH4" s="49">
        <f>'LUC-2013-01-08-Run1'!CJ172</f>
        <v>3.4902168836743067E-5</v>
      </c>
      <c r="BI4" s="49">
        <f>'LUC-2013-01-08-Run1'!CK172</f>
        <v>3.5181386187437011E-5</v>
      </c>
      <c r="BJ4" s="49">
        <f>'LUC-2013-01-08-Run1'!CL172</f>
        <v>3.5462837276936504E-5</v>
      </c>
      <c r="BK4" s="49">
        <f>'LUC-2013-01-08-Run1'!CM172</f>
        <v>3.5746539975151994E-5</v>
      </c>
      <c r="BM4" s="105"/>
      <c r="BN4" s="50" t="s">
        <v>95</v>
      </c>
      <c r="BO4" s="64">
        <f t="shared" si="7"/>
        <v>22.657361086823666</v>
      </c>
      <c r="BP4" s="64">
        <f t="shared" si="0"/>
        <v>24.136044036220216</v>
      </c>
      <c r="BQ4" s="64">
        <f t="shared" si="1"/>
        <v>25.990385848424886</v>
      </c>
      <c r="BR4" s="64">
        <f t="shared" si="2"/>
        <v>28.146088448793044</v>
      </c>
      <c r="BS4" s="64">
        <f t="shared" si="3"/>
        <v>30.480589999216637</v>
      </c>
      <c r="BT4" s="64">
        <f t="shared" si="4"/>
        <v>33.008720497365779</v>
      </c>
      <c r="BU4" s="64">
        <f t="shared" si="5"/>
        <v>35.746539975151997</v>
      </c>
      <c r="BV4" s="50"/>
      <c r="BX4" s="96">
        <f t="shared" si="6"/>
        <v>0.42992798019101641</v>
      </c>
    </row>
    <row r="5" spans="1:78" x14ac:dyDescent="0.25">
      <c r="A5" s="50" t="s">
        <v>71</v>
      </c>
      <c r="B5" s="50" t="s">
        <v>98</v>
      </c>
      <c r="C5" s="48" t="s">
        <v>92</v>
      </c>
      <c r="D5" s="49">
        <f>'LUC-2013-01-08-Run1'!AF173</f>
        <v>9.1330900353755179E-6</v>
      </c>
      <c r="E5" s="49">
        <f>'LUC-2013-01-08-Run1'!AG173</f>
        <v>9.5734696387584037E-6</v>
      </c>
      <c r="F5" s="49">
        <f>'LUC-2013-01-08-Run1'!AH173</f>
        <v>1.0035083478782394E-5</v>
      </c>
      <c r="G5" s="49">
        <f>'LUC-2013-01-08-Run1'!AI173</f>
        <v>1.0518955428493074E-5</v>
      </c>
      <c r="H5" s="49">
        <f>'LUC-2013-01-08-Run1'!AJ173</f>
        <v>1.1026158730076598E-5</v>
      </c>
      <c r="I5" s="49">
        <f>'LUC-2013-01-08-Run1'!AK173</f>
        <v>1.1557818375342346E-5</v>
      </c>
      <c r="J5" s="49">
        <f>'LUC-2013-01-08-Run1'!AL173</f>
        <v>1.2115113600987785E-5</v>
      </c>
      <c r="K5" s="49">
        <f>'LUC-2013-01-08-Run1'!AM173</f>
        <v>1.2699280504180067E-5</v>
      </c>
      <c r="L5" s="49">
        <f>'LUC-2013-01-08-Run1'!AN173</f>
        <v>1.3311614784255835E-5</v>
      </c>
      <c r="M5" s="49">
        <f>'LUC-2013-01-08-Run1'!AO173</f>
        <v>1.3953474616620372E-5</v>
      </c>
      <c r="N5" s="49">
        <f>'LUC-2013-01-08-Run1'!AP173</f>
        <v>1.4626283665220514E-5</v>
      </c>
      <c r="O5" s="49">
        <f>'LUC-2013-01-08-Run1'!AQ173</f>
        <v>1.5331534240273076E-5</v>
      </c>
      <c r="P5" s="49">
        <f>'LUC-2013-01-08-Run1'!AR173</f>
        <v>1.6070790608252701E-5</v>
      </c>
      <c r="Q5" s="49">
        <f>'LUC-2013-01-08-Run1'!AS173</f>
        <v>1.6845692461480817E-5</v>
      </c>
      <c r="R5" s="49">
        <f>'LUC-2013-01-08-Run1'!AT173</f>
        <v>1.765795855501134E-5</v>
      </c>
      <c r="S5" s="49">
        <f>'LUC-2013-01-08-Run1'!AU173</f>
        <v>1.8509390518879812E-5</v>
      </c>
      <c r="T5" s="49">
        <f>'LUC-2013-01-08-Run1'!AV173</f>
        <v>1.8750012595625248E-5</v>
      </c>
      <c r="U5" s="49">
        <f>'LUC-2013-01-08-Run1'!AW173</f>
        <v>1.8993762759368378E-5</v>
      </c>
      <c r="V5" s="49">
        <f>'LUC-2013-01-08-Run1'!AX173</f>
        <v>1.9240681675240166E-5</v>
      </c>
      <c r="W5" s="49">
        <f>'LUC-2013-01-08-Run1'!AY173</f>
        <v>1.9490810537018289E-5</v>
      </c>
      <c r="X5" s="49">
        <f>'LUC-2013-01-08-Run1'!AZ173</f>
        <v>1.9744191073999528E-5</v>
      </c>
      <c r="Y5" s="49">
        <f>'LUC-2013-01-08-Run1'!BA173</f>
        <v>2.0000865557961522E-5</v>
      </c>
      <c r="Z5" s="49">
        <f>'LUC-2013-01-08-Run1'!BB173</f>
        <v>2.0260876810215022E-5</v>
      </c>
      <c r="AA5" s="49">
        <f>'LUC-2013-01-08-Run1'!BC173</f>
        <v>2.0524268208747819E-5</v>
      </c>
      <c r="AB5" s="49">
        <f>'LUC-2013-01-08-Run1'!BD173</f>
        <v>2.0791083695461539E-5</v>
      </c>
      <c r="AC5" s="49">
        <f>'LUC-2013-01-08-Run1'!BE173</f>
        <v>2.106136778350254E-5</v>
      </c>
      <c r="AD5" s="49">
        <f>'LUC-2013-01-08-Run1'!BF173</f>
        <v>2.1335165564688073E-5</v>
      </c>
      <c r="AE5" s="49">
        <f>'LUC-2013-01-08-Run1'!BG173</f>
        <v>2.161252271702902E-5</v>
      </c>
      <c r="AF5" s="49">
        <f>'LUC-2013-01-08-Run1'!BH173</f>
        <v>2.1893485512350398E-5</v>
      </c>
      <c r="AG5" s="49">
        <f>'LUC-2013-01-08-Run1'!BI173</f>
        <v>2.2178100824010951E-5</v>
      </c>
      <c r="AH5" s="49">
        <f>'LUC-2013-01-08-Run1'!BJ173</f>
        <v>2.2466416134723093E-5</v>
      </c>
      <c r="AI5" s="49">
        <f>'LUC-2013-01-08-Run1'!BK173</f>
        <v>2.2758479544474495E-5</v>
      </c>
      <c r="AJ5" s="49">
        <f>'LUC-2013-01-08-Run1'!BL173</f>
        <v>2.3054339778552662E-5</v>
      </c>
      <c r="AK5" s="49">
        <f>'LUC-2013-01-08-Run1'!BM173</f>
        <v>2.3354046195673846E-5</v>
      </c>
      <c r="AL5" s="49">
        <f>'LUC-2013-01-08-Run1'!BN173</f>
        <v>2.3657648796217608E-5</v>
      </c>
      <c r="AM5" s="49">
        <f>'LUC-2013-01-08-Run1'!BO173</f>
        <v>2.3965198230568436E-5</v>
      </c>
      <c r="AN5" s="49">
        <f>'LUC-2013-01-08-Run1'!BP173</f>
        <v>2.4276745807565827E-5</v>
      </c>
      <c r="AO5" s="49">
        <f>'LUC-2013-01-08-Run1'!BQ173</f>
        <v>2.4592343503064183E-5</v>
      </c>
      <c r="AP5" s="49">
        <f>'LUC-2013-01-08-Run1'!BR173</f>
        <v>2.4912043968604017E-5</v>
      </c>
      <c r="AQ5" s="49">
        <f>'LUC-2013-01-08-Run1'!BS173</f>
        <v>2.5235900540195869E-5</v>
      </c>
      <c r="AR5" s="49">
        <f>'LUC-2013-01-08-Run1'!BT173</f>
        <v>2.5563967247218415E-5</v>
      </c>
      <c r="AS5" s="49">
        <f>'LUC-2013-01-08-Run1'!BU173</f>
        <v>2.5896298821432253E-5</v>
      </c>
      <c r="AT5" s="49">
        <f>'LUC-2013-01-08-Run1'!BV173</f>
        <v>2.6232950706110874E-5</v>
      </c>
      <c r="AU5" s="49">
        <f>'LUC-2013-01-08-Run1'!BW173</f>
        <v>2.6573979065290315E-5</v>
      </c>
      <c r="AV5" s="49">
        <f>'LUC-2013-01-08-Run1'!BX173</f>
        <v>2.6919440793139088E-5</v>
      </c>
      <c r="AW5" s="49">
        <f>'LUC-2013-01-08-Run1'!BY173</f>
        <v>2.7269393523449896E-5</v>
      </c>
      <c r="AX5" s="49">
        <f>'LUC-2013-01-08-Run1'!BZ173</f>
        <v>2.7623895639254743E-5</v>
      </c>
      <c r="AY5" s="49">
        <f>'LUC-2013-01-08-Run1'!CA173</f>
        <v>2.7983006282565054E-5</v>
      </c>
      <c r="AZ5" s="49">
        <f>'LUC-2013-01-08-Run1'!CB173</f>
        <v>2.8346785364238401E-5</v>
      </c>
      <c r="BA5" s="49">
        <f>'LUC-2013-01-08-Run1'!CC173</f>
        <v>2.87152935739735E-5</v>
      </c>
      <c r="BB5" s="49">
        <f>'LUC-2013-01-08-Run1'!CD173</f>
        <v>2.9088592390435154E-5</v>
      </c>
      <c r="BC5" s="49">
        <f>'LUC-2013-01-08-Run1'!CE173</f>
        <v>2.9466744091510811E-5</v>
      </c>
      <c r="BD5" s="49">
        <f>'LUC-2013-01-08-Run1'!CF173</f>
        <v>2.984981176470045E-5</v>
      </c>
      <c r="BE5" s="49">
        <f>'LUC-2013-01-08-Run1'!CG173</f>
        <v>3.0237859317641555E-5</v>
      </c>
      <c r="BF5" s="49">
        <f>'LUC-2013-01-08-Run1'!CH173</f>
        <v>3.0630951488770894E-5</v>
      </c>
      <c r="BG5" s="49">
        <f>'LUC-2013-01-08-Run1'!CI173</f>
        <v>3.1029153858124914E-5</v>
      </c>
      <c r="BH5" s="49">
        <f>'LUC-2013-01-08-Run1'!CJ173</f>
        <v>3.1432532858280537E-5</v>
      </c>
      <c r="BI5" s="49">
        <f>'LUC-2013-01-08-Run1'!CK173</f>
        <v>3.1841155785438181E-5</v>
      </c>
      <c r="BJ5" s="49">
        <f>'LUC-2013-01-08-Run1'!CL173</f>
        <v>3.2255090810648879E-5</v>
      </c>
      <c r="BK5" s="49">
        <f>'LUC-2013-01-08-Run1'!CM173</f>
        <v>3.2674406991187313E-5</v>
      </c>
      <c r="BM5" s="105"/>
      <c r="BN5" s="50" t="s">
        <v>98</v>
      </c>
      <c r="BO5" s="82">
        <f t="shared" si="7"/>
        <v>9.1330900353755187</v>
      </c>
      <c r="BP5" s="82">
        <f t="shared" si="0"/>
        <v>13.953474616620372</v>
      </c>
      <c r="BQ5" s="64">
        <f t="shared" si="1"/>
        <v>19.490810537018291</v>
      </c>
      <c r="BR5" s="64">
        <f t="shared" si="2"/>
        <v>22.178100824010951</v>
      </c>
      <c r="BS5" s="64">
        <f t="shared" si="3"/>
        <v>25.235900540195868</v>
      </c>
      <c r="BT5" s="64">
        <f t="shared" si="4"/>
        <v>28.715293573973501</v>
      </c>
      <c r="BU5" s="64">
        <f t="shared" si="5"/>
        <v>32.674406991187311</v>
      </c>
      <c r="BV5" s="50"/>
      <c r="BX5" s="96">
        <f t="shared" si="6"/>
        <v>0.85040682304208348</v>
      </c>
      <c r="BZ5" s="47"/>
    </row>
    <row r="6" spans="1:78" x14ac:dyDescent="0.25">
      <c r="A6" s="50" t="s">
        <v>71</v>
      </c>
      <c r="B6" s="50" t="s">
        <v>99</v>
      </c>
      <c r="C6" s="48" t="s">
        <v>92</v>
      </c>
      <c r="D6" s="49">
        <f>'LUC-2013-01-08-Run1'!AF175</f>
        <v>2.9940564635958392E-5</v>
      </c>
      <c r="E6" s="49">
        <f>'LUC-2013-01-08-Run1'!AG175</f>
        <v>3.0063397721644376E-5</v>
      </c>
      <c r="F6" s="49">
        <f>'LUC-2013-01-08-Run1'!AH175</f>
        <v>3.0186230807330359E-5</v>
      </c>
      <c r="G6" s="49">
        <f>'LUC-2013-01-08-Run1'!AI175</f>
        <v>3.0309063893016343E-5</v>
      </c>
      <c r="H6" s="49">
        <f>'LUC-2013-01-08-Run1'!AJ175</f>
        <v>3.0431896978702323E-5</v>
      </c>
      <c r="I6" s="49">
        <f>'LUC-2013-01-08-Run1'!AK175</f>
        <v>3.055473006438831E-5</v>
      </c>
      <c r="J6" s="49">
        <f>'LUC-2013-01-08-Run1'!AL175</f>
        <v>3.0677563150074294E-5</v>
      </c>
      <c r="K6" s="49">
        <f>'LUC-2013-01-08-Run1'!AM175</f>
        <v>3.0800396235760277E-5</v>
      </c>
      <c r="L6" s="49">
        <f>'LUC-2013-01-08-Run1'!AN175</f>
        <v>3.0923229321446254E-5</v>
      </c>
      <c r="M6" s="49">
        <f>'LUC-2013-01-08-Run1'!AO175</f>
        <v>3.1046062407132238E-5</v>
      </c>
      <c r="N6" s="49">
        <f>'LUC-2013-01-08-Run1'!AP175</f>
        <v>3.1168895492818221E-5</v>
      </c>
      <c r="O6" s="49">
        <f>'LUC-2013-01-08-Run1'!AQ175</f>
        <v>3.1291728578504205E-5</v>
      </c>
      <c r="P6" s="49">
        <f>'LUC-2013-01-08-Run1'!AR175</f>
        <v>3.1414561664190188E-5</v>
      </c>
      <c r="Q6" s="49">
        <f>'LUC-2013-01-08-Run1'!AS175</f>
        <v>3.1537394749876172E-5</v>
      </c>
      <c r="R6" s="49">
        <f>'LUC-2013-01-08-Run1'!AT175</f>
        <v>3.1660227835562155E-5</v>
      </c>
      <c r="S6" s="49">
        <f>'LUC-2013-01-08-Run1'!AU175</f>
        <v>3.1783060921248139E-5</v>
      </c>
      <c r="T6" s="49">
        <f>'LUC-2013-01-08-Run1'!AV175</f>
        <v>3.2035733519288448E-5</v>
      </c>
      <c r="U6" s="49">
        <f>'LUC-2013-01-08-Run1'!AW175</f>
        <v>3.2288406117328758E-5</v>
      </c>
      <c r="V6" s="49">
        <f>'LUC-2013-01-08-Run1'!AX175</f>
        <v>3.2541078715369068E-5</v>
      </c>
      <c r="W6" s="49">
        <f>'LUC-2013-01-08-Run1'!AY175</f>
        <v>3.2793751313409377E-5</v>
      </c>
      <c r="X6" s="49">
        <f>'LUC-2013-01-08-Run1'!AZ175</f>
        <v>3.3046423911449687E-5</v>
      </c>
      <c r="Y6" s="49">
        <f>'LUC-2013-01-08-Run1'!BA175</f>
        <v>3.3299096509489996E-5</v>
      </c>
      <c r="Z6" s="49">
        <f>'LUC-2013-01-08-Run1'!BB175</f>
        <v>3.3551769107530299E-5</v>
      </c>
      <c r="AA6" s="49">
        <f>'LUC-2013-01-08-Run1'!BC175</f>
        <v>3.3804441705570608E-5</v>
      </c>
      <c r="AB6" s="49">
        <f>'LUC-2013-01-08-Run1'!BD175</f>
        <v>3.4057114303610918E-5</v>
      </c>
      <c r="AC6" s="49">
        <f>'LUC-2013-01-08-Run1'!BE175</f>
        <v>3.4309786901651227E-5</v>
      </c>
      <c r="AD6" s="49">
        <f>'LUC-2013-01-08-Run1'!BF175</f>
        <v>3.4562459499691537E-5</v>
      </c>
      <c r="AE6" s="49">
        <f>'LUC-2013-01-08-Run1'!BG175</f>
        <v>3.4815132097731846E-5</v>
      </c>
      <c r="AF6" s="49">
        <f>'LUC-2013-01-08-Run1'!BH175</f>
        <v>3.5067804695772156E-5</v>
      </c>
      <c r="AG6" s="49">
        <f>'LUC-2013-01-08-Run1'!BI175</f>
        <v>3.5320477293812465E-5</v>
      </c>
      <c r="AH6" s="49">
        <f>'LUC-2013-01-08-Run1'!BJ175</f>
        <v>3.5573149891852775E-5</v>
      </c>
      <c r="AI6" s="49">
        <f>'LUC-2013-01-08-Run1'!BK175</f>
        <v>3.5825822489893084E-5</v>
      </c>
      <c r="AJ6" s="49">
        <f>'LUC-2013-01-08-Run1'!BL175</f>
        <v>3.6078495087933394E-5</v>
      </c>
      <c r="AK6" s="49">
        <f>'LUC-2013-01-08-Run1'!BM175</f>
        <v>3.6331167685973697E-5</v>
      </c>
      <c r="AL6" s="49">
        <f>'LUC-2013-01-08-Run1'!BN175</f>
        <v>3.6583840284014006E-5</v>
      </c>
      <c r="AM6" s="49">
        <f>'LUC-2013-01-08-Run1'!BO175</f>
        <v>3.6836512882054316E-5</v>
      </c>
      <c r="AN6" s="49">
        <f>'LUC-2013-01-08-Run1'!BP175</f>
        <v>3.7089185480094625E-5</v>
      </c>
      <c r="AO6" s="49">
        <f>'LUC-2013-01-08-Run1'!BQ175</f>
        <v>3.7341858078134935E-5</v>
      </c>
      <c r="AP6" s="49">
        <f>'LUC-2013-01-08-Run1'!BR175</f>
        <v>3.7594530676175244E-5</v>
      </c>
      <c r="AQ6" s="49">
        <f>'LUC-2013-01-08-Run1'!BS175</f>
        <v>3.7847203274215554E-5</v>
      </c>
      <c r="AR6" s="49">
        <f>'LUC-2013-01-08-Run1'!BT175</f>
        <v>3.787366984993179E-5</v>
      </c>
      <c r="AS6" s="49">
        <f>'LUC-2013-01-08-Run1'!BU175</f>
        <v>3.790013642564802E-5</v>
      </c>
      <c r="AT6" s="49">
        <f>'LUC-2013-01-08-Run1'!BV175</f>
        <v>3.7926603001364257E-5</v>
      </c>
      <c r="AU6" s="49">
        <f>'LUC-2013-01-08-Run1'!BW175</f>
        <v>3.7953069577080494E-5</v>
      </c>
      <c r="AV6" s="49">
        <f>'LUC-2013-01-08-Run1'!BX175</f>
        <v>3.797953615279673E-5</v>
      </c>
      <c r="AW6" s="49">
        <f>'LUC-2013-01-08-Run1'!BY175</f>
        <v>3.800600272851296E-5</v>
      </c>
      <c r="AX6" s="49">
        <f>'LUC-2013-01-08-Run1'!BZ175</f>
        <v>3.8032469304229197E-5</v>
      </c>
      <c r="AY6" s="49">
        <f>'LUC-2013-01-08-Run1'!CA175</f>
        <v>3.8058935879945434E-5</v>
      </c>
      <c r="AZ6" s="49">
        <f>'LUC-2013-01-08-Run1'!CB175</f>
        <v>3.8085402455661664E-5</v>
      </c>
      <c r="BA6" s="49">
        <f>'LUC-2013-01-08-Run1'!CC175</f>
        <v>3.81118690313779E-5</v>
      </c>
      <c r="BB6" s="49">
        <f>'LUC-2013-01-08-Run1'!CD175</f>
        <v>3.8138335607094137E-5</v>
      </c>
      <c r="BC6" s="49">
        <f>'LUC-2013-01-08-Run1'!CE175</f>
        <v>3.8164802182810367E-5</v>
      </c>
      <c r="BD6" s="49">
        <f>'LUC-2013-01-08-Run1'!CF175</f>
        <v>3.8191268758526604E-5</v>
      </c>
      <c r="BE6" s="49">
        <f>'LUC-2013-01-08-Run1'!CG175</f>
        <v>3.8217735334242841E-5</v>
      </c>
      <c r="BF6" s="49">
        <f>'LUC-2013-01-08-Run1'!CH175</f>
        <v>3.8244201909959071E-5</v>
      </c>
      <c r="BG6" s="49">
        <f>'LUC-2013-01-08-Run1'!CI175</f>
        <v>3.8270668485675307E-5</v>
      </c>
      <c r="BH6" s="49">
        <f>'LUC-2013-01-08-Run1'!CJ175</f>
        <v>3.8297135061391544E-5</v>
      </c>
      <c r="BI6" s="49">
        <f>'LUC-2013-01-08-Run1'!CK175</f>
        <v>3.8323601637107781E-5</v>
      </c>
      <c r="BJ6" s="49">
        <f>'LUC-2013-01-08-Run1'!CL175</f>
        <v>3.8350068212824011E-5</v>
      </c>
      <c r="BK6" s="49">
        <f>'LUC-2013-01-08-Run1'!CM175</f>
        <v>3.8376534788540247E-5</v>
      </c>
      <c r="BM6" s="105"/>
      <c r="BN6" s="50" t="s">
        <v>99</v>
      </c>
      <c r="BO6" s="64">
        <f t="shared" si="7"/>
        <v>29.940564635958392</v>
      </c>
      <c r="BP6" s="64">
        <f t="shared" si="0"/>
        <v>31.046062407132236</v>
      </c>
      <c r="BQ6" s="64">
        <f t="shared" si="1"/>
        <v>32.793751313409381</v>
      </c>
      <c r="BR6" s="64">
        <f t="shared" si="2"/>
        <v>35.320477293812466</v>
      </c>
      <c r="BS6" s="64">
        <f t="shared" si="3"/>
        <v>37.847203274215552</v>
      </c>
      <c r="BT6" s="64">
        <f t="shared" si="4"/>
        <v>38.1118690313779</v>
      </c>
      <c r="BU6" s="64">
        <f t="shared" si="5"/>
        <v>38.376534788540248</v>
      </c>
      <c r="BV6" s="47">
        <f>SUM(M6:M12)*1000000</f>
        <v>264.93999999999994</v>
      </c>
      <c r="BW6" s="47">
        <f>SUM(BU6:BU12)</f>
        <v>276.89999999999998</v>
      </c>
      <c r="BX6" s="96">
        <f t="shared" si="6"/>
        <v>0.21213703792219846</v>
      </c>
    </row>
    <row r="7" spans="1:78" x14ac:dyDescent="0.25">
      <c r="A7" s="50" t="s">
        <v>71</v>
      </c>
      <c r="B7" s="50" t="s">
        <v>100</v>
      </c>
      <c r="C7" s="48" t="s">
        <v>92</v>
      </c>
      <c r="D7" s="49">
        <f>'LUC-2013-01-08-Run1'!AF176</f>
        <v>4.2882615156017827E-5</v>
      </c>
      <c r="E7" s="49">
        <f>'LUC-2013-01-08-Run1'!AG176</f>
        <v>4.3058543833580979E-5</v>
      </c>
      <c r="F7" s="49">
        <f>'LUC-2013-01-08-Run1'!AH176</f>
        <v>4.323447251114413E-5</v>
      </c>
      <c r="G7" s="49">
        <f>'LUC-2013-01-08-Run1'!AI176</f>
        <v>4.3410401188707275E-5</v>
      </c>
      <c r="H7" s="49">
        <f>'LUC-2013-01-08-Run1'!AJ176</f>
        <v>4.3586329866270427E-5</v>
      </c>
      <c r="I7" s="49">
        <f>'LUC-2013-01-08-Run1'!AK176</f>
        <v>4.3762258543833578E-5</v>
      </c>
      <c r="J7" s="49">
        <f>'LUC-2013-01-08-Run1'!AL176</f>
        <v>4.393818722139673E-5</v>
      </c>
      <c r="K7" s="49">
        <f>'LUC-2013-01-08-Run1'!AM176</f>
        <v>4.4114115898959881E-5</v>
      </c>
      <c r="L7" s="49">
        <f>'LUC-2013-01-08-Run1'!AN176</f>
        <v>4.4290044576523026E-5</v>
      </c>
      <c r="M7" s="49">
        <f>'LUC-2013-01-08-Run1'!AO176</f>
        <v>4.4465973254086178E-5</v>
      </c>
      <c r="N7" s="49">
        <f>'LUC-2013-01-08-Run1'!AP176</f>
        <v>4.4641901931649329E-5</v>
      </c>
      <c r="O7" s="49">
        <f>'LUC-2013-01-08-Run1'!AQ176</f>
        <v>4.4817830609212481E-5</v>
      </c>
      <c r="P7" s="49">
        <f>'LUC-2013-01-08-Run1'!AR176</f>
        <v>4.4993759286775632E-5</v>
      </c>
      <c r="Q7" s="49">
        <f>'LUC-2013-01-08-Run1'!AS176</f>
        <v>4.5169687964338777E-5</v>
      </c>
      <c r="R7" s="49">
        <f>'LUC-2013-01-08-Run1'!AT176</f>
        <v>4.5345616641901929E-5</v>
      </c>
      <c r="S7" s="49">
        <f>'LUC-2013-01-08-Run1'!AU176</f>
        <v>4.552154531946508E-5</v>
      </c>
      <c r="T7" s="49">
        <f>'LUC-2013-01-08-Run1'!AV176</f>
        <v>4.545377060828E-5</v>
      </c>
      <c r="U7" s="49">
        <f>'LUC-2013-01-08-Run1'!AW176</f>
        <v>4.5385995897094921E-5</v>
      </c>
      <c r="V7" s="49">
        <f>'LUC-2013-01-08-Run1'!AX176</f>
        <v>4.5318221185909841E-5</v>
      </c>
      <c r="W7" s="49">
        <f>'LUC-2013-01-08-Run1'!AY176</f>
        <v>4.5250446474724767E-5</v>
      </c>
      <c r="X7" s="49">
        <f>'LUC-2013-01-08-Run1'!AZ176</f>
        <v>4.5182671763539687E-5</v>
      </c>
      <c r="Y7" s="49">
        <f>'LUC-2013-01-08-Run1'!BA176</f>
        <v>4.5114897052354608E-5</v>
      </c>
      <c r="Z7" s="49">
        <f>'LUC-2013-01-08-Run1'!BB176</f>
        <v>4.5047122341169528E-5</v>
      </c>
      <c r="AA7" s="49">
        <f>'LUC-2013-01-08-Run1'!BC176</f>
        <v>4.4979347629984448E-5</v>
      </c>
      <c r="AB7" s="49">
        <f>'LUC-2013-01-08-Run1'!BD176</f>
        <v>4.4911572918799374E-5</v>
      </c>
      <c r="AC7" s="49">
        <f>'LUC-2013-01-08-Run1'!BE176</f>
        <v>4.4843798207614294E-5</v>
      </c>
      <c r="AD7" s="49">
        <f>'LUC-2013-01-08-Run1'!BF176</f>
        <v>4.4776023496429215E-5</v>
      </c>
      <c r="AE7" s="49">
        <f>'LUC-2013-01-08-Run1'!BG176</f>
        <v>4.4708248785244135E-5</v>
      </c>
      <c r="AF7" s="49">
        <f>'LUC-2013-01-08-Run1'!BH176</f>
        <v>4.4640474074059055E-5</v>
      </c>
      <c r="AG7" s="49">
        <f>'LUC-2013-01-08-Run1'!BI176</f>
        <v>4.4572699362873975E-5</v>
      </c>
      <c r="AH7" s="49">
        <f>'LUC-2013-01-08-Run1'!BJ176</f>
        <v>4.4504924651688895E-5</v>
      </c>
      <c r="AI7" s="49">
        <f>'LUC-2013-01-08-Run1'!BK176</f>
        <v>4.4437149940503822E-5</v>
      </c>
      <c r="AJ7" s="49">
        <f>'LUC-2013-01-08-Run1'!BL176</f>
        <v>4.4369375229318742E-5</v>
      </c>
      <c r="AK7" s="49">
        <f>'LUC-2013-01-08-Run1'!BM176</f>
        <v>4.4301600518133662E-5</v>
      </c>
      <c r="AL7" s="49">
        <f>'LUC-2013-01-08-Run1'!BN176</f>
        <v>4.4233825806948582E-5</v>
      </c>
      <c r="AM7" s="49">
        <f>'LUC-2013-01-08-Run1'!BO176</f>
        <v>4.4166051095763502E-5</v>
      </c>
      <c r="AN7" s="49">
        <f>'LUC-2013-01-08-Run1'!BP176</f>
        <v>4.4098276384578429E-5</v>
      </c>
      <c r="AO7" s="49">
        <f>'LUC-2013-01-08-Run1'!BQ176</f>
        <v>4.4030501673393349E-5</v>
      </c>
      <c r="AP7" s="49">
        <f>'LUC-2013-01-08-Run1'!BR176</f>
        <v>4.3962726962208269E-5</v>
      </c>
      <c r="AQ7" s="49">
        <f>'LUC-2013-01-08-Run1'!BS176</f>
        <v>4.3894952251023189E-5</v>
      </c>
      <c r="AR7" s="49">
        <f>'LUC-2013-01-08-Run1'!BT176</f>
        <v>4.3925648021828103E-5</v>
      </c>
      <c r="AS7" s="49">
        <f>'LUC-2013-01-08-Run1'!BU176</f>
        <v>4.3956343792633011E-5</v>
      </c>
      <c r="AT7" s="49">
        <f>'LUC-2013-01-08-Run1'!BV176</f>
        <v>4.3987039563437925E-5</v>
      </c>
      <c r="AU7" s="49">
        <f>'LUC-2013-01-08-Run1'!BW176</f>
        <v>4.4017735334242833E-5</v>
      </c>
      <c r="AV7" s="49">
        <f>'LUC-2013-01-08-Run1'!BX176</f>
        <v>4.4048431105047747E-5</v>
      </c>
      <c r="AW7" s="49">
        <f>'LUC-2013-01-08-Run1'!BY176</f>
        <v>4.4079126875852654E-5</v>
      </c>
      <c r="AX7" s="49">
        <f>'LUC-2013-01-08-Run1'!BZ176</f>
        <v>4.4109822646657569E-5</v>
      </c>
      <c r="AY7" s="49">
        <f>'LUC-2013-01-08-Run1'!CA176</f>
        <v>4.4140518417462476E-5</v>
      </c>
      <c r="AZ7" s="49">
        <f>'LUC-2013-01-08-Run1'!CB176</f>
        <v>4.4171214188267391E-5</v>
      </c>
      <c r="BA7" s="49">
        <f>'LUC-2013-01-08-Run1'!CC176</f>
        <v>4.4201909959072305E-5</v>
      </c>
      <c r="BB7" s="49">
        <f>'LUC-2013-01-08-Run1'!CD176</f>
        <v>4.4232605729877212E-5</v>
      </c>
      <c r="BC7" s="49">
        <f>'LUC-2013-01-08-Run1'!CE176</f>
        <v>4.4263301500682127E-5</v>
      </c>
      <c r="BD7" s="49">
        <f>'LUC-2013-01-08-Run1'!CF176</f>
        <v>4.4293997271487034E-5</v>
      </c>
      <c r="BE7" s="49">
        <f>'LUC-2013-01-08-Run1'!CG176</f>
        <v>4.4324693042291949E-5</v>
      </c>
      <c r="BF7" s="49">
        <f>'LUC-2013-01-08-Run1'!CH176</f>
        <v>4.4355388813096856E-5</v>
      </c>
      <c r="BG7" s="49">
        <f>'LUC-2013-01-08-Run1'!CI176</f>
        <v>4.4386084583901771E-5</v>
      </c>
      <c r="BH7" s="49">
        <f>'LUC-2013-01-08-Run1'!CJ176</f>
        <v>4.4416780354706678E-5</v>
      </c>
      <c r="BI7" s="49">
        <f>'LUC-2013-01-08-Run1'!CK176</f>
        <v>4.4447476125511592E-5</v>
      </c>
      <c r="BJ7" s="49">
        <f>'LUC-2013-01-08-Run1'!CL176</f>
        <v>4.44781718963165E-5</v>
      </c>
      <c r="BK7" s="49">
        <f>'LUC-2013-01-08-Run1'!CM176</f>
        <v>4.4508867667121414E-5</v>
      </c>
      <c r="BM7" s="105"/>
      <c r="BN7" s="53" t="s">
        <v>100</v>
      </c>
      <c r="BO7" s="61">
        <f t="shared" si="7"/>
        <v>42.882615156017827</v>
      </c>
      <c r="BP7" s="61">
        <f t="shared" si="0"/>
        <v>44.46597325408618</v>
      </c>
      <c r="BQ7" s="61">
        <f t="shared" si="1"/>
        <v>45.250446474724768</v>
      </c>
      <c r="BR7" s="61">
        <f t="shared" si="2"/>
        <v>44.572699362873976</v>
      </c>
      <c r="BS7" s="61">
        <f t="shared" si="3"/>
        <v>43.894952251023192</v>
      </c>
      <c r="BT7" s="61">
        <f t="shared" si="4"/>
        <v>44.201909959072303</v>
      </c>
      <c r="BU7" s="61">
        <f t="shared" si="5"/>
        <v>44.508867667121415</v>
      </c>
      <c r="BV7" s="50"/>
      <c r="BX7" s="96">
        <f t="shared" si="6"/>
        <v>-1.8452698116080107E-2</v>
      </c>
    </row>
    <row r="8" spans="1:78" x14ac:dyDescent="0.25">
      <c r="A8" s="50" t="s">
        <v>71</v>
      </c>
      <c r="B8" s="50" t="s">
        <v>101</v>
      </c>
      <c r="C8" s="48" t="s">
        <v>92</v>
      </c>
      <c r="D8" s="49">
        <f>'LUC-2013-01-08-Run1'!AF177</f>
        <v>3.0520059435364039E-5</v>
      </c>
      <c r="E8" s="49">
        <f>'LUC-2013-01-08-Run1'!AG177</f>
        <v>3.0645269935611687E-5</v>
      </c>
      <c r="F8" s="49">
        <f>'LUC-2013-01-08-Run1'!AH177</f>
        <v>3.0770480435859334E-5</v>
      </c>
      <c r="G8" s="49">
        <f>'LUC-2013-01-08-Run1'!AI177</f>
        <v>3.0895690936106982E-5</v>
      </c>
      <c r="H8" s="49">
        <f>'LUC-2013-01-08-Run1'!AJ177</f>
        <v>3.1020901436354629E-5</v>
      </c>
      <c r="I8" s="49">
        <f>'LUC-2013-01-08-Run1'!AK177</f>
        <v>3.1146111936602277E-5</v>
      </c>
      <c r="J8" s="49">
        <f>'LUC-2013-01-08-Run1'!AL177</f>
        <v>3.1271322436849924E-5</v>
      </c>
      <c r="K8" s="49">
        <f>'LUC-2013-01-08-Run1'!AM177</f>
        <v>3.1396532937097572E-5</v>
      </c>
      <c r="L8" s="49">
        <f>'LUC-2013-01-08-Run1'!AN177</f>
        <v>3.1521743437345219E-5</v>
      </c>
      <c r="M8" s="49">
        <f>'LUC-2013-01-08-Run1'!AO177</f>
        <v>3.1646953937592867E-5</v>
      </c>
      <c r="N8" s="49">
        <f>'LUC-2013-01-08-Run1'!AP177</f>
        <v>3.1772164437840514E-5</v>
      </c>
      <c r="O8" s="49">
        <f>'LUC-2013-01-08-Run1'!AQ177</f>
        <v>3.1897374938088162E-5</v>
      </c>
      <c r="P8" s="49">
        <f>'LUC-2013-01-08-Run1'!AR177</f>
        <v>3.2022585438335809E-5</v>
      </c>
      <c r="Q8" s="49">
        <f>'LUC-2013-01-08-Run1'!AS177</f>
        <v>3.2147795938583457E-5</v>
      </c>
      <c r="R8" s="49">
        <f>'LUC-2013-01-08-Run1'!AT177</f>
        <v>3.2273006438831104E-5</v>
      </c>
      <c r="S8" s="49">
        <f>'LUC-2013-01-08-Run1'!AU177</f>
        <v>3.2398216939078752E-5</v>
      </c>
      <c r="T8" s="49">
        <f>'LUC-2013-01-08-Run1'!AV177</f>
        <v>3.2308238936785393E-5</v>
      </c>
      <c r="U8" s="49">
        <f>'LUC-2013-01-08-Run1'!AW177</f>
        <v>3.221826093449204E-5</v>
      </c>
      <c r="V8" s="49">
        <f>'LUC-2013-01-08-Run1'!AX177</f>
        <v>3.2128282932198681E-5</v>
      </c>
      <c r="W8" s="49">
        <f>'LUC-2013-01-08-Run1'!AY177</f>
        <v>3.2038304929905328E-5</v>
      </c>
      <c r="X8" s="49">
        <f>'LUC-2013-01-08-Run1'!AZ177</f>
        <v>3.1948326927611969E-5</v>
      </c>
      <c r="Y8" s="49">
        <f>'LUC-2013-01-08-Run1'!BA177</f>
        <v>3.1858348925318616E-5</v>
      </c>
      <c r="Z8" s="49">
        <f>'LUC-2013-01-08-Run1'!BB177</f>
        <v>3.1768370923025257E-5</v>
      </c>
      <c r="AA8" s="49">
        <f>'LUC-2013-01-08-Run1'!BC177</f>
        <v>3.1678392920731898E-5</v>
      </c>
      <c r="AB8" s="49">
        <f>'LUC-2013-01-08-Run1'!BD177</f>
        <v>3.1588414918438545E-5</v>
      </c>
      <c r="AC8" s="49">
        <f>'LUC-2013-01-08-Run1'!BE177</f>
        <v>3.1498436916145186E-5</v>
      </c>
      <c r="AD8" s="49">
        <f>'LUC-2013-01-08-Run1'!BF177</f>
        <v>3.1408458913851834E-5</v>
      </c>
      <c r="AE8" s="49">
        <f>'LUC-2013-01-08-Run1'!BG177</f>
        <v>3.1318480911558474E-5</v>
      </c>
      <c r="AF8" s="49">
        <f>'LUC-2013-01-08-Run1'!BH177</f>
        <v>3.1228502909265122E-5</v>
      </c>
      <c r="AG8" s="49">
        <f>'LUC-2013-01-08-Run1'!BI177</f>
        <v>3.1138524906971762E-5</v>
      </c>
      <c r="AH8" s="49">
        <f>'LUC-2013-01-08-Run1'!BJ177</f>
        <v>3.104854690467841E-5</v>
      </c>
      <c r="AI8" s="49">
        <f>'LUC-2013-01-08-Run1'!BK177</f>
        <v>3.0958568902385051E-5</v>
      </c>
      <c r="AJ8" s="49">
        <f>'LUC-2013-01-08-Run1'!BL177</f>
        <v>3.0868590900091691E-5</v>
      </c>
      <c r="AK8" s="49">
        <f>'LUC-2013-01-08-Run1'!BM177</f>
        <v>3.0778612897798339E-5</v>
      </c>
      <c r="AL8" s="49">
        <f>'LUC-2013-01-08-Run1'!BN177</f>
        <v>3.0688634895504979E-5</v>
      </c>
      <c r="AM8" s="49">
        <f>'LUC-2013-01-08-Run1'!BO177</f>
        <v>3.0598656893211627E-5</v>
      </c>
      <c r="AN8" s="49">
        <f>'LUC-2013-01-08-Run1'!BP177</f>
        <v>3.0508678890918268E-5</v>
      </c>
      <c r="AO8" s="49">
        <f>'LUC-2013-01-08-Run1'!BQ177</f>
        <v>3.0418700888624912E-5</v>
      </c>
      <c r="AP8" s="49">
        <f>'LUC-2013-01-08-Run1'!BR177</f>
        <v>3.0328722886331556E-5</v>
      </c>
      <c r="AQ8" s="49">
        <f>'LUC-2013-01-08-Run1'!BS177</f>
        <v>3.02387448840382E-5</v>
      </c>
      <c r="AR8" s="49">
        <f>'LUC-2013-01-08-Run1'!BT177</f>
        <v>3.0259890859481585E-5</v>
      </c>
      <c r="AS8" s="49">
        <f>'LUC-2013-01-08-Run1'!BU177</f>
        <v>3.0281036834924966E-5</v>
      </c>
      <c r="AT8" s="49">
        <f>'LUC-2013-01-08-Run1'!BV177</f>
        <v>3.030218281036835E-5</v>
      </c>
      <c r="AU8" s="49">
        <f>'LUC-2013-01-08-Run1'!BW177</f>
        <v>3.0323328785811735E-5</v>
      </c>
      <c r="AV8" s="49">
        <f>'LUC-2013-01-08-Run1'!BX177</f>
        <v>3.0344474761255116E-5</v>
      </c>
      <c r="AW8" s="49">
        <f>'LUC-2013-01-08-Run1'!BY177</f>
        <v>3.0365620736698501E-5</v>
      </c>
      <c r="AX8" s="49">
        <f>'LUC-2013-01-08-Run1'!BZ177</f>
        <v>3.0386766712141885E-5</v>
      </c>
      <c r="AY8" s="49">
        <f>'LUC-2013-01-08-Run1'!CA177</f>
        <v>3.0407912687585267E-5</v>
      </c>
      <c r="AZ8" s="49">
        <f>'LUC-2013-01-08-Run1'!CB177</f>
        <v>3.0429058663028651E-5</v>
      </c>
      <c r="BA8" s="49">
        <f>'LUC-2013-01-08-Run1'!CC177</f>
        <v>3.0450204638472036E-5</v>
      </c>
      <c r="BB8" s="49">
        <f>'LUC-2013-01-08-Run1'!CD177</f>
        <v>3.0471350613915417E-5</v>
      </c>
      <c r="BC8" s="49">
        <f>'LUC-2013-01-08-Run1'!CE177</f>
        <v>3.0492496589358802E-5</v>
      </c>
      <c r="BD8" s="49">
        <f>'LUC-2013-01-08-Run1'!CF177</f>
        <v>3.0513642564802183E-5</v>
      </c>
      <c r="BE8" s="49">
        <f>'LUC-2013-01-08-Run1'!CG177</f>
        <v>3.0534788540245567E-5</v>
      </c>
      <c r="BF8" s="49">
        <f>'LUC-2013-01-08-Run1'!CH177</f>
        <v>3.0555934515688949E-5</v>
      </c>
      <c r="BG8" s="49">
        <f>'LUC-2013-01-08-Run1'!CI177</f>
        <v>3.0577080491132337E-5</v>
      </c>
      <c r="BH8" s="49">
        <f>'LUC-2013-01-08-Run1'!CJ177</f>
        <v>3.0598226466575718E-5</v>
      </c>
      <c r="BI8" s="49">
        <f>'LUC-2013-01-08-Run1'!CK177</f>
        <v>3.0619372442019099E-5</v>
      </c>
      <c r="BJ8" s="49">
        <f>'LUC-2013-01-08-Run1'!CL177</f>
        <v>3.0640518417462487E-5</v>
      </c>
      <c r="BK8" s="49">
        <f>'LUC-2013-01-08-Run1'!CM177</f>
        <v>3.0661664392905868E-5</v>
      </c>
      <c r="BM8" s="105"/>
      <c r="BN8" s="53" t="s">
        <v>101</v>
      </c>
      <c r="BO8" s="61">
        <f t="shared" si="7"/>
        <v>30.52005943536404</v>
      </c>
      <c r="BP8" s="61">
        <f t="shared" si="0"/>
        <v>31.646953937592865</v>
      </c>
      <c r="BQ8" s="61">
        <f t="shared" si="1"/>
        <v>32.03830492990533</v>
      </c>
      <c r="BR8" s="61">
        <f t="shared" si="2"/>
        <v>31.138524906971764</v>
      </c>
      <c r="BS8" s="61">
        <f t="shared" si="3"/>
        <v>30.238744884038201</v>
      </c>
      <c r="BT8" s="61">
        <f t="shared" si="4"/>
        <v>30.450204638472037</v>
      </c>
      <c r="BU8" s="61">
        <f t="shared" si="5"/>
        <v>30.66166439290587</v>
      </c>
      <c r="BV8" s="50"/>
      <c r="BX8" s="96">
        <f t="shared" si="6"/>
        <v>-4.9928476573117102E-2</v>
      </c>
    </row>
    <row r="9" spans="1:78" x14ac:dyDescent="0.25">
      <c r="A9" s="50" t="s">
        <v>71</v>
      </c>
      <c r="B9" s="50" t="s">
        <v>111</v>
      </c>
      <c r="C9" s="48" t="s">
        <v>92</v>
      </c>
      <c r="D9" s="49">
        <f>'LUC-2013-01-08-Run1'!AF178</f>
        <v>2.665676077265973E-5</v>
      </c>
      <c r="E9" s="49">
        <f>'LUC-2013-01-08-Run1'!AG178</f>
        <v>2.6766121842496281E-5</v>
      </c>
      <c r="F9" s="49">
        <f>'LUC-2013-01-08-Run1'!AH178</f>
        <v>2.6875482912332836E-5</v>
      </c>
      <c r="G9" s="49">
        <f>'LUC-2013-01-08-Run1'!AI178</f>
        <v>2.6984843982169387E-5</v>
      </c>
      <c r="H9" s="49">
        <f>'LUC-2013-01-08-Run1'!AJ178</f>
        <v>2.7094205052005942E-5</v>
      </c>
      <c r="I9" s="49">
        <f>'LUC-2013-01-08-Run1'!AK178</f>
        <v>2.7203566121842493E-5</v>
      </c>
      <c r="J9" s="49">
        <f>'LUC-2013-01-08-Run1'!AL178</f>
        <v>2.7312927191679048E-5</v>
      </c>
      <c r="K9" s="49">
        <f>'LUC-2013-01-08-Run1'!AM178</f>
        <v>2.7422288261515599E-5</v>
      </c>
      <c r="L9" s="49">
        <f>'LUC-2013-01-08-Run1'!AN178</f>
        <v>2.7531649331352153E-5</v>
      </c>
      <c r="M9" s="49">
        <f>'LUC-2013-01-08-Run1'!AO178</f>
        <v>2.7641010401188705E-5</v>
      </c>
      <c r="N9" s="49">
        <f>'LUC-2013-01-08-Run1'!AP178</f>
        <v>2.7750371471025259E-5</v>
      </c>
      <c r="O9" s="49">
        <f>'LUC-2013-01-08-Run1'!AQ178</f>
        <v>2.785973254086181E-5</v>
      </c>
      <c r="P9" s="49">
        <f>'LUC-2013-01-08-Run1'!AR178</f>
        <v>2.7969093610698365E-5</v>
      </c>
      <c r="Q9" s="49">
        <f>'LUC-2013-01-08-Run1'!AS178</f>
        <v>2.8078454680534916E-5</v>
      </c>
      <c r="R9" s="49">
        <f>'LUC-2013-01-08-Run1'!AT178</f>
        <v>2.8187815750371467E-5</v>
      </c>
      <c r="S9" s="49">
        <f>'LUC-2013-01-08-Run1'!AU178</f>
        <v>2.8297176820208022E-5</v>
      </c>
      <c r="T9" s="49">
        <f>'LUC-2013-01-08-Run1'!AV178</f>
        <v>2.8410590268979481E-5</v>
      </c>
      <c r="U9" s="49">
        <f>'LUC-2013-01-08-Run1'!AW178</f>
        <v>2.852400371775094E-5</v>
      </c>
      <c r="V9" s="49">
        <f>'LUC-2013-01-08-Run1'!AX178</f>
        <v>2.8637417166522399E-5</v>
      </c>
      <c r="W9" s="49">
        <f>'LUC-2013-01-08-Run1'!AY178</f>
        <v>2.8750830615293862E-5</v>
      </c>
      <c r="X9" s="49">
        <f>'LUC-2013-01-08-Run1'!AZ178</f>
        <v>2.8864244064065321E-5</v>
      </c>
      <c r="Y9" s="49">
        <f>'LUC-2013-01-08-Run1'!BA178</f>
        <v>2.897765751283678E-5</v>
      </c>
      <c r="Z9" s="49">
        <f>'LUC-2013-01-08-Run1'!BB178</f>
        <v>2.9091070961608239E-5</v>
      </c>
      <c r="AA9" s="49">
        <f>'LUC-2013-01-08-Run1'!BC178</f>
        <v>2.9204484410379698E-5</v>
      </c>
      <c r="AB9" s="49">
        <f>'LUC-2013-01-08-Run1'!BD178</f>
        <v>2.9317897859151161E-5</v>
      </c>
      <c r="AC9" s="49">
        <f>'LUC-2013-01-08-Run1'!BE178</f>
        <v>2.943131130792262E-5</v>
      </c>
      <c r="AD9" s="49">
        <f>'LUC-2013-01-08-Run1'!BF178</f>
        <v>2.9544724756694079E-5</v>
      </c>
      <c r="AE9" s="49">
        <f>'LUC-2013-01-08-Run1'!BG178</f>
        <v>2.9658138205465538E-5</v>
      </c>
      <c r="AF9" s="49">
        <f>'LUC-2013-01-08-Run1'!BH178</f>
        <v>2.9771551654236997E-5</v>
      </c>
      <c r="AG9" s="49">
        <f>'LUC-2013-01-08-Run1'!BI178</f>
        <v>2.9884965103008456E-5</v>
      </c>
      <c r="AH9" s="49">
        <f>'LUC-2013-01-08-Run1'!BJ178</f>
        <v>2.9998378551779915E-5</v>
      </c>
      <c r="AI9" s="49">
        <f>'LUC-2013-01-08-Run1'!BK178</f>
        <v>3.0111792000551378E-5</v>
      </c>
      <c r="AJ9" s="49">
        <f>'LUC-2013-01-08-Run1'!BL178</f>
        <v>3.0225205449322837E-5</v>
      </c>
      <c r="AK9" s="49">
        <f>'LUC-2013-01-08-Run1'!BM178</f>
        <v>3.0338618898094296E-5</v>
      </c>
      <c r="AL9" s="49">
        <f>'LUC-2013-01-08-Run1'!BN178</f>
        <v>3.0452032346865755E-5</v>
      </c>
      <c r="AM9" s="49">
        <f>'LUC-2013-01-08-Run1'!BO178</f>
        <v>3.0565445795637218E-5</v>
      </c>
      <c r="AN9" s="49">
        <f>'LUC-2013-01-08-Run1'!BP178</f>
        <v>3.0678859244408677E-5</v>
      </c>
      <c r="AO9" s="49">
        <f>'LUC-2013-01-08-Run1'!BQ178</f>
        <v>3.0792272693180136E-5</v>
      </c>
      <c r="AP9" s="49">
        <f>'LUC-2013-01-08-Run1'!BR178</f>
        <v>3.0905686141951595E-5</v>
      </c>
      <c r="AQ9" s="49">
        <f>'LUC-2013-01-08-Run1'!BS178</f>
        <v>3.1019099590723054E-5</v>
      </c>
      <c r="AR9" s="49">
        <f>'LUC-2013-01-08-Run1'!BT178</f>
        <v>3.1040791268758524E-5</v>
      </c>
      <c r="AS9" s="49">
        <f>'LUC-2013-01-08-Run1'!BU178</f>
        <v>3.1062482946793994E-5</v>
      </c>
      <c r="AT9" s="49">
        <f>'LUC-2013-01-08-Run1'!BV178</f>
        <v>3.1084174624829465E-5</v>
      </c>
      <c r="AU9" s="49">
        <f>'LUC-2013-01-08-Run1'!BW178</f>
        <v>3.1105866302864935E-5</v>
      </c>
      <c r="AV9" s="49">
        <f>'LUC-2013-01-08-Run1'!BX178</f>
        <v>3.1127557980900405E-5</v>
      </c>
      <c r="AW9" s="49">
        <f>'LUC-2013-01-08-Run1'!BY178</f>
        <v>3.1149249658935882E-5</v>
      </c>
      <c r="AX9" s="49">
        <f>'LUC-2013-01-08-Run1'!BZ178</f>
        <v>3.1170941336971352E-5</v>
      </c>
      <c r="AY9" s="49">
        <f>'LUC-2013-01-08-Run1'!CA178</f>
        <v>3.1192633015006822E-5</v>
      </c>
      <c r="AZ9" s="49">
        <f>'LUC-2013-01-08-Run1'!CB178</f>
        <v>3.1214324693042292E-5</v>
      </c>
      <c r="BA9" s="49">
        <f>'LUC-2013-01-08-Run1'!CC178</f>
        <v>3.1236016371077763E-5</v>
      </c>
      <c r="BB9" s="49">
        <f>'LUC-2013-01-08-Run1'!CD178</f>
        <v>3.1257708049113233E-5</v>
      </c>
      <c r="BC9" s="49">
        <f>'LUC-2013-01-08-Run1'!CE178</f>
        <v>3.1279399727148703E-5</v>
      </c>
      <c r="BD9" s="49">
        <f>'LUC-2013-01-08-Run1'!CF178</f>
        <v>3.1301091405184173E-5</v>
      </c>
      <c r="BE9" s="49">
        <f>'LUC-2013-01-08-Run1'!CG178</f>
        <v>3.1322783083219643E-5</v>
      </c>
      <c r="BF9" s="49">
        <f>'LUC-2013-01-08-Run1'!CH178</f>
        <v>3.134447476125512E-5</v>
      </c>
      <c r="BG9" s="49">
        <f>'LUC-2013-01-08-Run1'!CI178</f>
        <v>3.136616643929059E-5</v>
      </c>
      <c r="BH9" s="49">
        <f>'LUC-2013-01-08-Run1'!CJ178</f>
        <v>3.138785811732606E-5</v>
      </c>
      <c r="BI9" s="49">
        <f>'LUC-2013-01-08-Run1'!CK178</f>
        <v>3.1409549795361531E-5</v>
      </c>
      <c r="BJ9" s="49">
        <f>'LUC-2013-01-08-Run1'!CL178</f>
        <v>3.1431241473397001E-5</v>
      </c>
      <c r="BK9" s="49">
        <f>'LUC-2013-01-08-Run1'!CM178</f>
        <v>3.1452933151432471E-5</v>
      </c>
      <c r="BM9" s="105"/>
      <c r="BN9" s="53" t="s">
        <v>111</v>
      </c>
      <c r="BO9" s="61">
        <f t="shared" si="7"/>
        <v>26.65676077265973</v>
      </c>
      <c r="BP9" s="61">
        <f t="shared" si="0"/>
        <v>27.641010401188705</v>
      </c>
      <c r="BQ9" s="61">
        <f t="shared" si="1"/>
        <v>28.750830615293861</v>
      </c>
      <c r="BR9" s="61">
        <f t="shared" si="2"/>
        <v>29.884965103008458</v>
      </c>
      <c r="BS9" s="61">
        <f t="shared" si="3"/>
        <v>31.019099590723055</v>
      </c>
      <c r="BT9" s="61">
        <f t="shared" si="4"/>
        <v>31.236016371077763</v>
      </c>
      <c r="BU9" s="61">
        <f t="shared" si="5"/>
        <v>31.452933151432472</v>
      </c>
      <c r="BV9" s="50"/>
      <c r="BX9" s="96">
        <f t="shared" si="6"/>
        <v>0.11583435304021295</v>
      </c>
    </row>
    <row r="10" spans="1:78" x14ac:dyDescent="0.25">
      <c r="A10" s="50" t="s">
        <v>71</v>
      </c>
      <c r="B10" s="50" t="s">
        <v>102</v>
      </c>
      <c r="C10" s="48" t="s">
        <v>92</v>
      </c>
      <c r="D10" s="49">
        <f>'LUC-2013-01-08-Run1'!AF179</f>
        <v>1.2E-5</v>
      </c>
      <c r="E10" s="49">
        <f>'LUC-2013-01-08-Run1'!AG179</f>
        <v>1.2106666666666667E-5</v>
      </c>
      <c r="F10" s="49">
        <f>'LUC-2013-01-08-Run1'!AH179</f>
        <v>1.2213333333333334E-5</v>
      </c>
      <c r="G10" s="49">
        <f>'LUC-2013-01-08-Run1'!AI179</f>
        <v>1.2320000000000001E-5</v>
      </c>
      <c r="H10" s="49">
        <f>'LUC-2013-01-08-Run1'!AJ179</f>
        <v>1.2426666666666667E-5</v>
      </c>
      <c r="I10" s="49">
        <f>'LUC-2013-01-08-Run1'!AK179</f>
        <v>1.2533333333333334E-5</v>
      </c>
      <c r="J10" s="49">
        <f>'LUC-2013-01-08-Run1'!AL179</f>
        <v>1.2640000000000001E-5</v>
      </c>
      <c r="K10" s="49">
        <f>'LUC-2013-01-08-Run1'!AM179</f>
        <v>1.2746666666666668E-5</v>
      </c>
      <c r="L10" s="49">
        <f>'LUC-2013-01-08-Run1'!AN179</f>
        <v>1.2853333333333333E-5</v>
      </c>
      <c r="M10" s="49">
        <f>'LUC-2013-01-08-Run1'!AO179</f>
        <v>1.296E-5</v>
      </c>
      <c r="N10" s="49">
        <f>'LUC-2013-01-08-Run1'!AP179</f>
        <v>1.3066666666666666E-5</v>
      </c>
      <c r="O10" s="49">
        <f>'LUC-2013-01-08-Run1'!AQ179</f>
        <v>1.3173333333333333E-5</v>
      </c>
      <c r="P10" s="49">
        <f>'LUC-2013-01-08-Run1'!AR179</f>
        <v>1.328E-5</v>
      </c>
      <c r="Q10" s="49">
        <f>'LUC-2013-01-08-Run1'!AS179</f>
        <v>1.3386666666666667E-5</v>
      </c>
      <c r="R10" s="49">
        <f>'LUC-2013-01-08-Run1'!AT179</f>
        <v>1.3493333333333333E-5</v>
      </c>
      <c r="S10" s="49">
        <f>'LUC-2013-01-08-Run1'!AU179</f>
        <v>1.36E-5</v>
      </c>
      <c r="T10" s="49">
        <f>'LUC-2013-01-08-Run1'!AV179</f>
        <v>1.3679166666666668E-5</v>
      </c>
      <c r="U10" s="49">
        <f>'LUC-2013-01-08-Run1'!AW179</f>
        <v>1.3758333333333333E-5</v>
      </c>
      <c r="V10" s="49">
        <f>'LUC-2013-01-08-Run1'!AX179</f>
        <v>1.3837500000000001E-5</v>
      </c>
      <c r="W10" s="49">
        <f>'LUC-2013-01-08-Run1'!AY179</f>
        <v>1.3916666666666667E-5</v>
      </c>
      <c r="X10" s="49">
        <f>'LUC-2013-01-08-Run1'!AZ179</f>
        <v>1.3995833333333334E-5</v>
      </c>
      <c r="Y10" s="49">
        <f>'LUC-2013-01-08-Run1'!BA179</f>
        <v>1.4075E-5</v>
      </c>
      <c r="Z10" s="49">
        <f>'LUC-2013-01-08-Run1'!BB179</f>
        <v>1.4154166666666667E-5</v>
      </c>
      <c r="AA10" s="49">
        <f>'LUC-2013-01-08-Run1'!BC179</f>
        <v>1.4233333333333333E-5</v>
      </c>
      <c r="AB10" s="49">
        <f>'LUC-2013-01-08-Run1'!BD179</f>
        <v>1.4312500000000001E-5</v>
      </c>
      <c r="AC10" s="49">
        <f>'LUC-2013-01-08-Run1'!BE179</f>
        <v>1.4391666666666666E-5</v>
      </c>
      <c r="AD10" s="49">
        <f>'LUC-2013-01-08-Run1'!BF179</f>
        <v>1.4470833333333334E-5</v>
      </c>
      <c r="AE10" s="49">
        <f>'LUC-2013-01-08-Run1'!BG179</f>
        <v>1.4550000000000001E-5</v>
      </c>
      <c r="AF10" s="49">
        <f>'LUC-2013-01-08-Run1'!BH179</f>
        <v>1.4629166666666667E-5</v>
      </c>
      <c r="AG10" s="49">
        <f>'LUC-2013-01-08-Run1'!BI179</f>
        <v>1.4708333333333333E-5</v>
      </c>
      <c r="AH10" s="49">
        <f>'LUC-2013-01-08-Run1'!BJ179</f>
        <v>1.47875E-5</v>
      </c>
      <c r="AI10" s="49">
        <f>'LUC-2013-01-08-Run1'!BK179</f>
        <v>1.4866666666666668E-5</v>
      </c>
      <c r="AJ10" s="49">
        <f>'LUC-2013-01-08-Run1'!BL179</f>
        <v>1.4945833333333334E-5</v>
      </c>
      <c r="AK10" s="49">
        <f>'LUC-2013-01-08-Run1'!BM179</f>
        <v>1.5025000000000001E-5</v>
      </c>
      <c r="AL10" s="49">
        <f>'LUC-2013-01-08-Run1'!BN179</f>
        <v>1.5104166666666667E-5</v>
      </c>
      <c r="AM10" s="49">
        <f>'LUC-2013-01-08-Run1'!BO179</f>
        <v>1.5183333333333334E-5</v>
      </c>
      <c r="AN10" s="49">
        <f>'LUC-2013-01-08-Run1'!BP179</f>
        <v>1.5262500000000002E-5</v>
      </c>
      <c r="AO10" s="49">
        <f>'LUC-2013-01-08-Run1'!BQ179</f>
        <v>1.5341666666666666E-5</v>
      </c>
      <c r="AP10" s="49">
        <f>'LUC-2013-01-08-Run1'!BR179</f>
        <v>1.5420833333333333E-5</v>
      </c>
      <c r="AQ10" s="49">
        <f>'LUC-2013-01-08-Run1'!BS179</f>
        <v>1.5500000000000001E-5</v>
      </c>
      <c r="AR10" s="49">
        <f>'LUC-2013-01-08-Run1'!BT179</f>
        <v>1.5545000000000001E-5</v>
      </c>
      <c r="AS10" s="49">
        <f>'LUC-2013-01-08-Run1'!BU179</f>
        <v>1.5590000000000002E-5</v>
      </c>
      <c r="AT10" s="49">
        <f>'LUC-2013-01-08-Run1'!BV179</f>
        <v>1.5635000000000002E-5</v>
      </c>
      <c r="AU10" s="49">
        <f>'LUC-2013-01-08-Run1'!BW179</f>
        <v>1.5679999999999999E-5</v>
      </c>
      <c r="AV10" s="49">
        <f>'LUC-2013-01-08-Run1'!BX179</f>
        <v>1.5724999999999999E-5</v>
      </c>
      <c r="AW10" s="49">
        <f>'LUC-2013-01-08-Run1'!BY179</f>
        <v>1.577E-5</v>
      </c>
      <c r="AX10" s="49">
        <f>'LUC-2013-01-08-Run1'!BZ179</f>
        <v>1.5815E-5</v>
      </c>
      <c r="AY10" s="49">
        <f>'LUC-2013-01-08-Run1'!CA179</f>
        <v>1.5860000000000001E-5</v>
      </c>
      <c r="AZ10" s="49">
        <f>'LUC-2013-01-08-Run1'!CB179</f>
        <v>1.5905000000000001E-5</v>
      </c>
      <c r="BA10" s="49">
        <f>'LUC-2013-01-08-Run1'!CC179</f>
        <v>1.5950000000000001E-5</v>
      </c>
      <c r="BB10" s="49">
        <f>'LUC-2013-01-08-Run1'!CD179</f>
        <v>1.5994999999999998E-5</v>
      </c>
      <c r="BC10" s="49">
        <f>'LUC-2013-01-08-Run1'!CE179</f>
        <v>1.6039999999999999E-5</v>
      </c>
      <c r="BD10" s="49">
        <f>'LUC-2013-01-08-Run1'!CF179</f>
        <v>1.6084999999999999E-5</v>
      </c>
      <c r="BE10" s="49">
        <f>'LUC-2013-01-08-Run1'!CG179</f>
        <v>1.613E-5</v>
      </c>
      <c r="BF10" s="49">
        <f>'LUC-2013-01-08-Run1'!CH179</f>
        <v>1.6175E-5</v>
      </c>
      <c r="BG10" s="49">
        <f>'LUC-2013-01-08-Run1'!CI179</f>
        <v>1.6220000000000001E-5</v>
      </c>
      <c r="BH10" s="49">
        <f>'LUC-2013-01-08-Run1'!CJ179</f>
        <v>1.6264999999999998E-5</v>
      </c>
      <c r="BI10" s="49">
        <f>'LUC-2013-01-08-Run1'!CK179</f>
        <v>1.6309999999999998E-5</v>
      </c>
      <c r="BJ10" s="49">
        <f>'LUC-2013-01-08-Run1'!CL179</f>
        <v>1.6354999999999998E-5</v>
      </c>
      <c r="BK10" s="49">
        <f>'LUC-2013-01-08-Run1'!CM179</f>
        <v>1.6399999999999999E-5</v>
      </c>
      <c r="BM10" s="105"/>
      <c r="BN10" s="53" t="s">
        <v>102</v>
      </c>
      <c r="BO10" s="61">
        <f t="shared" si="7"/>
        <v>12</v>
      </c>
      <c r="BP10" s="61">
        <f t="shared" si="0"/>
        <v>12.959999999999999</v>
      </c>
      <c r="BQ10" s="61">
        <f t="shared" si="1"/>
        <v>13.916666666666666</v>
      </c>
      <c r="BR10" s="61">
        <f t="shared" si="2"/>
        <v>14.708333333333332</v>
      </c>
      <c r="BS10" s="61">
        <f t="shared" si="3"/>
        <v>15.5</v>
      </c>
      <c r="BT10" s="61">
        <f t="shared" si="4"/>
        <v>15.950000000000001</v>
      </c>
      <c r="BU10" s="61">
        <f t="shared" si="5"/>
        <v>16.399999999999999</v>
      </c>
      <c r="BV10" s="50"/>
      <c r="BX10" s="96">
        <f t="shared" si="6"/>
        <v>0.21541501976284574</v>
      </c>
    </row>
    <row r="11" spans="1:78" x14ac:dyDescent="0.25">
      <c r="A11" s="50" t="s">
        <v>71</v>
      </c>
      <c r="B11" s="50" t="s">
        <v>103</v>
      </c>
      <c r="C11" s="48" t="s">
        <v>92</v>
      </c>
      <c r="D11" s="49">
        <f>'LUC-2013-01-08-Run1'!AF180</f>
        <v>4.3999999999999999E-5</v>
      </c>
      <c r="E11" s="49">
        <f>'LUC-2013-01-08-Run1'!AG180</f>
        <v>4.3866666666666665E-5</v>
      </c>
      <c r="F11" s="49">
        <f>'LUC-2013-01-08-Run1'!AH180</f>
        <v>4.373333333333333E-5</v>
      </c>
      <c r="G11" s="49">
        <f>'LUC-2013-01-08-Run1'!AI180</f>
        <v>4.3599999999999996E-5</v>
      </c>
      <c r="H11" s="49">
        <f>'LUC-2013-01-08-Run1'!AJ180</f>
        <v>4.3466666666666668E-5</v>
      </c>
      <c r="I11" s="49">
        <f>'LUC-2013-01-08-Run1'!AK180</f>
        <v>4.3333333333333334E-5</v>
      </c>
      <c r="J11" s="49">
        <f>'LUC-2013-01-08-Run1'!AL180</f>
        <v>4.32E-5</v>
      </c>
      <c r="K11" s="49">
        <f>'LUC-2013-01-08-Run1'!AM180</f>
        <v>4.3066666666666665E-5</v>
      </c>
      <c r="L11" s="49">
        <f>'LUC-2013-01-08-Run1'!AN180</f>
        <v>4.2933333333333331E-5</v>
      </c>
      <c r="M11" s="49">
        <f>'LUC-2013-01-08-Run1'!AO180</f>
        <v>4.2799999999999997E-5</v>
      </c>
      <c r="N11" s="49">
        <f>'LUC-2013-01-08-Run1'!AP180</f>
        <v>4.2666666666666662E-5</v>
      </c>
      <c r="O11" s="49">
        <f>'LUC-2013-01-08-Run1'!AQ180</f>
        <v>4.2533333333333328E-5</v>
      </c>
      <c r="P11" s="49">
        <f>'LUC-2013-01-08-Run1'!AR180</f>
        <v>4.2400000000000001E-5</v>
      </c>
      <c r="Q11" s="49">
        <f>'LUC-2013-01-08-Run1'!AS180</f>
        <v>4.2266666666666666E-5</v>
      </c>
      <c r="R11" s="49">
        <f>'LUC-2013-01-08-Run1'!AT180</f>
        <v>4.2133333333333332E-5</v>
      </c>
      <c r="S11" s="49">
        <f>'LUC-2013-01-08-Run1'!AU180</f>
        <v>4.1999999999999998E-5</v>
      </c>
      <c r="T11" s="49">
        <f>'LUC-2013-01-08-Run1'!AV180</f>
        <v>4.1999999999999998E-5</v>
      </c>
      <c r="U11" s="49">
        <f>'LUC-2013-01-08-Run1'!AW180</f>
        <v>4.1999999999999998E-5</v>
      </c>
      <c r="V11" s="49">
        <f>'LUC-2013-01-08-Run1'!AX180</f>
        <v>4.1999999999999998E-5</v>
      </c>
      <c r="W11" s="49">
        <f>'LUC-2013-01-08-Run1'!AY180</f>
        <v>4.1999999999999998E-5</v>
      </c>
      <c r="X11" s="49">
        <f>'LUC-2013-01-08-Run1'!AZ180</f>
        <v>4.1999999999999998E-5</v>
      </c>
      <c r="Y11" s="49">
        <f>'LUC-2013-01-08-Run1'!BA180</f>
        <v>4.1999999999999998E-5</v>
      </c>
      <c r="Z11" s="49">
        <f>'LUC-2013-01-08-Run1'!BB180</f>
        <v>4.1999999999999998E-5</v>
      </c>
      <c r="AA11" s="49">
        <f>'LUC-2013-01-08-Run1'!BC180</f>
        <v>4.1999999999999998E-5</v>
      </c>
      <c r="AB11" s="49">
        <f>'LUC-2013-01-08-Run1'!BD180</f>
        <v>4.1999999999999998E-5</v>
      </c>
      <c r="AC11" s="49">
        <f>'LUC-2013-01-08-Run1'!BE180</f>
        <v>4.1999999999999998E-5</v>
      </c>
      <c r="AD11" s="49">
        <f>'LUC-2013-01-08-Run1'!BF180</f>
        <v>4.1999999999999998E-5</v>
      </c>
      <c r="AE11" s="49">
        <f>'LUC-2013-01-08-Run1'!BG180</f>
        <v>4.1999999999999998E-5</v>
      </c>
      <c r="AF11" s="49">
        <f>'LUC-2013-01-08-Run1'!BH180</f>
        <v>4.1999999999999998E-5</v>
      </c>
      <c r="AG11" s="49">
        <f>'LUC-2013-01-08-Run1'!BI180</f>
        <v>4.1999999999999998E-5</v>
      </c>
      <c r="AH11" s="49">
        <f>'LUC-2013-01-08-Run1'!BJ180</f>
        <v>4.1999999999999998E-5</v>
      </c>
      <c r="AI11" s="49">
        <f>'LUC-2013-01-08-Run1'!BK180</f>
        <v>4.1999999999999998E-5</v>
      </c>
      <c r="AJ11" s="49">
        <f>'LUC-2013-01-08-Run1'!BL180</f>
        <v>4.1999999999999998E-5</v>
      </c>
      <c r="AK11" s="49">
        <f>'LUC-2013-01-08-Run1'!BM180</f>
        <v>4.1999999999999998E-5</v>
      </c>
      <c r="AL11" s="49">
        <f>'LUC-2013-01-08-Run1'!BN180</f>
        <v>4.1999999999999998E-5</v>
      </c>
      <c r="AM11" s="49">
        <f>'LUC-2013-01-08-Run1'!BO180</f>
        <v>4.1999999999999998E-5</v>
      </c>
      <c r="AN11" s="49">
        <f>'LUC-2013-01-08-Run1'!BP180</f>
        <v>4.1999999999999998E-5</v>
      </c>
      <c r="AO11" s="49">
        <f>'LUC-2013-01-08-Run1'!BQ180</f>
        <v>4.1999999999999998E-5</v>
      </c>
      <c r="AP11" s="49">
        <f>'LUC-2013-01-08-Run1'!BR180</f>
        <v>4.1999999999999998E-5</v>
      </c>
      <c r="AQ11" s="49">
        <f>'LUC-2013-01-08-Run1'!BS180</f>
        <v>4.1999999999999998E-5</v>
      </c>
      <c r="AR11" s="49">
        <f>'LUC-2013-01-08-Run1'!BT180</f>
        <v>4.1949999999999996E-5</v>
      </c>
      <c r="AS11" s="49">
        <f>'LUC-2013-01-08-Run1'!BU180</f>
        <v>4.1899999999999995E-5</v>
      </c>
      <c r="AT11" s="49">
        <f>'LUC-2013-01-08-Run1'!BV180</f>
        <v>4.1850000000000001E-5</v>
      </c>
      <c r="AU11" s="49">
        <f>'LUC-2013-01-08-Run1'!BW180</f>
        <v>4.18E-5</v>
      </c>
      <c r="AV11" s="49">
        <f>'LUC-2013-01-08-Run1'!BX180</f>
        <v>4.1749999999999998E-5</v>
      </c>
      <c r="AW11" s="49">
        <f>'LUC-2013-01-08-Run1'!BY180</f>
        <v>4.1699999999999997E-5</v>
      </c>
      <c r="AX11" s="49">
        <f>'LUC-2013-01-08-Run1'!BZ180</f>
        <v>4.1649999999999996E-5</v>
      </c>
      <c r="AY11" s="49">
        <f>'LUC-2013-01-08-Run1'!CA180</f>
        <v>4.1600000000000002E-5</v>
      </c>
      <c r="AZ11" s="49">
        <f>'LUC-2013-01-08-Run1'!CB180</f>
        <v>4.155E-5</v>
      </c>
      <c r="BA11" s="49">
        <f>'LUC-2013-01-08-Run1'!CC180</f>
        <v>4.1499999999999999E-5</v>
      </c>
      <c r="BB11" s="49">
        <f>'LUC-2013-01-08-Run1'!CD180</f>
        <v>4.1449999999999998E-5</v>
      </c>
      <c r="BC11" s="49">
        <f>'LUC-2013-01-08-Run1'!CE180</f>
        <v>4.1399999999999997E-5</v>
      </c>
      <c r="BD11" s="49">
        <f>'LUC-2013-01-08-Run1'!CF180</f>
        <v>4.1350000000000002E-5</v>
      </c>
      <c r="BE11" s="49">
        <f>'LUC-2013-01-08-Run1'!CG180</f>
        <v>4.1300000000000001E-5</v>
      </c>
      <c r="BF11" s="49">
        <f>'LUC-2013-01-08-Run1'!CH180</f>
        <v>4.125E-5</v>
      </c>
      <c r="BG11" s="49">
        <f>'LUC-2013-01-08-Run1'!CI180</f>
        <v>4.1199999999999999E-5</v>
      </c>
      <c r="BH11" s="49">
        <f>'LUC-2013-01-08-Run1'!CJ180</f>
        <v>4.1149999999999997E-5</v>
      </c>
      <c r="BI11" s="49">
        <f>'LUC-2013-01-08-Run1'!CK180</f>
        <v>4.1100000000000003E-5</v>
      </c>
      <c r="BJ11" s="49">
        <f>'LUC-2013-01-08-Run1'!CL180</f>
        <v>4.1050000000000002E-5</v>
      </c>
      <c r="BK11" s="49">
        <f>'LUC-2013-01-08-Run1'!CM180</f>
        <v>4.1E-5</v>
      </c>
      <c r="BM11" s="105"/>
      <c r="BN11" s="53" t="s">
        <v>103</v>
      </c>
      <c r="BO11" s="61">
        <f t="shared" si="7"/>
        <v>44</v>
      </c>
      <c r="BP11" s="61">
        <f t="shared" si="0"/>
        <v>42.8</v>
      </c>
      <c r="BQ11" s="61">
        <f t="shared" si="1"/>
        <v>42</v>
      </c>
      <c r="BR11" s="61">
        <f t="shared" si="2"/>
        <v>42</v>
      </c>
      <c r="BS11" s="61">
        <f t="shared" si="3"/>
        <v>42</v>
      </c>
      <c r="BT11" s="61">
        <f t="shared" si="4"/>
        <v>41.5</v>
      </c>
      <c r="BU11" s="61">
        <f t="shared" si="5"/>
        <v>41</v>
      </c>
      <c r="BV11" s="50"/>
      <c r="BX11" s="96">
        <f t="shared" si="6"/>
        <v>-2.6898734177215149E-2</v>
      </c>
    </row>
    <row r="12" spans="1:78" x14ac:dyDescent="0.25">
      <c r="A12" s="48" t="s">
        <v>71</v>
      </c>
      <c r="B12" s="50" t="s">
        <v>104</v>
      </c>
      <c r="C12" s="48" t="s">
        <v>92</v>
      </c>
      <c r="D12" s="49">
        <f>'LUC-2013-01-08-Run1'!AF182</f>
        <v>7.4499999999999995E-5</v>
      </c>
      <c r="E12" s="49">
        <f>'LUC-2013-01-08-Run1'!AG182</f>
        <v>7.4486666666666659E-5</v>
      </c>
      <c r="F12" s="49">
        <f>'LUC-2013-01-08-Run1'!AH182</f>
        <v>7.4473333333333324E-5</v>
      </c>
      <c r="G12" s="49">
        <f>'LUC-2013-01-08-Run1'!AI182</f>
        <v>7.4460000000000002E-5</v>
      </c>
      <c r="H12" s="49">
        <f>'LUC-2013-01-08-Run1'!AJ182</f>
        <v>7.4446666666666667E-5</v>
      </c>
      <c r="I12" s="49">
        <f>'LUC-2013-01-08-Run1'!AK182</f>
        <v>7.4433333333333331E-5</v>
      </c>
      <c r="J12" s="49">
        <f>'LUC-2013-01-08-Run1'!AL182</f>
        <v>7.4419999999999996E-5</v>
      </c>
      <c r="K12" s="49">
        <f>'LUC-2013-01-08-Run1'!AM182</f>
        <v>7.440666666666666E-5</v>
      </c>
      <c r="L12" s="49">
        <f>'LUC-2013-01-08-Run1'!AN182</f>
        <v>7.4393333333333338E-5</v>
      </c>
      <c r="M12" s="49">
        <f>'LUC-2013-01-08-Run1'!AO182</f>
        <v>7.4380000000000003E-5</v>
      </c>
      <c r="N12" s="49">
        <f>'LUC-2013-01-08-Run1'!AP182</f>
        <v>7.4366666666666667E-5</v>
      </c>
      <c r="O12" s="49">
        <f>'LUC-2013-01-08-Run1'!AQ182</f>
        <v>7.4353333333333332E-5</v>
      </c>
      <c r="P12" s="49">
        <f>'LUC-2013-01-08-Run1'!AR182</f>
        <v>7.4339999999999996E-5</v>
      </c>
      <c r="Q12" s="49">
        <f>'LUC-2013-01-08-Run1'!AS182</f>
        <v>7.4326666666666674E-5</v>
      </c>
      <c r="R12" s="49">
        <f>'LUC-2013-01-08-Run1'!AT182</f>
        <v>7.4313333333333339E-5</v>
      </c>
      <c r="S12" s="49">
        <f>'LUC-2013-01-08-Run1'!AU182</f>
        <v>7.4300000000000004E-5</v>
      </c>
      <c r="T12" s="49">
        <f>'LUC-2013-01-08-Run1'!AV182</f>
        <v>7.4304545454545462E-5</v>
      </c>
      <c r="U12" s="49">
        <f>'LUC-2013-01-08-Run1'!AW182</f>
        <v>7.4309090909090907E-5</v>
      </c>
      <c r="V12" s="49">
        <f>'LUC-2013-01-08-Run1'!AX182</f>
        <v>7.4313636363636365E-5</v>
      </c>
      <c r="W12" s="49">
        <f>'LUC-2013-01-08-Run1'!AY182</f>
        <v>7.4318181818181823E-5</v>
      </c>
      <c r="X12" s="49">
        <f>'LUC-2013-01-08-Run1'!AZ182</f>
        <v>7.4322727272727282E-5</v>
      </c>
      <c r="Y12" s="49">
        <f>'LUC-2013-01-08-Run1'!BA182</f>
        <v>7.4327272727272727E-5</v>
      </c>
      <c r="Z12" s="49">
        <f>'LUC-2013-01-08-Run1'!BB182</f>
        <v>7.4331818181818185E-5</v>
      </c>
      <c r="AA12" s="49">
        <f>'LUC-2013-01-08-Run1'!BC182</f>
        <v>7.4336363636363643E-5</v>
      </c>
      <c r="AB12" s="49">
        <f>'LUC-2013-01-08-Run1'!BD182</f>
        <v>7.4340909090909088E-5</v>
      </c>
      <c r="AC12" s="49">
        <f>'LUC-2013-01-08-Run1'!BE182</f>
        <v>7.4345454545454546E-5</v>
      </c>
      <c r="AD12" s="49">
        <f>'LUC-2013-01-08-Run1'!BF182</f>
        <v>7.4350000000000005E-5</v>
      </c>
      <c r="AE12" s="49">
        <f>'LUC-2013-01-08-Run1'!BG182</f>
        <v>7.435454545454545E-5</v>
      </c>
      <c r="AF12" s="49">
        <f>'LUC-2013-01-08-Run1'!BH182</f>
        <v>7.4359090909090908E-5</v>
      </c>
      <c r="AG12" s="49">
        <f>'LUC-2013-01-08-Run1'!BI182</f>
        <v>7.4363636363636366E-5</v>
      </c>
      <c r="AH12" s="49">
        <f>'LUC-2013-01-08-Run1'!BJ182</f>
        <v>7.4368181818181825E-5</v>
      </c>
      <c r="AI12" s="49">
        <f>'LUC-2013-01-08-Run1'!BK182</f>
        <v>7.4372727272727269E-5</v>
      </c>
      <c r="AJ12" s="49">
        <f>'LUC-2013-01-08-Run1'!BL182</f>
        <v>7.4377272727272728E-5</v>
      </c>
      <c r="AK12" s="49">
        <f>'LUC-2013-01-08-Run1'!BM182</f>
        <v>7.4381818181818186E-5</v>
      </c>
      <c r="AL12" s="49">
        <f>'LUC-2013-01-08-Run1'!BN182</f>
        <v>7.4386363636363631E-5</v>
      </c>
      <c r="AM12" s="49">
        <f>'LUC-2013-01-08-Run1'!BO182</f>
        <v>7.4390909090909089E-5</v>
      </c>
      <c r="AN12" s="49">
        <f>'LUC-2013-01-08-Run1'!BP182</f>
        <v>7.4395454545454548E-5</v>
      </c>
      <c r="AO12" s="49">
        <f>'LUC-2013-01-08-Run1'!BQ182</f>
        <v>7.4399999999999992E-5</v>
      </c>
      <c r="AP12" s="49">
        <f>'LUC-2013-01-08-Run1'!BR182</f>
        <v>7.4404545454545451E-5</v>
      </c>
      <c r="AQ12" s="49">
        <f>'LUC-2013-01-08-Run1'!BS182</f>
        <v>7.3999999999999996E-5</v>
      </c>
      <c r="AR12" s="49">
        <f>'LUC-2013-01-08-Run1'!BT182</f>
        <v>7.4024999999999997E-5</v>
      </c>
      <c r="AS12" s="49">
        <f>'LUC-2013-01-08-Run1'!BU182</f>
        <v>7.4049999999999997E-5</v>
      </c>
      <c r="AT12" s="49">
        <f>'LUC-2013-01-08-Run1'!BV182</f>
        <v>7.4074999999999998E-5</v>
      </c>
      <c r="AU12" s="49">
        <f>'LUC-2013-01-08-Run1'!BW182</f>
        <v>7.4099999999999999E-5</v>
      </c>
      <c r="AV12" s="49">
        <f>'LUC-2013-01-08-Run1'!BX182</f>
        <v>7.4124999999999999E-5</v>
      </c>
      <c r="AW12" s="49">
        <f>'LUC-2013-01-08-Run1'!BY182</f>
        <v>7.415E-5</v>
      </c>
      <c r="AX12" s="49">
        <f>'LUC-2013-01-08-Run1'!BZ182</f>
        <v>7.4175E-5</v>
      </c>
      <c r="AY12" s="49">
        <f>'LUC-2013-01-08-Run1'!CA182</f>
        <v>7.4200000000000001E-5</v>
      </c>
      <c r="AZ12" s="49">
        <f>'LUC-2013-01-08-Run1'!CB182</f>
        <v>7.4225000000000002E-5</v>
      </c>
      <c r="BA12" s="49">
        <f>'LUC-2013-01-08-Run1'!CC182</f>
        <v>7.4249999999999989E-5</v>
      </c>
      <c r="BB12" s="49">
        <f>'LUC-2013-01-08-Run1'!CD182</f>
        <v>7.4274999999999989E-5</v>
      </c>
      <c r="BC12" s="49">
        <f>'LUC-2013-01-08-Run1'!CE182</f>
        <v>7.429999999999999E-5</v>
      </c>
      <c r="BD12" s="49">
        <f>'LUC-2013-01-08-Run1'!CF182</f>
        <v>7.4324999999999991E-5</v>
      </c>
      <c r="BE12" s="49">
        <f>'LUC-2013-01-08-Run1'!CG182</f>
        <v>7.4349999999999991E-5</v>
      </c>
      <c r="BF12" s="49">
        <f>'LUC-2013-01-08-Run1'!CH182</f>
        <v>7.4374999999999992E-5</v>
      </c>
      <c r="BG12" s="49">
        <f>'LUC-2013-01-08-Run1'!CI182</f>
        <v>7.4399999999999992E-5</v>
      </c>
      <c r="BH12" s="49">
        <f>'LUC-2013-01-08-Run1'!CJ182</f>
        <v>7.4424999999999993E-5</v>
      </c>
      <c r="BI12" s="49">
        <f>'LUC-2013-01-08-Run1'!CK182</f>
        <v>7.4449999999999994E-5</v>
      </c>
      <c r="BJ12" s="49">
        <f>'LUC-2013-01-08-Run1'!CL182</f>
        <v>7.4474999999999994E-5</v>
      </c>
      <c r="BK12" s="49">
        <f>'LUC-2013-01-08-Run1'!CM182</f>
        <v>7.4499999999999995E-5</v>
      </c>
      <c r="BM12" s="103"/>
      <c r="BN12" s="54" t="s">
        <v>104</v>
      </c>
      <c r="BO12" s="62">
        <f t="shared" si="7"/>
        <v>74.5</v>
      </c>
      <c r="BP12" s="62">
        <f t="shared" si="0"/>
        <v>74.38000000000001</v>
      </c>
      <c r="BQ12" s="62">
        <f t="shared" si="1"/>
        <v>74.318181818181827</v>
      </c>
      <c r="BR12" s="62">
        <f t="shared" si="2"/>
        <v>74.36363636363636</v>
      </c>
      <c r="BS12" s="62">
        <f t="shared" si="3"/>
        <v>74</v>
      </c>
      <c r="BT12" s="62">
        <f t="shared" si="4"/>
        <v>74.249999999999986</v>
      </c>
      <c r="BU12" s="62">
        <f t="shared" si="5"/>
        <v>74.5</v>
      </c>
      <c r="BV12" s="50"/>
      <c r="BX12" s="96">
        <f t="shared" si="6"/>
        <v>2.5118866062616286E-3</v>
      </c>
      <c r="BY12" s="96">
        <f>SUM(BX2:BX12)</f>
        <v>2.2989230016404707</v>
      </c>
      <c r="BZ12">
        <f>BY12/12</f>
        <v>0.19157691680337255</v>
      </c>
    </row>
    <row r="13" spans="1:78" x14ac:dyDescent="0.25">
      <c r="BM13" s="104" t="s">
        <v>38</v>
      </c>
      <c r="BN13" s="55" t="s">
        <v>96</v>
      </c>
      <c r="BO13" s="60">
        <f t="shared" ref="BO13:BO23" si="8">D14*1000000</f>
        <v>14.576020775705699</v>
      </c>
      <c r="BP13" s="60">
        <f t="shared" ref="BP13:BP23" si="9">M14*1000000</f>
        <v>16.162825516113752</v>
      </c>
      <c r="BQ13" s="60">
        <f t="shared" ref="BQ13:BQ23" si="10">W14*1000000</f>
        <v>17.718472055510372</v>
      </c>
      <c r="BR13" s="60">
        <f t="shared" ref="BR13:BR23" si="11">AG14*1000000</f>
        <v>18.767289349671913</v>
      </c>
      <c r="BS13" s="60">
        <f t="shared" ref="BS13:BS23" si="12">AQ14*1000000</f>
        <v>19.878189746320288</v>
      </c>
      <c r="BT13" s="60">
        <f t="shared" ref="BT13:BT23" si="13">BA14*1000000</f>
        <v>21.054848157793273</v>
      </c>
      <c r="BU13" s="60">
        <f t="shared" ref="BU13:BU23" si="14">BK14*1000000</f>
        <v>22.301157027127815</v>
      </c>
      <c r="BV13" s="47">
        <f>SUM(M14:M17)*1000000</f>
        <v>158.45234416895434</v>
      </c>
      <c r="BW13" s="47">
        <f>SUM(BU13:BU16)</f>
        <v>229.72210399346713</v>
      </c>
      <c r="BX13" s="96">
        <f t="shared" ref="BX13:BX23" si="15">(BK14-R14)/R14</f>
        <v>0.30279990702964338</v>
      </c>
    </row>
    <row r="14" spans="1:78" x14ac:dyDescent="0.25">
      <c r="A14" s="48" t="s">
        <v>38</v>
      </c>
      <c r="B14" s="50" t="s">
        <v>96</v>
      </c>
      <c r="C14" s="48" t="s">
        <v>92</v>
      </c>
      <c r="D14" s="49">
        <f>'LUC-2013-01-08-Run1'!AF156</f>
        <v>1.4576020775705699E-5</v>
      </c>
      <c r="E14" s="49">
        <f>'LUC-2013-01-08-Run1'!AG156</f>
        <v>1.4744344075930342E-5</v>
      </c>
      <c r="F14" s="49">
        <f>'LUC-2013-01-08-Run1'!AH156</f>
        <v>1.491461116683932E-5</v>
      </c>
      <c r="G14" s="49">
        <f>'LUC-2013-01-08-Run1'!AI156</f>
        <v>1.5086844495249086E-5</v>
      </c>
      <c r="H14" s="49">
        <f>'LUC-2013-01-08-Run1'!AJ156</f>
        <v>1.5261066767191021E-5</v>
      </c>
      <c r="I14" s="49">
        <f>'LUC-2013-01-08-Run1'!AK156</f>
        <v>1.5437300950904844E-5</v>
      </c>
      <c r="J14" s="49">
        <f>'LUC-2013-01-08-Run1'!AL156</f>
        <v>1.5615570279866575E-5</v>
      </c>
      <c r="K14" s="49">
        <f>'LUC-2013-01-08-Run1'!AM156</f>
        <v>1.5795898255851482E-5</v>
      </c>
      <c r="L14" s="49">
        <f>'LUC-2013-01-08-Run1'!AN156</f>
        <v>1.5978308652032388E-5</v>
      </c>
      <c r="M14" s="49">
        <f>'LUC-2013-01-08-Run1'!AO156</f>
        <v>1.6162825516113752E-5</v>
      </c>
      <c r="N14" s="49">
        <f>'LUC-2013-01-08-Run1'!AP156</f>
        <v>1.6349473173501959E-5</v>
      </c>
      <c r="O14" s="49">
        <f>'LUC-2013-01-08-Run1'!AQ156</f>
        <v>1.6538276230512205E-5</v>
      </c>
      <c r="P14" s="49">
        <f>'LUC-2013-01-08-Run1'!AR156</f>
        <v>1.6729259577612421E-5</v>
      </c>
      <c r="Q14" s="49">
        <f>'LUC-2013-01-08-Run1'!AS156</f>
        <v>1.6922448392704658E-5</v>
      </c>
      <c r="R14" s="49">
        <f>'LUC-2013-01-08-Run1'!AT156</f>
        <v>1.7117868144444366E-5</v>
      </c>
      <c r="S14" s="49">
        <f>'LUC-2013-01-08-Run1'!AU156</f>
        <v>1.7315544595598001E-5</v>
      </c>
      <c r="T14" s="49">
        <f>'LUC-2013-01-08-Run1'!AV156</f>
        <v>1.7415409204547775E-5</v>
      </c>
      <c r="U14" s="49">
        <f>'LUC-2013-01-08-Run1'!AW156</f>
        <v>1.7515849766512809E-5</v>
      </c>
      <c r="V14" s="49">
        <f>'LUC-2013-01-08-Run1'!AX156</f>
        <v>1.7616869603209166E-5</v>
      </c>
      <c r="W14" s="49">
        <f>'LUC-2013-01-08-Run1'!AY156</f>
        <v>1.7718472055510372E-5</v>
      </c>
      <c r="X14" s="49">
        <f>'LUC-2013-01-08-Run1'!AZ156</f>
        <v>1.78206604835579E-5</v>
      </c>
      <c r="Y14" s="49">
        <f>'LUC-2013-01-08-Run1'!BA156</f>
        <v>1.7923438266872302E-5</v>
      </c>
      <c r="Z14" s="49">
        <f>'LUC-2013-01-08-Run1'!BB156</f>
        <v>1.8026808804464961E-5</v>
      </c>
      <c r="AA14" s="49">
        <f>'LUC-2013-01-08-Run1'!BC156</f>
        <v>1.8130775514950517E-5</v>
      </c>
      <c r="AB14" s="49">
        <f>'LUC-2013-01-08-Run1'!BD156</f>
        <v>1.8235341836659911E-5</v>
      </c>
      <c r="AC14" s="49">
        <f>'LUC-2013-01-08-Run1'!BE156</f>
        <v>1.834051122775411E-5</v>
      </c>
      <c r="AD14" s="49">
        <f>'LUC-2013-01-08-Run1'!BF156</f>
        <v>1.8446287166338464E-5</v>
      </c>
      <c r="AE14" s="49">
        <f>'LUC-2013-01-08-Run1'!BG156</f>
        <v>1.8552673150577734E-5</v>
      </c>
      <c r="AF14" s="49">
        <f>'LUC-2013-01-08-Run1'!BH156</f>
        <v>1.8659672698811777E-5</v>
      </c>
      <c r="AG14" s="49">
        <f>'LUC-2013-01-08-Run1'!BI156</f>
        <v>1.8767289349671913E-5</v>
      </c>
      <c r="AH14" s="49">
        <f>'LUC-2013-01-08-Run1'!BJ156</f>
        <v>1.8875526662197948E-5</v>
      </c>
      <c r="AI14" s="49">
        <f>'LUC-2013-01-08-Run1'!BK156</f>
        <v>1.8984388215955872E-5</v>
      </c>
      <c r="AJ14" s="49">
        <f>'LUC-2013-01-08-Run1'!BL156</f>
        <v>1.9093877611156248E-5</v>
      </c>
      <c r="AK14" s="49">
        <f>'LUC-2013-01-08-Run1'!BM156</f>
        <v>1.9203998468773267E-5</v>
      </c>
      <c r="AL14" s="49">
        <f>'LUC-2013-01-08-Run1'!BN156</f>
        <v>1.9314754430664504E-5</v>
      </c>
      <c r="AM14" s="49">
        <f>'LUC-2013-01-08-Run1'!BO156</f>
        <v>1.942614915969137E-5</v>
      </c>
      <c r="AN14" s="49">
        <f>'LUC-2013-01-08-Run1'!BP156</f>
        <v>1.9538186339840227E-5</v>
      </c>
      <c r="AO14" s="49">
        <f>'LUC-2013-01-08-Run1'!BQ156</f>
        <v>1.9650869676344238E-5</v>
      </c>
      <c r="AP14" s="49">
        <f>'LUC-2013-01-08-Run1'!BR156</f>
        <v>1.9764202895805899E-5</v>
      </c>
      <c r="AQ14" s="49">
        <f>'LUC-2013-01-08-Run1'!BS156</f>
        <v>1.9878189746320288E-5</v>
      </c>
      <c r="AR14" s="49">
        <f>'LUC-2013-01-08-Run1'!BT156</f>
        <v>1.9992833997599013E-5</v>
      </c>
      <c r="AS14" s="49">
        <f>'LUC-2013-01-08-Run1'!BU156</f>
        <v>2.0108139441094886E-5</v>
      </c>
      <c r="AT14" s="49">
        <f>'LUC-2013-01-08-Run1'!BV156</f>
        <v>2.022410989012731E-5</v>
      </c>
      <c r="AU14" s="49">
        <f>'LUC-2013-01-08-Run1'!BW156</f>
        <v>2.0340749180008397E-5</v>
      </c>
      <c r="AV14" s="49">
        <f>'LUC-2013-01-08-Run1'!BX156</f>
        <v>2.0458061168169796E-5</v>
      </c>
      <c r="AW14" s="49">
        <f>'LUC-2013-01-08-Run1'!BY156</f>
        <v>2.0576049734290275E-5</v>
      </c>
      <c r="AX14" s="49">
        <f>'LUC-2013-01-08-Run1'!BZ156</f>
        <v>2.0694718780424024E-5</v>
      </c>
      <c r="AY14" s="49">
        <f>'LUC-2013-01-08-Run1'!CA156</f>
        <v>2.0814072231129699E-5</v>
      </c>
      <c r="AZ14" s="49">
        <f>'LUC-2013-01-08-Run1'!CB156</f>
        <v>2.093411403360021E-5</v>
      </c>
      <c r="BA14" s="49">
        <f>'LUC-2013-01-08-Run1'!CC156</f>
        <v>2.1054848157793275E-5</v>
      </c>
      <c r="BB14" s="49">
        <f>'LUC-2013-01-08-Run1'!CD156</f>
        <v>2.1176278596562695E-5</v>
      </c>
      <c r="BC14" s="49">
        <f>'LUC-2013-01-08-Run1'!CE156</f>
        <v>2.129840936579041E-5</v>
      </c>
      <c r="BD14" s="49">
        <f>'LUC-2013-01-08-Run1'!CF156</f>
        <v>2.1421244504519316E-5</v>
      </c>
      <c r="BE14" s="49">
        <f>'LUC-2013-01-08-Run1'!CG156</f>
        <v>2.1544788075086836E-5</v>
      </c>
      <c r="BF14" s="49">
        <f>'LUC-2013-01-08-Run1'!CH156</f>
        <v>2.1669044163259267E-5</v>
      </c>
      <c r="BG14" s="49">
        <f>'LUC-2013-01-08-Run1'!CI156</f>
        <v>2.1794016878366904E-5</v>
      </c>
      <c r="BH14" s="49">
        <f>'LUC-2013-01-08-Run1'!CJ156</f>
        <v>2.1919710353439944E-5</v>
      </c>
      <c r="BI14" s="49">
        <f>'LUC-2013-01-08-Run1'!CK156</f>
        <v>2.2046128745345164E-5</v>
      </c>
      <c r="BJ14" s="49">
        <f>'LUC-2013-01-08-Run1'!CL156</f>
        <v>2.21732762349234E-5</v>
      </c>
      <c r="BK14" s="49">
        <f>'LUC-2013-01-08-Run1'!CM156</f>
        <v>2.2301157027127814E-5</v>
      </c>
      <c r="BM14" s="102"/>
      <c r="BN14" s="53" t="s">
        <v>97</v>
      </c>
      <c r="BO14" s="61">
        <f t="shared" si="8"/>
        <v>94</v>
      </c>
      <c r="BP14" s="61">
        <f t="shared" si="9"/>
        <v>104.2</v>
      </c>
      <c r="BQ14" s="61">
        <f t="shared" si="10"/>
        <v>113.83333333333333</v>
      </c>
      <c r="BR14" s="61">
        <f t="shared" si="11"/>
        <v>120.91666666666666</v>
      </c>
      <c r="BS14" s="61">
        <f t="shared" si="12"/>
        <v>128</v>
      </c>
      <c r="BT14" s="61">
        <f t="shared" si="13"/>
        <v>133.5</v>
      </c>
      <c r="BU14" s="61">
        <f t="shared" si="14"/>
        <v>139</v>
      </c>
      <c r="BV14" s="50"/>
      <c r="BX14" s="96">
        <f t="shared" si="15"/>
        <v>0.26516990291262132</v>
      </c>
    </row>
    <row r="15" spans="1:78" x14ac:dyDescent="0.25">
      <c r="A15" s="50" t="s">
        <v>38</v>
      </c>
      <c r="B15" s="50" t="s">
        <v>97</v>
      </c>
      <c r="C15" s="48" t="s">
        <v>92</v>
      </c>
      <c r="D15" s="49">
        <f>'LUC-2013-01-08-Run1'!AF157</f>
        <v>9.3999999999999994E-5</v>
      </c>
      <c r="E15" s="49">
        <f>'LUC-2013-01-08-Run1'!AG157</f>
        <v>9.5133333333333333E-5</v>
      </c>
      <c r="F15" s="49">
        <f>'LUC-2013-01-08-Run1'!AH157</f>
        <v>9.6266666666666658E-5</v>
      </c>
      <c r="G15" s="49">
        <f>'LUC-2013-01-08-Run1'!AI157</f>
        <v>9.7399999999999996E-5</v>
      </c>
      <c r="H15" s="49">
        <f>'LUC-2013-01-08-Run1'!AJ157</f>
        <v>9.8533333333333334E-5</v>
      </c>
      <c r="I15" s="49">
        <f>'LUC-2013-01-08-Run1'!AK157</f>
        <v>9.9666666666666659E-5</v>
      </c>
      <c r="J15" s="49">
        <f>'LUC-2013-01-08-Run1'!AL157</f>
        <v>1.008E-4</v>
      </c>
      <c r="K15" s="49">
        <f>'LUC-2013-01-08-Run1'!AM157</f>
        <v>1.0193333333333334E-4</v>
      </c>
      <c r="L15" s="49">
        <f>'LUC-2013-01-08-Run1'!AN157</f>
        <v>1.0306666666666666E-4</v>
      </c>
      <c r="M15" s="49">
        <f>'LUC-2013-01-08-Run1'!AO157</f>
        <v>1.042E-4</v>
      </c>
      <c r="N15" s="49">
        <f>'LUC-2013-01-08-Run1'!AP157</f>
        <v>1.0533333333333334E-4</v>
      </c>
      <c r="O15" s="49">
        <f>'LUC-2013-01-08-Run1'!AQ157</f>
        <v>1.0646666666666666E-4</v>
      </c>
      <c r="P15" s="49">
        <f>'LUC-2013-01-08-Run1'!AR157</f>
        <v>1.076E-4</v>
      </c>
      <c r="Q15" s="49">
        <f>'LUC-2013-01-08-Run1'!AS157</f>
        <v>1.0873333333333334E-4</v>
      </c>
      <c r="R15" s="49">
        <f>'LUC-2013-01-08-Run1'!AT157</f>
        <v>1.0986666666666666E-4</v>
      </c>
      <c r="S15" s="49">
        <f>'LUC-2013-01-08-Run1'!AU157</f>
        <v>1.11E-4</v>
      </c>
      <c r="T15" s="49">
        <f>'LUC-2013-01-08-Run1'!AV157</f>
        <v>1.1170833333333333E-4</v>
      </c>
      <c r="U15" s="49">
        <f>'LUC-2013-01-08-Run1'!AW157</f>
        <v>1.1241666666666667E-4</v>
      </c>
      <c r="V15" s="49">
        <f>'LUC-2013-01-08-Run1'!AX157</f>
        <v>1.13125E-4</v>
      </c>
      <c r="W15" s="49">
        <f>'LUC-2013-01-08-Run1'!AY157</f>
        <v>1.1383333333333333E-4</v>
      </c>
      <c r="X15" s="49">
        <f>'LUC-2013-01-08-Run1'!AZ157</f>
        <v>1.1454166666666667E-4</v>
      </c>
      <c r="Y15" s="49">
        <f>'LUC-2013-01-08-Run1'!BA157</f>
        <v>1.1525E-4</v>
      </c>
      <c r="Z15" s="49">
        <f>'LUC-2013-01-08-Run1'!BB157</f>
        <v>1.1595833333333334E-4</v>
      </c>
      <c r="AA15" s="49">
        <f>'LUC-2013-01-08-Run1'!BC157</f>
        <v>1.1666666666666667E-4</v>
      </c>
      <c r="AB15" s="49">
        <f>'LUC-2013-01-08-Run1'!BD157</f>
        <v>1.1737499999999999E-4</v>
      </c>
      <c r="AC15" s="49">
        <f>'LUC-2013-01-08-Run1'!BE157</f>
        <v>1.1808333333333333E-4</v>
      </c>
      <c r="AD15" s="49">
        <f>'LUC-2013-01-08-Run1'!BF157</f>
        <v>1.1879166666666666E-4</v>
      </c>
      <c r="AE15" s="49">
        <f>'LUC-2013-01-08-Run1'!BG157</f>
        <v>1.195E-4</v>
      </c>
      <c r="AF15" s="49">
        <f>'LUC-2013-01-08-Run1'!BH157</f>
        <v>1.2020833333333333E-4</v>
      </c>
      <c r="AG15" s="49">
        <f>'LUC-2013-01-08-Run1'!BI157</f>
        <v>1.2091666666666666E-4</v>
      </c>
      <c r="AH15" s="49">
        <f>'LUC-2013-01-08-Run1'!BJ157</f>
        <v>1.21625E-4</v>
      </c>
      <c r="AI15" s="49">
        <f>'LUC-2013-01-08-Run1'!BK157</f>
        <v>1.2233333333333334E-4</v>
      </c>
      <c r="AJ15" s="49">
        <f>'LUC-2013-01-08-Run1'!BL157</f>
        <v>1.2304166666666667E-4</v>
      </c>
      <c r="AK15" s="49">
        <f>'LUC-2013-01-08-Run1'!BM157</f>
        <v>1.2375E-4</v>
      </c>
      <c r="AL15" s="49">
        <f>'LUC-2013-01-08-Run1'!BN157</f>
        <v>1.2445833333333333E-4</v>
      </c>
      <c r="AM15" s="49">
        <f>'LUC-2013-01-08-Run1'!BO157</f>
        <v>1.2516666666666666E-4</v>
      </c>
      <c r="AN15" s="49">
        <f>'LUC-2013-01-08-Run1'!BP157</f>
        <v>1.2587499999999998E-4</v>
      </c>
      <c r="AO15" s="49">
        <f>'LUC-2013-01-08-Run1'!BQ157</f>
        <v>1.2658333333333334E-4</v>
      </c>
      <c r="AP15" s="49">
        <f>'LUC-2013-01-08-Run1'!BR157</f>
        <v>1.2729166666666667E-4</v>
      </c>
      <c r="AQ15" s="49">
        <f>'LUC-2013-01-08-Run1'!BS157</f>
        <v>1.2799999999999999E-4</v>
      </c>
      <c r="AR15" s="49">
        <f>'LUC-2013-01-08-Run1'!BT157</f>
        <v>1.2855000000000001E-4</v>
      </c>
      <c r="AS15" s="49">
        <f>'LUC-2013-01-08-Run1'!BU157</f>
        <v>1.2909999999999999E-4</v>
      </c>
      <c r="AT15" s="49">
        <f>'LUC-2013-01-08-Run1'!BV157</f>
        <v>1.2964999999999998E-4</v>
      </c>
      <c r="AU15" s="49">
        <f>'LUC-2013-01-08-Run1'!BW157</f>
        <v>1.3019999999999999E-4</v>
      </c>
      <c r="AV15" s="49">
        <f>'LUC-2013-01-08-Run1'!BX157</f>
        <v>1.3075000000000001E-4</v>
      </c>
      <c r="AW15" s="49">
        <f>'LUC-2013-01-08-Run1'!BY157</f>
        <v>1.3129999999999999E-4</v>
      </c>
      <c r="AX15" s="49">
        <f>'LUC-2013-01-08-Run1'!BZ157</f>
        <v>1.3184999999999998E-4</v>
      </c>
      <c r="AY15" s="49">
        <f>'LUC-2013-01-08-Run1'!CA157</f>
        <v>1.3239999999999999E-4</v>
      </c>
      <c r="AZ15" s="49">
        <f>'LUC-2013-01-08-Run1'!CB157</f>
        <v>1.3295000000000001E-4</v>
      </c>
      <c r="BA15" s="49">
        <f>'LUC-2013-01-08-Run1'!CC157</f>
        <v>1.3349999999999999E-4</v>
      </c>
      <c r="BB15" s="49">
        <f>'LUC-2013-01-08-Run1'!CD157</f>
        <v>1.3404999999999998E-4</v>
      </c>
      <c r="BC15" s="49">
        <f>'LUC-2013-01-08-Run1'!CE157</f>
        <v>1.3459999999999999E-4</v>
      </c>
      <c r="BD15" s="49">
        <f>'LUC-2013-01-08-Run1'!CF157</f>
        <v>1.3515000000000001E-4</v>
      </c>
      <c r="BE15" s="49">
        <f>'LUC-2013-01-08-Run1'!CG157</f>
        <v>1.3569999999999999E-4</v>
      </c>
      <c r="BF15" s="49">
        <f>'LUC-2013-01-08-Run1'!CH157</f>
        <v>1.3624999999999998E-4</v>
      </c>
      <c r="BG15" s="49">
        <f>'LUC-2013-01-08-Run1'!CI157</f>
        <v>1.3679999999999999E-4</v>
      </c>
      <c r="BH15" s="49">
        <f>'LUC-2013-01-08-Run1'!CJ157</f>
        <v>1.3735E-4</v>
      </c>
      <c r="BI15" s="49">
        <f>'LUC-2013-01-08-Run1'!CK157</f>
        <v>1.3789999999999999E-4</v>
      </c>
      <c r="BJ15" s="49">
        <f>'LUC-2013-01-08-Run1'!CL157</f>
        <v>1.3844999999999998E-4</v>
      </c>
      <c r="BK15" s="49">
        <f>'LUC-2013-01-08-Run1'!CM157</f>
        <v>1.3899999999999999E-4</v>
      </c>
      <c r="BM15" s="102"/>
      <c r="BN15" s="53" t="s">
        <v>95</v>
      </c>
      <c r="BO15" s="61">
        <f t="shared" si="8"/>
        <v>22.657361086823666</v>
      </c>
      <c r="BP15" s="61">
        <f t="shared" si="9"/>
        <v>24.136044036220216</v>
      </c>
      <c r="BQ15" s="61">
        <f t="shared" si="10"/>
        <v>25.990385848424886</v>
      </c>
      <c r="BR15" s="61">
        <f t="shared" si="11"/>
        <v>28.146088448793044</v>
      </c>
      <c r="BS15" s="61">
        <f t="shared" si="12"/>
        <v>30.480589999216637</v>
      </c>
      <c r="BT15" s="61">
        <f t="shared" si="13"/>
        <v>33.008720497365779</v>
      </c>
      <c r="BU15" s="61">
        <f t="shared" si="14"/>
        <v>35.746539975151997</v>
      </c>
      <c r="BV15" s="50"/>
      <c r="BX15" s="96">
        <f t="shared" si="15"/>
        <v>0.42992798019101641</v>
      </c>
      <c r="BY15" s="47"/>
      <c r="BZ15" s="47"/>
    </row>
    <row r="16" spans="1:78" x14ac:dyDescent="0.25">
      <c r="A16" s="50" t="s">
        <v>38</v>
      </c>
      <c r="B16" s="50" t="s">
        <v>95</v>
      </c>
      <c r="C16" s="48" t="s">
        <v>92</v>
      </c>
      <c r="D16" s="49">
        <f>'LUC-2013-01-08-Run1'!AF158</f>
        <v>2.2657361086823666E-5</v>
      </c>
      <c r="E16" s="49">
        <f>'LUC-2013-01-08-Run1'!AG158</f>
        <v>2.281708065138335E-5</v>
      </c>
      <c r="F16" s="49">
        <f>'LUC-2013-01-08-Run1'!AH158</f>
        <v>2.2977926134323617E-5</v>
      </c>
      <c r="G16" s="49">
        <f>'LUC-2013-01-08-Run1'!AI158</f>
        <v>2.313990547263204E-5</v>
      </c>
      <c r="H16" s="49">
        <f>'LUC-2013-01-08-Run1'!AJ158</f>
        <v>2.3303026659246768E-5</v>
      </c>
      <c r="I16" s="49">
        <f>'LUC-2013-01-08-Run1'!AK158</f>
        <v>2.3467297743450924E-5</v>
      </c>
      <c r="J16" s="49">
        <f>'LUC-2013-01-08-Run1'!AL158</f>
        <v>2.3632726831269813E-5</v>
      </c>
      <c r="K16" s="49">
        <f>'LUC-2013-01-08-Run1'!AM158</f>
        <v>2.379932208587091E-5</v>
      </c>
      <c r="L16" s="49">
        <f>'LUC-2013-01-08-Run1'!AN158</f>
        <v>2.3967091727966676E-5</v>
      </c>
      <c r="M16" s="49">
        <f>'LUC-2013-01-08-Run1'!AO158</f>
        <v>2.4136044036220217E-5</v>
      </c>
      <c r="N16" s="49">
        <f>'LUC-2013-01-08-Run1'!AP158</f>
        <v>2.4306187347653793E-5</v>
      </c>
      <c r="O16" s="49">
        <f>'LUC-2013-01-08-Run1'!AQ158</f>
        <v>2.4477530058060215E-5</v>
      </c>
      <c r="P16" s="49">
        <f>'LUC-2013-01-08-Run1'!AR158</f>
        <v>2.4650080622417135E-5</v>
      </c>
      <c r="Q16" s="49">
        <f>'LUC-2013-01-08-Run1'!AS158</f>
        <v>2.4823847555304266E-5</v>
      </c>
      <c r="R16" s="49">
        <f>'LUC-2013-01-08-Run1'!AT158</f>
        <v>2.4998839431323531E-5</v>
      </c>
      <c r="S16" s="49">
        <f>'LUC-2013-01-08-Run1'!AU158</f>
        <v>2.5175064885522186E-5</v>
      </c>
      <c r="T16" s="49">
        <f>'LUC-2013-01-08-Run1'!AV158</f>
        <v>2.5376465404606362E-5</v>
      </c>
      <c r="U16" s="49">
        <f>'LUC-2013-01-08-Run1'!AW158</f>
        <v>2.5579477127843213E-5</v>
      </c>
      <c r="V16" s="49">
        <f>'LUC-2013-01-08-Run1'!AX158</f>
        <v>2.578411294486596E-5</v>
      </c>
      <c r="W16" s="49">
        <f>'LUC-2013-01-08-Run1'!AY158</f>
        <v>2.5990385848424887E-5</v>
      </c>
      <c r="X16" s="49">
        <f>'LUC-2013-01-08-Run1'!AZ158</f>
        <v>2.6198308935212287E-5</v>
      </c>
      <c r="Y16" s="49">
        <f>'LUC-2013-01-08-Run1'!BA158</f>
        <v>2.6407895406693984E-5</v>
      </c>
      <c r="Z16" s="49">
        <f>'LUC-2013-01-08-Run1'!BB158</f>
        <v>2.6619158569947534E-5</v>
      </c>
      <c r="AA16" s="49">
        <f>'LUC-2013-01-08-Run1'!BC158</f>
        <v>2.6832111838507114E-5</v>
      </c>
      <c r="AB16" s="49">
        <f>'LUC-2013-01-08-Run1'!BD158</f>
        <v>2.7046768733215171E-5</v>
      </c>
      <c r="AC16" s="49">
        <f>'LUC-2013-01-08-Run1'!BE158</f>
        <v>2.7263142883080892E-5</v>
      </c>
      <c r="AD16" s="49">
        <f>'LUC-2013-01-08-Run1'!BF158</f>
        <v>2.7481248026145541E-5</v>
      </c>
      <c r="AE16" s="49">
        <f>'LUC-2013-01-08-Run1'!BG158</f>
        <v>2.7701098010354706E-5</v>
      </c>
      <c r="AF16" s="49">
        <f>'LUC-2013-01-08-Run1'!BH158</f>
        <v>2.7922706794437544E-5</v>
      </c>
      <c r="AG16" s="49">
        <f>'LUC-2013-01-08-Run1'!BI158</f>
        <v>2.8146088448793043E-5</v>
      </c>
      <c r="AH16" s="49">
        <f>'LUC-2013-01-08-Run1'!BJ158</f>
        <v>2.8371257156383386E-5</v>
      </c>
      <c r="AI16" s="49">
        <f>'LUC-2013-01-08-Run1'!BK158</f>
        <v>2.8598227213634453E-5</v>
      </c>
      <c r="AJ16" s="49">
        <f>'LUC-2013-01-08-Run1'!BL158</f>
        <v>2.8827013031343528E-5</v>
      </c>
      <c r="AK16" s="49">
        <f>'LUC-2013-01-08-Run1'!BM158</f>
        <v>2.9057629135594278E-5</v>
      </c>
      <c r="AL16" s="49">
        <f>'LUC-2013-01-08-Run1'!BN158</f>
        <v>2.9290090168679031E-5</v>
      </c>
      <c r="AM16" s="49">
        <f>'LUC-2013-01-08-Run1'!BO158</f>
        <v>2.9524410890028464E-5</v>
      </c>
      <c r="AN16" s="49">
        <f>'LUC-2013-01-08-Run1'!BP158</f>
        <v>2.9760606177148692E-5</v>
      </c>
      <c r="AO16" s="49">
        <f>'LUC-2013-01-08-Run1'!BQ158</f>
        <v>2.9998691026565881E-5</v>
      </c>
      <c r="AP16" s="49">
        <f>'LUC-2013-01-08-Run1'!BR158</f>
        <v>3.0238680554778409E-5</v>
      </c>
      <c r="AQ16" s="49">
        <f>'LUC-2013-01-08-Run1'!BS158</f>
        <v>3.0480589999216637E-5</v>
      </c>
      <c r="AR16" s="49">
        <f>'LUC-2013-01-08-Run1'!BT158</f>
        <v>3.0724434719210369E-5</v>
      </c>
      <c r="AS16" s="49">
        <f>'LUC-2013-01-08-Run1'!BU158</f>
        <v>3.0970230196964053E-5</v>
      </c>
      <c r="AT16" s="49">
        <f>'LUC-2013-01-08-Run1'!BV158</f>
        <v>3.1217992038539765E-5</v>
      </c>
      <c r="AU16" s="49">
        <f>'LUC-2013-01-08-Run1'!BW158</f>
        <v>3.1467735974848084E-5</v>
      </c>
      <c r="AV16" s="49">
        <f>'LUC-2013-01-08-Run1'!BX158</f>
        <v>3.1719477862646865E-5</v>
      </c>
      <c r="AW16" s="49">
        <f>'LUC-2013-01-08-Run1'!BY158</f>
        <v>3.1973233685548038E-5</v>
      </c>
      <c r="AX16" s="49">
        <f>'LUC-2013-01-08-Run1'!BZ158</f>
        <v>3.2229019555032424E-5</v>
      </c>
      <c r="AY16" s="49">
        <f>'LUC-2013-01-08-Run1'!CA158</f>
        <v>3.2486851711472685E-5</v>
      </c>
      <c r="AZ16" s="49">
        <f>'LUC-2013-01-08-Run1'!CB158</f>
        <v>3.2746746525164468E-5</v>
      </c>
      <c r="BA16" s="49">
        <f>'LUC-2013-01-08-Run1'!CC158</f>
        <v>3.3008720497365782E-5</v>
      </c>
      <c r="BB16" s="49">
        <f>'LUC-2013-01-08-Run1'!CD158</f>
        <v>3.3272790261344708E-5</v>
      </c>
      <c r="BC16" s="49">
        <f>'LUC-2013-01-08-Run1'!CE158</f>
        <v>3.3538972583435463E-5</v>
      </c>
      <c r="BD16" s="49">
        <f>'LUC-2013-01-08-Run1'!CF158</f>
        <v>3.3807284364102947E-5</v>
      </c>
      <c r="BE16" s="49">
        <f>'LUC-2013-01-08-Run1'!CG158</f>
        <v>3.4077742639015773E-5</v>
      </c>
      <c r="BF16" s="49">
        <f>'LUC-2013-01-08-Run1'!CH158</f>
        <v>3.4350364580127896E-5</v>
      </c>
      <c r="BG16" s="49">
        <f>'LUC-2013-01-08-Run1'!CI158</f>
        <v>3.4625167496768918E-5</v>
      </c>
      <c r="BH16" s="49">
        <f>'LUC-2013-01-08-Run1'!CJ158</f>
        <v>3.4902168836743067E-5</v>
      </c>
      <c r="BI16" s="49">
        <f>'LUC-2013-01-08-Run1'!CK158</f>
        <v>3.5181386187437011E-5</v>
      </c>
      <c r="BJ16" s="49">
        <f>'LUC-2013-01-08-Run1'!CL158</f>
        <v>3.5462837276936504E-5</v>
      </c>
      <c r="BK16" s="49">
        <f>'LUC-2013-01-08-Run1'!CM158</f>
        <v>3.5746539975151994E-5</v>
      </c>
      <c r="BM16" s="102"/>
      <c r="BN16" s="53" t="s">
        <v>98</v>
      </c>
      <c r="BO16" s="61">
        <f t="shared" si="8"/>
        <v>9.1330900353755187</v>
      </c>
      <c r="BP16" s="61">
        <f t="shared" si="9"/>
        <v>13.953474616620372</v>
      </c>
      <c r="BQ16" s="61">
        <f t="shared" si="10"/>
        <v>19.490810537018291</v>
      </c>
      <c r="BR16" s="61">
        <f t="shared" si="11"/>
        <v>22.178100824010951</v>
      </c>
      <c r="BS16" s="61">
        <f t="shared" si="12"/>
        <v>25.235900540195868</v>
      </c>
      <c r="BT16" s="61">
        <f t="shared" si="13"/>
        <v>28.715293573973501</v>
      </c>
      <c r="BU16" s="61">
        <f t="shared" si="14"/>
        <v>32.674406991187311</v>
      </c>
      <c r="BV16" s="50"/>
      <c r="BX16" s="96">
        <f t="shared" si="15"/>
        <v>0.85040682304208348</v>
      </c>
    </row>
    <row r="17" spans="1:77" x14ac:dyDescent="0.25">
      <c r="A17" s="50" t="s">
        <v>38</v>
      </c>
      <c r="B17" s="50" t="s">
        <v>98</v>
      </c>
      <c r="C17" s="48" t="s">
        <v>92</v>
      </c>
      <c r="D17" s="49">
        <f>'LUC-2013-01-08-Run1'!AF159</f>
        <v>9.1330900353755179E-6</v>
      </c>
      <c r="E17" s="49">
        <f>'LUC-2013-01-08-Run1'!AG159</f>
        <v>9.5734696387584037E-6</v>
      </c>
      <c r="F17" s="49">
        <f>'LUC-2013-01-08-Run1'!AH159</f>
        <v>1.0035083478782394E-5</v>
      </c>
      <c r="G17" s="49">
        <f>'LUC-2013-01-08-Run1'!AI159</f>
        <v>1.0518955428493074E-5</v>
      </c>
      <c r="H17" s="49">
        <f>'LUC-2013-01-08-Run1'!AJ159</f>
        <v>1.1026158730076598E-5</v>
      </c>
      <c r="I17" s="49">
        <f>'LUC-2013-01-08-Run1'!AK159</f>
        <v>1.1557818375342346E-5</v>
      </c>
      <c r="J17" s="49">
        <f>'LUC-2013-01-08-Run1'!AL159</f>
        <v>1.2115113600987785E-5</v>
      </c>
      <c r="K17" s="49">
        <f>'LUC-2013-01-08-Run1'!AM159</f>
        <v>1.2699280504180067E-5</v>
      </c>
      <c r="L17" s="49">
        <f>'LUC-2013-01-08-Run1'!AN159</f>
        <v>1.3311614784255835E-5</v>
      </c>
      <c r="M17" s="49">
        <f>'LUC-2013-01-08-Run1'!AO159</f>
        <v>1.3953474616620372E-5</v>
      </c>
      <c r="N17" s="49">
        <f>'LUC-2013-01-08-Run1'!AP159</f>
        <v>1.4626283665220514E-5</v>
      </c>
      <c r="O17" s="49">
        <f>'LUC-2013-01-08-Run1'!AQ159</f>
        <v>1.5331534240273076E-5</v>
      </c>
      <c r="P17" s="49">
        <f>'LUC-2013-01-08-Run1'!AR159</f>
        <v>1.6070790608252701E-5</v>
      </c>
      <c r="Q17" s="49">
        <f>'LUC-2013-01-08-Run1'!AS159</f>
        <v>1.6845692461480817E-5</v>
      </c>
      <c r="R17" s="49">
        <f>'LUC-2013-01-08-Run1'!AT159</f>
        <v>1.765795855501134E-5</v>
      </c>
      <c r="S17" s="49">
        <f>'LUC-2013-01-08-Run1'!AU159</f>
        <v>1.8509390518879812E-5</v>
      </c>
      <c r="T17" s="49">
        <f>'LUC-2013-01-08-Run1'!AV159</f>
        <v>1.8750012595625248E-5</v>
      </c>
      <c r="U17" s="49">
        <f>'LUC-2013-01-08-Run1'!AW159</f>
        <v>1.8993762759368378E-5</v>
      </c>
      <c r="V17" s="49">
        <f>'LUC-2013-01-08-Run1'!AX159</f>
        <v>1.9240681675240166E-5</v>
      </c>
      <c r="W17" s="49">
        <f>'LUC-2013-01-08-Run1'!AY159</f>
        <v>1.9490810537018289E-5</v>
      </c>
      <c r="X17" s="49">
        <f>'LUC-2013-01-08-Run1'!AZ159</f>
        <v>1.9744191073999528E-5</v>
      </c>
      <c r="Y17" s="49">
        <f>'LUC-2013-01-08-Run1'!BA159</f>
        <v>2.0000865557961522E-5</v>
      </c>
      <c r="Z17" s="49">
        <f>'LUC-2013-01-08-Run1'!BB159</f>
        <v>2.0260876810215022E-5</v>
      </c>
      <c r="AA17" s="49">
        <f>'LUC-2013-01-08-Run1'!BC159</f>
        <v>2.0524268208747819E-5</v>
      </c>
      <c r="AB17" s="49">
        <f>'LUC-2013-01-08-Run1'!BD159</f>
        <v>2.0791083695461539E-5</v>
      </c>
      <c r="AC17" s="49">
        <f>'LUC-2013-01-08-Run1'!BE159</f>
        <v>2.106136778350254E-5</v>
      </c>
      <c r="AD17" s="49">
        <f>'LUC-2013-01-08-Run1'!BF159</f>
        <v>2.1335165564688073E-5</v>
      </c>
      <c r="AE17" s="49">
        <f>'LUC-2013-01-08-Run1'!BG159</f>
        <v>2.161252271702902E-5</v>
      </c>
      <c r="AF17" s="49">
        <f>'LUC-2013-01-08-Run1'!BH159</f>
        <v>2.1893485512350398E-5</v>
      </c>
      <c r="AG17" s="49">
        <f>'LUC-2013-01-08-Run1'!BI159</f>
        <v>2.2178100824010951E-5</v>
      </c>
      <c r="AH17" s="49">
        <f>'LUC-2013-01-08-Run1'!BJ159</f>
        <v>2.2466416134723093E-5</v>
      </c>
      <c r="AI17" s="49">
        <f>'LUC-2013-01-08-Run1'!BK159</f>
        <v>2.2758479544474495E-5</v>
      </c>
      <c r="AJ17" s="49">
        <f>'LUC-2013-01-08-Run1'!BL159</f>
        <v>2.3054339778552662E-5</v>
      </c>
      <c r="AK17" s="49">
        <f>'LUC-2013-01-08-Run1'!BM159</f>
        <v>2.3354046195673846E-5</v>
      </c>
      <c r="AL17" s="49">
        <f>'LUC-2013-01-08-Run1'!BN159</f>
        <v>2.3657648796217608E-5</v>
      </c>
      <c r="AM17" s="49">
        <f>'LUC-2013-01-08-Run1'!BO159</f>
        <v>2.3965198230568436E-5</v>
      </c>
      <c r="AN17" s="49">
        <f>'LUC-2013-01-08-Run1'!BP159</f>
        <v>2.4276745807565827E-5</v>
      </c>
      <c r="AO17" s="49">
        <f>'LUC-2013-01-08-Run1'!BQ159</f>
        <v>2.4592343503064183E-5</v>
      </c>
      <c r="AP17" s="49">
        <f>'LUC-2013-01-08-Run1'!BR159</f>
        <v>2.4912043968604017E-5</v>
      </c>
      <c r="AQ17" s="49">
        <f>'LUC-2013-01-08-Run1'!BS159</f>
        <v>2.5235900540195869E-5</v>
      </c>
      <c r="AR17" s="49">
        <f>'LUC-2013-01-08-Run1'!BT159</f>
        <v>2.5563967247218415E-5</v>
      </c>
      <c r="AS17" s="49">
        <f>'LUC-2013-01-08-Run1'!BU159</f>
        <v>2.5896298821432253E-5</v>
      </c>
      <c r="AT17" s="49">
        <f>'LUC-2013-01-08-Run1'!BV159</f>
        <v>2.6232950706110874E-5</v>
      </c>
      <c r="AU17" s="49">
        <f>'LUC-2013-01-08-Run1'!BW159</f>
        <v>2.6573979065290315E-5</v>
      </c>
      <c r="AV17" s="49">
        <f>'LUC-2013-01-08-Run1'!BX159</f>
        <v>2.6919440793139088E-5</v>
      </c>
      <c r="AW17" s="49">
        <f>'LUC-2013-01-08-Run1'!BY159</f>
        <v>2.7269393523449896E-5</v>
      </c>
      <c r="AX17" s="49">
        <f>'LUC-2013-01-08-Run1'!BZ159</f>
        <v>2.7623895639254743E-5</v>
      </c>
      <c r="AY17" s="49">
        <f>'LUC-2013-01-08-Run1'!CA159</f>
        <v>2.7983006282565054E-5</v>
      </c>
      <c r="AZ17" s="49">
        <f>'LUC-2013-01-08-Run1'!CB159</f>
        <v>2.8346785364238401E-5</v>
      </c>
      <c r="BA17" s="49">
        <f>'LUC-2013-01-08-Run1'!CC159</f>
        <v>2.87152935739735E-5</v>
      </c>
      <c r="BB17" s="49">
        <f>'LUC-2013-01-08-Run1'!CD159</f>
        <v>2.9088592390435154E-5</v>
      </c>
      <c r="BC17" s="49">
        <f>'LUC-2013-01-08-Run1'!CE159</f>
        <v>2.9466744091510811E-5</v>
      </c>
      <c r="BD17" s="49">
        <f>'LUC-2013-01-08-Run1'!CF159</f>
        <v>2.984981176470045E-5</v>
      </c>
      <c r="BE17" s="49">
        <f>'LUC-2013-01-08-Run1'!CG159</f>
        <v>3.0237859317641555E-5</v>
      </c>
      <c r="BF17" s="49">
        <f>'LUC-2013-01-08-Run1'!CH159</f>
        <v>3.0630951488770894E-5</v>
      </c>
      <c r="BG17" s="49">
        <f>'LUC-2013-01-08-Run1'!CI159</f>
        <v>3.1029153858124914E-5</v>
      </c>
      <c r="BH17" s="49">
        <f>'LUC-2013-01-08-Run1'!CJ159</f>
        <v>3.1432532858280537E-5</v>
      </c>
      <c r="BI17" s="49">
        <f>'LUC-2013-01-08-Run1'!CK159</f>
        <v>3.1841155785438181E-5</v>
      </c>
      <c r="BJ17" s="49">
        <f>'LUC-2013-01-08-Run1'!CL159</f>
        <v>3.2255090810648879E-5</v>
      </c>
      <c r="BK17" s="49">
        <f>'LUC-2013-01-08-Run1'!CM159</f>
        <v>3.2674406991187313E-5</v>
      </c>
      <c r="BM17" s="102"/>
      <c r="BN17" s="53" t="s">
        <v>99</v>
      </c>
      <c r="BO17" s="61">
        <f>D18*1000000</f>
        <v>29.940564635958392</v>
      </c>
      <c r="BP17" s="61">
        <f t="shared" si="9"/>
        <v>31.046062407132236</v>
      </c>
      <c r="BQ17" s="61">
        <f t="shared" si="10"/>
        <v>32.793751313409381</v>
      </c>
      <c r="BR17" s="61">
        <f t="shared" si="11"/>
        <v>35.320477293812466</v>
      </c>
      <c r="BS17" s="61">
        <f t="shared" si="12"/>
        <v>37.847203274215552</v>
      </c>
      <c r="BT17" s="61">
        <f t="shared" si="13"/>
        <v>38.1118690313779</v>
      </c>
      <c r="BU17" s="61">
        <f t="shared" si="14"/>
        <v>38.376534788540248</v>
      </c>
      <c r="BV17" s="47">
        <f>SUM(M18:M24)*1000000</f>
        <v>264.93999999999994</v>
      </c>
      <c r="BW17" s="47">
        <f>SUM(BU17:BU23)</f>
        <v>276.89999999999998</v>
      </c>
      <c r="BX17" s="96">
        <f t="shared" si="15"/>
        <v>0.21213703792219846</v>
      </c>
    </row>
    <row r="18" spans="1:77" x14ac:dyDescent="0.25">
      <c r="A18" s="50" t="s">
        <v>38</v>
      </c>
      <c r="B18" s="50" t="s">
        <v>99</v>
      </c>
      <c r="C18" s="48" t="s">
        <v>92</v>
      </c>
      <c r="D18" s="49">
        <f>'LUC-2013-01-08-Run1'!AF161</f>
        <v>2.9940564635958392E-5</v>
      </c>
      <c r="E18" s="49">
        <f>'LUC-2013-01-08-Run1'!AG161</f>
        <v>3.0063397721644376E-5</v>
      </c>
      <c r="F18" s="49">
        <f>'LUC-2013-01-08-Run1'!AH161</f>
        <v>3.0186230807330359E-5</v>
      </c>
      <c r="G18" s="49">
        <f>'LUC-2013-01-08-Run1'!AI161</f>
        <v>3.0309063893016343E-5</v>
      </c>
      <c r="H18" s="49">
        <f>'LUC-2013-01-08-Run1'!AJ161</f>
        <v>3.0431896978702323E-5</v>
      </c>
      <c r="I18" s="49">
        <f>'LUC-2013-01-08-Run1'!AK161</f>
        <v>3.055473006438831E-5</v>
      </c>
      <c r="J18" s="49">
        <f>'LUC-2013-01-08-Run1'!AL161</f>
        <v>3.0677563150074294E-5</v>
      </c>
      <c r="K18" s="49">
        <f>'LUC-2013-01-08-Run1'!AM161</f>
        <v>3.0800396235760277E-5</v>
      </c>
      <c r="L18" s="49">
        <f>'LUC-2013-01-08-Run1'!AN161</f>
        <v>3.0923229321446254E-5</v>
      </c>
      <c r="M18" s="49">
        <f>'LUC-2013-01-08-Run1'!AO161</f>
        <v>3.1046062407132238E-5</v>
      </c>
      <c r="N18" s="49">
        <f>'LUC-2013-01-08-Run1'!AP161</f>
        <v>3.1168895492818221E-5</v>
      </c>
      <c r="O18" s="49">
        <f>'LUC-2013-01-08-Run1'!AQ161</f>
        <v>3.1291728578504205E-5</v>
      </c>
      <c r="P18" s="49">
        <f>'LUC-2013-01-08-Run1'!AR161</f>
        <v>3.1414561664190188E-5</v>
      </c>
      <c r="Q18" s="49">
        <f>'LUC-2013-01-08-Run1'!AS161</f>
        <v>3.1537394749876172E-5</v>
      </c>
      <c r="R18" s="49">
        <f>'LUC-2013-01-08-Run1'!AT161</f>
        <v>3.1660227835562155E-5</v>
      </c>
      <c r="S18" s="49">
        <f>'LUC-2013-01-08-Run1'!AU161</f>
        <v>3.1783060921248139E-5</v>
      </c>
      <c r="T18" s="49">
        <f>'LUC-2013-01-08-Run1'!AV161</f>
        <v>3.2035733519288448E-5</v>
      </c>
      <c r="U18" s="49">
        <f>'LUC-2013-01-08-Run1'!AW161</f>
        <v>3.2288406117328758E-5</v>
      </c>
      <c r="V18" s="49">
        <f>'LUC-2013-01-08-Run1'!AX161</f>
        <v>3.2541078715369068E-5</v>
      </c>
      <c r="W18" s="49">
        <f>'LUC-2013-01-08-Run1'!AY161</f>
        <v>3.2793751313409377E-5</v>
      </c>
      <c r="X18" s="49">
        <f>'LUC-2013-01-08-Run1'!AZ161</f>
        <v>3.3046423911449687E-5</v>
      </c>
      <c r="Y18" s="49">
        <f>'LUC-2013-01-08-Run1'!BA161</f>
        <v>3.3299096509489996E-5</v>
      </c>
      <c r="Z18" s="49">
        <f>'LUC-2013-01-08-Run1'!BB161</f>
        <v>3.3551769107530299E-5</v>
      </c>
      <c r="AA18" s="49">
        <f>'LUC-2013-01-08-Run1'!BC161</f>
        <v>3.3804441705570608E-5</v>
      </c>
      <c r="AB18" s="49">
        <f>'LUC-2013-01-08-Run1'!BD161</f>
        <v>3.4057114303610918E-5</v>
      </c>
      <c r="AC18" s="49">
        <f>'LUC-2013-01-08-Run1'!BE161</f>
        <v>3.4309786901651227E-5</v>
      </c>
      <c r="AD18" s="49">
        <f>'LUC-2013-01-08-Run1'!BF161</f>
        <v>3.4562459499691537E-5</v>
      </c>
      <c r="AE18" s="49">
        <f>'LUC-2013-01-08-Run1'!BG161</f>
        <v>3.4815132097731846E-5</v>
      </c>
      <c r="AF18" s="49">
        <f>'LUC-2013-01-08-Run1'!BH161</f>
        <v>3.5067804695772156E-5</v>
      </c>
      <c r="AG18" s="49">
        <f>'LUC-2013-01-08-Run1'!BI161</f>
        <v>3.5320477293812465E-5</v>
      </c>
      <c r="AH18" s="49">
        <f>'LUC-2013-01-08-Run1'!BJ161</f>
        <v>3.5573149891852775E-5</v>
      </c>
      <c r="AI18" s="49">
        <f>'LUC-2013-01-08-Run1'!BK161</f>
        <v>3.5825822489893084E-5</v>
      </c>
      <c r="AJ18" s="49">
        <f>'LUC-2013-01-08-Run1'!BL161</f>
        <v>3.6078495087933394E-5</v>
      </c>
      <c r="AK18" s="49">
        <f>'LUC-2013-01-08-Run1'!BM161</f>
        <v>3.6331167685973697E-5</v>
      </c>
      <c r="AL18" s="49">
        <f>'LUC-2013-01-08-Run1'!BN161</f>
        <v>3.6583840284014006E-5</v>
      </c>
      <c r="AM18" s="49">
        <f>'LUC-2013-01-08-Run1'!BO161</f>
        <v>3.6836512882054316E-5</v>
      </c>
      <c r="AN18" s="49">
        <f>'LUC-2013-01-08-Run1'!BP161</f>
        <v>3.7089185480094625E-5</v>
      </c>
      <c r="AO18" s="49">
        <f>'LUC-2013-01-08-Run1'!BQ161</f>
        <v>3.7341858078134935E-5</v>
      </c>
      <c r="AP18" s="49">
        <f>'LUC-2013-01-08-Run1'!BR161</f>
        <v>3.7594530676175244E-5</v>
      </c>
      <c r="AQ18" s="49">
        <f>'LUC-2013-01-08-Run1'!BS161</f>
        <v>3.7847203274215554E-5</v>
      </c>
      <c r="AR18" s="49">
        <f>'LUC-2013-01-08-Run1'!BT161</f>
        <v>3.787366984993179E-5</v>
      </c>
      <c r="AS18" s="49">
        <f>'LUC-2013-01-08-Run1'!BU161</f>
        <v>3.790013642564802E-5</v>
      </c>
      <c r="AT18" s="49">
        <f>'LUC-2013-01-08-Run1'!BV161</f>
        <v>3.7926603001364257E-5</v>
      </c>
      <c r="AU18" s="49">
        <f>'LUC-2013-01-08-Run1'!BW161</f>
        <v>3.7953069577080494E-5</v>
      </c>
      <c r="AV18" s="49">
        <f>'LUC-2013-01-08-Run1'!BX161</f>
        <v>3.797953615279673E-5</v>
      </c>
      <c r="AW18" s="49">
        <f>'LUC-2013-01-08-Run1'!BY161</f>
        <v>3.800600272851296E-5</v>
      </c>
      <c r="AX18" s="49">
        <f>'LUC-2013-01-08-Run1'!BZ161</f>
        <v>3.8032469304229197E-5</v>
      </c>
      <c r="AY18" s="49">
        <f>'LUC-2013-01-08-Run1'!CA161</f>
        <v>3.8058935879945434E-5</v>
      </c>
      <c r="AZ18" s="49">
        <f>'LUC-2013-01-08-Run1'!CB161</f>
        <v>3.8085402455661664E-5</v>
      </c>
      <c r="BA18" s="49">
        <f>'LUC-2013-01-08-Run1'!CC161</f>
        <v>3.81118690313779E-5</v>
      </c>
      <c r="BB18" s="49">
        <f>'LUC-2013-01-08-Run1'!CD161</f>
        <v>3.8138335607094137E-5</v>
      </c>
      <c r="BC18" s="49">
        <f>'LUC-2013-01-08-Run1'!CE161</f>
        <v>3.8164802182810367E-5</v>
      </c>
      <c r="BD18" s="49">
        <f>'LUC-2013-01-08-Run1'!CF161</f>
        <v>3.8191268758526604E-5</v>
      </c>
      <c r="BE18" s="49">
        <f>'LUC-2013-01-08-Run1'!CG161</f>
        <v>3.8217735334242841E-5</v>
      </c>
      <c r="BF18" s="49">
        <f>'LUC-2013-01-08-Run1'!CH161</f>
        <v>3.8244201909959071E-5</v>
      </c>
      <c r="BG18" s="49">
        <f>'LUC-2013-01-08-Run1'!CI161</f>
        <v>3.8270668485675307E-5</v>
      </c>
      <c r="BH18" s="49">
        <f>'LUC-2013-01-08-Run1'!CJ161</f>
        <v>3.8297135061391544E-5</v>
      </c>
      <c r="BI18" s="49">
        <f>'LUC-2013-01-08-Run1'!CK161</f>
        <v>3.8323601637107781E-5</v>
      </c>
      <c r="BJ18" s="49">
        <f>'LUC-2013-01-08-Run1'!CL161</f>
        <v>3.8350068212824011E-5</v>
      </c>
      <c r="BK18" s="49">
        <f>'LUC-2013-01-08-Run1'!CM161</f>
        <v>3.8376534788540247E-5</v>
      </c>
      <c r="BM18" s="102"/>
      <c r="BN18" s="53" t="s">
        <v>100</v>
      </c>
      <c r="BO18" s="61">
        <f t="shared" si="8"/>
        <v>42.882615156017827</v>
      </c>
      <c r="BP18" s="61">
        <f t="shared" si="9"/>
        <v>44.46597325408618</v>
      </c>
      <c r="BQ18" s="61">
        <f t="shared" si="10"/>
        <v>45.250446474724768</v>
      </c>
      <c r="BR18" s="61">
        <f t="shared" si="11"/>
        <v>44.572699362873976</v>
      </c>
      <c r="BS18" s="61">
        <f t="shared" si="12"/>
        <v>43.894952251023192</v>
      </c>
      <c r="BT18" s="61">
        <f t="shared" si="13"/>
        <v>44.201909959072303</v>
      </c>
      <c r="BU18" s="61">
        <f t="shared" si="14"/>
        <v>44.508867667121415</v>
      </c>
      <c r="BV18" s="50"/>
      <c r="BX18" s="96">
        <f t="shared" si="15"/>
        <v>-1.8452698116080107E-2</v>
      </c>
    </row>
    <row r="19" spans="1:77" x14ac:dyDescent="0.25">
      <c r="A19" s="50" t="s">
        <v>38</v>
      </c>
      <c r="B19" s="50" t="s">
        <v>100</v>
      </c>
      <c r="C19" s="48" t="s">
        <v>92</v>
      </c>
      <c r="D19" s="49">
        <f>'LUC-2013-01-08-Run1'!AF162</f>
        <v>4.2882615156017827E-5</v>
      </c>
      <c r="E19" s="49">
        <f>'LUC-2013-01-08-Run1'!AG162</f>
        <v>4.3058543833580979E-5</v>
      </c>
      <c r="F19" s="49">
        <f>'LUC-2013-01-08-Run1'!AH162</f>
        <v>4.323447251114413E-5</v>
      </c>
      <c r="G19" s="49">
        <f>'LUC-2013-01-08-Run1'!AI162</f>
        <v>4.3410401188707275E-5</v>
      </c>
      <c r="H19" s="49">
        <f>'LUC-2013-01-08-Run1'!AJ162</f>
        <v>4.3586329866270427E-5</v>
      </c>
      <c r="I19" s="49">
        <f>'LUC-2013-01-08-Run1'!AK162</f>
        <v>4.3762258543833578E-5</v>
      </c>
      <c r="J19" s="49">
        <f>'LUC-2013-01-08-Run1'!AL162</f>
        <v>4.393818722139673E-5</v>
      </c>
      <c r="K19" s="49">
        <f>'LUC-2013-01-08-Run1'!AM162</f>
        <v>4.4114115898959881E-5</v>
      </c>
      <c r="L19" s="49">
        <f>'LUC-2013-01-08-Run1'!AN162</f>
        <v>4.4290044576523026E-5</v>
      </c>
      <c r="M19" s="49">
        <f>'LUC-2013-01-08-Run1'!AO162</f>
        <v>4.4465973254086178E-5</v>
      </c>
      <c r="N19" s="49">
        <f>'LUC-2013-01-08-Run1'!AP162</f>
        <v>4.4641901931649329E-5</v>
      </c>
      <c r="O19" s="49">
        <f>'LUC-2013-01-08-Run1'!AQ162</f>
        <v>4.4817830609212481E-5</v>
      </c>
      <c r="P19" s="49">
        <f>'LUC-2013-01-08-Run1'!AR162</f>
        <v>4.4993759286775632E-5</v>
      </c>
      <c r="Q19" s="49">
        <f>'LUC-2013-01-08-Run1'!AS162</f>
        <v>4.5169687964338777E-5</v>
      </c>
      <c r="R19" s="49">
        <f>'LUC-2013-01-08-Run1'!AT162</f>
        <v>4.5345616641901929E-5</v>
      </c>
      <c r="S19" s="49">
        <f>'LUC-2013-01-08-Run1'!AU162</f>
        <v>4.552154531946508E-5</v>
      </c>
      <c r="T19" s="49">
        <f>'LUC-2013-01-08-Run1'!AV162</f>
        <v>4.545377060828E-5</v>
      </c>
      <c r="U19" s="49">
        <f>'LUC-2013-01-08-Run1'!AW162</f>
        <v>4.5385995897094921E-5</v>
      </c>
      <c r="V19" s="49">
        <f>'LUC-2013-01-08-Run1'!AX162</f>
        <v>4.5318221185909841E-5</v>
      </c>
      <c r="W19" s="49">
        <f>'LUC-2013-01-08-Run1'!AY162</f>
        <v>4.5250446474724767E-5</v>
      </c>
      <c r="X19" s="49">
        <f>'LUC-2013-01-08-Run1'!AZ162</f>
        <v>4.5182671763539687E-5</v>
      </c>
      <c r="Y19" s="49">
        <f>'LUC-2013-01-08-Run1'!BA162</f>
        <v>4.5114897052354608E-5</v>
      </c>
      <c r="Z19" s="49">
        <f>'LUC-2013-01-08-Run1'!BB162</f>
        <v>4.5047122341169528E-5</v>
      </c>
      <c r="AA19" s="49">
        <f>'LUC-2013-01-08-Run1'!BC162</f>
        <v>4.4979347629984448E-5</v>
      </c>
      <c r="AB19" s="49">
        <f>'LUC-2013-01-08-Run1'!BD162</f>
        <v>4.4911572918799374E-5</v>
      </c>
      <c r="AC19" s="49">
        <f>'LUC-2013-01-08-Run1'!BE162</f>
        <v>4.4843798207614294E-5</v>
      </c>
      <c r="AD19" s="49">
        <f>'LUC-2013-01-08-Run1'!BF162</f>
        <v>4.4776023496429215E-5</v>
      </c>
      <c r="AE19" s="49">
        <f>'LUC-2013-01-08-Run1'!BG162</f>
        <v>4.4708248785244135E-5</v>
      </c>
      <c r="AF19" s="49">
        <f>'LUC-2013-01-08-Run1'!BH162</f>
        <v>4.4640474074059055E-5</v>
      </c>
      <c r="AG19" s="49">
        <f>'LUC-2013-01-08-Run1'!BI162</f>
        <v>4.4572699362873975E-5</v>
      </c>
      <c r="AH19" s="49">
        <f>'LUC-2013-01-08-Run1'!BJ162</f>
        <v>4.4504924651688895E-5</v>
      </c>
      <c r="AI19" s="49">
        <f>'LUC-2013-01-08-Run1'!BK162</f>
        <v>4.4437149940503822E-5</v>
      </c>
      <c r="AJ19" s="49">
        <f>'LUC-2013-01-08-Run1'!BL162</f>
        <v>4.4369375229318742E-5</v>
      </c>
      <c r="AK19" s="49">
        <f>'LUC-2013-01-08-Run1'!BM162</f>
        <v>4.4301600518133662E-5</v>
      </c>
      <c r="AL19" s="49">
        <f>'LUC-2013-01-08-Run1'!BN162</f>
        <v>4.4233825806948582E-5</v>
      </c>
      <c r="AM19" s="49">
        <f>'LUC-2013-01-08-Run1'!BO162</f>
        <v>4.4166051095763502E-5</v>
      </c>
      <c r="AN19" s="49">
        <f>'LUC-2013-01-08-Run1'!BP162</f>
        <v>4.4098276384578429E-5</v>
      </c>
      <c r="AO19" s="49">
        <f>'LUC-2013-01-08-Run1'!BQ162</f>
        <v>4.4030501673393349E-5</v>
      </c>
      <c r="AP19" s="49">
        <f>'LUC-2013-01-08-Run1'!BR162</f>
        <v>4.3962726962208269E-5</v>
      </c>
      <c r="AQ19" s="49">
        <f>'LUC-2013-01-08-Run1'!BS162</f>
        <v>4.3894952251023189E-5</v>
      </c>
      <c r="AR19" s="49">
        <f>'LUC-2013-01-08-Run1'!BT162</f>
        <v>4.3925648021828103E-5</v>
      </c>
      <c r="AS19" s="49">
        <f>'LUC-2013-01-08-Run1'!BU162</f>
        <v>4.3956343792633011E-5</v>
      </c>
      <c r="AT19" s="49">
        <f>'LUC-2013-01-08-Run1'!BV162</f>
        <v>4.3987039563437925E-5</v>
      </c>
      <c r="AU19" s="49">
        <f>'LUC-2013-01-08-Run1'!BW162</f>
        <v>4.4017735334242833E-5</v>
      </c>
      <c r="AV19" s="49">
        <f>'LUC-2013-01-08-Run1'!BX162</f>
        <v>4.4048431105047747E-5</v>
      </c>
      <c r="AW19" s="49">
        <f>'LUC-2013-01-08-Run1'!BY162</f>
        <v>4.4079126875852654E-5</v>
      </c>
      <c r="AX19" s="49">
        <f>'LUC-2013-01-08-Run1'!BZ162</f>
        <v>4.4109822646657569E-5</v>
      </c>
      <c r="AY19" s="49">
        <f>'LUC-2013-01-08-Run1'!CA162</f>
        <v>4.4140518417462476E-5</v>
      </c>
      <c r="AZ19" s="49">
        <f>'LUC-2013-01-08-Run1'!CB162</f>
        <v>4.4171214188267391E-5</v>
      </c>
      <c r="BA19" s="49">
        <f>'LUC-2013-01-08-Run1'!CC162</f>
        <v>4.4201909959072305E-5</v>
      </c>
      <c r="BB19" s="49">
        <f>'LUC-2013-01-08-Run1'!CD162</f>
        <v>4.4232605729877212E-5</v>
      </c>
      <c r="BC19" s="49">
        <f>'LUC-2013-01-08-Run1'!CE162</f>
        <v>4.4263301500682127E-5</v>
      </c>
      <c r="BD19" s="49">
        <f>'LUC-2013-01-08-Run1'!CF162</f>
        <v>4.4293997271487034E-5</v>
      </c>
      <c r="BE19" s="49">
        <f>'LUC-2013-01-08-Run1'!CG162</f>
        <v>4.4324693042291949E-5</v>
      </c>
      <c r="BF19" s="49">
        <f>'LUC-2013-01-08-Run1'!CH162</f>
        <v>4.4355388813096856E-5</v>
      </c>
      <c r="BG19" s="49">
        <f>'LUC-2013-01-08-Run1'!CI162</f>
        <v>4.4386084583901771E-5</v>
      </c>
      <c r="BH19" s="49">
        <f>'LUC-2013-01-08-Run1'!CJ162</f>
        <v>4.4416780354706678E-5</v>
      </c>
      <c r="BI19" s="49">
        <f>'LUC-2013-01-08-Run1'!CK162</f>
        <v>4.4447476125511592E-5</v>
      </c>
      <c r="BJ19" s="49">
        <f>'LUC-2013-01-08-Run1'!CL162</f>
        <v>4.44781718963165E-5</v>
      </c>
      <c r="BK19" s="49">
        <f>'LUC-2013-01-08-Run1'!CM162</f>
        <v>4.4508867667121414E-5</v>
      </c>
      <c r="BM19" s="102"/>
      <c r="BN19" s="53" t="s">
        <v>101</v>
      </c>
      <c r="BO19" s="61">
        <f t="shared" si="8"/>
        <v>30.52005943536404</v>
      </c>
      <c r="BP19" s="61">
        <f t="shared" si="9"/>
        <v>31.646953937592865</v>
      </c>
      <c r="BQ19" s="61">
        <f t="shared" si="10"/>
        <v>32.03830492990533</v>
      </c>
      <c r="BR19" s="61">
        <f t="shared" si="11"/>
        <v>31.138524906971764</v>
      </c>
      <c r="BS19" s="61">
        <f t="shared" si="12"/>
        <v>30.238744884038201</v>
      </c>
      <c r="BT19" s="61">
        <f t="shared" si="13"/>
        <v>30.450204638472037</v>
      </c>
      <c r="BU19" s="61">
        <f t="shared" si="14"/>
        <v>30.66166439290587</v>
      </c>
      <c r="BV19" s="50"/>
      <c r="BX19" s="96">
        <f t="shared" si="15"/>
        <v>-4.9928476573117102E-2</v>
      </c>
    </row>
    <row r="20" spans="1:77" x14ac:dyDescent="0.25">
      <c r="A20" s="50" t="s">
        <v>38</v>
      </c>
      <c r="B20" s="50" t="s">
        <v>101</v>
      </c>
      <c r="C20" s="48" t="s">
        <v>92</v>
      </c>
      <c r="D20" s="49">
        <f>'LUC-2013-01-08-Run1'!AF163</f>
        <v>3.0520059435364039E-5</v>
      </c>
      <c r="E20" s="49">
        <f>'LUC-2013-01-08-Run1'!AG163</f>
        <v>3.0645269935611687E-5</v>
      </c>
      <c r="F20" s="49">
        <f>'LUC-2013-01-08-Run1'!AH163</f>
        <v>3.0770480435859334E-5</v>
      </c>
      <c r="G20" s="49">
        <f>'LUC-2013-01-08-Run1'!AI163</f>
        <v>3.0895690936106982E-5</v>
      </c>
      <c r="H20" s="49">
        <f>'LUC-2013-01-08-Run1'!AJ163</f>
        <v>3.1020901436354629E-5</v>
      </c>
      <c r="I20" s="49">
        <f>'LUC-2013-01-08-Run1'!AK163</f>
        <v>3.1146111936602277E-5</v>
      </c>
      <c r="J20" s="49">
        <f>'LUC-2013-01-08-Run1'!AL163</f>
        <v>3.1271322436849924E-5</v>
      </c>
      <c r="K20" s="49">
        <f>'LUC-2013-01-08-Run1'!AM163</f>
        <v>3.1396532937097572E-5</v>
      </c>
      <c r="L20" s="49">
        <f>'LUC-2013-01-08-Run1'!AN163</f>
        <v>3.1521743437345219E-5</v>
      </c>
      <c r="M20" s="49">
        <f>'LUC-2013-01-08-Run1'!AO163</f>
        <v>3.1646953937592867E-5</v>
      </c>
      <c r="N20" s="49">
        <f>'LUC-2013-01-08-Run1'!AP163</f>
        <v>3.1772164437840514E-5</v>
      </c>
      <c r="O20" s="49">
        <f>'LUC-2013-01-08-Run1'!AQ163</f>
        <v>3.1897374938088162E-5</v>
      </c>
      <c r="P20" s="49">
        <f>'LUC-2013-01-08-Run1'!AR163</f>
        <v>3.2022585438335809E-5</v>
      </c>
      <c r="Q20" s="49">
        <f>'LUC-2013-01-08-Run1'!AS163</f>
        <v>3.2147795938583457E-5</v>
      </c>
      <c r="R20" s="49">
        <f>'LUC-2013-01-08-Run1'!AT163</f>
        <v>3.2273006438831104E-5</v>
      </c>
      <c r="S20" s="49">
        <f>'LUC-2013-01-08-Run1'!AU163</f>
        <v>3.2398216939078752E-5</v>
      </c>
      <c r="T20" s="49">
        <f>'LUC-2013-01-08-Run1'!AV163</f>
        <v>3.2308238936785393E-5</v>
      </c>
      <c r="U20" s="49">
        <f>'LUC-2013-01-08-Run1'!AW163</f>
        <v>3.221826093449204E-5</v>
      </c>
      <c r="V20" s="49">
        <f>'LUC-2013-01-08-Run1'!AX163</f>
        <v>3.2128282932198681E-5</v>
      </c>
      <c r="W20" s="49">
        <f>'LUC-2013-01-08-Run1'!AY163</f>
        <v>3.2038304929905328E-5</v>
      </c>
      <c r="X20" s="49">
        <f>'LUC-2013-01-08-Run1'!AZ163</f>
        <v>3.1948326927611969E-5</v>
      </c>
      <c r="Y20" s="49">
        <f>'LUC-2013-01-08-Run1'!BA163</f>
        <v>3.1858348925318616E-5</v>
      </c>
      <c r="Z20" s="49">
        <f>'LUC-2013-01-08-Run1'!BB163</f>
        <v>3.1768370923025257E-5</v>
      </c>
      <c r="AA20" s="49">
        <f>'LUC-2013-01-08-Run1'!BC163</f>
        <v>3.1678392920731898E-5</v>
      </c>
      <c r="AB20" s="49">
        <f>'LUC-2013-01-08-Run1'!BD163</f>
        <v>3.1588414918438545E-5</v>
      </c>
      <c r="AC20" s="49">
        <f>'LUC-2013-01-08-Run1'!BE163</f>
        <v>3.1498436916145186E-5</v>
      </c>
      <c r="AD20" s="49">
        <f>'LUC-2013-01-08-Run1'!BF163</f>
        <v>3.1408458913851834E-5</v>
      </c>
      <c r="AE20" s="49">
        <f>'LUC-2013-01-08-Run1'!BG163</f>
        <v>3.1318480911558474E-5</v>
      </c>
      <c r="AF20" s="49">
        <f>'LUC-2013-01-08-Run1'!BH163</f>
        <v>3.1228502909265122E-5</v>
      </c>
      <c r="AG20" s="49">
        <f>'LUC-2013-01-08-Run1'!BI163</f>
        <v>3.1138524906971762E-5</v>
      </c>
      <c r="AH20" s="49">
        <f>'LUC-2013-01-08-Run1'!BJ163</f>
        <v>3.104854690467841E-5</v>
      </c>
      <c r="AI20" s="49">
        <f>'LUC-2013-01-08-Run1'!BK163</f>
        <v>3.0958568902385051E-5</v>
      </c>
      <c r="AJ20" s="49">
        <f>'LUC-2013-01-08-Run1'!BL163</f>
        <v>3.0868590900091691E-5</v>
      </c>
      <c r="AK20" s="49">
        <f>'LUC-2013-01-08-Run1'!BM163</f>
        <v>3.0778612897798339E-5</v>
      </c>
      <c r="AL20" s="49">
        <f>'LUC-2013-01-08-Run1'!BN163</f>
        <v>3.0688634895504979E-5</v>
      </c>
      <c r="AM20" s="49">
        <f>'LUC-2013-01-08-Run1'!BO163</f>
        <v>3.0598656893211627E-5</v>
      </c>
      <c r="AN20" s="49">
        <f>'LUC-2013-01-08-Run1'!BP163</f>
        <v>3.0508678890918268E-5</v>
      </c>
      <c r="AO20" s="49">
        <f>'LUC-2013-01-08-Run1'!BQ163</f>
        <v>3.0418700888624912E-5</v>
      </c>
      <c r="AP20" s="49">
        <f>'LUC-2013-01-08-Run1'!BR163</f>
        <v>3.0328722886331556E-5</v>
      </c>
      <c r="AQ20" s="49">
        <f>'LUC-2013-01-08-Run1'!BS163</f>
        <v>3.02387448840382E-5</v>
      </c>
      <c r="AR20" s="49">
        <f>'LUC-2013-01-08-Run1'!BT163</f>
        <v>3.0259890859481585E-5</v>
      </c>
      <c r="AS20" s="49">
        <f>'LUC-2013-01-08-Run1'!BU163</f>
        <v>3.0281036834924966E-5</v>
      </c>
      <c r="AT20" s="49">
        <f>'LUC-2013-01-08-Run1'!BV163</f>
        <v>3.030218281036835E-5</v>
      </c>
      <c r="AU20" s="49">
        <f>'LUC-2013-01-08-Run1'!BW163</f>
        <v>3.0323328785811735E-5</v>
      </c>
      <c r="AV20" s="49">
        <f>'LUC-2013-01-08-Run1'!BX163</f>
        <v>3.0344474761255116E-5</v>
      </c>
      <c r="AW20" s="49">
        <f>'LUC-2013-01-08-Run1'!BY163</f>
        <v>3.0365620736698501E-5</v>
      </c>
      <c r="AX20" s="49">
        <f>'LUC-2013-01-08-Run1'!BZ163</f>
        <v>3.0386766712141885E-5</v>
      </c>
      <c r="AY20" s="49">
        <f>'LUC-2013-01-08-Run1'!CA163</f>
        <v>3.0407912687585267E-5</v>
      </c>
      <c r="AZ20" s="49">
        <f>'LUC-2013-01-08-Run1'!CB163</f>
        <v>3.0429058663028651E-5</v>
      </c>
      <c r="BA20" s="49">
        <f>'LUC-2013-01-08-Run1'!CC163</f>
        <v>3.0450204638472036E-5</v>
      </c>
      <c r="BB20" s="49">
        <f>'LUC-2013-01-08-Run1'!CD163</f>
        <v>3.0471350613915417E-5</v>
      </c>
      <c r="BC20" s="49">
        <f>'LUC-2013-01-08-Run1'!CE163</f>
        <v>3.0492496589358802E-5</v>
      </c>
      <c r="BD20" s="49">
        <f>'LUC-2013-01-08-Run1'!CF163</f>
        <v>3.0513642564802183E-5</v>
      </c>
      <c r="BE20" s="49">
        <f>'LUC-2013-01-08-Run1'!CG163</f>
        <v>3.0534788540245567E-5</v>
      </c>
      <c r="BF20" s="49">
        <f>'LUC-2013-01-08-Run1'!CH163</f>
        <v>3.0555934515688949E-5</v>
      </c>
      <c r="BG20" s="49">
        <f>'LUC-2013-01-08-Run1'!CI163</f>
        <v>3.0577080491132337E-5</v>
      </c>
      <c r="BH20" s="49">
        <f>'LUC-2013-01-08-Run1'!CJ163</f>
        <v>3.0598226466575718E-5</v>
      </c>
      <c r="BI20" s="49">
        <f>'LUC-2013-01-08-Run1'!CK163</f>
        <v>3.0619372442019099E-5</v>
      </c>
      <c r="BJ20" s="49">
        <f>'LUC-2013-01-08-Run1'!CL163</f>
        <v>3.0640518417462487E-5</v>
      </c>
      <c r="BK20" s="49">
        <f>'LUC-2013-01-08-Run1'!CM163</f>
        <v>3.0661664392905868E-5</v>
      </c>
      <c r="BM20" s="102"/>
      <c r="BN20" s="53" t="s">
        <v>111</v>
      </c>
      <c r="BO20" s="61">
        <f t="shared" si="8"/>
        <v>26.65676077265973</v>
      </c>
      <c r="BP20" s="61">
        <f t="shared" si="9"/>
        <v>27.641010401188705</v>
      </c>
      <c r="BQ20" s="61">
        <f t="shared" si="10"/>
        <v>28.750830615293861</v>
      </c>
      <c r="BR20" s="61">
        <f t="shared" si="11"/>
        <v>29.884965103008458</v>
      </c>
      <c r="BS20" s="61">
        <f t="shared" si="12"/>
        <v>31.019099590723055</v>
      </c>
      <c r="BT20" s="61">
        <f t="shared" si="13"/>
        <v>31.236016371077763</v>
      </c>
      <c r="BU20" s="61">
        <f t="shared" si="14"/>
        <v>31.452933151432472</v>
      </c>
      <c r="BV20" s="50"/>
      <c r="BX20" s="96">
        <f t="shared" si="15"/>
        <v>0.11583435304021295</v>
      </c>
    </row>
    <row r="21" spans="1:77" x14ac:dyDescent="0.25">
      <c r="A21" s="50" t="s">
        <v>38</v>
      </c>
      <c r="B21" s="50" t="s">
        <v>111</v>
      </c>
      <c r="C21" s="48" t="s">
        <v>92</v>
      </c>
      <c r="D21" s="49">
        <f>'LUC-2013-01-08-Run1'!AF164</f>
        <v>2.665676077265973E-5</v>
      </c>
      <c r="E21" s="49">
        <f>'LUC-2013-01-08-Run1'!AG164</f>
        <v>2.6766121842496281E-5</v>
      </c>
      <c r="F21" s="49">
        <f>'LUC-2013-01-08-Run1'!AH164</f>
        <v>2.6875482912332836E-5</v>
      </c>
      <c r="G21" s="49">
        <f>'LUC-2013-01-08-Run1'!AI164</f>
        <v>2.6984843982169387E-5</v>
      </c>
      <c r="H21" s="49">
        <f>'LUC-2013-01-08-Run1'!AJ164</f>
        <v>2.7094205052005942E-5</v>
      </c>
      <c r="I21" s="49">
        <f>'LUC-2013-01-08-Run1'!AK164</f>
        <v>2.7203566121842493E-5</v>
      </c>
      <c r="J21" s="49">
        <f>'LUC-2013-01-08-Run1'!AL164</f>
        <v>2.7312927191679048E-5</v>
      </c>
      <c r="K21" s="49">
        <f>'LUC-2013-01-08-Run1'!AM164</f>
        <v>2.7422288261515599E-5</v>
      </c>
      <c r="L21" s="49">
        <f>'LUC-2013-01-08-Run1'!AN164</f>
        <v>2.7531649331352153E-5</v>
      </c>
      <c r="M21" s="49">
        <f>'LUC-2013-01-08-Run1'!AO164</f>
        <v>2.7641010401188705E-5</v>
      </c>
      <c r="N21" s="49">
        <f>'LUC-2013-01-08-Run1'!AP164</f>
        <v>2.7750371471025259E-5</v>
      </c>
      <c r="O21" s="49">
        <f>'LUC-2013-01-08-Run1'!AQ164</f>
        <v>2.785973254086181E-5</v>
      </c>
      <c r="P21" s="49">
        <f>'LUC-2013-01-08-Run1'!AR164</f>
        <v>2.7969093610698365E-5</v>
      </c>
      <c r="Q21" s="49">
        <f>'LUC-2013-01-08-Run1'!AS164</f>
        <v>2.8078454680534916E-5</v>
      </c>
      <c r="R21" s="49">
        <f>'LUC-2013-01-08-Run1'!AT164</f>
        <v>2.8187815750371467E-5</v>
      </c>
      <c r="S21" s="49">
        <f>'LUC-2013-01-08-Run1'!AU164</f>
        <v>2.8297176820208022E-5</v>
      </c>
      <c r="T21" s="49">
        <f>'LUC-2013-01-08-Run1'!AV164</f>
        <v>2.8410590268979481E-5</v>
      </c>
      <c r="U21" s="49">
        <f>'LUC-2013-01-08-Run1'!AW164</f>
        <v>2.852400371775094E-5</v>
      </c>
      <c r="V21" s="49">
        <f>'LUC-2013-01-08-Run1'!AX164</f>
        <v>2.8637417166522399E-5</v>
      </c>
      <c r="W21" s="49">
        <f>'LUC-2013-01-08-Run1'!AY164</f>
        <v>2.8750830615293862E-5</v>
      </c>
      <c r="X21" s="49">
        <f>'LUC-2013-01-08-Run1'!AZ164</f>
        <v>2.8864244064065321E-5</v>
      </c>
      <c r="Y21" s="49">
        <f>'LUC-2013-01-08-Run1'!BA164</f>
        <v>2.897765751283678E-5</v>
      </c>
      <c r="Z21" s="49">
        <f>'LUC-2013-01-08-Run1'!BB164</f>
        <v>2.9091070961608239E-5</v>
      </c>
      <c r="AA21" s="49">
        <f>'LUC-2013-01-08-Run1'!BC164</f>
        <v>2.9204484410379698E-5</v>
      </c>
      <c r="AB21" s="49">
        <f>'LUC-2013-01-08-Run1'!BD164</f>
        <v>2.9317897859151161E-5</v>
      </c>
      <c r="AC21" s="49">
        <f>'LUC-2013-01-08-Run1'!BE164</f>
        <v>2.943131130792262E-5</v>
      </c>
      <c r="AD21" s="49">
        <f>'LUC-2013-01-08-Run1'!BF164</f>
        <v>2.9544724756694079E-5</v>
      </c>
      <c r="AE21" s="49">
        <f>'LUC-2013-01-08-Run1'!BG164</f>
        <v>2.9658138205465538E-5</v>
      </c>
      <c r="AF21" s="49">
        <f>'LUC-2013-01-08-Run1'!BH164</f>
        <v>2.9771551654236997E-5</v>
      </c>
      <c r="AG21" s="49">
        <f>'LUC-2013-01-08-Run1'!BI164</f>
        <v>2.9884965103008456E-5</v>
      </c>
      <c r="AH21" s="49">
        <f>'LUC-2013-01-08-Run1'!BJ164</f>
        <v>2.9998378551779915E-5</v>
      </c>
      <c r="AI21" s="49">
        <f>'LUC-2013-01-08-Run1'!BK164</f>
        <v>3.0111792000551378E-5</v>
      </c>
      <c r="AJ21" s="49">
        <f>'LUC-2013-01-08-Run1'!BL164</f>
        <v>3.0225205449322837E-5</v>
      </c>
      <c r="AK21" s="49">
        <f>'LUC-2013-01-08-Run1'!BM164</f>
        <v>3.0338618898094296E-5</v>
      </c>
      <c r="AL21" s="49">
        <f>'LUC-2013-01-08-Run1'!BN164</f>
        <v>3.0452032346865755E-5</v>
      </c>
      <c r="AM21" s="49">
        <f>'LUC-2013-01-08-Run1'!BO164</f>
        <v>3.0565445795637218E-5</v>
      </c>
      <c r="AN21" s="49">
        <f>'LUC-2013-01-08-Run1'!BP164</f>
        <v>3.0678859244408677E-5</v>
      </c>
      <c r="AO21" s="49">
        <f>'LUC-2013-01-08-Run1'!BQ164</f>
        <v>3.0792272693180136E-5</v>
      </c>
      <c r="AP21" s="49">
        <f>'LUC-2013-01-08-Run1'!BR164</f>
        <v>3.0905686141951595E-5</v>
      </c>
      <c r="AQ21" s="49">
        <f>'LUC-2013-01-08-Run1'!BS164</f>
        <v>3.1019099590723054E-5</v>
      </c>
      <c r="AR21" s="49">
        <f>'LUC-2013-01-08-Run1'!BT164</f>
        <v>3.1040791268758524E-5</v>
      </c>
      <c r="AS21" s="49">
        <f>'LUC-2013-01-08-Run1'!BU164</f>
        <v>3.1062482946793994E-5</v>
      </c>
      <c r="AT21" s="49">
        <f>'LUC-2013-01-08-Run1'!BV164</f>
        <v>3.1084174624829465E-5</v>
      </c>
      <c r="AU21" s="49">
        <f>'LUC-2013-01-08-Run1'!BW164</f>
        <v>3.1105866302864935E-5</v>
      </c>
      <c r="AV21" s="49">
        <f>'LUC-2013-01-08-Run1'!BX164</f>
        <v>3.1127557980900405E-5</v>
      </c>
      <c r="AW21" s="49">
        <f>'LUC-2013-01-08-Run1'!BY164</f>
        <v>3.1149249658935882E-5</v>
      </c>
      <c r="AX21" s="49">
        <f>'LUC-2013-01-08-Run1'!BZ164</f>
        <v>3.1170941336971352E-5</v>
      </c>
      <c r="AY21" s="49">
        <f>'LUC-2013-01-08-Run1'!CA164</f>
        <v>3.1192633015006822E-5</v>
      </c>
      <c r="AZ21" s="49">
        <f>'LUC-2013-01-08-Run1'!CB164</f>
        <v>3.1214324693042292E-5</v>
      </c>
      <c r="BA21" s="49">
        <f>'LUC-2013-01-08-Run1'!CC164</f>
        <v>3.1236016371077763E-5</v>
      </c>
      <c r="BB21" s="49">
        <f>'LUC-2013-01-08-Run1'!CD164</f>
        <v>3.1257708049113233E-5</v>
      </c>
      <c r="BC21" s="49">
        <f>'LUC-2013-01-08-Run1'!CE164</f>
        <v>3.1279399727148703E-5</v>
      </c>
      <c r="BD21" s="49">
        <f>'LUC-2013-01-08-Run1'!CF164</f>
        <v>3.1301091405184173E-5</v>
      </c>
      <c r="BE21" s="49">
        <f>'LUC-2013-01-08-Run1'!CG164</f>
        <v>3.1322783083219643E-5</v>
      </c>
      <c r="BF21" s="49">
        <f>'LUC-2013-01-08-Run1'!CH164</f>
        <v>3.134447476125512E-5</v>
      </c>
      <c r="BG21" s="49">
        <f>'LUC-2013-01-08-Run1'!CI164</f>
        <v>3.136616643929059E-5</v>
      </c>
      <c r="BH21" s="49">
        <f>'LUC-2013-01-08-Run1'!CJ164</f>
        <v>3.138785811732606E-5</v>
      </c>
      <c r="BI21" s="49">
        <f>'LUC-2013-01-08-Run1'!CK164</f>
        <v>3.1409549795361531E-5</v>
      </c>
      <c r="BJ21" s="49">
        <f>'LUC-2013-01-08-Run1'!CL164</f>
        <v>3.1431241473397001E-5</v>
      </c>
      <c r="BK21" s="49">
        <f>'LUC-2013-01-08-Run1'!CM164</f>
        <v>3.1452933151432471E-5</v>
      </c>
      <c r="BM21" s="102"/>
      <c r="BN21" s="53" t="s">
        <v>102</v>
      </c>
      <c r="BO21" s="61">
        <f t="shared" si="8"/>
        <v>12</v>
      </c>
      <c r="BP21" s="61">
        <f t="shared" si="9"/>
        <v>12.959999999999999</v>
      </c>
      <c r="BQ21" s="61">
        <f t="shared" si="10"/>
        <v>13.916666666666666</v>
      </c>
      <c r="BR21" s="61">
        <f t="shared" si="11"/>
        <v>14.708333333333332</v>
      </c>
      <c r="BS21" s="61">
        <f t="shared" si="12"/>
        <v>15.5</v>
      </c>
      <c r="BT21" s="61">
        <f t="shared" si="13"/>
        <v>15.950000000000001</v>
      </c>
      <c r="BU21" s="61">
        <f t="shared" si="14"/>
        <v>16.399999999999999</v>
      </c>
      <c r="BV21" s="50"/>
      <c r="BX21" s="96">
        <f t="shared" si="15"/>
        <v>0.21541501976284574</v>
      </c>
    </row>
    <row r="22" spans="1:77" x14ac:dyDescent="0.25">
      <c r="A22" s="50" t="s">
        <v>38</v>
      </c>
      <c r="B22" s="50" t="s">
        <v>102</v>
      </c>
      <c r="C22" s="48" t="s">
        <v>92</v>
      </c>
      <c r="D22" s="49">
        <f>'LUC-2013-01-08-Run1'!AF165</f>
        <v>1.2E-5</v>
      </c>
      <c r="E22" s="49">
        <f>'LUC-2013-01-08-Run1'!AG165</f>
        <v>1.2106666666666667E-5</v>
      </c>
      <c r="F22" s="49">
        <f>'LUC-2013-01-08-Run1'!AH165</f>
        <v>1.2213333333333334E-5</v>
      </c>
      <c r="G22" s="49">
        <f>'LUC-2013-01-08-Run1'!AI165</f>
        <v>1.2320000000000001E-5</v>
      </c>
      <c r="H22" s="49">
        <f>'LUC-2013-01-08-Run1'!AJ165</f>
        <v>1.2426666666666667E-5</v>
      </c>
      <c r="I22" s="49">
        <f>'LUC-2013-01-08-Run1'!AK165</f>
        <v>1.2533333333333334E-5</v>
      </c>
      <c r="J22" s="49">
        <f>'LUC-2013-01-08-Run1'!AL165</f>
        <v>1.2640000000000001E-5</v>
      </c>
      <c r="K22" s="49">
        <f>'LUC-2013-01-08-Run1'!AM165</f>
        <v>1.2746666666666668E-5</v>
      </c>
      <c r="L22" s="49">
        <f>'LUC-2013-01-08-Run1'!AN165</f>
        <v>1.2853333333333333E-5</v>
      </c>
      <c r="M22" s="49">
        <f>'LUC-2013-01-08-Run1'!AO165</f>
        <v>1.296E-5</v>
      </c>
      <c r="N22" s="49">
        <f>'LUC-2013-01-08-Run1'!AP165</f>
        <v>1.3066666666666666E-5</v>
      </c>
      <c r="O22" s="49">
        <f>'LUC-2013-01-08-Run1'!AQ165</f>
        <v>1.3173333333333333E-5</v>
      </c>
      <c r="P22" s="49">
        <f>'LUC-2013-01-08-Run1'!AR165</f>
        <v>1.328E-5</v>
      </c>
      <c r="Q22" s="49">
        <f>'LUC-2013-01-08-Run1'!AS165</f>
        <v>1.3386666666666667E-5</v>
      </c>
      <c r="R22" s="49">
        <f>'LUC-2013-01-08-Run1'!AT165</f>
        <v>1.3493333333333333E-5</v>
      </c>
      <c r="S22" s="49">
        <f>'LUC-2013-01-08-Run1'!AU165</f>
        <v>1.36E-5</v>
      </c>
      <c r="T22" s="49">
        <f>'LUC-2013-01-08-Run1'!AV165</f>
        <v>1.3679166666666668E-5</v>
      </c>
      <c r="U22" s="49">
        <f>'LUC-2013-01-08-Run1'!AW165</f>
        <v>1.3758333333333333E-5</v>
      </c>
      <c r="V22" s="49">
        <f>'LUC-2013-01-08-Run1'!AX165</f>
        <v>1.3837500000000001E-5</v>
      </c>
      <c r="W22" s="49">
        <f>'LUC-2013-01-08-Run1'!AY165</f>
        <v>1.3916666666666667E-5</v>
      </c>
      <c r="X22" s="49">
        <f>'LUC-2013-01-08-Run1'!AZ165</f>
        <v>1.3995833333333334E-5</v>
      </c>
      <c r="Y22" s="49">
        <f>'LUC-2013-01-08-Run1'!BA165</f>
        <v>1.4075E-5</v>
      </c>
      <c r="Z22" s="49">
        <f>'LUC-2013-01-08-Run1'!BB165</f>
        <v>1.4154166666666667E-5</v>
      </c>
      <c r="AA22" s="49">
        <f>'LUC-2013-01-08-Run1'!BC165</f>
        <v>1.4233333333333333E-5</v>
      </c>
      <c r="AB22" s="49">
        <f>'LUC-2013-01-08-Run1'!BD165</f>
        <v>1.4312500000000001E-5</v>
      </c>
      <c r="AC22" s="49">
        <f>'LUC-2013-01-08-Run1'!BE165</f>
        <v>1.4391666666666666E-5</v>
      </c>
      <c r="AD22" s="49">
        <f>'LUC-2013-01-08-Run1'!BF165</f>
        <v>1.4470833333333334E-5</v>
      </c>
      <c r="AE22" s="49">
        <f>'LUC-2013-01-08-Run1'!BG165</f>
        <v>1.4550000000000001E-5</v>
      </c>
      <c r="AF22" s="49">
        <f>'LUC-2013-01-08-Run1'!BH165</f>
        <v>1.4629166666666667E-5</v>
      </c>
      <c r="AG22" s="49">
        <f>'LUC-2013-01-08-Run1'!BI165</f>
        <v>1.4708333333333333E-5</v>
      </c>
      <c r="AH22" s="49">
        <f>'LUC-2013-01-08-Run1'!BJ165</f>
        <v>1.47875E-5</v>
      </c>
      <c r="AI22" s="49">
        <f>'LUC-2013-01-08-Run1'!BK165</f>
        <v>1.4866666666666668E-5</v>
      </c>
      <c r="AJ22" s="49">
        <f>'LUC-2013-01-08-Run1'!BL165</f>
        <v>1.4945833333333334E-5</v>
      </c>
      <c r="AK22" s="49">
        <f>'LUC-2013-01-08-Run1'!BM165</f>
        <v>1.5025000000000001E-5</v>
      </c>
      <c r="AL22" s="49">
        <f>'LUC-2013-01-08-Run1'!BN165</f>
        <v>1.5104166666666667E-5</v>
      </c>
      <c r="AM22" s="49">
        <f>'LUC-2013-01-08-Run1'!BO165</f>
        <v>1.5183333333333334E-5</v>
      </c>
      <c r="AN22" s="49">
        <f>'LUC-2013-01-08-Run1'!BP165</f>
        <v>1.5262500000000002E-5</v>
      </c>
      <c r="AO22" s="49">
        <f>'LUC-2013-01-08-Run1'!BQ165</f>
        <v>1.5341666666666666E-5</v>
      </c>
      <c r="AP22" s="49">
        <f>'LUC-2013-01-08-Run1'!BR165</f>
        <v>1.5420833333333333E-5</v>
      </c>
      <c r="AQ22" s="49">
        <f>'LUC-2013-01-08-Run1'!BS165</f>
        <v>1.5500000000000001E-5</v>
      </c>
      <c r="AR22" s="49">
        <f>'LUC-2013-01-08-Run1'!BT165</f>
        <v>1.5545000000000001E-5</v>
      </c>
      <c r="AS22" s="49">
        <f>'LUC-2013-01-08-Run1'!BU165</f>
        <v>1.5590000000000002E-5</v>
      </c>
      <c r="AT22" s="49">
        <f>'LUC-2013-01-08-Run1'!BV165</f>
        <v>1.5635000000000002E-5</v>
      </c>
      <c r="AU22" s="49">
        <f>'LUC-2013-01-08-Run1'!BW165</f>
        <v>1.5679999999999999E-5</v>
      </c>
      <c r="AV22" s="49">
        <f>'LUC-2013-01-08-Run1'!BX165</f>
        <v>1.5724999999999999E-5</v>
      </c>
      <c r="AW22" s="49">
        <f>'LUC-2013-01-08-Run1'!BY165</f>
        <v>1.577E-5</v>
      </c>
      <c r="AX22" s="49">
        <f>'LUC-2013-01-08-Run1'!BZ165</f>
        <v>1.5815E-5</v>
      </c>
      <c r="AY22" s="49">
        <f>'LUC-2013-01-08-Run1'!CA165</f>
        <v>1.5860000000000001E-5</v>
      </c>
      <c r="AZ22" s="49">
        <f>'LUC-2013-01-08-Run1'!CB165</f>
        <v>1.5905000000000001E-5</v>
      </c>
      <c r="BA22" s="49">
        <f>'LUC-2013-01-08-Run1'!CC165</f>
        <v>1.5950000000000001E-5</v>
      </c>
      <c r="BB22" s="49">
        <f>'LUC-2013-01-08-Run1'!CD165</f>
        <v>1.5994999999999998E-5</v>
      </c>
      <c r="BC22" s="49">
        <f>'LUC-2013-01-08-Run1'!CE165</f>
        <v>1.6039999999999999E-5</v>
      </c>
      <c r="BD22" s="49">
        <f>'LUC-2013-01-08-Run1'!CF165</f>
        <v>1.6084999999999999E-5</v>
      </c>
      <c r="BE22" s="49">
        <f>'LUC-2013-01-08-Run1'!CG165</f>
        <v>1.613E-5</v>
      </c>
      <c r="BF22" s="49">
        <f>'LUC-2013-01-08-Run1'!CH165</f>
        <v>1.6175E-5</v>
      </c>
      <c r="BG22" s="49">
        <f>'LUC-2013-01-08-Run1'!CI165</f>
        <v>1.6220000000000001E-5</v>
      </c>
      <c r="BH22" s="49">
        <f>'LUC-2013-01-08-Run1'!CJ165</f>
        <v>1.6264999999999998E-5</v>
      </c>
      <c r="BI22" s="49">
        <f>'LUC-2013-01-08-Run1'!CK165</f>
        <v>1.6309999999999998E-5</v>
      </c>
      <c r="BJ22" s="49">
        <f>'LUC-2013-01-08-Run1'!CL165</f>
        <v>1.6354999999999998E-5</v>
      </c>
      <c r="BK22" s="49">
        <f>'LUC-2013-01-08-Run1'!CM165</f>
        <v>1.6399999999999999E-5</v>
      </c>
      <c r="BM22" s="102"/>
      <c r="BN22" s="53" t="s">
        <v>103</v>
      </c>
      <c r="BO22" s="61">
        <f t="shared" si="8"/>
        <v>44</v>
      </c>
      <c r="BP22" s="61">
        <f t="shared" si="9"/>
        <v>42.8</v>
      </c>
      <c r="BQ22" s="61">
        <f t="shared" si="10"/>
        <v>42</v>
      </c>
      <c r="BR22" s="61">
        <f t="shared" si="11"/>
        <v>42</v>
      </c>
      <c r="BS22" s="61">
        <f t="shared" si="12"/>
        <v>42</v>
      </c>
      <c r="BT22" s="61">
        <f t="shared" si="13"/>
        <v>41.5</v>
      </c>
      <c r="BU22" s="61">
        <f t="shared" si="14"/>
        <v>41</v>
      </c>
      <c r="BV22" s="50"/>
      <c r="BX22" s="96">
        <f t="shared" si="15"/>
        <v>-2.6898734177215149E-2</v>
      </c>
    </row>
    <row r="23" spans="1:77" x14ac:dyDescent="0.25">
      <c r="A23" s="50" t="s">
        <v>38</v>
      </c>
      <c r="B23" s="50" t="s">
        <v>103</v>
      </c>
      <c r="C23" s="48" t="s">
        <v>92</v>
      </c>
      <c r="D23" s="49">
        <f>'LUC-2013-01-08-Run1'!AF166</f>
        <v>4.3999999999999999E-5</v>
      </c>
      <c r="E23" s="49">
        <f>'LUC-2013-01-08-Run1'!AG166</f>
        <v>4.3866666666666665E-5</v>
      </c>
      <c r="F23" s="49">
        <f>'LUC-2013-01-08-Run1'!AH166</f>
        <v>4.373333333333333E-5</v>
      </c>
      <c r="G23" s="49">
        <f>'LUC-2013-01-08-Run1'!AI166</f>
        <v>4.3599999999999996E-5</v>
      </c>
      <c r="H23" s="49">
        <f>'LUC-2013-01-08-Run1'!AJ166</f>
        <v>4.3466666666666668E-5</v>
      </c>
      <c r="I23" s="49">
        <f>'LUC-2013-01-08-Run1'!AK166</f>
        <v>4.3333333333333334E-5</v>
      </c>
      <c r="J23" s="49">
        <f>'LUC-2013-01-08-Run1'!AL166</f>
        <v>4.32E-5</v>
      </c>
      <c r="K23" s="49">
        <f>'LUC-2013-01-08-Run1'!AM166</f>
        <v>4.3066666666666665E-5</v>
      </c>
      <c r="L23" s="49">
        <f>'LUC-2013-01-08-Run1'!AN166</f>
        <v>4.2933333333333331E-5</v>
      </c>
      <c r="M23" s="49">
        <f>'LUC-2013-01-08-Run1'!AO166</f>
        <v>4.2799999999999997E-5</v>
      </c>
      <c r="N23" s="49">
        <f>'LUC-2013-01-08-Run1'!AP166</f>
        <v>4.2666666666666662E-5</v>
      </c>
      <c r="O23" s="49">
        <f>'LUC-2013-01-08-Run1'!AQ166</f>
        <v>4.2533333333333328E-5</v>
      </c>
      <c r="P23" s="49">
        <f>'LUC-2013-01-08-Run1'!AR166</f>
        <v>4.2400000000000001E-5</v>
      </c>
      <c r="Q23" s="49">
        <f>'LUC-2013-01-08-Run1'!AS166</f>
        <v>4.2266666666666666E-5</v>
      </c>
      <c r="R23" s="49">
        <f>'LUC-2013-01-08-Run1'!AT166</f>
        <v>4.2133333333333332E-5</v>
      </c>
      <c r="S23" s="49">
        <f>'LUC-2013-01-08-Run1'!AU166</f>
        <v>4.1999999999999998E-5</v>
      </c>
      <c r="T23" s="49">
        <f>'LUC-2013-01-08-Run1'!AV166</f>
        <v>4.1999999999999998E-5</v>
      </c>
      <c r="U23" s="49">
        <f>'LUC-2013-01-08-Run1'!AW166</f>
        <v>4.1999999999999998E-5</v>
      </c>
      <c r="V23" s="49">
        <f>'LUC-2013-01-08-Run1'!AX166</f>
        <v>4.1999999999999998E-5</v>
      </c>
      <c r="W23" s="49">
        <f>'LUC-2013-01-08-Run1'!AY166</f>
        <v>4.1999999999999998E-5</v>
      </c>
      <c r="X23" s="49">
        <f>'LUC-2013-01-08-Run1'!AZ166</f>
        <v>4.1999999999999998E-5</v>
      </c>
      <c r="Y23" s="49">
        <f>'LUC-2013-01-08-Run1'!BA166</f>
        <v>4.1999999999999998E-5</v>
      </c>
      <c r="Z23" s="49">
        <f>'LUC-2013-01-08-Run1'!BB166</f>
        <v>4.1999999999999998E-5</v>
      </c>
      <c r="AA23" s="49">
        <f>'LUC-2013-01-08-Run1'!BC166</f>
        <v>4.1999999999999998E-5</v>
      </c>
      <c r="AB23" s="49">
        <f>'LUC-2013-01-08-Run1'!BD166</f>
        <v>4.1999999999999998E-5</v>
      </c>
      <c r="AC23" s="49">
        <f>'LUC-2013-01-08-Run1'!BE166</f>
        <v>4.1999999999999998E-5</v>
      </c>
      <c r="AD23" s="49">
        <f>'LUC-2013-01-08-Run1'!BF166</f>
        <v>4.1999999999999998E-5</v>
      </c>
      <c r="AE23" s="49">
        <f>'LUC-2013-01-08-Run1'!BG166</f>
        <v>4.1999999999999998E-5</v>
      </c>
      <c r="AF23" s="49">
        <f>'LUC-2013-01-08-Run1'!BH166</f>
        <v>4.1999999999999998E-5</v>
      </c>
      <c r="AG23" s="49">
        <f>'LUC-2013-01-08-Run1'!BI166</f>
        <v>4.1999999999999998E-5</v>
      </c>
      <c r="AH23" s="49">
        <f>'LUC-2013-01-08-Run1'!BJ166</f>
        <v>4.1999999999999998E-5</v>
      </c>
      <c r="AI23" s="49">
        <f>'LUC-2013-01-08-Run1'!BK166</f>
        <v>4.1999999999999998E-5</v>
      </c>
      <c r="AJ23" s="49">
        <f>'LUC-2013-01-08-Run1'!BL166</f>
        <v>4.1999999999999998E-5</v>
      </c>
      <c r="AK23" s="49">
        <f>'LUC-2013-01-08-Run1'!BM166</f>
        <v>4.1999999999999998E-5</v>
      </c>
      <c r="AL23" s="49">
        <f>'LUC-2013-01-08-Run1'!BN166</f>
        <v>4.1999999999999998E-5</v>
      </c>
      <c r="AM23" s="49">
        <f>'LUC-2013-01-08-Run1'!BO166</f>
        <v>4.1999999999999998E-5</v>
      </c>
      <c r="AN23" s="49">
        <f>'LUC-2013-01-08-Run1'!BP166</f>
        <v>4.1999999999999998E-5</v>
      </c>
      <c r="AO23" s="49">
        <f>'LUC-2013-01-08-Run1'!BQ166</f>
        <v>4.1999999999999998E-5</v>
      </c>
      <c r="AP23" s="49">
        <f>'LUC-2013-01-08-Run1'!BR166</f>
        <v>4.1999999999999998E-5</v>
      </c>
      <c r="AQ23" s="49">
        <f>'LUC-2013-01-08-Run1'!BS166</f>
        <v>4.1999999999999998E-5</v>
      </c>
      <c r="AR23" s="49">
        <f>'LUC-2013-01-08-Run1'!BT166</f>
        <v>4.1949999999999996E-5</v>
      </c>
      <c r="AS23" s="49">
        <f>'LUC-2013-01-08-Run1'!BU166</f>
        <v>4.1899999999999995E-5</v>
      </c>
      <c r="AT23" s="49">
        <f>'LUC-2013-01-08-Run1'!BV166</f>
        <v>4.1850000000000001E-5</v>
      </c>
      <c r="AU23" s="49">
        <f>'LUC-2013-01-08-Run1'!BW166</f>
        <v>4.18E-5</v>
      </c>
      <c r="AV23" s="49">
        <f>'LUC-2013-01-08-Run1'!BX166</f>
        <v>4.1749999999999998E-5</v>
      </c>
      <c r="AW23" s="49">
        <f>'LUC-2013-01-08-Run1'!BY166</f>
        <v>4.1699999999999997E-5</v>
      </c>
      <c r="AX23" s="49">
        <f>'LUC-2013-01-08-Run1'!BZ166</f>
        <v>4.1649999999999996E-5</v>
      </c>
      <c r="AY23" s="49">
        <f>'LUC-2013-01-08-Run1'!CA166</f>
        <v>4.1600000000000002E-5</v>
      </c>
      <c r="AZ23" s="49">
        <f>'LUC-2013-01-08-Run1'!CB166</f>
        <v>4.155E-5</v>
      </c>
      <c r="BA23" s="49">
        <f>'LUC-2013-01-08-Run1'!CC166</f>
        <v>4.1499999999999999E-5</v>
      </c>
      <c r="BB23" s="49">
        <f>'LUC-2013-01-08-Run1'!CD166</f>
        <v>4.1449999999999998E-5</v>
      </c>
      <c r="BC23" s="49">
        <f>'LUC-2013-01-08-Run1'!CE166</f>
        <v>4.1399999999999997E-5</v>
      </c>
      <c r="BD23" s="49">
        <f>'LUC-2013-01-08-Run1'!CF166</f>
        <v>4.1350000000000002E-5</v>
      </c>
      <c r="BE23" s="49">
        <f>'LUC-2013-01-08-Run1'!CG166</f>
        <v>4.1300000000000001E-5</v>
      </c>
      <c r="BF23" s="49">
        <f>'LUC-2013-01-08-Run1'!CH166</f>
        <v>4.125E-5</v>
      </c>
      <c r="BG23" s="49">
        <f>'LUC-2013-01-08-Run1'!CI166</f>
        <v>4.1199999999999999E-5</v>
      </c>
      <c r="BH23" s="49">
        <f>'LUC-2013-01-08-Run1'!CJ166</f>
        <v>4.1149999999999997E-5</v>
      </c>
      <c r="BI23" s="49">
        <f>'LUC-2013-01-08-Run1'!CK166</f>
        <v>4.1100000000000003E-5</v>
      </c>
      <c r="BJ23" s="49">
        <f>'LUC-2013-01-08-Run1'!CL166</f>
        <v>4.1050000000000002E-5</v>
      </c>
      <c r="BK23" s="49">
        <f>'LUC-2013-01-08-Run1'!CM166</f>
        <v>4.1E-5</v>
      </c>
      <c r="BM23" s="103"/>
      <c r="BN23" s="54" t="s">
        <v>104</v>
      </c>
      <c r="BO23" s="62">
        <f t="shared" si="8"/>
        <v>74.5</v>
      </c>
      <c r="BP23" s="62">
        <f t="shared" si="9"/>
        <v>74.38000000000001</v>
      </c>
      <c r="BQ23" s="62">
        <f t="shared" si="10"/>
        <v>74.318181818181827</v>
      </c>
      <c r="BR23" s="62">
        <f t="shared" si="11"/>
        <v>74.36363636363636</v>
      </c>
      <c r="BS23" s="62">
        <f t="shared" si="12"/>
        <v>74</v>
      </c>
      <c r="BT23" s="62">
        <f t="shared" si="13"/>
        <v>74.249999999999986</v>
      </c>
      <c r="BU23" s="62">
        <f t="shared" si="14"/>
        <v>74.5</v>
      </c>
      <c r="BV23" s="50"/>
      <c r="BX23" s="96">
        <f t="shared" si="15"/>
        <v>2.5118866062616286E-3</v>
      </c>
      <c r="BY23" s="96">
        <f>SUM(BX13:BX23)</f>
        <v>2.2989230016404707</v>
      </c>
    </row>
    <row r="24" spans="1:77" x14ac:dyDescent="0.25">
      <c r="A24" s="50" t="s">
        <v>38</v>
      </c>
      <c r="B24" s="50" t="s">
        <v>104</v>
      </c>
      <c r="C24" s="48" t="s">
        <v>92</v>
      </c>
      <c r="D24" s="49">
        <f>'LUC-2013-01-08-Run1'!AF168</f>
        <v>7.4499999999999995E-5</v>
      </c>
      <c r="E24" s="49">
        <f>'LUC-2013-01-08-Run1'!AG168</f>
        <v>7.4486666666666659E-5</v>
      </c>
      <c r="F24" s="49">
        <f>'LUC-2013-01-08-Run1'!AH168</f>
        <v>7.4473333333333324E-5</v>
      </c>
      <c r="G24" s="49">
        <f>'LUC-2013-01-08-Run1'!AI168</f>
        <v>7.4460000000000002E-5</v>
      </c>
      <c r="H24" s="49">
        <f>'LUC-2013-01-08-Run1'!AJ168</f>
        <v>7.4446666666666667E-5</v>
      </c>
      <c r="I24" s="49">
        <f>'LUC-2013-01-08-Run1'!AK168</f>
        <v>7.4433333333333331E-5</v>
      </c>
      <c r="J24" s="49">
        <f>'LUC-2013-01-08-Run1'!AL168</f>
        <v>7.4419999999999996E-5</v>
      </c>
      <c r="K24" s="49">
        <f>'LUC-2013-01-08-Run1'!AM168</f>
        <v>7.440666666666666E-5</v>
      </c>
      <c r="L24" s="49">
        <f>'LUC-2013-01-08-Run1'!AN168</f>
        <v>7.4393333333333338E-5</v>
      </c>
      <c r="M24" s="49">
        <f>'LUC-2013-01-08-Run1'!AO168</f>
        <v>7.4380000000000003E-5</v>
      </c>
      <c r="N24" s="49">
        <f>'LUC-2013-01-08-Run1'!AP168</f>
        <v>7.4366666666666667E-5</v>
      </c>
      <c r="O24" s="49">
        <f>'LUC-2013-01-08-Run1'!AQ168</f>
        <v>7.4353333333333332E-5</v>
      </c>
      <c r="P24" s="49">
        <f>'LUC-2013-01-08-Run1'!AR168</f>
        <v>7.4339999999999996E-5</v>
      </c>
      <c r="Q24" s="49">
        <f>'LUC-2013-01-08-Run1'!AS168</f>
        <v>7.4326666666666674E-5</v>
      </c>
      <c r="R24" s="49">
        <f>'LUC-2013-01-08-Run1'!AT168</f>
        <v>7.4313333333333339E-5</v>
      </c>
      <c r="S24" s="49">
        <f>'LUC-2013-01-08-Run1'!AU168</f>
        <v>7.4300000000000004E-5</v>
      </c>
      <c r="T24" s="49">
        <f>'LUC-2013-01-08-Run1'!AV168</f>
        <v>7.4304545454545462E-5</v>
      </c>
      <c r="U24" s="49">
        <f>'LUC-2013-01-08-Run1'!AW168</f>
        <v>7.4309090909090907E-5</v>
      </c>
      <c r="V24" s="49">
        <f>'LUC-2013-01-08-Run1'!AX168</f>
        <v>7.4313636363636365E-5</v>
      </c>
      <c r="W24" s="49">
        <f>'LUC-2013-01-08-Run1'!AY168</f>
        <v>7.4318181818181823E-5</v>
      </c>
      <c r="X24" s="49">
        <f>'LUC-2013-01-08-Run1'!AZ168</f>
        <v>7.4322727272727282E-5</v>
      </c>
      <c r="Y24" s="49">
        <f>'LUC-2013-01-08-Run1'!BA168</f>
        <v>7.4327272727272727E-5</v>
      </c>
      <c r="Z24" s="49">
        <f>'LUC-2013-01-08-Run1'!BB168</f>
        <v>7.4331818181818185E-5</v>
      </c>
      <c r="AA24" s="49">
        <f>'LUC-2013-01-08-Run1'!BC168</f>
        <v>7.4336363636363643E-5</v>
      </c>
      <c r="AB24" s="49">
        <f>'LUC-2013-01-08-Run1'!BD168</f>
        <v>7.4340909090909088E-5</v>
      </c>
      <c r="AC24" s="49">
        <f>'LUC-2013-01-08-Run1'!BE168</f>
        <v>7.4345454545454546E-5</v>
      </c>
      <c r="AD24" s="49">
        <f>'LUC-2013-01-08-Run1'!BF168</f>
        <v>7.4350000000000005E-5</v>
      </c>
      <c r="AE24" s="49">
        <f>'LUC-2013-01-08-Run1'!BG168</f>
        <v>7.435454545454545E-5</v>
      </c>
      <c r="AF24" s="49">
        <f>'LUC-2013-01-08-Run1'!BH168</f>
        <v>7.4359090909090908E-5</v>
      </c>
      <c r="AG24" s="49">
        <f>'LUC-2013-01-08-Run1'!BI168</f>
        <v>7.4363636363636366E-5</v>
      </c>
      <c r="AH24" s="49">
        <f>'LUC-2013-01-08-Run1'!BJ168</f>
        <v>7.4368181818181825E-5</v>
      </c>
      <c r="AI24" s="49">
        <f>'LUC-2013-01-08-Run1'!BK168</f>
        <v>7.4372727272727269E-5</v>
      </c>
      <c r="AJ24" s="49">
        <f>'LUC-2013-01-08-Run1'!BL168</f>
        <v>7.4377272727272728E-5</v>
      </c>
      <c r="AK24" s="49">
        <f>'LUC-2013-01-08-Run1'!BM168</f>
        <v>7.4381818181818186E-5</v>
      </c>
      <c r="AL24" s="49">
        <f>'LUC-2013-01-08-Run1'!BN168</f>
        <v>7.4386363636363631E-5</v>
      </c>
      <c r="AM24" s="49">
        <f>'LUC-2013-01-08-Run1'!BO168</f>
        <v>7.4390909090909089E-5</v>
      </c>
      <c r="AN24" s="49">
        <f>'LUC-2013-01-08-Run1'!BP168</f>
        <v>7.4395454545454548E-5</v>
      </c>
      <c r="AO24" s="49">
        <f>'LUC-2013-01-08-Run1'!BQ168</f>
        <v>7.4399999999999992E-5</v>
      </c>
      <c r="AP24" s="49">
        <f>'LUC-2013-01-08-Run1'!BR168</f>
        <v>7.4404545454545451E-5</v>
      </c>
      <c r="AQ24" s="49">
        <f>'LUC-2013-01-08-Run1'!BS168</f>
        <v>7.3999999999999996E-5</v>
      </c>
      <c r="AR24" s="49">
        <f>'LUC-2013-01-08-Run1'!BT168</f>
        <v>7.4024999999999997E-5</v>
      </c>
      <c r="AS24" s="49">
        <f>'LUC-2013-01-08-Run1'!BU168</f>
        <v>7.4049999999999997E-5</v>
      </c>
      <c r="AT24" s="49">
        <f>'LUC-2013-01-08-Run1'!BV168</f>
        <v>7.4074999999999998E-5</v>
      </c>
      <c r="AU24" s="49">
        <f>'LUC-2013-01-08-Run1'!BW168</f>
        <v>7.4099999999999999E-5</v>
      </c>
      <c r="AV24" s="49">
        <f>'LUC-2013-01-08-Run1'!BX168</f>
        <v>7.4124999999999999E-5</v>
      </c>
      <c r="AW24" s="49">
        <f>'LUC-2013-01-08-Run1'!BY168</f>
        <v>7.415E-5</v>
      </c>
      <c r="AX24" s="49">
        <f>'LUC-2013-01-08-Run1'!BZ168</f>
        <v>7.4175E-5</v>
      </c>
      <c r="AY24" s="49">
        <f>'LUC-2013-01-08-Run1'!CA168</f>
        <v>7.4200000000000001E-5</v>
      </c>
      <c r="AZ24" s="49">
        <f>'LUC-2013-01-08-Run1'!CB168</f>
        <v>7.4225000000000002E-5</v>
      </c>
      <c r="BA24" s="49">
        <f>'LUC-2013-01-08-Run1'!CC168</f>
        <v>7.4249999999999989E-5</v>
      </c>
      <c r="BB24" s="49">
        <f>'LUC-2013-01-08-Run1'!CD168</f>
        <v>7.4274999999999989E-5</v>
      </c>
      <c r="BC24" s="49">
        <f>'LUC-2013-01-08-Run1'!CE168</f>
        <v>7.429999999999999E-5</v>
      </c>
      <c r="BD24" s="49">
        <f>'LUC-2013-01-08-Run1'!CF168</f>
        <v>7.4324999999999991E-5</v>
      </c>
      <c r="BE24" s="49">
        <f>'LUC-2013-01-08-Run1'!CG168</f>
        <v>7.4349999999999991E-5</v>
      </c>
      <c r="BF24" s="49">
        <f>'LUC-2013-01-08-Run1'!CH168</f>
        <v>7.4374999999999992E-5</v>
      </c>
      <c r="BG24" s="49">
        <f>'LUC-2013-01-08-Run1'!CI168</f>
        <v>7.4399999999999992E-5</v>
      </c>
      <c r="BH24" s="49">
        <f>'LUC-2013-01-08-Run1'!CJ168</f>
        <v>7.4424999999999993E-5</v>
      </c>
      <c r="BI24" s="49">
        <f>'LUC-2013-01-08-Run1'!CK168</f>
        <v>7.4449999999999994E-5</v>
      </c>
      <c r="BJ24" s="49">
        <f>'LUC-2013-01-08-Run1'!CL168</f>
        <v>7.4474999999999994E-5</v>
      </c>
      <c r="BK24" s="49">
        <f>'LUC-2013-01-08-Run1'!CM168</f>
        <v>7.4499999999999995E-5</v>
      </c>
      <c r="BM24" s="50"/>
      <c r="BN24" s="50" t="s">
        <v>112</v>
      </c>
      <c r="BO24" s="50"/>
      <c r="BP24" s="50"/>
      <c r="BQ24" s="50"/>
      <c r="BR24" s="50"/>
      <c r="BS24" s="50"/>
      <c r="BT24" s="50"/>
      <c r="BU24" s="50"/>
    </row>
    <row r="25" spans="1:77" x14ac:dyDescent="0.25">
      <c r="BM25" s="56" t="s">
        <v>93</v>
      </c>
      <c r="BN25" s="56" t="s">
        <v>94</v>
      </c>
      <c r="BO25" s="56">
        <v>1991</v>
      </c>
      <c r="BP25" s="56">
        <v>2000</v>
      </c>
      <c r="BQ25" s="56">
        <v>2010</v>
      </c>
      <c r="BR25" s="56">
        <v>2020</v>
      </c>
      <c r="BS25" s="56">
        <v>2030</v>
      </c>
      <c r="BT25" s="56">
        <v>2040</v>
      </c>
      <c r="BU25" s="56">
        <v>2050</v>
      </c>
    </row>
    <row r="26" spans="1:77" x14ac:dyDescent="0.25">
      <c r="A26" s="52" t="s">
        <v>71</v>
      </c>
      <c r="B26" s="50" t="s">
        <v>99</v>
      </c>
      <c r="C26" s="52" t="s">
        <v>107</v>
      </c>
      <c r="D26" s="49">
        <f>'LUC-2013-01-08-Run1'!AF268</f>
        <v>2.8586557155908612E-3</v>
      </c>
      <c r="E26" s="49">
        <f>'LUC-2013-01-08-Run1'!AG268</f>
        <v>2.909963886131464E-3</v>
      </c>
      <c r="F26" s="49">
        <f>'LUC-2013-01-08-Run1'!AH268</f>
        <v>2.9612720566720677E-3</v>
      </c>
      <c r="G26" s="49">
        <f>'LUC-2013-01-08-Run1'!AI268</f>
        <v>3.0125802272126705E-3</v>
      </c>
      <c r="H26" s="49">
        <f>'LUC-2013-01-08-Run1'!AJ268</f>
        <v>3.0638883977532742E-3</v>
      </c>
      <c r="I26" s="49">
        <f>'LUC-2013-01-08-Run1'!AK268</f>
        <v>3.1151965682938766E-3</v>
      </c>
      <c r="J26" s="49">
        <f>'LUC-2013-01-08-Run1'!AL268</f>
        <v>3.1665047388344802E-3</v>
      </c>
      <c r="K26" s="49">
        <f>'LUC-2013-01-08-Run1'!AM268</f>
        <v>3.2178129093750835E-3</v>
      </c>
      <c r="L26" s="49">
        <f>'LUC-2013-01-08-Run1'!AN268</f>
        <v>3.2691210799156863E-3</v>
      </c>
      <c r="M26" s="49">
        <f>'LUC-2013-01-08-Run1'!AO268</f>
        <v>3.3204292504562887E-3</v>
      </c>
      <c r="N26" s="49">
        <f>'LUC-2013-01-08-Run1'!AP268</f>
        <v>3.3717374209968911E-3</v>
      </c>
      <c r="O26" s="49">
        <f>'LUC-2013-01-08-Run1'!AQ268</f>
        <v>3.4230455915374956E-3</v>
      </c>
      <c r="P26" s="49">
        <f>'LUC-2013-01-08-Run1'!AR268</f>
        <v>3.474353762078098E-3</v>
      </c>
      <c r="Q26" s="49">
        <f>'LUC-2013-01-08-Run1'!AS268</f>
        <v>3.5256619326187004E-3</v>
      </c>
      <c r="R26" s="49">
        <f>'LUC-2013-01-08-Run1'!AT268</f>
        <v>3.5769701031593041E-3</v>
      </c>
      <c r="S26" s="49">
        <f>'LUC-2013-01-08-Run1'!AU268</f>
        <v>3.6282782736999073E-3</v>
      </c>
      <c r="T26" s="49">
        <f>'LUC-2013-01-08-Run1'!AV268</f>
        <v>3.6601435786098075E-3</v>
      </c>
      <c r="U26" s="49">
        <f>'LUC-2013-01-08-Run1'!AW268</f>
        <v>3.6920088835197063E-3</v>
      </c>
      <c r="V26" s="49">
        <f>'LUC-2013-01-08-Run1'!AX268</f>
        <v>3.7238741884296055E-3</v>
      </c>
      <c r="W26" s="49">
        <f>'LUC-2013-01-08-Run1'!AY268</f>
        <v>3.7557394933395052E-3</v>
      </c>
      <c r="X26" s="49">
        <f>'LUC-2013-01-08-Run1'!AZ268</f>
        <v>3.7876047982494045E-3</v>
      </c>
      <c r="Y26" s="49">
        <f>'LUC-2013-01-08-Run1'!BA268</f>
        <v>3.8194701031593042E-3</v>
      </c>
      <c r="Z26" s="49">
        <f>'LUC-2013-01-08-Run1'!BB268</f>
        <v>3.8513354080692043E-3</v>
      </c>
      <c r="AA26" s="49">
        <f>'LUC-2013-01-08-Run1'!BC268</f>
        <v>3.8832007129791031E-3</v>
      </c>
      <c r="AB26" s="49">
        <f>'LUC-2013-01-08-Run1'!BD268</f>
        <v>3.9150660178890037E-3</v>
      </c>
      <c r="AC26" s="49">
        <f>'LUC-2013-01-08-Run1'!BE268</f>
        <v>3.9469313227989029E-3</v>
      </c>
      <c r="AD26" s="49">
        <f>'LUC-2013-01-08-Run1'!BF268</f>
        <v>3.9787966277088022E-3</v>
      </c>
      <c r="AE26" s="49">
        <f>'LUC-2013-01-08-Run1'!BG268</f>
        <v>4.0106619326187015E-3</v>
      </c>
      <c r="AF26" s="49">
        <f>'LUC-2013-01-08-Run1'!BH268</f>
        <v>4.0425272375286016E-3</v>
      </c>
      <c r="AG26" s="49">
        <f>'LUC-2013-01-08-Run1'!BI268</f>
        <v>4.0743925424385008E-3</v>
      </c>
      <c r="AH26" s="49">
        <f>'LUC-2013-01-08-Run1'!BJ268</f>
        <v>4.1062578473483992E-3</v>
      </c>
      <c r="AI26" s="49">
        <f>'LUC-2013-01-08-Run1'!BK268</f>
        <v>4.1381231522582993E-3</v>
      </c>
      <c r="AJ26" s="49">
        <f>'LUC-2013-01-08-Run1'!BL268</f>
        <v>4.1699884571681986E-3</v>
      </c>
      <c r="AK26" s="49">
        <f>'LUC-2013-01-08-Run1'!BM268</f>
        <v>4.2018537620780979E-3</v>
      </c>
      <c r="AL26" s="49">
        <f>'LUC-2013-01-08-Run1'!BN268</f>
        <v>4.233719066987998E-3</v>
      </c>
      <c r="AM26" s="49">
        <f>'LUC-2013-01-08-Run1'!BO268</f>
        <v>4.2655843718978972E-3</v>
      </c>
      <c r="AN26" s="49">
        <f>'LUC-2013-01-08-Run1'!BP268</f>
        <v>4.2974496768077956E-3</v>
      </c>
      <c r="AO26" s="49">
        <f>'LUC-2013-01-08-Run1'!BQ268</f>
        <v>4.3293149817176958E-3</v>
      </c>
      <c r="AP26" s="49">
        <f>'LUC-2013-01-08-Run1'!BR268</f>
        <v>4.3611802866275959E-3</v>
      </c>
      <c r="AQ26" s="49">
        <f>'LUC-2013-01-08-Run1'!BS268</f>
        <v>4.3930455915374969E-3</v>
      </c>
      <c r="AR26" s="49">
        <f>'LUC-2013-01-08-Run1'!BT268</f>
        <v>4.4249108964473944E-3</v>
      </c>
      <c r="AS26" s="49">
        <f>'LUC-2013-01-08-Run1'!BU268</f>
        <v>4.4567762013572945E-3</v>
      </c>
      <c r="AT26" s="49">
        <f>'LUC-2013-01-08-Run1'!BV268</f>
        <v>4.4886415062671938E-3</v>
      </c>
      <c r="AU26" s="49">
        <f>'LUC-2013-01-08-Run1'!BW268</f>
        <v>4.520506811177093E-3</v>
      </c>
      <c r="AV26" s="49">
        <f>'LUC-2013-01-08-Run1'!BX268</f>
        <v>4.5523721160869923E-3</v>
      </c>
      <c r="AW26" s="49">
        <f>'LUC-2013-01-08-Run1'!BY268</f>
        <v>4.5842374209968924E-3</v>
      </c>
      <c r="AX26" s="49">
        <f>'LUC-2013-01-08-Run1'!BZ268</f>
        <v>4.6161027259067908E-3</v>
      </c>
      <c r="AY26" s="49">
        <f>'LUC-2013-01-08-Run1'!CA268</f>
        <v>4.6479680308166918E-3</v>
      </c>
      <c r="AZ26" s="49">
        <f>'LUC-2013-01-08-Run1'!CB268</f>
        <v>4.6798333357265902E-3</v>
      </c>
      <c r="BA26" s="49">
        <f>'LUC-2013-01-08-Run1'!CC268</f>
        <v>4.7116986406364903E-3</v>
      </c>
      <c r="BB26" s="49">
        <f>'LUC-2013-01-08-Run1'!CD268</f>
        <v>4.7435639455463896E-3</v>
      </c>
      <c r="BC26" s="49">
        <f>'LUC-2013-01-08-Run1'!CE268</f>
        <v>4.7754292504562897E-3</v>
      </c>
      <c r="BD26" s="49">
        <f>'LUC-2013-01-08-Run1'!CF268</f>
        <v>4.8072945553661881E-3</v>
      </c>
      <c r="BE26" s="49">
        <f>'LUC-2013-01-08-Run1'!CG268</f>
        <v>4.8391598602760891E-3</v>
      </c>
      <c r="BF26" s="49">
        <f>'LUC-2013-01-08-Run1'!CH268</f>
        <v>4.8710251651859866E-3</v>
      </c>
      <c r="BG26" s="49">
        <f>'LUC-2013-01-08-Run1'!CI268</f>
        <v>4.9028904700958876E-3</v>
      </c>
      <c r="BH26" s="49">
        <f>'LUC-2013-01-08-Run1'!CJ268</f>
        <v>4.9347557750057851E-3</v>
      </c>
      <c r="BI26" s="49">
        <f>'LUC-2013-01-08-Run1'!CK268</f>
        <v>4.9666210799156861E-3</v>
      </c>
      <c r="BJ26" s="49">
        <f>'LUC-2013-01-08-Run1'!CL268</f>
        <v>4.9984863848255862E-3</v>
      </c>
      <c r="BK26" s="49">
        <f>'LUC-2013-01-08-Run1'!CM268</f>
        <v>5.0303516897354846E-3</v>
      </c>
      <c r="BM26" s="101" t="s">
        <v>71</v>
      </c>
      <c r="BN26" s="55" t="s">
        <v>99</v>
      </c>
      <c r="BO26" s="81">
        <f t="shared" ref="BO26:BO32" si="16">D26*1000</f>
        <v>2.8586557155908614</v>
      </c>
      <c r="BP26" s="81">
        <f t="shared" ref="BP26:BP32" si="17">M26*1000</f>
        <v>3.3204292504562889</v>
      </c>
      <c r="BQ26" s="81">
        <f t="shared" ref="BQ26:BQ32" si="18">W26*1000</f>
        <v>3.7557394933395054</v>
      </c>
      <c r="BR26" s="81">
        <f t="shared" ref="BR26:BR32" si="19">AG26*1000</f>
        <v>4.0743925424385008</v>
      </c>
      <c r="BS26" s="81">
        <f t="shared" ref="BS26:BS32" si="20">AQ26*1000</f>
        <v>4.3930455915374971</v>
      </c>
      <c r="BT26" s="81">
        <f t="shared" ref="BT26:BT32" si="21">BA26*1000</f>
        <v>4.7116986406364907</v>
      </c>
      <c r="BU26" s="81">
        <f t="shared" ref="BU26:BU32" si="22">BK26*1000</f>
        <v>5.0303516897354843</v>
      </c>
      <c r="BV26" s="47"/>
      <c r="BW26" s="47"/>
      <c r="BX26" s="47"/>
    </row>
    <row r="27" spans="1:77" x14ac:dyDescent="0.25">
      <c r="A27" s="52" t="s">
        <v>71</v>
      </c>
      <c r="B27" s="50" t="s">
        <v>100</v>
      </c>
      <c r="C27" s="52" t="s">
        <v>107</v>
      </c>
      <c r="D27" s="49">
        <f>'LUC-2013-01-08-Run1'!AF269</f>
        <v>2.21991625074704E-3</v>
      </c>
      <c r="E27" s="49">
        <f>'LUC-2013-01-08-Run1'!AG269</f>
        <v>2.2566263371078163E-3</v>
      </c>
      <c r="F27" s="49">
        <f>'LUC-2013-01-08-Run1'!AH269</f>
        <v>2.2933364234685931E-3</v>
      </c>
      <c r="G27" s="49">
        <f>'LUC-2013-01-08-Run1'!AI269</f>
        <v>2.3300465098293689E-3</v>
      </c>
      <c r="H27" s="49">
        <f>'LUC-2013-01-08-Run1'!AJ269</f>
        <v>2.3667565961901457E-3</v>
      </c>
      <c r="I27" s="49">
        <f>'LUC-2013-01-08-Run1'!AK269</f>
        <v>2.403466682550922E-3</v>
      </c>
      <c r="J27" s="49">
        <f>'LUC-2013-01-08-Run1'!AL269</f>
        <v>2.4401767689116983E-3</v>
      </c>
      <c r="K27" s="49">
        <f>'LUC-2013-01-08-Run1'!AM269</f>
        <v>2.4768868552724754E-3</v>
      </c>
      <c r="L27" s="49">
        <f>'LUC-2013-01-08-Run1'!AN269</f>
        <v>2.5135969416332517E-3</v>
      </c>
      <c r="M27" s="49">
        <f>'LUC-2013-01-08-Run1'!AO269</f>
        <v>2.5503070279940276E-3</v>
      </c>
      <c r="N27" s="49">
        <f>'LUC-2013-01-08-Run1'!AP269</f>
        <v>2.5870171143548043E-3</v>
      </c>
      <c r="O27" s="49">
        <f>'LUC-2013-01-08-Run1'!AQ269</f>
        <v>2.6237272007155811E-3</v>
      </c>
      <c r="P27" s="49">
        <f>'LUC-2013-01-08-Run1'!AR269</f>
        <v>2.6604372870763569E-3</v>
      </c>
      <c r="Q27" s="49">
        <f>'LUC-2013-01-08-Run1'!AS269</f>
        <v>2.6971473734371336E-3</v>
      </c>
      <c r="R27" s="49">
        <f>'LUC-2013-01-08-Run1'!AT269</f>
        <v>2.7338574597979095E-3</v>
      </c>
      <c r="S27" s="49">
        <f>'LUC-2013-01-08-Run1'!AU269</f>
        <v>2.7705675461586858E-3</v>
      </c>
      <c r="T27" s="49">
        <f>'LUC-2013-01-08-Run1'!AV269</f>
        <v>2.7941732069956472E-3</v>
      </c>
      <c r="U27" s="49">
        <f>'LUC-2013-01-08-Run1'!AW269</f>
        <v>2.8177788678326082E-3</v>
      </c>
      <c r="V27" s="49">
        <f>'LUC-2013-01-08-Run1'!AX269</f>
        <v>2.8413845286695688E-3</v>
      </c>
      <c r="W27" s="49">
        <f>'LUC-2013-01-08-Run1'!AY269</f>
        <v>2.8649901895065294E-3</v>
      </c>
      <c r="X27" s="49">
        <f>'LUC-2013-01-08-Run1'!AZ269</f>
        <v>2.8885958503434904E-3</v>
      </c>
      <c r="Y27" s="49">
        <f>'LUC-2013-01-08-Run1'!BA269</f>
        <v>2.9122015111804514E-3</v>
      </c>
      <c r="Z27" s="49">
        <f>'LUC-2013-01-08-Run1'!BB269</f>
        <v>2.9358071720174115E-3</v>
      </c>
      <c r="AA27" s="49">
        <f>'LUC-2013-01-08-Run1'!BC269</f>
        <v>2.9594128328543738E-3</v>
      </c>
      <c r="AB27" s="49">
        <f>'LUC-2013-01-08-Run1'!BD269</f>
        <v>2.9830184936913344E-3</v>
      </c>
      <c r="AC27" s="49">
        <f>'LUC-2013-01-08-Run1'!BE269</f>
        <v>3.0066241545282949E-3</v>
      </c>
      <c r="AD27" s="49">
        <f>'LUC-2013-01-08-Run1'!BF269</f>
        <v>3.030229815365256E-3</v>
      </c>
      <c r="AE27" s="49">
        <f>'LUC-2013-01-08-Run1'!BG269</f>
        <v>3.0538354762022174E-3</v>
      </c>
      <c r="AF27" s="49">
        <f>'LUC-2013-01-08-Run1'!BH269</f>
        <v>3.0774411370391771E-3</v>
      </c>
      <c r="AG27" s="49">
        <f>'LUC-2013-01-08-Run1'!BI269</f>
        <v>3.1010467978761381E-3</v>
      </c>
      <c r="AH27" s="49">
        <f>'LUC-2013-01-08-Run1'!BJ269</f>
        <v>3.1246524587130987E-3</v>
      </c>
      <c r="AI27" s="49">
        <f>'LUC-2013-01-08-Run1'!BK269</f>
        <v>3.1482581195500597E-3</v>
      </c>
      <c r="AJ27" s="49">
        <f>'LUC-2013-01-08-Run1'!BL269</f>
        <v>3.1718637803870211E-3</v>
      </c>
      <c r="AK27" s="49">
        <f>'LUC-2013-01-08-Run1'!BM269</f>
        <v>3.1954694412239821E-3</v>
      </c>
      <c r="AL27" s="49">
        <f>'LUC-2013-01-08-Run1'!BN269</f>
        <v>3.2190751020609435E-3</v>
      </c>
      <c r="AM27" s="49">
        <f>'LUC-2013-01-08-Run1'!BO269</f>
        <v>3.2426807628979037E-3</v>
      </c>
      <c r="AN27" s="49">
        <f>'LUC-2013-01-08-Run1'!BP269</f>
        <v>3.2662864237348651E-3</v>
      </c>
      <c r="AO27" s="49">
        <f>'LUC-2013-01-08-Run1'!BQ269</f>
        <v>3.2898920845718252E-3</v>
      </c>
      <c r="AP27" s="49">
        <f>'LUC-2013-01-08-Run1'!BR269</f>
        <v>3.3134977454087858E-3</v>
      </c>
      <c r="AQ27" s="49">
        <f>'LUC-2013-01-08-Run1'!BS269</f>
        <v>3.3371034062457468E-3</v>
      </c>
      <c r="AR27" s="49">
        <f>'LUC-2013-01-08-Run1'!BT269</f>
        <v>3.3607090670827078E-3</v>
      </c>
      <c r="AS27" s="49">
        <f>'LUC-2013-01-08-Run1'!BU269</f>
        <v>3.3843147279196684E-3</v>
      </c>
      <c r="AT27" s="49">
        <f>'LUC-2013-01-08-Run1'!BV269</f>
        <v>3.4079203887566302E-3</v>
      </c>
      <c r="AU27" s="49">
        <f>'LUC-2013-01-08-Run1'!BW269</f>
        <v>3.4315260495935899E-3</v>
      </c>
      <c r="AV27" s="49">
        <f>'LUC-2013-01-08-Run1'!BX269</f>
        <v>3.4551317104305514E-3</v>
      </c>
      <c r="AW27" s="49">
        <f>'LUC-2013-01-08-Run1'!BY269</f>
        <v>3.4787373712675128E-3</v>
      </c>
      <c r="AX27" s="49">
        <f>'LUC-2013-01-08-Run1'!BZ269</f>
        <v>3.5023430321044729E-3</v>
      </c>
      <c r="AY27" s="49">
        <f>'LUC-2013-01-08-Run1'!CA269</f>
        <v>3.5259486929414339E-3</v>
      </c>
      <c r="AZ27" s="49">
        <f>'LUC-2013-01-08-Run1'!CB269</f>
        <v>3.5495543537783945E-3</v>
      </c>
      <c r="BA27" s="49">
        <f>'LUC-2013-01-08-Run1'!CC269</f>
        <v>3.5731600146153551E-3</v>
      </c>
      <c r="BB27" s="49">
        <f>'LUC-2013-01-08-Run1'!CD269</f>
        <v>3.5967656754523165E-3</v>
      </c>
      <c r="BC27" s="49">
        <f>'LUC-2013-01-08-Run1'!CE269</f>
        <v>3.6203713362892771E-3</v>
      </c>
      <c r="BD27" s="49">
        <f>'LUC-2013-01-08-Run1'!CF269</f>
        <v>3.6439769971262381E-3</v>
      </c>
      <c r="BE27" s="49">
        <f>'LUC-2013-01-08-Run1'!CG269</f>
        <v>3.6675826579631995E-3</v>
      </c>
      <c r="BF27" s="49">
        <f>'LUC-2013-01-08-Run1'!CH269</f>
        <v>3.6911883188001609E-3</v>
      </c>
      <c r="BG27" s="49">
        <f>'LUC-2013-01-08-Run1'!CI269</f>
        <v>3.7147939796371206E-3</v>
      </c>
      <c r="BH27" s="49">
        <f>'LUC-2013-01-08-Run1'!CJ269</f>
        <v>3.7383996404740821E-3</v>
      </c>
      <c r="BI27" s="49">
        <f>'LUC-2013-01-08-Run1'!CK269</f>
        <v>3.7620053013110422E-3</v>
      </c>
      <c r="BJ27" s="49">
        <f>'LUC-2013-01-08-Run1'!CL269</f>
        <v>3.7856109621480032E-3</v>
      </c>
      <c r="BK27" s="49">
        <f>'LUC-2013-01-08-Run1'!CM269</f>
        <v>3.8092166229849646E-3</v>
      </c>
      <c r="BM27" s="102"/>
      <c r="BN27" s="53" t="s">
        <v>100</v>
      </c>
      <c r="BO27" s="79">
        <f t="shared" si="16"/>
        <v>2.21991625074704</v>
      </c>
      <c r="BP27" s="79">
        <f t="shared" si="17"/>
        <v>2.5503070279940276</v>
      </c>
      <c r="BQ27" s="79">
        <f t="shared" si="18"/>
        <v>2.8649901895065293</v>
      </c>
      <c r="BR27" s="79">
        <f t="shared" si="19"/>
        <v>3.1010467978761382</v>
      </c>
      <c r="BS27" s="79">
        <f t="shared" si="20"/>
        <v>3.3371034062457468</v>
      </c>
      <c r="BT27" s="79">
        <f t="shared" si="21"/>
        <v>3.5731600146153553</v>
      </c>
      <c r="BU27" s="79">
        <f t="shared" si="22"/>
        <v>3.8092166229849647</v>
      </c>
    </row>
    <row r="28" spans="1:77" x14ac:dyDescent="0.25">
      <c r="A28" s="52" t="s">
        <v>71</v>
      </c>
      <c r="B28" s="50" t="s">
        <v>101</v>
      </c>
      <c r="C28" s="52" t="s">
        <v>107</v>
      </c>
      <c r="D28" s="49">
        <f>'LUC-2013-01-08-Run1'!AF270</f>
        <v>3.2695631189309741E-3</v>
      </c>
      <c r="E28" s="49">
        <f>'LUC-2013-01-08-Run1'!AG270</f>
        <v>3.3190680876783053E-3</v>
      </c>
      <c r="F28" s="49">
        <f>'LUC-2013-01-08-Run1'!AH270</f>
        <v>3.3685730564256351E-3</v>
      </c>
      <c r="G28" s="49">
        <f>'LUC-2013-01-08-Run1'!AI270</f>
        <v>3.4180780251729654E-3</v>
      </c>
      <c r="H28" s="49">
        <f>'LUC-2013-01-08-Run1'!AJ270</f>
        <v>3.4675829939202975E-3</v>
      </c>
      <c r="I28" s="49">
        <f>'LUC-2013-01-08-Run1'!AK270</f>
        <v>3.5170879626676278E-3</v>
      </c>
      <c r="J28" s="49">
        <f>'LUC-2013-01-08-Run1'!AL270</f>
        <v>3.566592931414959E-3</v>
      </c>
      <c r="K28" s="49">
        <f>'LUC-2013-01-08-Run1'!AM270</f>
        <v>3.6160979001622893E-3</v>
      </c>
      <c r="L28" s="49">
        <f>'LUC-2013-01-08-Run1'!AN270</f>
        <v>3.66560286890962E-3</v>
      </c>
      <c r="M28" s="49">
        <f>'LUC-2013-01-08-Run1'!AO270</f>
        <v>3.7151078376569512E-3</v>
      </c>
      <c r="N28" s="49">
        <f>'LUC-2013-01-08-Run1'!AP270</f>
        <v>3.764612806404282E-3</v>
      </c>
      <c r="O28" s="49">
        <f>'LUC-2013-01-08-Run1'!AQ270</f>
        <v>3.8141177751516123E-3</v>
      </c>
      <c r="P28" s="49">
        <f>'LUC-2013-01-08-Run1'!AR270</f>
        <v>3.8636227438989435E-3</v>
      </c>
      <c r="Q28" s="49">
        <f>'LUC-2013-01-08-Run1'!AS270</f>
        <v>3.9131277126462733E-3</v>
      </c>
      <c r="R28" s="49">
        <f>'LUC-2013-01-08-Run1'!AT270</f>
        <v>3.9626326813936045E-3</v>
      </c>
      <c r="S28" s="49">
        <f>'LUC-2013-01-08-Run1'!AU270</f>
        <v>4.0121376501409357E-3</v>
      </c>
      <c r="T28" s="49">
        <f>'LUC-2013-01-08-Run1'!AV270</f>
        <v>4.0409850921853223E-3</v>
      </c>
      <c r="U28" s="49">
        <f>'LUC-2013-01-08-Run1'!AW270</f>
        <v>4.0698325342297097E-3</v>
      </c>
      <c r="V28" s="49">
        <f>'LUC-2013-01-08-Run1'!AX270</f>
        <v>4.0986799762740963E-3</v>
      </c>
      <c r="W28" s="49">
        <f>'LUC-2013-01-08-Run1'!AY270</f>
        <v>4.127527418318482E-3</v>
      </c>
      <c r="X28" s="49">
        <f>'LUC-2013-01-08-Run1'!AZ270</f>
        <v>4.1563748603628704E-3</v>
      </c>
      <c r="Y28" s="49">
        <f>'LUC-2013-01-08-Run1'!BA270</f>
        <v>4.1852223024072561E-3</v>
      </c>
      <c r="Z28" s="49">
        <f>'LUC-2013-01-08-Run1'!BB270</f>
        <v>4.2140697444516435E-3</v>
      </c>
      <c r="AA28" s="49">
        <f>'LUC-2013-01-08-Run1'!BC270</f>
        <v>4.2429171864960301E-3</v>
      </c>
      <c r="AB28" s="49">
        <f>'LUC-2013-01-08-Run1'!BD270</f>
        <v>4.2717646285404158E-3</v>
      </c>
      <c r="AC28" s="49">
        <f>'LUC-2013-01-08-Run1'!BE270</f>
        <v>4.3006120705848042E-3</v>
      </c>
      <c r="AD28" s="49">
        <f>'LUC-2013-01-08-Run1'!BF270</f>
        <v>4.3294595126291899E-3</v>
      </c>
      <c r="AE28" s="49">
        <f>'LUC-2013-01-08-Run1'!BG270</f>
        <v>4.3583069546735782E-3</v>
      </c>
      <c r="AF28" s="49">
        <f>'LUC-2013-01-08-Run1'!BH270</f>
        <v>4.3871543967179639E-3</v>
      </c>
      <c r="AG28" s="49">
        <f>'LUC-2013-01-08-Run1'!BI270</f>
        <v>4.4160018387623514E-3</v>
      </c>
      <c r="AH28" s="49">
        <f>'LUC-2013-01-08-Run1'!BJ270</f>
        <v>4.444849280806738E-3</v>
      </c>
      <c r="AI28" s="49">
        <f>'LUC-2013-01-08-Run1'!BK270</f>
        <v>4.4736967228511245E-3</v>
      </c>
      <c r="AJ28" s="49">
        <f>'LUC-2013-01-08-Run1'!BL270</f>
        <v>4.5025441648955111E-3</v>
      </c>
      <c r="AK28" s="49">
        <f>'LUC-2013-01-08-Run1'!BM270</f>
        <v>4.5313916069398994E-3</v>
      </c>
      <c r="AL28" s="49">
        <f>'LUC-2013-01-08-Run1'!BN270</f>
        <v>4.5602390489842852E-3</v>
      </c>
      <c r="AM28" s="49">
        <f>'LUC-2013-01-08-Run1'!BO270</f>
        <v>4.5890864910286726E-3</v>
      </c>
      <c r="AN28" s="49">
        <f>'LUC-2013-01-08-Run1'!BP270</f>
        <v>4.6179339330730601E-3</v>
      </c>
      <c r="AO28" s="49">
        <f>'LUC-2013-01-08-Run1'!BQ270</f>
        <v>4.6467813751174458E-3</v>
      </c>
      <c r="AP28" s="49">
        <f>'LUC-2013-01-08-Run1'!BR270</f>
        <v>4.6756288171618332E-3</v>
      </c>
      <c r="AQ28" s="49">
        <f>'LUC-2013-01-08-Run1'!BS270</f>
        <v>4.7044762592062198E-3</v>
      </c>
      <c r="AR28" s="49">
        <f>'LUC-2013-01-08-Run1'!BT270</f>
        <v>4.7333237012506073E-3</v>
      </c>
      <c r="AS28" s="49">
        <f>'LUC-2013-01-08-Run1'!BU270</f>
        <v>4.762171143294993E-3</v>
      </c>
      <c r="AT28" s="49">
        <f>'LUC-2013-01-08-Run1'!BV270</f>
        <v>4.7910185853393805E-3</v>
      </c>
      <c r="AU28" s="49">
        <f>'LUC-2013-01-08-Run1'!BW270</f>
        <v>4.8198660273837679E-3</v>
      </c>
      <c r="AV28" s="49">
        <f>'LUC-2013-01-08-Run1'!BX270</f>
        <v>4.8487134694281545E-3</v>
      </c>
      <c r="AW28" s="49">
        <f>'LUC-2013-01-08-Run1'!BY270</f>
        <v>4.8775609114725419E-3</v>
      </c>
      <c r="AX28" s="49">
        <f>'LUC-2013-01-08-Run1'!BZ270</f>
        <v>4.9064083535169277E-3</v>
      </c>
      <c r="AY28" s="49">
        <f>'LUC-2013-01-08-Run1'!CA270</f>
        <v>4.9352557955613151E-3</v>
      </c>
      <c r="AZ28" s="49">
        <f>'LUC-2013-01-08-Run1'!CB270</f>
        <v>4.9641032376057017E-3</v>
      </c>
      <c r="BA28" s="49">
        <f>'LUC-2013-01-08-Run1'!CC270</f>
        <v>4.9929506796500883E-3</v>
      </c>
      <c r="BB28" s="49">
        <f>'LUC-2013-01-08-Run1'!CD270</f>
        <v>5.0217981216944757E-3</v>
      </c>
      <c r="BC28" s="49">
        <f>'LUC-2013-01-08-Run1'!CE270</f>
        <v>5.0506455637388623E-3</v>
      </c>
      <c r="BD28" s="49">
        <f>'LUC-2013-01-08-Run1'!CF270</f>
        <v>5.0794930057832489E-3</v>
      </c>
      <c r="BE28" s="49">
        <f>'LUC-2013-01-08-Run1'!CG270</f>
        <v>5.1083404478276355E-3</v>
      </c>
      <c r="BF28" s="49">
        <f>'LUC-2013-01-08-Run1'!CH270</f>
        <v>5.1371878898720212E-3</v>
      </c>
      <c r="BG28" s="49">
        <f>'LUC-2013-01-08-Run1'!CI270</f>
        <v>5.1660353319164087E-3</v>
      </c>
      <c r="BH28" s="49">
        <f>'LUC-2013-01-08-Run1'!CJ270</f>
        <v>5.1948827739607961E-3</v>
      </c>
      <c r="BI28" s="49">
        <f>'LUC-2013-01-08-Run1'!CK270</f>
        <v>5.2237302160051836E-3</v>
      </c>
      <c r="BJ28" s="49">
        <f>'LUC-2013-01-08-Run1'!CL270</f>
        <v>5.252577658049571E-3</v>
      </c>
      <c r="BK28" s="49">
        <f>'LUC-2013-01-08-Run1'!CM270</f>
        <v>5.2814251000939559E-3</v>
      </c>
      <c r="BM28" s="102"/>
      <c r="BN28" s="53" t="s">
        <v>101</v>
      </c>
      <c r="BO28" s="79">
        <f t="shared" si="16"/>
        <v>3.2695631189309742</v>
      </c>
      <c r="BP28" s="79">
        <f t="shared" si="17"/>
        <v>3.7151078376569511</v>
      </c>
      <c r="BQ28" s="79">
        <f t="shared" si="18"/>
        <v>4.1275274183184818</v>
      </c>
      <c r="BR28" s="79">
        <f t="shared" si="19"/>
        <v>4.4160018387623516</v>
      </c>
      <c r="BS28" s="79">
        <f t="shared" si="20"/>
        <v>4.7044762592062197</v>
      </c>
      <c r="BT28" s="79">
        <f t="shared" si="21"/>
        <v>4.9929506796500887</v>
      </c>
      <c r="BU28" s="79">
        <f t="shared" si="22"/>
        <v>5.2814251000939558</v>
      </c>
    </row>
    <row r="29" spans="1:77" x14ac:dyDescent="0.25">
      <c r="A29" s="52" t="s">
        <v>71</v>
      </c>
      <c r="B29" s="50" t="s">
        <v>111</v>
      </c>
      <c r="C29" s="52" t="s">
        <v>107</v>
      </c>
      <c r="D29" s="49">
        <f>'LUC-2013-01-08-Run1'!AF271</f>
        <v>1.4251346260975677E-3</v>
      </c>
      <c r="E29" s="49">
        <f>'LUC-2013-01-08-Run1'!AG271</f>
        <v>1.4394010133432365E-3</v>
      </c>
      <c r="F29" s="49">
        <f>'LUC-2013-01-08-Run1'!AH271</f>
        <v>1.4536674005889065E-3</v>
      </c>
      <c r="G29" s="49">
        <f>'LUC-2013-01-08-Run1'!AI271</f>
        <v>1.4679337878345756E-3</v>
      </c>
      <c r="H29" s="49">
        <f>'LUC-2013-01-08-Run1'!AJ271</f>
        <v>1.4822001750802451E-3</v>
      </c>
      <c r="I29" s="49">
        <f>'LUC-2013-01-08-Run1'!AK271</f>
        <v>1.4964665623259147E-3</v>
      </c>
      <c r="J29" s="49">
        <f>'LUC-2013-01-08-Run1'!AL271</f>
        <v>1.5107329495715842E-3</v>
      </c>
      <c r="K29" s="49">
        <f>'LUC-2013-01-08-Run1'!AM271</f>
        <v>1.5249993368172535E-3</v>
      </c>
      <c r="L29" s="49">
        <f>'LUC-2013-01-08-Run1'!AN271</f>
        <v>1.5392657240629226E-3</v>
      </c>
      <c r="M29" s="49">
        <f>'LUC-2013-01-08-Run1'!AO271</f>
        <v>1.5535321113085924E-3</v>
      </c>
      <c r="N29" s="49">
        <f>'LUC-2013-01-08-Run1'!AP271</f>
        <v>1.5677984985542617E-3</v>
      </c>
      <c r="O29" s="49">
        <f>'LUC-2013-01-08-Run1'!AQ271</f>
        <v>1.5820648857999312E-3</v>
      </c>
      <c r="P29" s="49">
        <f>'LUC-2013-01-08-Run1'!AR271</f>
        <v>1.5963312730456008E-3</v>
      </c>
      <c r="Q29" s="49">
        <f>'LUC-2013-01-08-Run1'!AS271</f>
        <v>1.6105976602912699E-3</v>
      </c>
      <c r="R29" s="49">
        <f>'LUC-2013-01-08-Run1'!AT271</f>
        <v>1.6248640475369394E-3</v>
      </c>
      <c r="S29" s="49">
        <f>'LUC-2013-01-08-Run1'!AU271</f>
        <v>1.6391304347826087E-3</v>
      </c>
      <c r="T29" s="49">
        <f>'LUC-2013-01-08-Run1'!AV271</f>
        <v>1.6512056578914661E-3</v>
      </c>
      <c r="U29" s="49">
        <f>'LUC-2013-01-08-Run1'!AW271</f>
        <v>1.6632808810003231E-3</v>
      </c>
      <c r="V29" s="49">
        <f>'LUC-2013-01-08-Run1'!AX271</f>
        <v>1.6753561041091803E-3</v>
      </c>
      <c r="W29" s="49">
        <f>'LUC-2013-01-08-Run1'!AY271</f>
        <v>1.6874313272180379E-3</v>
      </c>
      <c r="X29" s="49">
        <f>'LUC-2013-01-08-Run1'!AZ271</f>
        <v>1.6995065503268951E-3</v>
      </c>
      <c r="Y29" s="49">
        <f>'LUC-2013-01-08-Run1'!BA271</f>
        <v>1.7115817734357521E-3</v>
      </c>
      <c r="Z29" s="49">
        <f>'LUC-2013-01-08-Run1'!BB271</f>
        <v>1.7236569965446093E-3</v>
      </c>
      <c r="AA29" s="49">
        <f>'LUC-2013-01-08-Run1'!BC271</f>
        <v>1.7357322196534667E-3</v>
      </c>
      <c r="AB29" s="49">
        <f>'LUC-2013-01-08-Run1'!BD271</f>
        <v>1.7478074427623236E-3</v>
      </c>
      <c r="AC29" s="49">
        <f>'LUC-2013-01-08-Run1'!BE271</f>
        <v>1.759882665871181E-3</v>
      </c>
      <c r="AD29" s="49">
        <f>'LUC-2013-01-08-Run1'!BF271</f>
        <v>1.7719578889800382E-3</v>
      </c>
      <c r="AE29" s="49">
        <f>'LUC-2013-01-08-Run1'!BG271</f>
        <v>1.7840331120888959E-3</v>
      </c>
      <c r="AF29" s="49">
        <f>'LUC-2013-01-08-Run1'!BH271</f>
        <v>1.7961083351977531E-3</v>
      </c>
      <c r="AG29" s="49">
        <f>'LUC-2013-01-08-Run1'!BI271</f>
        <v>1.8081835583066094E-3</v>
      </c>
      <c r="AH29" s="49">
        <f>'LUC-2013-01-08-Run1'!BJ271</f>
        <v>1.8202587814154672E-3</v>
      </c>
      <c r="AI29" s="49">
        <f>'LUC-2013-01-08-Run1'!BK271</f>
        <v>1.8323340045243244E-3</v>
      </c>
      <c r="AJ29" s="49">
        <f>'LUC-2013-01-08-Run1'!BL271</f>
        <v>1.844409227633182E-3</v>
      </c>
      <c r="AK29" s="49">
        <f>'LUC-2013-01-08-Run1'!BM271</f>
        <v>1.8564844507420388E-3</v>
      </c>
      <c r="AL29" s="49">
        <f>'LUC-2013-01-08-Run1'!BN271</f>
        <v>1.8685596738508962E-3</v>
      </c>
      <c r="AM29" s="49">
        <f>'LUC-2013-01-08-Run1'!BO271</f>
        <v>1.8806348969597534E-3</v>
      </c>
      <c r="AN29" s="49">
        <f>'LUC-2013-01-08-Run1'!BP271</f>
        <v>1.8927101200686108E-3</v>
      </c>
      <c r="AO29" s="49">
        <f>'LUC-2013-01-08-Run1'!BQ271</f>
        <v>1.9047853431774678E-3</v>
      </c>
      <c r="AP29" s="49">
        <f>'LUC-2013-01-08-Run1'!BR271</f>
        <v>1.9168605662863256E-3</v>
      </c>
      <c r="AQ29" s="49">
        <f>'LUC-2013-01-08-Run1'!BS271</f>
        <v>1.9289357893951824E-3</v>
      </c>
      <c r="AR29" s="49">
        <f>'LUC-2013-01-08-Run1'!BT271</f>
        <v>1.9410110125040402E-3</v>
      </c>
      <c r="AS29" s="49">
        <f>'LUC-2013-01-08-Run1'!BU271</f>
        <v>1.9530862356128972E-3</v>
      </c>
      <c r="AT29" s="49">
        <f>'LUC-2013-01-08-Run1'!BV271</f>
        <v>1.9651614587217541E-3</v>
      </c>
      <c r="AU29" s="49">
        <f>'LUC-2013-01-08-Run1'!BW271</f>
        <v>1.9772366818306113E-3</v>
      </c>
      <c r="AV29" s="49">
        <f>'LUC-2013-01-08-Run1'!BX271</f>
        <v>1.989311904939469E-3</v>
      </c>
      <c r="AW29" s="49">
        <f>'LUC-2013-01-08-Run1'!BY271</f>
        <v>2.0013871280483257E-3</v>
      </c>
      <c r="AX29" s="49">
        <f>'LUC-2013-01-08-Run1'!BZ271</f>
        <v>2.0134623511571829E-3</v>
      </c>
      <c r="AY29" s="49">
        <f>'LUC-2013-01-08-Run1'!CA271</f>
        <v>2.0255375742660405E-3</v>
      </c>
      <c r="AZ29" s="49">
        <f>'LUC-2013-01-08-Run1'!CB271</f>
        <v>2.0376127973748973E-3</v>
      </c>
      <c r="BA29" s="49">
        <f>'LUC-2013-01-08-Run1'!CC271</f>
        <v>2.0496880204837549E-3</v>
      </c>
      <c r="BB29" s="49">
        <f>'LUC-2013-01-08-Run1'!CD271</f>
        <v>2.0617632435926121E-3</v>
      </c>
      <c r="BC29" s="49">
        <f>'LUC-2013-01-08-Run1'!CE271</f>
        <v>2.0738384667014697E-3</v>
      </c>
      <c r="BD29" s="49">
        <f>'LUC-2013-01-08-Run1'!CF271</f>
        <v>2.0859136898103261E-3</v>
      </c>
      <c r="BE29" s="49">
        <f>'LUC-2013-01-08-Run1'!CG271</f>
        <v>2.0979889129191837E-3</v>
      </c>
      <c r="BF29" s="49">
        <f>'LUC-2013-01-08-Run1'!CH271</f>
        <v>2.1100641360280409E-3</v>
      </c>
      <c r="BG29" s="49">
        <f>'LUC-2013-01-08-Run1'!CI271</f>
        <v>2.1221393591368985E-3</v>
      </c>
      <c r="BH29" s="49">
        <f>'LUC-2013-01-08-Run1'!CJ271</f>
        <v>2.1342145822457557E-3</v>
      </c>
      <c r="BI29" s="49">
        <f>'LUC-2013-01-08-Run1'!CK271</f>
        <v>2.1462898053546129E-3</v>
      </c>
      <c r="BJ29" s="49">
        <f>'LUC-2013-01-08-Run1'!CL271</f>
        <v>2.1583650284634701E-3</v>
      </c>
      <c r="BK29" s="49">
        <f>'LUC-2013-01-08-Run1'!CM271</f>
        <v>2.1704402515723277E-3</v>
      </c>
      <c r="BM29" s="102"/>
      <c r="BN29" s="53" t="s">
        <v>111</v>
      </c>
      <c r="BO29" s="79">
        <f t="shared" si="16"/>
        <v>1.4251346260975677</v>
      </c>
      <c r="BP29" s="79">
        <f t="shared" si="17"/>
        <v>1.5535321113085925</v>
      </c>
      <c r="BQ29" s="79">
        <f t="shared" si="18"/>
        <v>1.6874313272180379</v>
      </c>
      <c r="BR29" s="79">
        <f t="shared" si="19"/>
        <v>1.8081835583066095</v>
      </c>
      <c r="BS29" s="79">
        <f t="shared" si="20"/>
        <v>1.9289357893951824</v>
      </c>
      <c r="BT29" s="79">
        <f t="shared" si="21"/>
        <v>2.0496880204837549</v>
      </c>
      <c r="BU29" s="79">
        <f t="shared" si="22"/>
        <v>2.1704402515723276</v>
      </c>
    </row>
    <row r="30" spans="1:77" x14ac:dyDescent="0.25">
      <c r="A30" s="52" t="s">
        <v>71</v>
      </c>
      <c r="B30" s="50" t="s">
        <v>102</v>
      </c>
      <c r="C30" s="52" t="s">
        <v>107</v>
      </c>
      <c r="D30" s="49">
        <f>'LUC-2013-01-08-Run1'!AF272</f>
        <v>1.6577549140049134E-3</v>
      </c>
      <c r="E30" s="49">
        <f>'LUC-2013-01-08-Run1'!AG272</f>
        <v>1.6804361179361179E-3</v>
      </c>
      <c r="F30" s="49">
        <f>'LUC-2013-01-08-Run1'!AH272</f>
        <v>1.7031173218673219E-3</v>
      </c>
      <c r="G30" s="49">
        <f>'LUC-2013-01-08-Run1'!AI272</f>
        <v>1.7257985257985258E-3</v>
      </c>
      <c r="H30" s="49">
        <f>'LUC-2013-01-08-Run1'!AJ272</f>
        <v>1.7484797297297294E-3</v>
      </c>
      <c r="I30" s="49">
        <f>'LUC-2013-01-08-Run1'!AK272</f>
        <v>1.7711609336609332E-3</v>
      </c>
      <c r="J30" s="49">
        <f>'LUC-2013-01-08-Run1'!AL272</f>
        <v>1.7938421375921377E-3</v>
      </c>
      <c r="K30" s="49">
        <f>'LUC-2013-01-08-Run1'!AM272</f>
        <v>1.8165233415233415E-3</v>
      </c>
      <c r="L30" s="49">
        <f>'LUC-2013-01-08-Run1'!AN272</f>
        <v>1.8392045454545453E-3</v>
      </c>
      <c r="M30" s="49">
        <f>'LUC-2013-01-08-Run1'!AO272</f>
        <v>1.8618857493857496E-3</v>
      </c>
      <c r="N30" s="49">
        <f>'LUC-2013-01-08-Run1'!AP272</f>
        <v>1.8845669533169532E-3</v>
      </c>
      <c r="O30" s="49">
        <f>'LUC-2013-01-08-Run1'!AQ272</f>
        <v>1.9072481572481575E-3</v>
      </c>
      <c r="P30" s="49">
        <f>'LUC-2013-01-08-Run1'!AR272</f>
        <v>1.9299293611793611E-3</v>
      </c>
      <c r="Q30" s="49">
        <f>'LUC-2013-01-08-Run1'!AS272</f>
        <v>1.9526105651105647E-3</v>
      </c>
      <c r="R30" s="49">
        <f>'LUC-2013-01-08-Run1'!AT272</f>
        <v>1.9752917690417696E-3</v>
      </c>
      <c r="S30" s="49">
        <f>'LUC-2013-01-08-Run1'!AU272</f>
        <v>1.9979729729729728E-3</v>
      </c>
      <c r="T30" s="49">
        <f>'LUC-2013-01-08-Run1'!AV272</f>
        <v>2.0184735872235877E-3</v>
      </c>
      <c r="U30" s="49">
        <f>'LUC-2013-01-08-Run1'!AW272</f>
        <v>2.0389742014742013E-3</v>
      </c>
      <c r="V30" s="49">
        <f>'LUC-2013-01-08-Run1'!AX272</f>
        <v>2.0594748157248153E-3</v>
      </c>
      <c r="W30" s="49">
        <f>'LUC-2013-01-08-Run1'!AY272</f>
        <v>2.0799754299754298E-3</v>
      </c>
      <c r="X30" s="49">
        <f>'LUC-2013-01-08-Run1'!AZ272</f>
        <v>2.1004760442260443E-3</v>
      </c>
      <c r="Y30" s="49">
        <f>'LUC-2013-01-08-Run1'!BA272</f>
        <v>2.1209766584766587E-3</v>
      </c>
      <c r="Z30" s="49">
        <f>'LUC-2013-01-08-Run1'!BB272</f>
        <v>2.1414772727272723E-3</v>
      </c>
      <c r="AA30" s="49">
        <f>'LUC-2013-01-08-Run1'!BC272</f>
        <v>2.1619778869778868E-3</v>
      </c>
      <c r="AB30" s="49">
        <f>'LUC-2013-01-08-Run1'!BD272</f>
        <v>2.1824785012285013E-3</v>
      </c>
      <c r="AC30" s="49">
        <f>'LUC-2013-01-08-Run1'!BE272</f>
        <v>2.2029791154791153E-3</v>
      </c>
      <c r="AD30" s="49">
        <f>'LUC-2013-01-08-Run1'!BF272</f>
        <v>2.2234797297297293E-3</v>
      </c>
      <c r="AE30" s="49">
        <f>'LUC-2013-01-08-Run1'!BG272</f>
        <v>2.2439803439803438E-3</v>
      </c>
      <c r="AF30" s="49">
        <f>'LUC-2013-01-08-Run1'!BH272</f>
        <v>2.2644809582309583E-3</v>
      </c>
      <c r="AG30" s="49">
        <f>'LUC-2013-01-08-Run1'!BI272</f>
        <v>2.2849815724815723E-3</v>
      </c>
      <c r="AH30" s="49">
        <f>'LUC-2013-01-08-Run1'!BJ272</f>
        <v>2.3054821867321868E-3</v>
      </c>
      <c r="AI30" s="49">
        <f>'LUC-2013-01-08-Run1'!BK272</f>
        <v>2.3259828009828008E-3</v>
      </c>
      <c r="AJ30" s="49">
        <f>'LUC-2013-01-08-Run1'!BL272</f>
        <v>2.3464834152334153E-3</v>
      </c>
      <c r="AK30" s="49">
        <f>'LUC-2013-01-08-Run1'!BM272</f>
        <v>2.3669840294840293E-3</v>
      </c>
      <c r="AL30" s="49">
        <f>'LUC-2013-01-08-Run1'!BN272</f>
        <v>2.3874846437346438E-3</v>
      </c>
      <c r="AM30" s="49">
        <f>'LUC-2013-01-08-Run1'!BO272</f>
        <v>2.4079852579852574E-3</v>
      </c>
      <c r="AN30" s="49">
        <f>'LUC-2013-01-08-Run1'!BP272</f>
        <v>2.4284858722358718E-3</v>
      </c>
      <c r="AO30" s="49">
        <f>'LUC-2013-01-08-Run1'!BQ272</f>
        <v>2.4489864864864859E-3</v>
      </c>
      <c r="AP30" s="49">
        <f>'LUC-2013-01-08-Run1'!BR272</f>
        <v>2.4694871007371003E-3</v>
      </c>
      <c r="AQ30" s="49">
        <f>'LUC-2013-01-08-Run1'!BS272</f>
        <v>2.4899877149877148E-3</v>
      </c>
      <c r="AR30" s="49">
        <f>'LUC-2013-01-08-Run1'!BT272</f>
        <v>2.5104883292383293E-3</v>
      </c>
      <c r="AS30" s="49">
        <f>'LUC-2013-01-08-Run1'!BU272</f>
        <v>2.5309889434889433E-3</v>
      </c>
      <c r="AT30" s="49">
        <f>'LUC-2013-01-08-Run1'!BV272</f>
        <v>2.5514895577395573E-3</v>
      </c>
      <c r="AU30" s="49">
        <f>'LUC-2013-01-08-Run1'!BW272</f>
        <v>2.5719901719901722E-3</v>
      </c>
      <c r="AV30" s="49">
        <f>'LUC-2013-01-08-Run1'!BX272</f>
        <v>2.5924907862407863E-3</v>
      </c>
      <c r="AW30" s="49">
        <f>'LUC-2013-01-08-Run1'!BY272</f>
        <v>2.6129914004914007E-3</v>
      </c>
      <c r="AX30" s="49">
        <f>'LUC-2013-01-08-Run1'!BZ272</f>
        <v>2.6334920147420139E-3</v>
      </c>
      <c r="AY30" s="49">
        <f>'LUC-2013-01-08-Run1'!CA272</f>
        <v>2.6539926289926284E-3</v>
      </c>
      <c r="AZ30" s="49">
        <f>'LUC-2013-01-08-Run1'!CB272</f>
        <v>2.6744932432432428E-3</v>
      </c>
      <c r="BA30" s="49">
        <f>'LUC-2013-01-08-Run1'!CC272</f>
        <v>2.6949938574938573E-3</v>
      </c>
      <c r="BB30" s="49">
        <f>'LUC-2013-01-08-Run1'!CD272</f>
        <v>2.7154944717444713E-3</v>
      </c>
      <c r="BC30" s="49">
        <f>'LUC-2013-01-08-Run1'!CE272</f>
        <v>2.7359950859950858E-3</v>
      </c>
      <c r="BD30" s="49">
        <f>'LUC-2013-01-08-Run1'!CF272</f>
        <v>2.7564957002457007E-3</v>
      </c>
      <c r="BE30" s="49">
        <f>'LUC-2013-01-08-Run1'!CG272</f>
        <v>2.7769963144963143E-3</v>
      </c>
      <c r="BF30" s="49">
        <f>'LUC-2013-01-08-Run1'!CH272</f>
        <v>2.7974969287469288E-3</v>
      </c>
      <c r="BG30" s="49">
        <f>'LUC-2013-01-08-Run1'!CI272</f>
        <v>2.8179975429975424E-3</v>
      </c>
      <c r="BH30" s="49">
        <f>'LUC-2013-01-08-Run1'!CJ272</f>
        <v>2.8384981572481573E-3</v>
      </c>
      <c r="BI30" s="49">
        <f>'LUC-2013-01-08-Run1'!CK272</f>
        <v>2.8589987714987713E-3</v>
      </c>
      <c r="BJ30" s="49">
        <f>'LUC-2013-01-08-Run1'!CL272</f>
        <v>2.8794993857493853E-3</v>
      </c>
      <c r="BK30" s="49">
        <f>'LUC-2013-01-08-Run1'!CM272</f>
        <v>2.8999999999999998E-3</v>
      </c>
      <c r="BM30" s="102"/>
      <c r="BN30" s="53" t="s">
        <v>102</v>
      </c>
      <c r="BO30" s="79">
        <f t="shared" si="16"/>
        <v>1.6577549140049135</v>
      </c>
      <c r="BP30" s="79">
        <f t="shared" si="17"/>
        <v>1.8618857493857497</v>
      </c>
      <c r="BQ30" s="79">
        <f t="shared" si="18"/>
        <v>2.0799754299754296</v>
      </c>
      <c r="BR30" s="79">
        <f t="shared" si="19"/>
        <v>2.2849815724815721</v>
      </c>
      <c r="BS30" s="79">
        <f t="shared" si="20"/>
        <v>2.489987714987715</v>
      </c>
      <c r="BT30" s="79">
        <f t="shared" si="21"/>
        <v>2.6949938574938574</v>
      </c>
      <c r="BU30" s="79">
        <f t="shared" si="22"/>
        <v>2.9</v>
      </c>
    </row>
    <row r="31" spans="1:77" x14ac:dyDescent="0.25">
      <c r="A31" s="52" t="s">
        <v>71</v>
      </c>
      <c r="B31" s="50" t="s">
        <v>103</v>
      </c>
      <c r="C31" s="52" t="s">
        <v>107</v>
      </c>
      <c r="D31" s="49">
        <f>'LUC-2013-01-08-Run1'!AF273</f>
        <v>6.1522727272727278E-2</v>
      </c>
      <c r="E31" s="49">
        <f>'LUC-2013-01-08-Run1'!AG273</f>
        <v>6.1954545454545457E-2</v>
      </c>
      <c r="F31" s="49">
        <f>'LUC-2013-01-08-Run1'!AH273</f>
        <v>6.2386363636363643E-2</v>
      </c>
      <c r="G31" s="49">
        <f>'LUC-2013-01-08-Run1'!AI273</f>
        <v>6.2818181818181829E-2</v>
      </c>
      <c r="H31" s="49">
        <f>'LUC-2013-01-08-Run1'!AJ273</f>
        <v>6.3250000000000001E-2</v>
      </c>
      <c r="I31" s="49">
        <f>'LUC-2013-01-08-Run1'!AK273</f>
        <v>6.3681818181818187E-2</v>
      </c>
      <c r="J31" s="49">
        <f>'LUC-2013-01-08-Run1'!AL273</f>
        <v>6.4113636363636373E-2</v>
      </c>
      <c r="K31" s="49">
        <f>'LUC-2013-01-08-Run1'!AM273</f>
        <v>6.4545454545454545E-2</v>
      </c>
      <c r="L31" s="49">
        <f>'LUC-2013-01-08-Run1'!AN273</f>
        <v>6.4977272727272731E-2</v>
      </c>
      <c r="M31" s="49">
        <f>'LUC-2013-01-08-Run1'!AO273</f>
        <v>6.5409090909090917E-2</v>
      </c>
      <c r="N31" s="49">
        <f>'LUC-2013-01-08-Run1'!AP273</f>
        <v>6.5840909090909089E-2</v>
      </c>
      <c r="O31" s="49">
        <f>'LUC-2013-01-08-Run1'!AQ273</f>
        <v>6.6272727272727275E-2</v>
      </c>
      <c r="P31" s="49">
        <f>'LUC-2013-01-08-Run1'!AR273</f>
        <v>6.6704545454545461E-2</v>
      </c>
      <c r="Q31" s="49">
        <f>'LUC-2013-01-08-Run1'!AS273</f>
        <v>6.7136363636363633E-2</v>
      </c>
      <c r="R31" s="49">
        <f>'LUC-2013-01-08-Run1'!AT273</f>
        <v>6.7568181818181819E-2</v>
      </c>
      <c r="S31" s="49">
        <f>'LUC-2013-01-08-Run1'!AU273</f>
        <v>6.8000000000000005E-2</v>
      </c>
      <c r="T31" s="49">
        <f>'LUC-2013-01-08-Run1'!AV273</f>
        <v>6.881818181818182E-2</v>
      </c>
      <c r="U31" s="49">
        <f>'LUC-2013-01-08-Run1'!AW273</f>
        <v>6.9636363636363635E-2</v>
      </c>
      <c r="V31" s="49">
        <f>'LUC-2013-01-08-Run1'!AX273</f>
        <v>7.0454545454545464E-2</v>
      </c>
      <c r="W31" s="49">
        <f>'LUC-2013-01-08-Run1'!AY273</f>
        <v>7.1272727272727279E-2</v>
      </c>
      <c r="X31" s="49">
        <f>'LUC-2013-01-08-Run1'!AZ273</f>
        <v>7.2090909090909094E-2</v>
      </c>
      <c r="Y31" s="49">
        <f>'LUC-2013-01-08-Run1'!BA273</f>
        <v>7.290909090909091E-2</v>
      </c>
      <c r="Z31" s="49">
        <f>'LUC-2013-01-08-Run1'!BB273</f>
        <v>7.3727272727272725E-2</v>
      </c>
      <c r="AA31" s="49">
        <f>'LUC-2013-01-08-Run1'!BC273</f>
        <v>7.4545454545454554E-2</v>
      </c>
      <c r="AB31" s="49">
        <f>'LUC-2013-01-08-Run1'!BD273</f>
        <v>7.5363636363636369E-2</v>
      </c>
      <c r="AC31" s="49">
        <f>'LUC-2013-01-08-Run1'!BE273</f>
        <v>7.6181818181818184E-2</v>
      </c>
      <c r="AD31" s="49">
        <f>'LUC-2013-01-08-Run1'!BF273</f>
        <v>7.6999999999999999E-2</v>
      </c>
      <c r="AE31" s="49">
        <f>'LUC-2013-01-08-Run1'!BG273</f>
        <v>7.7818181818181814E-2</v>
      </c>
      <c r="AF31" s="49">
        <f>'LUC-2013-01-08-Run1'!BH273</f>
        <v>7.8636363636363643E-2</v>
      </c>
      <c r="AG31" s="49">
        <f>'LUC-2013-01-08-Run1'!BI273</f>
        <v>7.9454545454545458E-2</v>
      </c>
      <c r="AH31" s="49">
        <f>'LUC-2013-01-08-Run1'!BJ273</f>
        <v>8.0272727272727273E-2</v>
      </c>
      <c r="AI31" s="49">
        <f>'LUC-2013-01-08-Run1'!BK273</f>
        <v>8.1090909090909088E-2</v>
      </c>
      <c r="AJ31" s="49">
        <f>'LUC-2013-01-08-Run1'!BL273</f>
        <v>8.1909090909090904E-2</v>
      </c>
      <c r="AK31" s="49">
        <f>'LUC-2013-01-08-Run1'!BM273</f>
        <v>8.2727272727272733E-2</v>
      </c>
      <c r="AL31" s="49">
        <f>'LUC-2013-01-08-Run1'!BN273</f>
        <v>8.3545454545454548E-2</v>
      </c>
      <c r="AM31" s="49">
        <f>'LUC-2013-01-08-Run1'!BO273</f>
        <v>8.4363636363636363E-2</v>
      </c>
      <c r="AN31" s="49">
        <f>'LUC-2013-01-08-Run1'!BP273</f>
        <v>8.5181818181818178E-2</v>
      </c>
      <c r="AO31" s="49">
        <f>'LUC-2013-01-08-Run1'!BQ273</f>
        <v>8.5999999999999993E-2</v>
      </c>
      <c r="AP31" s="49">
        <f>'LUC-2013-01-08-Run1'!BR273</f>
        <v>8.6818181818181822E-2</v>
      </c>
      <c r="AQ31" s="49">
        <f>'LUC-2013-01-08-Run1'!BS273</f>
        <v>8.7636363636363637E-2</v>
      </c>
      <c r="AR31" s="49">
        <f>'LUC-2013-01-08-Run1'!BT273</f>
        <v>8.8454545454545452E-2</v>
      </c>
      <c r="AS31" s="49">
        <f>'LUC-2013-01-08-Run1'!BU273</f>
        <v>8.9272727272727267E-2</v>
      </c>
      <c r="AT31" s="49">
        <f>'LUC-2013-01-08-Run1'!BV273</f>
        <v>9.0090909090909083E-2</v>
      </c>
      <c r="AU31" s="49">
        <f>'LUC-2013-01-08-Run1'!BW273</f>
        <v>9.0909090909090912E-2</v>
      </c>
      <c r="AV31" s="49">
        <f>'LUC-2013-01-08-Run1'!BX273</f>
        <v>9.1727272727272727E-2</v>
      </c>
      <c r="AW31" s="49">
        <f>'LUC-2013-01-08-Run1'!BY273</f>
        <v>9.2545454545454542E-2</v>
      </c>
      <c r="AX31" s="49">
        <f>'LUC-2013-01-08-Run1'!BZ273</f>
        <v>9.3363636363636357E-2</v>
      </c>
      <c r="AY31" s="49">
        <f>'LUC-2013-01-08-Run1'!CA273</f>
        <v>9.4181818181818172E-2</v>
      </c>
      <c r="AZ31" s="49">
        <f>'LUC-2013-01-08-Run1'!CB273</f>
        <v>9.5000000000000001E-2</v>
      </c>
      <c r="BA31" s="49">
        <f>'LUC-2013-01-08-Run1'!CC273</f>
        <v>9.5818181818181816E-2</v>
      </c>
      <c r="BB31" s="49">
        <f>'LUC-2013-01-08-Run1'!CD273</f>
        <v>9.6636363636363631E-2</v>
      </c>
      <c r="BC31" s="49">
        <f>'LUC-2013-01-08-Run1'!CE273</f>
        <v>9.7454545454545446E-2</v>
      </c>
      <c r="BD31" s="49">
        <f>'LUC-2013-01-08-Run1'!CF273</f>
        <v>9.8272727272727262E-2</v>
      </c>
      <c r="BE31" s="49">
        <f>'LUC-2013-01-08-Run1'!CG273</f>
        <v>9.9090909090909091E-2</v>
      </c>
      <c r="BF31" s="49">
        <f>'LUC-2013-01-08-Run1'!CH273</f>
        <v>9.9909090909090906E-2</v>
      </c>
      <c r="BG31" s="49">
        <f>'LUC-2013-01-08-Run1'!CI273</f>
        <v>0.10072727272727272</v>
      </c>
      <c r="BH31" s="49">
        <f>'LUC-2013-01-08-Run1'!CJ273</f>
        <v>0.10154545454545455</v>
      </c>
      <c r="BI31" s="49">
        <f>'LUC-2013-01-08-Run1'!CK273</f>
        <v>0.10236363636363635</v>
      </c>
      <c r="BJ31" s="49">
        <f>'LUC-2013-01-08-Run1'!CL273</f>
        <v>0.10318181818181818</v>
      </c>
      <c r="BK31" s="49">
        <f>'LUC-2013-01-08-Run1'!CM273</f>
        <v>0.104</v>
      </c>
      <c r="BM31" s="102"/>
      <c r="BN31" s="53" t="s">
        <v>103</v>
      </c>
      <c r="BO31" s="63">
        <f t="shared" si="16"/>
        <v>61.52272727272728</v>
      </c>
      <c r="BP31" s="63">
        <f t="shared" si="17"/>
        <v>65.409090909090921</v>
      </c>
      <c r="BQ31" s="63">
        <f t="shared" si="18"/>
        <v>71.27272727272728</v>
      </c>
      <c r="BR31" s="63">
        <f t="shared" si="19"/>
        <v>79.454545454545453</v>
      </c>
      <c r="BS31" s="63">
        <f t="shared" si="20"/>
        <v>87.63636363636364</v>
      </c>
      <c r="BT31" s="63">
        <f t="shared" si="21"/>
        <v>95.818181818181813</v>
      </c>
      <c r="BU31" s="63">
        <f t="shared" si="22"/>
        <v>104</v>
      </c>
    </row>
    <row r="32" spans="1:77" x14ac:dyDescent="0.25">
      <c r="A32" s="52" t="s">
        <v>71</v>
      </c>
      <c r="B32" s="50" t="s">
        <v>104</v>
      </c>
      <c r="C32" s="52" t="s">
        <v>107</v>
      </c>
      <c r="D32" s="49">
        <f>'LUC-2013-01-08-Run1'!AF279</f>
        <v>8.6618671127481966E-4</v>
      </c>
      <c r="E32" s="49">
        <f>'LUC-2013-01-08-Run1'!AG279</f>
        <v>8.7332065560907562E-4</v>
      </c>
      <c r="F32" s="49">
        <f>'LUC-2013-01-08-Run1'!AH279</f>
        <v>8.8045459994333169E-4</v>
      </c>
      <c r="G32" s="49">
        <f>'LUC-2013-01-08-Run1'!AI279</f>
        <v>8.8758854427758765E-4</v>
      </c>
      <c r="H32" s="49">
        <f>'LUC-2013-01-08-Run1'!AJ279</f>
        <v>8.9472248861184372E-4</v>
      </c>
      <c r="I32" s="49">
        <f>'LUC-2013-01-08-Run1'!AK279</f>
        <v>9.0185643294609969E-4</v>
      </c>
      <c r="J32" s="49">
        <f>'LUC-2013-01-08-Run1'!AL279</f>
        <v>9.0899037728035576E-4</v>
      </c>
      <c r="K32" s="49">
        <f>'LUC-2013-01-08-Run1'!AM279</f>
        <v>9.1612432161461172E-4</v>
      </c>
      <c r="L32" s="49">
        <f>'LUC-2013-01-08-Run1'!AN279</f>
        <v>9.2325826594886768E-4</v>
      </c>
      <c r="M32" s="49">
        <f>'LUC-2013-01-08-Run1'!AO279</f>
        <v>9.3039221028312375E-4</v>
      </c>
      <c r="N32" s="49">
        <f>'LUC-2013-01-08-Run1'!AP279</f>
        <v>9.3752615461737982E-4</v>
      </c>
      <c r="O32" s="49">
        <f>'LUC-2013-01-08-Run1'!AQ279</f>
        <v>9.4466009895163578E-4</v>
      </c>
      <c r="P32" s="49">
        <f>'LUC-2013-01-08-Run1'!AR279</f>
        <v>9.5179404328589175E-4</v>
      </c>
      <c r="Q32" s="49">
        <f>'LUC-2013-01-08-Run1'!AS279</f>
        <v>9.5892798762014782E-4</v>
      </c>
      <c r="R32" s="49">
        <f>'LUC-2013-01-08-Run1'!AT279</f>
        <v>9.6606193195440389E-4</v>
      </c>
      <c r="S32" s="49">
        <f>'LUC-2013-01-08-Run1'!AU279</f>
        <v>9.7319587628865985E-4</v>
      </c>
      <c r="T32" s="49">
        <f>'LUC-2013-01-08-Run1'!AV279</f>
        <v>9.9072164948453621E-4</v>
      </c>
      <c r="U32" s="49">
        <f>'LUC-2013-01-08-Run1'!AW279</f>
        <v>1.0082474226804125E-3</v>
      </c>
      <c r="V32" s="49">
        <f>'LUC-2013-01-08-Run1'!AX279</f>
        <v>1.0257731958762887E-3</v>
      </c>
      <c r="W32" s="49">
        <f>'LUC-2013-01-08-Run1'!AY279</f>
        <v>1.043298969072165E-3</v>
      </c>
      <c r="X32" s="49">
        <f>'LUC-2013-01-08-Run1'!AZ279</f>
        <v>1.0608247422680412E-3</v>
      </c>
      <c r="Y32" s="49">
        <f>'LUC-2013-01-08-Run1'!BA279</f>
        <v>1.0783505154639175E-3</v>
      </c>
      <c r="Z32" s="49">
        <f>'LUC-2013-01-08-Run1'!BB279</f>
        <v>1.095876288659794E-3</v>
      </c>
      <c r="AA32" s="49">
        <f>'LUC-2013-01-08-Run1'!BC279</f>
        <v>1.1134020618556702E-3</v>
      </c>
      <c r="AB32" s="49">
        <f>'LUC-2013-01-08-Run1'!BD279</f>
        <v>1.1309278350515465E-3</v>
      </c>
      <c r="AC32" s="49">
        <f>'LUC-2013-01-08-Run1'!BE279</f>
        <v>1.1484536082474227E-3</v>
      </c>
      <c r="AD32" s="49">
        <f>'LUC-2013-01-08-Run1'!BF279</f>
        <v>1.165979381443299E-3</v>
      </c>
      <c r="AE32" s="49">
        <f>'LUC-2013-01-08-Run1'!BG279</f>
        <v>1.1835051546391752E-3</v>
      </c>
      <c r="AF32" s="49">
        <f>'LUC-2013-01-08-Run1'!BH279</f>
        <v>1.2010309278350515E-3</v>
      </c>
      <c r="AG32" s="49">
        <f>'LUC-2013-01-08-Run1'!BI279</f>
        <v>1.2185567010309277E-3</v>
      </c>
      <c r="AH32" s="49">
        <f>'LUC-2013-01-08-Run1'!BJ279</f>
        <v>1.236082474226804E-3</v>
      </c>
      <c r="AI32" s="49">
        <f>'LUC-2013-01-08-Run1'!BK279</f>
        <v>1.2536082474226805E-3</v>
      </c>
      <c r="AJ32" s="49">
        <f>'LUC-2013-01-08-Run1'!BL279</f>
        <v>1.2711340206185567E-3</v>
      </c>
      <c r="AK32" s="49">
        <f>'LUC-2013-01-08-Run1'!BM279</f>
        <v>1.288659793814433E-3</v>
      </c>
      <c r="AL32" s="49">
        <f>'LUC-2013-01-08-Run1'!BN279</f>
        <v>1.3061855670103092E-3</v>
      </c>
      <c r="AM32" s="49">
        <f>'LUC-2013-01-08-Run1'!BO279</f>
        <v>1.3237113402061855E-3</v>
      </c>
      <c r="AN32" s="49">
        <f>'LUC-2013-01-08-Run1'!BP279</f>
        <v>1.3412371134020619E-3</v>
      </c>
      <c r="AO32" s="49">
        <f>'LUC-2013-01-08-Run1'!BQ279</f>
        <v>1.3587628865979382E-3</v>
      </c>
      <c r="AP32" s="49">
        <f>'LUC-2013-01-08-Run1'!BR279</f>
        <v>1.3762886597938145E-3</v>
      </c>
      <c r="AQ32" s="49">
        <f>'LUC-2013-01-08-Run1'!BS279</f>
        <v>1.3938144329896907E-3</v>
      </c>
      <c r="AR32" s="49">
        <f>'LUC-2013-01-08-Run1'!BT279</f>
        <v>1.411340206185567E-3</v>
      </c>
      <c r="AS32" s="49">
        <f>'LUC-2013-01-08-Run1'!BU279</f>
        <v>1.4288659793814432E-3</v>
      </c>
      <c r="AT32" s="49">
        <f>'LUC-2013-01-08-Run1'!BV279</f>
        <v>1.4463917525773195E-3</v>
      </c>
      <c r="AU32" s="49">
        <f>'LUC-2013-01-08-Run1'!BW279</f>
        <v>1.4639175257731957E-3</v>
      </c>
      <c r="AV32" s="49">
        <f>'LUC-2013-01-08-Run1'!BX279</f>
        <v>1.481443298969072E-3</v>
      </c>
      <c r="AW32" s="49">
        <f>'LUC-2013-01-08-Run1'!BY279</f>
        <v>1.4989690721649482E-3</v>
      </c>
      <c r="AX32" s="49">
        <f>'LUC-2013-01-08-Run1'!BZ279</f>
        <v>1.5164948453608247E-3</v>
      </c>
      <c r="AY32" s="49">
        <f>'LUC-2013-01-08-Run1'!CA279</f>
        <v>1.534020618556701E-3</v>
      </c>
      <c r="AZ32" s="49">
        <f>'LUC-2013-01-08-Run1'!CB279</f>
        <v>1.5515463917525772E-3</v>
      </c>
      <c r="BA32" s="49">
        <f>'LUC-2013-01-08-Run1'!CC279</f>
        <v>1.5690721649484537E-3</v>
      </c>
      <c r="BB32" s="49">
        <f>'LUC-2013-01-08-Run1'!CD279</f>
        <v>1.5865979381443299E-3</v>
      </c>
      <c r="BC32" s="49">
        <f>'LUC-2013-01-08-Run1'!CE279</f>
        <v>1.6041237113402062E-3</v>
      </c>
      <c r="BD32" s="49">
        <f>'LUC-2013-01-08-Run1'!CF279</f>
        <v>1.6216494845360824E-3</v>
      </c>
      <c r="BE32" s="49">
        <f>'LUC-2013-01-08-Run1'!CG279</f>
        <v>1.6391752577319587E-3</v>
      </c>
      <c r="BF32" s="49">
        <f>'LUC-2013-01-08-Run1'!CH279</f>
        <v>1.656701030927835E-3</v>
      </c>
      <c r="BG32" s="49">
        <f>'LUC-2013-01-08-Run1'!CI279</f>
        <v>1.6742268041237112E-3</v>
      </c>
      <c r="BH32" s="49">
        <f>'LUC-2013-01-08-Run1'!CJ279</f>
        <v>1.6917525773195875E-3</v>
      </c>
      <c r="BI32" s="49">
        <f>'LUC-2013-01-08-Run1'!CK279</f>
        <v>1.7092783505154637E-3</v>
      </c>
      <c r="BJ32" s="49">
        <f>'LUC-2013-01-08-Run1'!CL279</f>
        <v>1.72680412371134E-3</v>
      </c>
      <c r="BK32" s="49">
        <f>'LUC-2013-01-08-Run1'!CM279</f>
        <v>1.7443298969072164E-3</v>
      </c>
      <c r="BM32" s="103"/>
      <c r="BN32" s="54" t="s">
        <v>104</v>
      </c>
      <c r="BO32" s="80">
        <f t="shared" si="16"/>
        <v>0.86618671127481961</v>
      </c>
      <c r="BP32" s="80">
        <f t="shared" si="17"/>
        <v>0.9303922102831238</v>
      </c>
      <c r="BQ32" s="80">
        <f t="shared" si="18"/>
        <v>1.043298969072165</v>
      </c>
      <c r="BR32" s="80">
        <f t="shared" si="19"/>
        <v>1.2185567010309277</v>
      </c>
      <c r="BS32" s="80">
        <f t="shared" si="20"/>
        <v>1.3938144329896907</v>
      </c>
      <c r="BT32" s="80">
        <f t="shared" si="21"/>
        <v>1.5690721649484536</v>
      </c>
      <c r="BU32" s="80">
        <f t="shared" si="22"/>
        <v>1.7443298969072165</v>
      </c>
    </row>
    <row r="33" spans="1:75" x14ac:dyDescent="0.25">
      <c r="BM33" s="106" t="s">
        <v>38</v>
      </c>
      <c r="BN33" s="53" t="s">
        <v>99</v>
      </c>
      <c r="BO33" s="79">
        <f t="shared" ref="BO33:BO39" si="23">D34*1000</f>
        <v>5.0675000000000008</v>
      </c>
      <c r="BP33" s="79">
        <f t="shared" ref="BP33:BP39" si="24">M34*1000</f>
        <v>5.7650000000000015</v>
      </c>
      <c r="BQ33" s="79">
        <f t="shared" ref="BQ33:BQ39" si="25">W34*1000</f>
        <v>6.34</v>
      </c>
      <c r="BR33" s="79">
        <f t="shared" ref="BR33:BR39" si="26">AG34*1000</f>
        <v>6.6150000000000002</v>
      </c>
      <c r="BS33" s="79">
        <f t="shared" ref="BS33:BS39" si="27">AQ34*1000</f>
        <v>6.8900000000000006</v>
      </c>
      <c r="BT33" s="79">
        <f t="shared" ref="BT33:BT39" si="28">BA34*1000</f>
        <v>7.1649999999999991</v>
      </c>
      <c r="BU33" s="79">
        <f t="shared" ref="BU33:BU39" si="29">BK34*1000</f>
        <v>7.4399999999999995</v>
      </c>
    </row>
    <row r="34" spans="1:75" x14ac:dyDescent="0.25">
      <c r="A34" s="52" t="s">
        <v>38</v>
      </c>
      <c r="B34" s="50" t="s">
        <v>99</v>
      </c>
      <c r="C34" s="52" t="s">
        <v>107</v>
      </c>
      <c r="D34" s="49">
        <f>'LUC-2013-01-08-Run1'!AF283</f>
        <v>5.0675000000000008E-3</v>
      </c>
      <c r="E34" s="49">
        <f>'LUC-2013-01-08-Run1'!AG283</f>
        <v>5.1450000000000003E-3</v>
      </c>
      <c r="F34" s="49">
        <f>'LUC-2013-01-08-Run1'!AH283</f>
        <v>5.2225000000000006E-3</v>
      </c>
      <c r="G34" s="49">
        <f>'LUC-2013-01-08-Run1'!AI283</f>
        <v>5.3000000000000009E-3</v>
      </c>
      <c r="H34" s="49">
        <f>'LUC-2013-01-08-Run1'!AJ283</f>
        <v>5.3775000000000003E-3</v>
      </c>
      <c r="I34" s="49">
        <f>'LUC-2013-01-08-Run1'!AK283</f>
        <v>5.4550000000000006E-3</v>
      </c>
      <c r="J34" s="49">
        <f>'LUC-2013-01-08-Run1'!AL283</f>
        <v>5.532500000000001E-3</v>
      </c>
      <c r="K34" s="49">
        <f>'LUC-2013-01-08-Run1'!AM283</f>
        <v>5.6100000000000004E-3</v>
      </c>
      <c r="L34" s="49">
        <f>'LUC-2013-01-08-Run1'!AN283</f>
        <v>5.6874999999999998E-3</v>
      </c>
      <c r="M34" s="49">
        <f>'LUC-2013-01-08-Run1'!AO283</f>
        <v>5.765000000000001E-3</v>
      </c>
      <c r="N34" s="49">
        <f>'LUC-2013-01-08-Run1'!AP283</f>
        <v>5.8425000000000005E-3</v>
      </c>
      <c r="O34" s="49">
        <f>'LUC-2013-01-08-Run1'!AQ283</f>
        <v>5.9199999999999999E-3</v>
      </c>
      <c r="P34" s="49">
        <f>'LUC-2013-01-08-Run1'!AR283</f>
        <v>5.9975000000000011E-3</v>
      </c>
      <c r="Q34" s="49">
        <f>'LUC-2013-01-08-Run1'!AS283</f>
        <v>6.0750000000000005E-3</v>
      </c>
      <c r="R34" s="49">
        <f>'LUC-2013-01-08-Run1'!AT283</f>
        <v>6.1525E-3</v>
      </c>
      <c r="S34" s="49">
        <f>'LUC-2013-01-08-Run1'!AU283</f>
        <v>6.2300000000000003E-3</v>
      </c>
      <c r="T34" s="49">
        <f>'LUC-2013-01-08-Run1'!AV283</f>
        <v>6.2575E-3</v>
      </c>
      <c r="U34" s="49">
        <f>'LUC-2013-01-08-Run1'!AW283</f>
        <v>6.2850000000000007E-3</v>
      </c>
      <c r="V34" s="49">
        <f>'LUC-2013-01-08-Run1'!AX283</f>
        <v>6.3125000000000004E-3</v>
      </c>
      <c r="W34" s="49">
        <f>'LUC-2013-01-08-Run1'!AY283</f>
        <v>6.3400000000000001E-3</v>
      </c>
      <c r="X34" s="49">
        <f>'LUC-2013-01-08-Run1'!AZ283</f>
        <v>6.3674999999999999E-3</v>
      </c>
      <c r="Y34" s="49">
        <f>'LUC-2013-01-08-Run1'!BA283</f>
        <v>6.3950000000000005E-3</v>
      </c>
      <c r="Z34" s="49">
        <f>'LUC-2013-01-08-Run1'!BB283</f>
        <v>6.4225000000000003E-3</v>
      </c>
      <c r="AA34" s="49">
        <f>'LUC-2013-01-08-Run1'!BC283</f>
        <v>6.45E-3</v>
      </c>
      <c r="AB34" s="49">
        <f>'LUC-2013-01-08-Run1'!BD283</f>
        <v>6.4774999999999998E-3</v>
      </c>
      <c r="AC34" s="49">
        <f>'LUC-2013-01-08-Run1'!BE283</f>
        <v>6.5050000000000004E-3</v>
      </c>
      <c r="AD34" s="49">
        <f>'LUC-2013-01-08-Run1'!BF283</f>
        <v>6.5325000000000001E-3</v>
      </c>
      <c r="AE34" s="49">
        <f>'LUC-2013-01-08-Run1'!BG283</f>
        <v>6.5599999999999999E-3</v>
      </c>
      <c r="AF34" s="49">
        <f>'LUC-2013-01-08-Run1'!BH283</f>
        <v>6.5875000000000005E-3</v>
      </c>
      <c r="AG34" s="49">
        <f>'LUC-2013-01-08-Run1'!BI283</f>
        <v>6.6150000000000002E-3</v>
      </c>
      <c r="AH34" s="49">
        <f>'LUC-2013-01-08-Run1'!BJ283</f>
        <v>6.6425E-3</v>
      </c>
      <c r="AI34" s="49">
        <f>'LUC-2013-01-08-Run1'!BK283</f>
        <v>6.6699999999999997E-3</v>
      </c>
      <c r="AJ34" s="49">
        <f>'LUC-2013-01-08-Run1'!BL283</f>
        <v>6.6975000000000003E-3</v>
      </c>
      <c r="AK34" s="49">
        <f>'LUC-2013-01-08-Run1'!BM283</f>
        <v>6.7250000000000001E-3</v>
      </c>
      <c r="AL34" s="49">
        <f>'LUC-2013-01-08-Run1'!BN283</f>
        <v>6.7524999999999998E-3</v>
      </c>
      <c r="AM34" s="49">
        <f>'LUC-2013-01-08-Run1'!BO283</f>
        <v>6.7799999999999996E-3</v>
      </c>
      <c r="AN34" s="49">
        <f>'LUC-2013-01-08-Run1'!BP283</f>
        <v>6.8075000000000002E-3</v>
      </c>
      <c r="AO34" s="49">
        <f>'LUC-2013-01-08-Run1'!BQ283</f>
        <v>6.8349999999999999E-3</v>
      </c>
      <c r="AP34" s="49">
        <f>'LUC-2013-01-08-Run1'!BR283</f>
        <v>6.8624999999999997E-3</v>
      </c>
      <c r="AQ34" s="49">
        <f>'LUC-2013-01-08-Run1'!BS283</f>
        <v>6.8900000000000003E-3</v>
      </c>
      <c r="AR34" s="49">
        <f>'LUC-2013-01-08-Run1'!BT283</f>
        <v>6.9175E-3</v>
      </c>
      <c r="AS34" s="49">
        <f>'LUC-2013-01-08-Run1'!BU283</f>
        <v>6.9449999999999998E-3</v>
      </c>
      <c r="AT34" s="49">
        <f>'LUC-2013-01-08-Run1'!BV283</f>
        <v>6.9724999999999995E-3</v>
      </c>
      <c r="AU34" s="49">
        <f>'LUC-2013-01-08-Run1'!BW283</f>
        <v>7.0000000000000001E-3</v>
      </c>
      <c r="AV34" s="49">
        <f>'LUC-2013-01-08-Run1'!BX283</f>
        <v>7.0274999999999999E-3</v>
      </c>
      <c r="AW34" s="49">
        <f>'LUC-2013-01-08-Run1'!BY283</f>
        <v>7.0549999999999996E-3</v>
      </c>
      <c r="AX34" s="49">
        <f>'LUC-2013-01-08-Run1'!BZ283</f>
        <v>7.0825000000000003E-3</v>
      </c>
      <c r="AY34" s="49">
        <f>'LUC-2013-01-08-Run1'!CA283</f>
        <v>7.11E-3</v>
      </c>
      <c r="AZ34" s="49">
        <f>'LUC-2013-01-08-Run1'!CB283</f>
        <v>7.1374999999999997E-3</v>
      </c>
      <c r="BA34" s="49">
        <f>'LUC-2013-01-08-Run1'!CC283</f>
        <v>7.1649999999999995E-3</v>
      </c>
      <c r="BB34" s="49">
        <f>'LUC-2013-01-08-Run1'!CD283</f>
        <v>7.1925000000000001E-3</v>
      </c>
      <c r="BC34" s="49">
        <f>'LUC-2013-01-08-Run1'!CE283</f>
        <v>7.2199999999999999E-3</v>
      </c>
      <c r="BD34" s="49">
        <f>'LUC-2013-01-08-Run1'!CF283</f>
        <v>7.2474999999999996E-3</v>
      </c>
      <c r="BE34" s="49">
        <f>'LUC-2013-01-08-Run1'!CG283</f>
        <v>7.2750000000000002E-3</v>
      </c>
      <c r="BF34" s="49">
        <f>'LUC-2013-01-08-Run1'!CH283</f>
        <v>7.3025E-3</v>
      </c>
      <c r="BG34" s="49">
        <f>'LUC-2013-01-08-Run1'!CI283</f>
        <v>7.3299999999999997E-3</v>
      </c>
      <c r="BH34" s="49">
        <f>'LUC-2013-01-08-Run1'!CJ283</f>
        <v>7.3574999999999995E-3</v>
      </c>
      <c r="BI34" s="49">
        <f>'LUC-2013-01-08-Run1'!CK283</f>
        <v>7.3849999999999992E-3</v>
      </c>
      <c r="BJ34" s="49">
        <f>'LUC-2013-01-08-Run1'!CL283</f>
        <v>7.4124999999999998E-3</v>
      </c>
      <c r="BK34" s="49">
        <f>'LUC-2013-01-08-Run1'!CM283</f>
        <v>7.4399999999999996E-3</v>
      </c>
      <c r="BM34" s="106"/>
      <c r="BN34" s="53" t="s">
        <v>100</v>
      </c>
      <c r="BO34" s="79">
        <f t="shared" si="23"/>
        <v>2.3129545454545455</v>
      </c>
      <c r="BP34" s="79">
        <f t="shared" si="24"/>
        <v>2.5931818181818183</v>
      </c>
      <c r="BQ34" s="79">
        <f t="shared" si="25"/>
        <v>2.8572727272727274</v>
      </c>
      <c r="BR34" s="79">
        <f t="shared" si="26"/>
        <v>3.0504545454545458</v>
      </c>
      <c r="BS34" s="79">
        <f t="shared" si="27"/>
        <v>3.2436363636363641</v>
      </c>
      <c r="BT34" s="79">
        <f t="shared" si="28"/>
        <v>3.436818181818182</v>
      </c>
      <c r="BU34" s="79">
        <f t="shared" si="29"/>
        <v>3.63</v>
      </c>
    </row>
    <row r="35" spans="1:75" x14ac:dyDescent="0.25">
      <c r="A35" s="52" t="s">
        <v>38</v>
      </c>
      <c r="B35" s="50" t="s">
        <v>100</v>
      </c>
      <c r="C35" s="52" t="s">
        <v>107</v>
      </c>
      <c r="D35" s="49">
        <f>'LUC-2013-01-08-Run1'!AF284</f>
        <v>2.3129545454545456E-3</v>
      </c>
      <c r="E35" s="49">
        <f>'LUC-2013-01-08-Run1'!AG284</f>
        <v>2.3440909090909094E-3</v>
      </c>
      <c r="F35" s="49">
        <f>'LUC-2013-01-08-Run1'!AH284</f>
        <v>2.3752272727272728E-3</v>
      </c>
      <c r="G35" s="49">
        <f>'LUC-2013-01-08-Run1'!AI284</f>
        <v>2.4063636363636366E-3</v>
      </c>
      <c r="H35" s="49">
        <f>'LUC-2013-01-08-Run1'!AJ284</f>
        <v>2.4375000000000004E-3</v>
      </c>
      <c r="I35" s="49">
        <f>'LUC-2013-01-08-Run1'!AK284</f>
        <v>2.4686363636363638E-3</v>
      </c>
      <c r="J35" s="49">
        <f>'LUC-2013-01-08-Run1'!AL284</f>
        <v>2.4997727272727276E-3</v>
      </c>
      <c r="K35" s="49">
        <f>'LUC-2013-01-08-Run1'!AM284</f>
        <v>2.5309090909090915E-3</v>
      </c>
      <c r="L35" s="49">
        <f>'LUC-2013-01-08-Run1'!AN284</f>
        <v>2.5620454545454549E-3</v>
      </c>
      <c r="M35" s="49">
        <f>'LUC-2013-01-08-Run1'!AO284</f>
        <v>2.5931818181818183E-3</v>
      </c>
      <c r="N35" s="49">
        <f>'LUC-2013-01-08-Run1'!AP284</f>
        <v>2.6243181818181821E-3</v>
      </c>
      <c r="O35" s="49">
        <f>'LUC-2013-01-08-Run1'!AQ284</f>
        <v>2.6554545454545459E-3</v>
      </c>
      <c r="P35" s="49">
        <f>'LUC-2013-01-08-Run1'!AR284</f>
        <v>2.6865909090909093E-3</v>
      </c>
      <c r="Q35" s="49">
        <f>'LUC-2013-01-08-Run1'!AS284</f>
        <v>2.7177272727272731E-3</v>
      </c>
      <c r="R35" s="49">
        <f>'LUC-2013-01-08-Run1'!AT284</f>
        <v>2.748863636363637E-3</v>
      </c>
      <c r="S35" s="49">
        <f>'LUC-2013-01-08-Run1'!AU284</f>
        <v>2.7800000000000004E-3</v>
      </c>
      <c r="T35" s="49">
        <f>'LUC-2013-01-08-Run1'!AV284</f>
        <v>2.7993181818181823E-3</v>
      </c>
      <c r="U35" s="49">
        <f>'LUC-2013-01-08-Run1'!AW284</f>
        <v>2.8186363636363639E-3</v>
      </c>
      <c r="V35" s="49">
        <f>'LUC-2013-01-08-Run1'!AX284</f>
        <v>2.8379545454545459E-3</v>
      </c>
      <c r="W35" s="49">
        <f>'LUC-2013-01-08-Run1'!AY284</f>
        <v>2.8572727272727274E-3</v>
      </c>
      <c r="X35" s="49">
        <f>'LUC-2013-01-08-Run1'!AZ284</f>
        <v>2.8765909090909094E-3</v>
      </c>
      <c r="Y35" s="49">
        <f>'LUC-2013-01-08-Run1'!BA284</f>
        <v>2.8959090909090913E-3</v>
      </c>
      <c r="Z35" s="49">
        <f>'LUC-2013-01-08-Run1'!BB284</f>
        <v>2.9152272727272729E-3</v>
      </c>
      <c r="AA35" s="49">
        <f>'LUC-2013-01-08-Run1'!BC284</f>
        <v>2.9345454545454549E-3</v>
      </c>
      <c r="AB35" s="49">
        <f>'LUC-2013-01-08-Run1'!BD284</f>
        <v>2.9538636363636368E-3</v>
      </c>
      <c r="AC35" s="49">
        <f>'LUC-2013-01-08-Run1'!BE284</f>
        <v>2.9731818181818184E-3</v>
      </c>
      <c r="AD35" s="49">
        <f>'LUC-2013-01-08-Run1'!BF284</f>
        <v>2.9925000000000004E-3</v>
      </c>
      <c r="AE35" s="49">
        <f>'LUC-2013-01-08-Run1'!BG284</f>
        <v>3.0118181818181819E-3</v>
      </c>
      <c r="AF35" s="49">
        <f>'LUC-2013-01-08-Run1'!BH284</f>
        <v>3.0311363636363639E-3</v>
      </c>
      <c r="AG35" s="49">
        <f>'LUC-2013-01-08-Run1'!BI284</f>
        <v>3.0504545454545459E-3</v>
      </c>
      <c r="AH35" s="49">
        <f>'LUC-2013-01-08-Run1'!BJ284</f>
        <v>3.0697727272727274E-3</v>
      </c>
      <c r="AI35" s="49">
        <f>'LUC-2013-01-08-Run1'!BK284</f>
        <v>3.0890909090909094E-3</v>
      </c>
      <c r="AJ35" s="49">
        <f>'LUC-2013-01-08-Run1'!BL284</f>
        <v>3.1084090909090914E-3</v>
      </c>
      <c r="AK35" s="49">
        <f>'LUC-2013-01-08-Run1'!BM284</f>
        <v>3.1277272727272729E-3</v>
      </c>
      <c r="AL35" s="49">
        <f>'LUC-2013-01-08-Run1'!BN284</f>
        <v>3.1470454545454549E-3</v>
      </c>
      <c r="AM35" s="49">
        <f>'LUC-2013-01-08-Run1'!BO284</f>
        <v>3.1663636363636364E-3</v>
      </c>
      <c r="AN35" s="49">
        <f>'LUC-2013-01-08-Run1'!BP284</f>
        <v>3.1856818181818184E-3</v>
      </c>
      <c r="AO35" s="49">
        <f>'LUC-2013-01-08-Run1'!BQ284</f>
        <v>3.2050000000000004E-3</v>
      </c>
      <c r="AP35" s="49">
        <f>'LUC-2013-01-08-Run1'!BR284</f>
        <v>3.2243181818181819E-3</v>
      </c>
      <c r="AQ35" s="49">
        <f>'LUC-2013-01-08-Run1'!BS284</f>
        <v>3.2436363636363639E-3</v>
      </c>
      <c r="AR35" s="49">
        <f>'LUC-2013-01-08-Run1'!BT284</f>
        <v>3.2629545454545454E-3</v>
      </c>
      <c r="AS35" s="49">
        <f>'LUC-2013-01-08-Run1'!BU284</f>
        <v>3.2822727272727274E-3</v>
      </c>
      <c r="AT35" s="49">
        <f>'LUC-2013-01-08-Run1'!BV284</f>
        <v>3.3015909090909094E-3</v>
      </c>
      <c r="AU35" s="49">
        <f>'LUC-2013-01-08-Run1'!BW284</f>
        <v>3.3209090909090909E-3</v>
      </c>
      <c r="AV35" s="49">
        <f>'LUC-2013-01-08-Run1'!BX284</f>
        <v>3.3402272727272729E-3</v>
      </c>
      <c r="AW35" s="49">
        <f>'LUC-2013-01-08-Run1'!BY284</f>
        <v>3.3595454545454545E-3</v>
      </c>
      <c r="AX35" s="49">
        <f>'LUC-2013-01-08-Run1'!BZ284</f>
        <v>3.3788636363636364E-3</v>
      </c>
      <c r="AY35" s="49">
        <f>'LUC-2013-01-08-Run1'!CA284</f>
        <v>3.3981818181818184E-3</v>
      </c>
      <c r="AZ35" s="49">
        <f>'LUC-2013-01-08-Run1'!CB284</f>
        <v>3.4175E-3</v>
      </c>
      <c r="BA35" s="49">
        <f>'LUC-2013-01-08-Run1'!CC284</f>
        <v>3.4368181818181819E-3</v>
      </c>
      <c r="BB35" s="49">
        <f>'LUC-2013-01-08-Run1'!CD284</f>
        <v>3.4561363636363635E-3</v>
      </c>
      <c r="BC35" s="49">
        <f>'LUC-2013-01-08-Run1'!CE284</f>
        <v>3.4754545454545455E-3</v>
      </c>
      <c r="BD35" s="49">
        <f>'LUC-2013-01-08-Run1'!CF284</f>
        <v>3.4947727272727274E-3</v>
      </c>
      <c r="BE35" s="49">
        <f>'LUC-2013-01-08-Run1'!CG284</f>
        <v>3.5140909090909094E-3</v>
      </c>
      <c r="BF35" s="49">
        <f>'LUC-2013-01-08-Run1'!CH284</f>
        <v>3.533409090909091E-3</v>
      </c>
      <c r="BG35" s="49">
        <f>'LUC-2013-01-08-Run1'!CI284</f>
        <v>3.5527272727272729E-3</v>
      </c>
      <c r="BH35" s="49">
        <f>'LUC-2013-01-08-Run1'!CJ284</f>
        <v>3.5720454545454545E-3</v>
      </c>
      <c r="BI35" s="49">
        <f>'LUC-2013-01-08-Run1'!CK284</f>
        <v>3.5913636363636365E-3</v>
      </c>
      <c r="BJ35" s="49">
        <f>'LUC-2013-01-08-Run1'!CL284</f>
        <v>3.6106818181818184E-3</v>
      </c>
      <c r="BK35" s="49">
        <f>'LUC-2013-01-08-Run1'!CM284</f>
        <v>3.63E-3</v>
      </c>
      <c r="BM35" s="106"/>
      <c r="BN35" s="53" t="s">
        <v>101</v>
      </c>
      <c r="BO35" s="79">
        <f t="shared" si="23"/>
        <v>3.4209090909090913</v>
      </c>
      <c r="BP35" s="79">
        <f t="shared" si="24"/>
        <v>3.8463636363636371</v>
      </c>
      <c r="BQ35" s="79">
        <f t="shared" si="25"/>
        <v>4.2418181818181822</v>
      </c>
      <c r="BR35" s="79">
        <f t="shared" si="26"/>
        <v>4.5213636363636365</v>
      </c>
      <c r="BS35" s="79">
        <f t="shared" si="27"/>
        <v>4.8009090909090917</v>
      </c>
      <c r="BT35" s="79">
        <f t="shared" si="28"/>
        <v>5.080454545454546</v>
      </c>
      <c r="BU35" s="79">
        <f t="shared" si="29"/>
        <v>5.36</v>
      </c>
    </row>
    <row r="36" spans="1:75" x14ac:dyDescent="0.25">
      <c r="A36" s="52" t="s">
        <v>38</v>
      </c>
      <c r="B36" s="50" t="s">
        <v>101</v>
      </c>
      <c r="C36" s="52" t="s">
        <v>107</v>
      </c>
      <c r="D36" s="49">
        <f>'LUC-2013-01-08-Run1'!AF285</f>
        <v>3.4209090909090912E-3</v>
      </c>
      <c r="E36" s="49">
        <f>'LUC-2013-01-08-Run1'!AG285</f>
        <v>3.4681818181818186E-3</v>
      </c>
      <c r="F36" s="49">
        <f>'LUC-2013-01-08-Run1'!AH285</f>
        <v>3.5154545454545456E-3</v>
      </c>
      <c r="G36" s="49">
        <f>'LUC-2013-01-08-Run1'!AI285</f>
        <v>3.562727272727273E-3</v>
      </c>
      <c r="H36" s="49">
        <f>'LUC-2013-01-08-Run1'!AJ285</f>
        <v>3.6100000000000004E-3</v>
      </c>
      <c r="I36" s="49">
        <f>'LUC-2013-01-08-Run1'!AK285</f>
        <v>3.6572727272727278E-3</v>
      </c>
      <c r="J36" s="49">
        <f>'LUC-2013-01-08-Run1'!AL285</f>
        <v>3.7045454545454552E-3</v>
      </c>
      <c r="K36" s="49">
        <f>'LUC-2013-01-08-Run1'!AM285</f>
        <v>3.7518181818181826E-3</v>
      </c>
      <c r="L36" s="49">
        <f>'LUC-2013-01-08-Run1'!AN285</f>
        <v>3.7990909090909099E-3</v>
      </c>
      <c r="M36" s="49">
        <f>'LUC-2013-01-08-Run1'!AO285</f>
        <v>3.8463636363636369E-3</v>
      </c>
      <c r="N36" s="49">
        <f>'LUC-2013-01-08-Run1'!AP285</f>
        <v>3.8936363636363643E-3</v>
      </c>
      <c r="O36" s="49">
        <f>'LUC-2013-01-08-Run1'!AQ285</f>
        <v>3.9409090909090913E-3</v>
      </c>
      <c r="P36" s="49">
        <f>'LUC-2013-01-08-Run1'!AR285</f>
        <v>3.9881818181818187E-3</v>
      </c>
      <c r="Q36" s="49">
        <f>'LUC-2013-01-08-Run1'!AS285</f>
        <v>4.0354545454545461E-3</v>
      </c>
      <c r="R36" s="49">
        <f>'LUC-2013-01-08-Run1'!AT285</f>
        <v>4.0827272727272735E-3</v>
      </c>
      <c r="S36" s="49">
        <f>'LUC-2013-01-08-Run1'!AU285</f>
        <v>4.1300000000000009E-3</v>
      </c>
      <c r="T36" s="49">
        <f>'LUC-2013-01-08-Run1'!AV285</f>
        <v>4.1579545454545463E-3</v>
      </c>
      <c r="U36" s="49">
        <f>'LUC-2013-01-08-Run1'!AW285</f>
        <v>4.1859090909090917E-3</v>
      </c>
      <c r="V36" s="49">
        <f>'LUC-2013-01-08-Run1'!AX285</f>
        <v>4.2138636363636371E-3</v>
      </c>
      <c r="W36" s="49">
        <f>'LUC-2013-01-08-Run1'!AY285</f>
        <v>4.2418181818181825E-3</v>
      </c>
      <c r="X36" s="49">
        <f>'LUC-2013-01-08-Run1'!AZ285</f>
        <v>4.269772727272728E-3</v>
      </c>
      <c r="Y36" s="49">
        <f>'LUC-2013-01-08-Run1'!BA285</f>
        <v>4.2977272727272734E-3</v>
      </c>
      <c r="Z36" s="49">
        <f>'LUC-2013-01-08-Run1'!BB285</f>
        <v>4.3256818181818188E-3</v>
      </c>
      <c r="AA36" s="49">
        <f>'LUC-2013-01-08-Run1'!BC285</f>
        <v>4.3536363636363642E-3</v>
      </c>
      <c r="AB36" s="49">
        <f>'LUC-2013-01-08-Run1'!BD285</f>
        <v>4.3815909090909096E-3</v>
      </c>
      <c r="AC36" s="49">
        <f>'LUC-2013-01-08-Run1'!BE285</f>
        <v>4.4095454545454551E-3</v>
      </c>
      <c r="AD36" s="49">
        <f>'LUC-2013-01-08-Run1'!BF285</f>
        <v>4.4375000000000005E-3</v>
      </c>
      <c r="AE36" s="49">
        <f>'LUC-2013-01-08-Run1'!BG285</f>
        <v>4.4654545454545459E-3</v>
      </c>
      <c r="AF36" s="49">
        <f>'LUC-2013-01-08-Run1'!BH285</f>
        <v>4.4934090909090913E-3</v>
      </c>
      <c r="AG36" s="49">
        <f>'LUC-2013-01-08-Run1'!BI285</f>
        <v>4.5213636363636367E-3</v>
      </c>
      <c r="AH36" s="49">
        <f>'LUC-2013-01-08-Run1'!BJ285</f>
        <v>4.5493181818181821E-3</v>
      </c>
      <c r="AI36" s="49">
        <f>'LUC-2013-01-08-Run1'!BK285</f>
        <v>4.5772727272727276E-3</v>
      </c>
      <c r="AJ36" s="49">
        <f>'LUC-2013-01-08-Run1'!BL285</f>
        <v>4.605227272727273E-3</v>
      </c>
      <c r="AK36" s="49">
        <f>'LUC-2013-01-08-Run1'!BM285</f>
        <v>4.6331818181818184E-3</v>
      </c>
      <c r="AL36" s="49">
        <f>'LUC-2013-01-08-Run1'!BN285</f>
        <v>4.6611363636363638E-3</v>
      </c>
      <c r="AM36" s="49">
        <f>'LUC-2013-01-08-Run1'!BO285</f>
        <v>4.6890909090909101E-3</v>
      </c>
      <c r="AN36" s="49">
        <f>'LUC-2013-01-08-Run1'!BP285</f>
        <v>4.7170454545454547E-3</v>
      </c>
      <c r="AO36" s="49">
        <f>'LUC-2013-01-08-Run1'!BQ285</f>
        <v>4.745000000000001E-3</v>
      </c>
      <c r="AP36" s="49">
        <f>'LUC-2013-01-08-Run1'!BR285</f>
        <v>4.7729545454545455E-3</v>
      </c>
      <c r="AQ36" s="49">
        <f>'LUC-2013-01-08-Run1'!BS285</f>
        <v>4.8009090909090918E-3</v>
      </c>
      <c r="AR36" s="49">
        <f>'LUC-2013-01-08-Run1'!BT285</f>
        <v>4.8288636363636372E-3</v>
      </c>
      <c r="AS36" s="49">
        <f>'LUC-2013-01-08-Run1'!BU285</f>
        <v>4.8568181818181826E-3</v>
      </c>
      <c r="AT36" s="49">
        <f>'LUC-2013-01-08-Run1'!BV285</f>
        <v>4.8847727272727281E-3</v>
      </c>
      <c r="AU36" s="49">
        <f>'LUC-2013-01-08-Run1'!BW285</f>
        <v>4.9127272727272735E-3</v>
      </c>
      <c r="AV36" s="49">
        <f>'LUC-2013-01-08-Run1'!BX285</f>
        <v>4.9406818181818189E-3</v>
      </c>
      <c r="AW36" s="49">
        <f>'LUC-2013-01-08-Run1'!BY285</f>
        <v>4.9686363636363643E-3</v>
      </c>
      <c r="AX36" s="49">
        <f>'LUC-2013-01-08-Run1'!BZ285</f>
        <v>4.9965909090909097E-3</v>
      </c>
      <c r="AY36" s="49">
        <f>'LUC-2013-01-08-Run1'!CA285</f>
        <v>5.0245454545454551E-3</v>
      </c>
      <c r="AZ36" s="49">
        <f>'LUC-2013-01-08-Run1'!CB285</f>
        <v>5.0525000000000006E-3</v>
      </c>
      <c r="BA36" s="49">
        <f>'LUC-2013-01-08-Run1'!CC285</f>
        <v>5.080454545454546E-3</v>
      </c>
      <c r="BB36" s="49">
        <f>'LUC-2013-01-08-Run1'!CD285</f>
        <v>5.1084090909090914E-3</v>
      </c>
      <c r="BC36" s="49">
        <f>'LUC-2013-01-08-Run1'!CE285</f>
        <v>5.1363636363636368E-3</v>
      </c>
      <c r="BD36" s="49">
        <f>'LUC-2013-01-08-Run1'!CF285</f>
        <v>5.1643181818181822E-3</v>
      </c>
      <c r="BE36" s="49">
        <f>'LUC-2013-01-08-Run1'!CG285</f>
        <v>5.1922727272727277E-3</v>
      </c>
      <c r="BF36" s="49">
        <f>'LUC-2013-01-08-Run1'!CH285</f>
        <v>5.2202272727272731E-3</v>
      </c>
      <c r="BG36" s="49">
        <f>'LUC-2013-01-08-Run1'!CI285</f>
        <v>5.2481818181818185E-3</v>
      </c>
      <c r="BH36" s="49">
        <f>'LUC-2013-01-08-Run1'!CJ285</f>
        <v>5.2761363636363639E-3</v>
      </c>
      <c r="BI36" s="49">
        <f>'LUC-2013-01-08-Run1'!CK285</f>
        <v>5.3040909090909093E-3</v>
      </c>
      <c r="BJ36" s="49">
        <f>'LUC-2013-01-08-Run1'!CL285</f>
        <v>5.3320454545454548E-3</v>
      </c>
      <c r="BK36" s="49">
        <f>'LUC-2013-01-08-Run1'!CM285</f>
        <v>5.3600000000000002E-3</v>
      </c>
      <c r="BM36" s="106"/>
      <c r="BN36" s="53" t="s">
        <v>111</v>
      </c>
      <c r="BO36" s="79">
        <f t="shared" si="23"/>
        <v>1.4251346260975675</v>
      </c>
      <c r="BP36" s="79">
        <f t="shared" si="24"/>
        <v>1.5535321113085923</v>
      </c>
      <c r="BQ36" s="79">
        <f t="shared" si="25"/>
        <v>1.6874313272180377</v>
      </c>
      <c r="BR36" s="79">
        <f t="shared" si="26"/>
        <v>1.8081835583066099</v>
      </c>
      <c r="BS36" s="79">
        <f t="shared" si="27"/>
        <v>1.9289357893951826</v>
      </c>
      <c r="BT36" s="79">
        <f t="shared" si="28"/>
        <v>2.0496880204837549</v>
      </c>
      <c r="BU36" s="79">
        <f t="shared" si="29"/>
        <v>2.1704402515723271</v>
      </c>
    </row>
    <row r="37" spans="1:75" x14ac:dyDescent="0.25">
      <c r="A37" s="52" t="s">
        <v>38</v>
      </c>
      <c r="B37" s="50" t="s">
        <v>111</v>
      </c>
      <c r="C37" s="52" t="s">
        <v>107</v>
      </c>
      <c r="D37" s="49">
        <f>'LUC-2013-01-08-Run1'!AF286</f>
        <v>1.4251346260975674E-3</v>
      </c>
      <c r="E37" s="49">
        <f>'LUC-2013-01-08-Run1'!AG286</f>
        <v>1.4394010133432368E-3</v>
      </c>
      <c r="F37" s="49">
        <f>'LUC-2013-01-08-Run1'!AH286</f>
        <v>1.4536674005889063E-3</v>
      </c>
      <c r="G37" s="49">
        <f>'LUC-2013-01-08-Run1'!AI286</f>
        <v>1.4679337878345756E-3</v>
      </c>
      <c r="H37" s="49">
        <f>'LUC-2013-01-08-Run1'!AJ286</f>
        <v>1.4822001750802451E-3</v>
      </c>
      <c r="I37" s="49">
        <f>'LUC-2013-01-08-Run1'!AK286</f>
        <v>1.4964665623259145E-3</v>
      </c>
      <c r="J37" s="49">
        <f>'LUC-2013-01-08-Run1'!AL286</f>
        <v>1.510732949571584E-3</v>
      </c>
      <c r="K37" s="49">
        <f>'LUC-2013-01-08-Run1'!AM286</f>
        <v>1.5249993368172533E-3</v>
      </c>
      <c r="L37" s="49">
        <f>'LUC-2013-01-08-Run1'!AN286</f>
        <v>1.5392657240629226E-3</v>
      </c>
      <c r="M37" s="49">
        <f>'LUC-2013-01-08-Run1'!AO286</f>
        <v>1.5535321113085922E-3</v>
      </c>
      <c r="N37" s="49">
        <f>'LUC-2013-01-08-Run1'!AP286</f>
        <v>1.5677984985542617E-3</v>
      </c>
      <c r="O37" s="49">
        <f>'LUC-2013-01-08-Run1'!AQ286</f>
        <v>1.582064885799931E-3</v>
      </c>
      <c r="P37" s="49">
        <f>'LUC-2013-01-08-Run1'!AR286</f>
        <v>1.5963312730456003E-3</v>
      </c>
      <c r="Q37" s="49">
        <f>'LUC-2013-01-08-Run1'!AS286</f>
        <v>1.6105976602912699E-3</v>
      </c>
      <c r="R37" s="49">
        <f>'LUC-2013-01-08-Run1'!AT286</f>
        <v>1.6248640475369394E-3</v>
      </c>
      <c r="S37" s="49">
        <f>'LUC-2013-01-08-Run1'!AU286</f>
        <v>1.6391304347826087E-3</v>
      </c>
      <c r="T37" s="49">
        <f>'LUC-2013-01-08-Run1'!AV286</f>
        <v>1.6512056578914659E-3</v>
      </c>
      <c r="U37" s="49">
        <f>'LUC-2013-01-08-Run1'!AW286</f>
        <v>1.6632808810003231E-3</v>
      </c>
      <c r="V37" s="49">
        <f>'LUC-2013-01-08-Run1'!AX286</f>
        <v>1.6753561041091805E-3</v>
      </c>
      <c r="W37" s="49">
        <f>'LUC-2013-01-08-Run1'!AY286</f>
        <v>1.6874313272180377E-3</v>
      </c>
      <c r="X37" s="49">
        <f>'LUC-2013-01-08-Run1'!AZ286</f>
        <v>1.6995065503268949E-3</v>
      </c>
      <c r="Y37" s="49">
        <f>'LUC-2013-01-08-Run1'!BA286</f>
        <v>1.7115817734357521E-3</v>
      </c>
      <c r="Z37" s="49">
        <f>'LUC-2013-01-08-Run1'!BB286</f>
        <v>1.7236569965446095E-3</v>
      </c>
      <c r="AA37" s="49">
        <f>'LUC-2013-01-08-Run1'!BC286</f>
        <v>1.7357322196534667E-3</v>
      </c>
      <c r="AB37" s="49">
        <f>'LUC-2013-01-08-Run1'!BD286</f>
        <v>1.7478074427623239E-3</v>
      </c>
      <c r="AC37" s="49">
        <f>'LUC-2013-01-08-Run1'!BE286</f>
        <v>1.759882665871181E-3</v>
      </c>
      <c r="AD37" s="49">
        <f>'LUC-2013-01-08-Run1'!BF286</f>
        <v>1.7719578889800382E-3</v>
      </c>
      <c r="AE37" s="49">
        <f>'LUC-2013-01-08-Run1'!BG286</f>
        <v>1.7840331120888956E-3</v>
      </c>
      <c r="AF37" s="49">
        <f>'LUC-2013-01-08-Run1'!BH286</f>
        <v>1.7961083351977528E-3</v>
      </c>
      <c r="AG37" s="49">
        <f>'LUC-2013-01-08-Run1'!BI286</f>
        <v>1.80818355830661E-3</v>
      </c>
      <c r="AH37" s="49">
        <f>'LUC-2013-01-08-Run1'!BJ286</f>
        <v>1.8202587814154672E-3</v>
      </c>
      <c r="AI37" s="49">
        <f>'LUC-2013-01-08-Run1'!BK286</f>
        <v>1.8323340045243246E-3</v>
      </c>
      <c r="AJ37" s="49">
        <f>'LUC-2013-01-08-Run1'!BL286</f>
        <v>1.8444092276331818E-3</v>
      </c>
      <c r="AK37" s="49">
        <f>'LUC-2013-01-08-Run1'!BM286</f>
        <v>1.856484450742039E-3</v>
      </c>
      <c r="AL37" s="49">
        <f>'LUC-2013-01-08-Run1'!BN286</f>
        <v>1.8685596738508962E-3</v>
      </c>
      <c r="AM37" s="49">
        <f>'LUC-2013-01-08-Run1'!BO286</f>
        <v>1.8806348969597534E-3</v>
      </c>
      <c r="AN37" s="49">
        <f>'LUC-2013-01-08-Run1'!BP286</f>
        <v>1.8927101200686108E-3</v>
      </c>
      <c r="AO37" s="49">
        <f>'LUC-2013-01-08-Run1'!BQ286</f>
        <v>1.904785343177468E-3</v>
      </c>
      <c r="AP37" s="49">
        <f>'LUC-2013-01-08-Run1'!BR286</f>
        <v>1.9168605662863252E-3</v>
      </c>
      <c r="AQ37" s="49">
        <f>'LUC-2013-01-08-Run1'!BS286</f>
        <v>1.9289357893951826E-3</v>
      </c>
      <c r="AR37" s="49">
        <f>'LUC-2013-01-08-Run1'!BT286</f>
        <v>1.9410110125040398E-3</v>
      </c>
      <c r="AS37" s="49">
        <f>'LUC-2013-01-08-Run1'!BU286</f>
        <v>1.953086235612897E-3</v>
      </c>
      <c r="AT37" s="49">
        <f>'LUC-2013-01-08-Run1'!BV286</f>
        <v>1.9651614587217541E-3</v>
      </c>
      <c r="AU37" s="49">
        <f>'LUC-2013-01-08-Run1'!BW286</f>
        <v>1.9772366818306113E-3</v>
      </c>
      <c r="AV37" s="49">
        <f>'LUC-2013-01-08-Run1'!BX286</f>
        <v>1.9893119049394685E-3</v>
      </c>
      <c r="AW37" s="49">
        <f>'LUC-2013-01-08-Run1'!BY286</f>
        <v>2.0013871280483257E-3</v>
      </c>
      <c r="AX37" s="49">
        <f>'LUC-2013-01-08-Run1'!BZ286</f>
        <v>2.0134623511571829E-3</v>
      </c>
      <c r="AY37" s="49">
        <f>'LUC-2013-01-08-Run1'!CA286</f>
        <v>2.0255375742660405E-3</v>
      </c>
      <c r="AZ37" s="49">
        <f>'LUC-2013-01-08-Run1'!CB286</f>
        <v>2.0376127973748977E-3</v>
      </c>
      <c r="BA37" s="49">
        <f>'LUC-2013-01-08-Run1'!CC286</f>
        <v>2.0496880204837549E-3</v>
      </c>
      <c r="BB37" s="49">
        <f>'LUC-2013-01-08-Run1'!CD286</f>
        <v>2.0617632435926121E-3</v>
      </c>
      <c r="BC37" s="49">
        <f>'LUC-2013-01-08-Run1'!CE286</f>
        <v>2.0738384667014693E-3</v>
      </c>
      <c r="BD37" s="49">
        <f>'LUC-2013-01-08-Run1'!CF286</f>
        <v>2.0859136898103265E-3</v>
      </c>
      <c r="BE37" s="49">
        <f>'LUC-2013-01-08-Run1'!CG286</f>
        <v>2.0979889129191837E-3</v>
      </c>
      <c r="BF37" s="49">
        <f>'LUC-2013-01-08-Run1'!CH286</f>
        <v>2.1100641360280409E-3</v>
      </c>
      <c r="BG37" s="49">
        <f>'LUC-2013-01-08-Run1'!CI286</f>
        <v>2.1221393591368985E-3</v>
      </c>
      <c r="BH37" s="49">
        <f>'LUC-2013-01-08-Run1'!CJ286</f>
        <v>2.1342145822457557E-3</v>
      </c>
      <c r="BI37" s="49">
        <f>'LUC-2013-01-08-Run1'!CK286</f>
        <v>2.1462898053546129E-3</v>
      </c>
      <c r="BJ37" s="49">
        <f>'LUC-2013-01-08-Run1'!CL286</f>
        <v>2.1583650284634701E-3</v>
      </c>
      <c r="BK37" s="49">
        <f>'LUC-2013-01-08-Run1'!CM286</f>
        <v>2.1704402515723272E-3</v>
      </c>
      <c r="BM37" s="106"/>
      <c r="BN37" s="53" t="s">
        <v>102</v>
      </c>
      <c r="BO37" s="79">
        <f t="shared" si="23"/>
        <v>1.6577549140049139</v>
      </c>
      <c r="BP37" s="79">
        <f t="shared" si="24"/>
        <v>1.8618857493857495</v>
      </c>
      <c r="BQ37" s="79">
        <f t="shared" si="25"/>
        <v>2.0799754299754296</v>
      </c>
      <c r="BR37" s="79">
        <f t="shared" si="26"/>
        <v>2.2849815724815721</v>
      </c>
      <c r="BS37" s="79">
        <f t="shared" si="27"/>
        <v>2.489987714987715</v>
      </c>
      <c r="BT37" s="79">
        <f t="shared" si="28"/>
        <v>2.6949938574938574</v>
      </c>
      <c r="BU37" s="79">
        <f t="shared" si="29"/>
        <v>2.9</v>
      </c>
    </row>
    <row r="38" spans="1:75" x14ac:dyDescent="0.25">
      <c r="A38" s="52" t="s">
        <v>38</v>
      </c>
      <c r="B38" s="50" t="s">
        <v>102</v>
      </c>
      <c r="C38" s="52" t="s">
        <v>107</v>
      </c>
      <c r="D38" s="49">
        <f>'LUC-2013-01-08-Run1'!AF287</f>
        <v>1.6577549140049139E-3</v>
      </c>
      <c r="E38" s="49">
        <f>'LUC-2013-01-08-Run1'!AG287</f>
        <v>1.6804361179361179E-3</v>
      </c>
      <c r="F38" s="49">
        <f>'LUC-2013-01-08-Run1'!AH287</f>
        <v>1.7031173218673219E-3</v>
      </c>
      <c r="G38" s="49">
        <f>'LUC-2013-01-08-Run1'!AI287</f>
        <v>1.7257985257985258E-3</v>
      </c>
      <c r="H38" s="49">
        <f>'LUC-2013-01-08-Run1'!AJ287</f>
        <v>1.7484797297297296E-3</v>
      </c>
      <c r="I38" s="49">
        <f>'LUC-2013-01-08-Run1'!AK287</f>
        <v>1.7711609336609336E-3</v>
      </c>
      <c r="J38" s="49">
        <f>'LUC-2013-01-08-Run1'!AL287</f>
        <v>1.7938421375921377E-3</v>
      </c>
      <c r="K38" s="49">
        <f>'LUC-2013-01-08-Run1'!AM287</f>
        <v>1.8165233415233415E-3</v>
      </c>
      <c r="L38" s="49">
        <f>'LUC-2013-01-08-Run1'!AN287</f>
        <v>1.8392045454545453E-3</v>
      </c>
      <c r="M38" s="49">
        <f>'LUC-2013-01-08-Run1'!AO287</f>
        <v>1.8618857493857494E-3</v>
      </c>
      <c r="N38" s="49">
        <f>'LUC-2013-01-08-Run1'!AP287</f>
        <v>1.8845669533169532E-3</v>
      </c>
      <c r="O38" s="49">
        <f>'LUC-2013-01-08-Run1'!AQ287</f>
        <v>1.907248157248157E-3</v>
      </c>
      <c r="P38" s="49">
        <f>'LUC-2013-01-08-Run1'!AR287</f>
        <v>1.9299293611793611E-3</v>
      </c>
      <c r="Q38" s="49">
        <f>'LUC-2013-01-08-Run1'!AS287</f>
        <v>1.9526105651105651E-3</v>
      </c>
      <c r="R38" s="49">
        <f>'LUC-2013-01-08-Run1'!AT287</f>
        <v>1.9752917690417692E-3</v>
      </c>
      <c r="S38" s="49">
        <f>'LUC-2013-01-08-Run1'!AU287</f>
        <v>1.9979729729729728E-3</v>
      </c>
      <c r="T38" s="49">
        <f>'LUC-2013-01-08-Run1'!AV287</f>
        <v>2.0184735872235873E-3</v>
      </c>
      <c r="U38" s="49">
        <f>'LUC-2013-01-08-Run1'!AW287</f>
        <v>2.0389742014742013E-3</v>
      </c>
      <c r="V38" s="49">
        <f>'LUC-2013-01-08-Run1'!AX287</f>
        <v>2.0594748157248153E-3</v>
      </c>
      <c r="W38" s="49">
        <f>'LUC-2013-01-08-Run1'!AY287</f>
        <v>2.0799754299754298E-3</v>
      </c>
      <c r="X38" s="49">
        <f>'LUC-2013-01-08-Run1'!AZ287</f>
        <v>2.1004760442260443E-3</v>
      </c>
      <c r="Y38" s="49">
        <f>'LUC-2013-01-08-Run1'!BA287</f>
        <v>2.1209766584766583E-3</v>
      </c>
      <c r="Z38" s="49">
        <f>'LUC-2013-01-08-Run1'!BB287</f>
        <v>2.1414772727272723E-3</v>
      </c>
      <c r="AA38" s="49">
        <f>'LUC-2013-01-08-Run1'!BC287</f>
        <v>2.1619778869778868E-3</v>
      </c>
      <c r="AB38" s="49">
        <f>'LUC-2013-01-08-Run1'!BD287</f>
        <v>2.1824785012285013E-3</v>
      </c>
      <c r="AC38" s="49">
        <f>'LUC-2013-01-08-Run1'!BE287</f>
        <v>2.2029791154791153E-3</v>
      </c>
      <c r="AD38" s="49">
        <f>'LUC-2013-01-08-Run1'!BF287</f>
        <v>2.2234797297297293E-3</v>
      </c>
      <c r="AE38" s="49">
        <f>'LUC-2013-01-08-Run1'!BG287</f>
        <v>2.2439803439803438E-3</v>
      </c>
      <c r="AF38" s="49">
        <f>'LUC-2013-01-08-Run1'!BH287</f>
        <v>2.2644809582309583E-3</v>
      </c>
      <c r="AG38" s="49">
        <f>'LUC-2013-01-08-Run1'!BI287</f>
        <v>2.2849815724815723E-3</v>
      </c>
      <c r="AH38" s="49">
        <f>'LUC-2013-01-08-Run1'!BJ287</f>
        <v>2.3054821867321863E-3</v>
      </c>
      <c r="AI38" s="49">
        <f>'LUC-2013-01-08-Run1'!BK287</f>
        <v>2.3259828009828008E-3</v>
      </c>
      <c r="AJ38" s="49">
        <f>'LUC-2013-01-08-Run1'!BL287</f>
        <v>2.3464834152334153E-3</v>
      </c>
      <c r="AK38" s="49">
        <f>'LUC-2013-01-08-Run1'!BM287</f>
        <v>2.3669840294840293E-3</v>
      </c>
      <c r="AL38" s="49">
        <f>'LUC-2013-01-08-Run1'!BN287</f>
        <v>2.3874846437346433E-3</v>
      </c>
      <c r="AM38" s="49">
        <f>'LUC-2013-01-08-Run1'!BO287</f>
        <v>2.4079852579852578E-3</v>
      </c>
      <c r="AN38" s="49">
        <f>'LUC-2013-01-08-Run1'!BP287</f>
        <v>2.4284858722358723E-3</v>
      </c>
      <c r="AO38" s="49">
        <f>'LUC-2013-01-08-Run1'!BQ287</f>
        <v>2.4489864864864863E-3</v>
      </c>
      <c r="AP38" s="49">
        <f>'LUC-2013-01-08-Run1'!BR287</f>
        <v>2.4694871007371003E-3</v>
      </c>
      <c r="AQ38" s="49">
        <f>'LUC-2013-01-08-Run1'!BS287</f>
        <v>2.4899877149877148E-3</v>
      </c>
      <c r="AR38" s="49">
        <f>'LUC-2013-01-08-Run1'!BT287</f>
        <v>2.5104883292383293E-3</v>
      </c>
      <c r="AS38" s="49">
        <f>'LUC-2013-01-08-Run1'!BU287</f>
        <v>2.5309889434889433E-3</v>
      </c>
      <c r="AT38" s="49">
        <f>'LUC-2013-01-08-Run1'!BV287</f>
        <v>2.5514895577395573E-3</v>
      </c>
      <c r="AU38" s="49">
        <f>'LUC-2013-01-08-Run1'!BW287</f>
        <v>2.5719901719901718E-3</v>
      </c>
      <c r="AV38" s="49">
        <f>'LUC-2013-01-08-Run1'!BX287</f>
        <v>2.5924907862407863E-3</v>
      </c>
      <c r="AW38" s="49">
        <f>'LUC-2013-01-08-Run1'!BY287</f>
        <v>2.6129914004914003E-3</v>
      </c>
      <c r="AX38" s="49">
        <f>'LUC-2013-01-08-Run1'!BZ287</f>
        <v>2.6334920147420143E-3</v>
      </c>
      <c r="AY38" s="49">
        <f>'LUC-2013-01-08-Run1'!CA287</f>
        <v>2.6539926289926288E-3</v>
      </c>
      <c r="AZ38" s="49">
        <f>'LUC-2013-01-08-Run1'!CB287</f>
        <v>2.6744932432432433E-3</v>
      </c>
      <c r="BA38" s="49">
        <f>'LUC-2013-01-08-Run1'!CC287</f>
        <v>2.6949938574938573E-3</v>
      </c>
      <c r="BB38" s="49">
        <f>'LUC-2013-01-08-Run1'!CD287</f>
        <v>2.7154944717444713E-3</v>
      </c>
      <c r="BC38" s="49">
        <f>'LUC-2013-01-08-Run1'!CE287</f>
        <v>2.7359950859950858E-3</v>
      </c>
      <c r="BD38" s="49">
        <f>'LUC-2013-01-08-Run1'!CF287</f>
        <v>2.7564957002457003E-3</v>
      </c>
      <c r="BE38" s="49">
        <f>'LUC-2013-01-08-Run1'!CG287</f>
        <v>2.7769963144963143E-3</v>
      </c>
      <c r="BF38" s="49">
        <f>'LUC-2013-01-08-Run1'!CH287</f>
        <v>2.7974969287469283E-3</v>
      </c>
      <c r="BG38" s="49">
        <f>'LUC-2013-01-08-Run1'!CI287</f>
        <v>2.8179975429975428E-3</v>
      </c>
      <c r="BH38" s="49">
        <f>'LUC-2013-01-08-Run1'!CJ287</f>
        <v>2.8384981572481573E-3</v>
      </c>
      <c r="BI38" s="49">
        <f>'LUC-2013-01-08-Run1'!CK287</f>
        <v>2.8589987714987713E-3</v>
      </c>
      <c r="BJ38" s="49">
        <f>'LUC-2013-01-08-Run1'!CL287</f>
        <v>2.8794993857493853E-3</v>
      </c>
      <c r="BK38" s="49">
        <f>'LUC-2013-01-08-Run1'!CM287</f>
        <v>2.8999999999999998E-3</v>
      </c>
      <c r="BM38" s="106"/>
      <c r="BN38" s="53" t="s">
        <v>103</v>
      </c>
      <c r="BO38" s="63">
        <f t="shared" si="23"/>
        <v>61.52272727272728</v>
      </c>
      <c r="BP38" s="63">
        <f t="shared" si="24"/>
        <v>65.409090909090921</v>
      </c>
      <c r="BQ38" s="63">
        <f t="shared" si="25"/>
        <v>71.27272727272728</v>
      </c>
      <c r="BR38" s="63">
        <f t="shared" si="26"/>
        <v>79.454545454545453</v>
      </c>
      <c r="BS38" s="63">
        <f t="shared" si="27"/>
        <v>87.63636363636364</v>
      </c>
      <c r="BT38" s="63">
        <f t="shared" si="28"/>
        <v>95.818181818181813</v>
      </c>
      <c r="BU38" s="63">
        <f t="shared" si="29"/>
        <v>104</v>
      </c>
    </row>
    <row r="39" spans="1:75" x14ac:dyDescent="0.25">
      <c r="A39" s="52" t="s">
        <v>38</v>
      </c>
      <c r="B39" s="50" t="s">
        <v>103</v>
      </c>
      <c r="C39" s="52" t="s">
        <v>107</v>
      </c>
      <c r="D39" s="49">
        <f>'LUC-2013-01-08-Run1'!AF288</f>
        <v>6.1522727272727278E-2</v>
      </c>
      <c r="E39" s="49">
        <f>'LUC-2013-01-08-Run1'!AG288</f>
        <v>6.1954545454545457E-2</v>
      </c>
      <c r="F39" s="49">
        <f>'LUC-2013-01-08-Run1'!AH288</f>
        <v>6.2386363636363643E-2</v>
      </c>
      <c r="G39" s="49">
        <f>'LUC-2013-01-08-Run1'!AI288</f>
        <v>6.2818181818181829E-2</v>
      </c>
      <c r="H39" s="49">
        <f>'LUC-2013-01-08-Run1'!AJ288</f>
        <v>6.3250000000000001E-2</v>
      </c>
      <c r="I39" s="49">
        <f>'LUC-2013-01-08-Run1'!AK288</f>
        <v>6.3681818181818187E-2</v>
      </c>
      <c r="J39" s="49">
        <f>'LUC-2013-01-08-Run1'!AL288</f>
        <v>6.4113636363636373E-2</v>
      </c>
      <c r="K39" s="49">
        <f>'LUC-2013-01-08-Run1'!AM288</f>
        <v>6.4545454545454545E-2</v>
      </c>
      <c r="L39" s="49">
        <f>'LUC-2013-01-08-Run1'!AN288</f>
        <v>6.4977272727272731E-2</v>
      </c>
      <c r="M39" s="49">
        <f>'LUC-2013-01-08-Run1'!AO288</f>
        <v>6.5409090909090917E-2</v>
      </c>
      <c r="N39" s="49">
        <f>'LUC-2013-01-08-Run1'!AP288</f>
        <v>6.5840909090909089E-2</v>
      </c>
      <c r="O39" s="49">
        <f>'LUC-2013-01-08-Run1'!AQ288</f>
        <v>6.6272727272727275E-2</v>
      </c>
      <c r="P39" s="49">
        <f>'LUC-2013-01-08-Run1'!AR288</f>
        <v>6.6704545454545461E-2</v>
      </c>
      <c r="Q39" s="49">
        <f>'LUC-2013-01-08-Run1'!AS288</f>
        <v>6.7136363636363633E-2</v>
      </c>
      <c r="R39" s="49">
        <f>'LUC-2013-01-08-Run1'!AT288</f>
        <v>6.7568181818181819E-2</v>
      </c>
      <c r="S39" s="49">
        <f>'LUC-2013-01-08-Run1'!AU288</f>
        <v>6.8000000000000005E-2</v>
      </c>
      <c r="T39" s="49">
        <f>'LUC-2013-01-08-Run1'!AV288</f>
        <v>6.881818181818182E-2</v>
      </c>
      <c r="U39" s="49">
        <f>'LUC-2013-01-08-Run1'!AW288</f>
        <v>6.9636363636363635E-2</v>
      </c>
      <c r="V39" s="49">
        <f>'LUC-2013-01-08-Run1'!AX288</f>
        <v>7.0454545454545464E-2</v>
      </c>
      <c r="W39" s="49">
        <f>'LUC-2013-01-08-Run1'!AY288</f>
        <v>7.1272727272727279E-2</v>
      </c>
      <c r="X39" s="49">
        <f>'LUC-2013-01-08-Run1'!AZ288</f>
        <v>7.2090909090909094E-2</v>
      </c>
      <c r="Y39" s="49">
        <f>'LUC-2013-01-08-Run1'!BA288</f>
        <v>7.290909090909091E-2</v>
      </c>
      <c r="Z39" s="49">
        <f>'LUC-2013-01-08-Run1'!BB288</f>
        <v>7.3727272727272725E-2</v>
      </c>
      <c r="AA39" s="49">
        <f>'LUC-2013-01-08-Run1'!BC288</f>
        <v>7.4545454545454554E-2</v>
      </c>
      <c r="AB39" s="49">
        <f>'LUC-2013-01-08-Run1'!BD288</f>
        <v>7.5363636363636369E-2</v>
      </c>
      <c r="AC39" s="49">
        <f>'LUC-2013-01-08-Run1'!BE288</f>
        <v>7.6181818181818184E-2</v>
      </c>
      <c r="AD39" s="49">
        <f>'LUC-2013-01-08-Run1'!BF288</f>
        <v>7.6999999999999999E-2</v>
      </c>
      <c r="AE39" s="49">
        <f>'LUC-2013-01-08-Run1'!BG288</f>
        <v>7.7818181818181814E-2</v>
      </c>
      <c r="AF39" s="49">
        <f>'LUC-2013-01-08-Run1'!BH288</f>
        <v>7.8636363636363643E-2</v>
      </c>
      <c r="AG39" s="49">
        <f>'LUC-2013-01-08-Run1'!BI288</f>
        <v>7.9454545454545458E-2</v>
      </c>
      <c r="AH39" s="49">
        <f>'LUC-2013-01-08-Run1'!BJ288</f>
        <v>8.0272727272727273E-2</v>
      </c>
      <c r="AI39" s="49">
        <f>'LUC-2013-01-08-Run1'!BK288</f>
        <v>8.1090909090909088E-2</v>
      </c>
      <c r="AJ39" s="49">
        <f>'LUC-2013-01-08-Run1'!BL288</f>
        <v>8.1909090909090904E-2</v>
      </c>
      <c r="AK39" s="49">
        <f>'LUC-2013-01-08-Run1'!BM288</f>
        <v>8.2727272727272733E-2</v>
      </c>
      <c r="AL39" s="49">
        <f>'LUC-2013-01-08-Run1'!BN288</f>
        <v>8.3545454545454548E-2</v>
      </c>
      <c r="AM39" s="49">
        <f>'LUC-2013-01-08-Run1'!BO288</f>
        <v>8.4363636363636363E-2</v>
      </c>
      <c r="AN39" s="49">
        <f>'LUC-2013-01-08-Run1'!BP288</f>
        <v>8.5181818181818178E-2</v>
      </c>
      <c r="AO39" s="49">
        <f>'LUC-2013-01-08-Run1'!BQ288</f>
        <v>8.5999999999999993E-2</v>
      </c>
      <c r="AP39" s="49">
        <f>'LUC-2013-01-08-Run1'!BR288</f>
        <v>8.6818181818181822E-2</v>
      </c>
      <c r="AQ39" s="49">
        <f>'LUC-2013-01-08-Run1'!BS288</f>
        <v>8.7636363636363637E-2</v>
      </c>
      <c r="AR39" s="49">
        <f>'LUC-2013-01-08-Run1'!BT288</f>
        <v>8.8454545454545452E-2</v>
      </c>
      <c r="AS39" s="49">
        <f>'LUC-2013-01-08-Run1'!BU288</f>
        <v>8.9272727272727267E-2</v>
      </c>
      <c r="AT39" s="49">
        <f>'LUC-2013-01-08-Run1'!BV288</f>
        <v>9.0090909090909083E-2</v>
      </c>
      <c r="AU39" s="49">
        <f>'LUC-2013-01-08-Run1'!BW288</f>
        <v>9.0909090909090912E-2</v>
      </c>
      <c r="AV39" s="49">
        <f>'LUC-2013-01-08-Run1'!BX288</f>
        <v>9.1727272727272727E-2</v>
      </c>
      <c r="AW39" s="49">
        <f>'LUC-2013-01-08-Run1'!BY288</f>
        <v>9.2545454545454542E-2</v>
      </c>
      <c r="AX39" s="49">
        <f>'LUC-2013-01-08-Run1'!BZ288</f>
        <v>9.3363636363636357E-2</v>
      </c>
      <c r="AY39" s="49">
        <f>'LUC-2013-01-08-Run1'!CA288</f>
        <v>9.4181818181818172E-2</v>
      </c>
      <c r="AZ39" s="49">
        <f>'LUC-2013-01-08-Run1'!CB288</f>
        <v>9.5000000000000001E-2</v>
      </c>
      <c r="BA39" s="49">
        <f>'LUC-2013-01-08-Run1'!CC288</f>
        <v>9.5818181818181816E-2</v>
      </c>
      <c r="BB39" s="49">
        <f>'LUC-2013-01-08-Run1'!CD288</f>
        <v>9.6636363636363631E-2</v>
      </c>
      <c r="BC39" s="49">
        <f>'LUC-2013-01-08-Run1'!CE288</f>
        <v>9.7454545454545446E-2</v>
      </c>
      <c r="BD39" s="49">
        <f>'LUC-2013-01-08-Run1'!CF288</f>
        <v>9.8272727272727262E-2</v>
      </c>
      <c r="BE39" s="49">
        <f>'LUC-2013-01-08-Run1'!CG288</f>
        <v>9.9090909090909091E-2</v>
      </c>
      <c r="BF39" s="49">
        <f>'LUC-2013-01-08-Run1'!CH288</f>
        <v>9.9909090909090906E-2</v>
      </c>
      <c r="BG39" s="49">
        <f>'LUC-2013-01-08-Run1'!CI288</f>
        <v>0.10072727272727272</v>
      </c>
      <c r="BH39" s="49">
        <f>'LUC-2013-01-08-Run1'!CJ288</f>
        <v>0.10154545454545455</v>
      </c>
      <c r="BI39" s="49">
        <f>'LUC-2013-01-08-Run1'!CK288</f>
        <v>0.10236363636363635</v>
      </c>
      <c r="BJ39" s="49">
        <f>'LUC-2013-01-08-Run1'!CL288</f>
        <v>0.10318181818181818</v>
      </c>
      <c r="BK39" s="49">
        <f>'LUC-2013-01-08-Run1'!CM288</f>
        <v>0.104</v>
      </c>
      <c r="BM39" s="107"/>
      <c r="BN39" s="54" t="s">
        <v>104</v>
      </c>
      <c r="BO39" s="80">
        <f t="shared" si="23"/>
        <v>0.86618671127481961</v>
      </c>
      <c r="BP39" s="80">
        <f t="shared" si="24"/>
        <v>0.9303922102831238</v>
      </c>
      <c r="BQ39" s="80">
        <f t="shared" si="25"/>
        <v>1.043298969072165</v>
      </c>
      <c r="BR39" s="80">
        <f t="shared" si="26"/>
        <v>1.2185567010309277</v>
      </c>
      <c r="BS39" s="80">
        <f t="shared" si="27"/>
        <v>1.3938144329896907</v>
      </c>
      <c r="BT39" s="80">
        <f t="shared" si="28"/>
        <v>1.5690721649484536</v>
      </c>
      <c r="BU39" s="80">
        <f t="shared" si="29"/>
        <v>1.7443298969072165</v>
      </c>
    </row>
    <row r="40" spans="1:75" x14ac:dyDescent="0.25">
      <c r="A40" s="52" t="s">
        <v>38</v>
      </c>
      <c r="B40" s="50" t="s">
        <v>104</v>
      </c>
      <c r="C40" s="52" t="s">
        <v>107</v>
      </c>
      <c r="D40" s="49">
        <f>'LUC-2013-01-08-Run1'!AF294</f>
        <v>8.6618671127481966E-4</v>
      </c>
      <c r="E40" s="49">
        <f>'LUC-2013-01-08-Run1'!AG294</f>
        <v>8.7332065560907562E-4</v>
      </c>
      <c r="F40" s="49">
        <f>'LUC-2013-01-08-Run1'!AH294</f>
        <v>8.8045459994333169E-4</v>
      </c>
      <c r="G40" s="49">
        <f>'LUC-2013-01-08-Run1'!AI294</f>
        <v>8.8758854427758765E-4</v>
      </c>
      <c r="H40" s="49">
        <f>'LUC-2013-01-08-Run1'!AJ294</f>
        <v>8.9472248861184372E-4</v>
      </c>
      <c r="I40" s="49">
        <f>'LUC-2013-01-08-Run1'!AK294</f>
        <v>9.0185643294609969E-4</v>
      </c>
      <c r="J40" s="49">
        <f>'LUC-2013-01-08-Run1'!AL294</f>
        <v>9.0899037728035576E-4</v>
      </c>
      <c r="K40" s="49">
        <f>'LUC-2013-01-08-Run1'!AM294</f>
        <v>9.1612432161461172E-4</v>
      </c>
      <c r="L40" s="49">
        <f>'LUC-2013-01-08-Run1'!AN294</f>
        <v>9.2325826594886768E-4</v>
      </c>
      <c r="M40" s="49">
        <f>'LUC-2013-01-08-Run1'!AO294</f>
        <v>9.3039221028312375E-4</v>
      </c>
      <c r="N40" s="49">
        <f>'LUC-2013-01-08-Run1'!AP294</f>
        <v>9.3752615461737982E-4</v>
      </c>
      <c r="O40" s="49">
        <f>'LUC-2013-01-08-Run1'!AQ294</f>
        <v>9.4466009895163578E-4</v>
      </c>
      <c r="P40" s="49">
        <f>'LUC-2013-01-08-Run1'!AR294</f>
        <v>9.5179404328589175E-4</v>
      </c>
      <c r="Q40" s="49">
        <f>'LUC-2013-01-08-Run1'!AS294</f>
        <v>9.5892798762014782E-4</v>
      </c>
      <c r="R40" s="49">
        <f>'LUC-2013-01-08-Run1'!AT294</f>
        <v>9.6606193195440389E-4</v>
      </c>
      <c r="S40" s="49">
        <f>'LUC-2013-01-08-Run1'!AU294</f>
        <v>9.7319587628865985E-4</v>
      </c>
      <c r="T40" s="49">
        <f>'LUC-2013-01-08-Run1'!AV294</f>
        <v>9.9072164948453621E-4</v>
      </c>
      <c r="U40" s="49">
        <f>'LUC-2013-01-08-Run1'!AW294</f>
        <v>1.0082474226804125E-3</v>
      </c>
      <c r="V40" s="49">
        <f>'LUC-2013-01-08-Run1'!AX294</f>
        <v>1.0257731958762887E-3</v>
      </c>
      <c r="W40" s="49">
        <f>'LUC-2013-01-08-Run1'!AY294</f>
        <v>1.043298969072165E-3</v>
      </c>
      <c r="X40" s="49">
        <f>'LUC-2013-01-08-Run1'!AZ294</f>
        <v>1.0608247422680412E-3</v>
      </c>
      <c r="Y40" s="49">
        <f>'LUC-2013-01-08-Run1'!BA294</f>
        <v>1.0783505154639175E-3</v>
      </c>
      <c r="Z40" s="49">
        <f>'LUC-2013-01-08-Run1'!BB294</f>
        <v>1.095876288659794E-3</v>
      </c>
      <c r="AA40" s="49">
        <f>'LUC-2013-01-08-Run1'!BC294</f>
        <v>1.1134020618556702E-3</v>
      </c>
      <c r="AB40" s="49">
        <f>'LUC-2013-01-08-Run1'!BD294</f>
        <v>1.1309278350515465E-3</v>
      </c>
      <c r="AC40" s="49">
        <f>'LUC-2013-01-08-Run1'!BE294</f>
        <v>1.1484536082474227E-3</v>
      </c>
      <c r="AD40" s="49">
        <f>'LUC-2013-01-08-Run1'!BF294</f>
        <v>1.165979381443299E-3</v>
      </c>
      <c r="AE40" s="49">
        <f>'LUC-2013-01-08-Run1'!BG294</f>
        <v>1.1835051546391752E-3</v>
      </c>
      <c r="AF40" s="49">
        <f>'LUC-2013-01-08-Run1'!BH294</f>
        <v>1.2010309278350515E-3</v>
      </c>
      <c r="AG40" s="49">
        <f>'LUC-2013-01-08-Run1'!BI294</f>
        <v>1.2185567010309277E-3</v>
      </c>
      <c r="AH40" s="49">
        <f>'LUC-2013-01-08-Run1'!BJ294</f>
        <v>1.236082474226804E-3</v>
      </c>
      <c r="AI40" s="49">
        <f>'LUC-2013-01-08-Run1'!BK294</f>
        <v>1.2536082474226805E-3</v>
      </c>
      <c r="AJ40" s="49">
        <f>'LUC-2013-01-08-Run1'!BL294</f>
        <v>1.2711340206185567E-3</v>
      </c>
      <c r="AK40" s="49">
        <f>'LUC-2013-01-08-Run1'!BM294</f>
        <v>1.288659793814433E-3</v>
      </c>
      <c r="AL40" s="49">
        <f>'LUC-2013-01-08-Run1'!BN294</f>
        <v>1.3061855670103092E-3</v>
      </c>
      <c r="AM40" s="49">
        <f>'LUC-2013-01-08-Run1'!BO294</f>
        <v>1.3237113402061855E-3</v>
      </c>
      <c r="AN40" s="49">
        <f>'LUC-2013-01-08-Run1'!BP294</f>
        <v>1.3412371134020619E-3</v>
      </c>
      <c r="AO40" s="49">
        <f>'LUC-2013-01-08-Run1'!BQ294</f>
        <v>1.3587628865979382E-3</v>
      </c>
      <c r="AP40" s="49">
        <f>'LUC-2013-01-08-Run1'!BR294</f>
        <v>1.3762886597938145E-3</v>
      </c>
      <c r="AQ40" s="49">
        <f>'LUC-2013-01-08-Run1'!BS294</f>
        <v>1.3938144329896907E-3</v>
      </c>
      <c r="AR40" s="49">
        <f>'LUC-2013-01-08-Run1'!BT294</f>
        <v>1.411340206185567E-3</v>
      </c>
      <c r="AS40" s="49">
        <f>'LUC-2013-01-08-Run1'!BU294</f>
        <v>1.4288659793814432E-3</v>
      </c>
      <c r="AT40" s="49">
        <f>'LUC-2013-01-08-Run1'!BV294</f>
        <v>1.4463917525773195E-3</v>
      </c>
      <c r="AU40" s="49">
        <f>'LUC-2013-01-08-Run1'!BW294</f>
        <v>1.4639175257731957E-3</v>
      </c>
      <c r="AV40" s="49">
        <f>'LUC-2013-01-08-Run1'!BX294</f>
        <v>1.481443298969072E-3</v>
      </c>
      <c r="AW40" s="49">
        <f>'LUC-2013-01-08-Run1'!BY294</f>
        <v>1.4989690721649482E-3</v>
      </c>
      <c r="AX40" s="49">
        <f>'LUC-2013-01-08-Run1'!BZ294</f>
        <v>1.5164948453608247E-3</v>
      </c>
      <c r="AY40" s="49">
        <f>'LUC-2013-01-08-Run1'!CA294</f>
        <v>1.534020618556701E-3</v>
      </c>
      <c r="AZ40" s="49">
        <f>'LUC-2013-01-08-Run1'!CB294</f>
        <v>1.5515463917525772E-3</v>
      </c>
      <c r="BA40" s="49">
        <f>'LUC-2013-01-08-Run1'!CC294</f>
        <v>1.5690721649484537E-3</v>
      </c>
      <c r="BB40" s="49">
        <f>'LUC-2013-01-08-Run1'!CD294</f>
        <v>1.5865979381443299E-3</v>
      </c>
      <c r="BC40" s="49">
        <f>'LUC-2013-01-08-Run1'!CE294</f>
        <v>1.6041237113402062E-3</v>
      </c>
      <c r="BD40" s="49">
        <f>'LUC-2013-01-08-Run1'!CF294</f>
        <v>1.6216494845360824E-3</v>
      </c>
      <c r="BE40" s="49">
        <f>'LUC-2013-01-08-Run1'!CG294</f>
        <v>1.6391752577319587E-3</v>
      </c>
      <c r="BF40" s="49">
        <f>'LUC-2013-01-08-Run1'!CH294</f>
        <v>1.656701030927835E-3</v>
      </c>
      <c r="BG40" s="49">
        <f>'LUC-2013-01-08-Run1'!CI294</f>
        <v>1.6742268041237112E-3</v>
      </c>
      <c r="BH40" s="49">
        <f>'LUC-2013-01-08-Run1'!CJ294</f>
        <v>1.6917525773195875E-3</v>
      </c>
      <c r="BI40" s="49">
        <f>'LUC-2013-01-08-Run1'!CK294</f>
        <v>1.7092783505154637E-3</v>
      </c>
      <c r="BJ40" s="49">
        <f>'LUC-2013-01-08-Run1'!CL294</f>
        <v>1.72680412371134E-3</v>
      </c>
      <c r="BK40" s="49">
        <f>'LUC-2013-01-08-Run1'!CM294</f>
        <v>1.7443298969072164E-3</v>
      </c>
      <c r="BM40" s="50"/>
      <c r="BN40" s="52" t="s">
        <v>113</v>
      </c>
      <c r="BO40" s="47"/>
      <c r="BP40" s="47"/>
      <c r="BQ40" s="47"/>
      <c r="BR40" s="47"/>
      <c r="BS40" s="47"/>
      <c r="BT40" s="47"/>
      <c r="BU40" s="47"/>
    </row>
    <row r="41" spans="1:75" x14ac:dyDescent="0.25">
      <c r="BM41" s="57" t="s">
        <v>93</v>
      </c>
      <c r="BN41" s="57" t="s">
        <v>94</v>
      </c>
      <c r="BO41" s="57">
        <v>1991</v>
      </c>
      <c r="BP41" s="57">
        <v>2000</v>
      </c>
      <c r="BQ41" s="57">
        <v>2010</v>
      </c>
      <c r="BR41" s="57">
        <v>2020</v>
      </c>
      <c r="BS41" s="57">
        <v>2030</v>
      </c>
      <c r="BT41" s="57">
        <v>2040</v>
      </c>
      <c r="BU41" s="57">
        <v>2050</v>
      </c>
    </row>
    <row r="42" spans="1:75" x14ac:dyDescent="0.25">
      <c r="A42" s="50" t="s">
        <v>38</v>
      </c>
      <c r="B42" s="50" t="s">
        <v>105</v>
      </c>
      <c r="C42" s="50" t="s">
        <v>108</v>
      </c>
      <c r="D42" s="48">
        <f>'WAO Scenario Ag'!AF13</f>
        <v>264298.13384870189</v>
      </c>
      <c r="E42" s="48">
        <f>'WAO Scenario Ag'!AG13</f>
        <v>520633.93324715138</v>
      </c>
      <c r="F42" s="48">
        <f>'WAO Scenario Ag'!AH13</f>
        <v>769361.87263473251</v>
      </c>
      <c r="G42" s="48">
        <f>'WAO Scenario Ag'!AI13</f>
        <v>1010815.693040224</v>
      </c>
      <c r="H42" s="48">
        <f>'WAO Scenario Ag'!AJ13</f>
        <v>1245309.8961211501</v>
      </c>
      <c r="I42" s="48">
        <f>'WAO Scenario Ag'!AK13</f>
        <v>1473141.1108468894</v>
      </c>
      <c r="J42" s="48">
        <f>'WAO Scenario Ag'!AL13</f>
        <v>1694589.3453137057</v>
      </c>
      <c r="K42" s="48">
        <f>'WAO Scenario Ag'!AM13</f>
        <v>1909919.13479971</v>
      </c>
      <c r="L42" s="48">
        <f>'WAO Scenario Ag'!AN13</f>
        <v>2119380.5959568662</v>
      </c>
      <c r="M42" s="48">
        <f>'WAO Scenario Ag'!AO13</f>
        <v>2323210.3959727613</v>
      </c>
      <c r="N42" s="48">
        <f>'WAO Scenario Ag'!AP13</f>
        <v>2501128.3875601627</v>
      </c>
      <c r="O42" s="48">
        <f>'WAO Scenario Ag'!AQ13</f>
        <v>2992716.5447963728</v>
      </c>
      <c r="P42" s="48">
        <f>'WAO Scenario Ag'!AR13</f>
        <v>3870875.3137433636</v>
      </c>
      <c r="Q42" s="48">
        <f>'WAO Scenario Ag'!AS13</f>
        <v>4626359.6083531128</v>
      </c>
      <c r="R42" s="48">
        <f>'WAO Scenario Ag'!AT13</f>
        <v>5253285.8776954524</v>
      </c>
      <c r="S42" s="48">
        <f>'WAO Scenario Ag'!AU13</f>
        <v>6490042.973514053</v>
      </c>
      <c r="T42" s="48">
        <f>'WAO Scenario Ag'!AV13</f>
        <v>8626704.6787839495</v>
      </c>
      <c r="U42" s="48">
        <f>'WAO Scenario Ag'!AW13</f>
        <v>12139091.505161144</v>
      </c>
      <c r="V42" s="48">
        <f>'WAO Scenario Ag'!AX13</f>
        <v>13126471.001578134</v>
      </c>
      <c r="W42" s="48">
        <f>'WAO Scenario Ag'!AY13</f>
        <v>14105284.902994657</v>
      </c>
      <c r="X42" s="48">
        <f>'WAO Scenario Ag'!AZ13</f>
        <v>15075644.188851245</v>
      </c>
      <c r="Y42" s="48">
        <f>'WAO Scenario Ag'!BA13</f>
        <v>16037657.929637915</v>
      </c>
      <c r="Z42" s="48">
        <f>'WAO Scenario Ag'!BB13</f>
        <v>16991433.327763122</v>
      </c>
      <c r="AA42" s="48">
        <f>'WAO Scenario Ag'!BC13</f>
        <v>17937075.757377177</v>
      </c>
      <c r="AB42" s="48">
        <f>'WAO Scenario Ag'!BD13</f>
        <v>18874688.803181317</v>
      </c>
      <c r="AC42" s="48">
        <f>'WAO Scenario Ag'!BE13</f>
        <v>19804374.298252288</v>
      </c>
      <c r="AD42" s="48">
        <f>'WAO Scenario Ag'!BF13</f>
        <v>20726232.360911638</v>
      </c>
      <c r="AE42" s="48">
        <f>'WAO Scenario Ag'!BG13</f>
        <v>21640361.430667602</v>
      </c>
      <c r="AF42" s="48">
        <f>'WAO Scenario Ag'!BH13</f>
        <v>22546858.967190493</v>
      </c>
      <c r="AG42" s="48">
        <f>'WAO Scenario Ag'!BI13</f>
        <v>22453126.749261886</v>
      </c>
      <c r="AH42" s="48">
        <f>'WAO Scenario Ag'!BJ13</f>
        <v>22360170.635508824</v>
      </c>
      <c r="AI42" s="48">
        <f>'WAO Scenario Ag'!BK13</f>
        <v>22267981.026441887</v>
      </c>
      <c r="AJ42" s="48">
        <f>'WAO Scenario Ag'!BL13</f>
        <v>22176548.480234023</v>
      </c>
      <c r="AK42" s="48">
        <f>'WAO Scenario Ag'!BM13</f>
        <v>22085863.709497008</v>
      </c>
      <c r="AL42" s="48">
        <f>'WAO Scenario Ag'!BN13</f>
        <v>21995917.578136601</v>
      </c>
      <c r="AM42" s="48">
        <f>'WAO Scenario Ag'!BO13</f>
        <v>21906701.098284278</v>
      </c>
      <c r="AN42" s="48">
        <f>'WAO Scenario Ag'!BP13</f>
        <v>21818205.427303322</v>
      </c>
      <c r="AO42" s="48">
        <f>'WAO Scenario Ag'!BQ13</f>
        <v>21730421.86486721</v>
      </c>
      <c r="AP42" s="48">
        <f>'WAO Scenario Ag'!BR13</f>
        <v>21643341.85010818</v>
      </c>
      <c r="AQ42" s="48">
        <f>'WAO Scenario Ag'!BS13</f>
        <v>21556956.95883416</v>
      </c>
      <c r="AR42" s="48">
        <f>'WAO Scenario Ag'!BT13</f>
        <v>21471258.900812052</v>
      </c>
      <c r="AS42" s="48">
        <f>'WAO Scenario Ag'!BU13</f>
        <v>21386239.517115533</v>
      </c>
      <c r="AT42" s="48">
        <f>'WAO Scenario Ag'!BV13</f>
        <v>21301890.777535658</v>
      </c>
      <c r="AU42" s="48">
        <f>'WAO Scenario Ag'!BW13</f>
        <v>21218204.778052483</v>
      </c>
      <c r="AV42" s="48">
        <f>'WAO Scenario Ag'!BX13</f>
        <v>21135173.738366045</v>
      </c>
      <c r="AW42" s="48">
        <f>'WAO Scenario Ag'!BY13</f>
        <v>21052789.999485102</v>
      </c>
      <c r="AX42" s="48">
        <f>'WAO Scenario Ag'!BZ13</f>
        <v>20971046.021372028</v>
      </c>
      <c r="AY42" s="48">
        <f>'WAO Scenario Ag'!CA13</f>
        <v>20889934.380642388</v>
      </c>
      <c r="AZ42" s="48">
        <f>'WAO Scenario Ag'!CB13</f>
        <v>20809447.768317673</v>
      </c>
      <c r="BA42" s="48">
        <f>'WAO Scenario Ag'!CC13</f>
        <v>20729578.987629782</v>
      </c>
      <c r="BB42" s="48">
        <f>'WAO Scenario Ag'!CD13</f>
        <v>20650320.951875895</v>
      </c>
      <c r="BC42" s="48">
        <f>'WAO Scenario Ag'!CE13</f>
        <v>20571666.682322353</v>
      </c>
      <c r="BD42" s="48">
        <f>'WAO Scenario Ag'!CF13</f>
        <v>20493609.306156244</v>
      </c>
      <c r="BE42" s="48">
        <f>'WAO Scenario Ag'!CG13</f>
        <v>20416142.054483488</v>
      </c>
      <c r="BF42" s="48">
        <f>'WAO Scenario Ag'!CH13</f>
        <v>20339258.260372117</v>
      </c>
      <c r="BG42" s="48">
        <f>'WAO Scenario Ag'!CI13</f>
        <v>20262951.356939618</v>
      </c>
      <c r="BH42" s="48">
        <f>'WAO Scenario Ag'!CJ13</f>
        <v>20187214.875483166</v>
      </c>
      <c r="BI42" s="48">
        <f>'WAO Scenario Ag'!CK13</f>
        <v>20112042.443651643</v>
      </c>
      <c r="BJ42" s="48">
        <f>'WAO Scenario Ag'!CL13</f>
        <v>20037427.783658333</v>
      </c>
      <c r="BK42" s="48">
        <f>'WAO Scenario Ag'!CM13</f>
        <v>19963364.71053325</v>
      </c>
      <c r="BM42" s="101" t="s">
        <v>38</v>
      </c>
      <c r="BN42" s="55" t="s">
        <v>105</v>
      </c>
      <c r="BO42" s="76">
        <f>D42/1000000</f>
        <v>0.26429813384870188</v>
      </c>
      <c r="BP42" s="75">
        <f>M42/1000000</f>
        <v>2.3232103959727612</v>
      </c>
      <c r="BQ42" s="60">
        <f>W42/1000000</f>
        <v>14.105284902994656</v>
      </c>
      <c r="BR42" s="60">
        <f>AG42/1000000</f>
        <v>22.453126749261887</v>
      </c>
      <c r="BS42" s="60">
        <f>AQ42/1000000</f>
        <v>21.55695695883416</v>
      </c>
      <c r="BT42" s="60">
        <f>BA42/1000000</f>
        <v>20.729578987629782</v>
      </c>
      <c r="BU42" s="60">
        <f>BK42/1000000</f>
        <v>19.963364710533249</v>
      </c>
    </row>
    <row r="43" spans="1:75" x14ac:dyDescent="0.25">
      <c r="A43" s="50" t="s">
        <v>38</v>
      </c>
      <c r="B43" s="50" t="s">
        <v>106</v>
      </c>
      <c r="C43" s="50" t="s">
        <v>108</v>
      </c>
      <c r="D43" s="48">
        <f>'WAO Scenario Ag'!AF14</f>
        <v>0</v>
      </c>
      <c r="E43" s="48">
        <f>'WAO Scenario Ag'!AG14</f>
        <v>0</v>
      </c>
      <c r="F43" s="48">
        <f>'WAO Scenario Ag'!AH14</f>
        <v>0</v>
      </c>
      <c r="G43" s="48">
        <f>'WAO Scenario Ag'!AI14</f>
        <v>0</v>
      </c>
      <c r="H43" s="48">
        <f>'WAO Scenario Ag'!AJ14</f>
        <v>0</v>
      </c>
      <c r="I43" s="48">
        <f>'WAO Scenario Ag'!AK14</f>
        <v>0</v>
      </c>
      <c r="J43" s="48">
        <f>'WAO Scenario Ag'!AL14</f>
        <v>0</v>
      </c>
      <c r="K43" s="48">
        <f>'WAO Scenario Ag'!AM14</f>
        <v>0</v>
      </c>
      <c r="L43" s="48">
        <f>'WAO Scenario Ag'!AN14</f>
        <v>0</v>
      </c>
      <c r="M43" s="48">
        <f>'WAO Scenario Ag'!AO14</f>
        <v>0</v>
      </c>
      <c r="N43" s="48">
        <f>'WAO Scenario Ag'!AP14</f>
        <v>26902.341993431211</v>
      </c>
      <c r="O43" s="48">
        <f>'WAO Scenario Ag'!AQ14</f>
        <v>32526.606109635377</v>
      </c>
      <c r="P43" s="48">
        <f>'WAO Scenario Ag'!AR14</f>
        <v>43564.042547470432</v>
      </c>
      <c r="Q43" s="48">
        <f>'WAO Scenario Ag'!AS14</f>
        <v>84536.761375307266</v>
      </c>
      <c r="R43" s="48">
        <f>'WAO Scenario Ag'!AT14</f>
        <v>271911.14066607878</v>
      </c>
      <c r="S43" s="48">
        <f>'WAO Scenario Ag'!AU14</f>
        <v>741604.83511076646</v>
      </c>
      <c r="T43" s="48">
        <f>'WAO Scenario Ag'!AV14</f>
        <v>1435703.7325092244</v>
      </c>
      <c r="U43" s="48">
        <f>'WAO Scenario Ag'!AW14</f>
        <v>1777556.8524855981</v>
      </c>
      <c r="V43" s="48">
        <f>'WAO Scenario Ag'!AX14</f>
        <v>1863278.5505074349</v>
      </c>
      <c r="W43" s="48">
        <f>'WAO Scenario Ag'!AY14</f>
        <v>1947310.4713917852</v>
      </c>
      <c r="X43" s="48">
        <f>'WAO Scenario Ag'!AZ14</f>
        <v>2029702.0917361467</v>
      </c>
      <c r="Y43" s="48">
        <f>'WAO Scenario Ag'!BA14</f>
        <v>2110500.9752444732</v>
      </c>
      <c r="Z43" s="48">
        <f>'WAO Scenario Ag'!BB14</f>
        <v>2189752.8642889517</v>
      </c>
      <c r="AA43" s="48">
        <f>'WAO Scenario Ag'!BC14</f>
        <v>2267501.7662624517</v>
      </c>
      <c r="AB43" s="48">
        <f>'WAO Scenario Ag'!BD14</f>
        <v>2343790.0350641971</v>
      </c>
      <c r="AC43" s="48">
        <f>'WAO Scenario Ag'!BE14</f>
        <v>2418658.4480356607</v>
      </c>
      <c r="AD43" s="48">
        <f>'WAO Scenario Ag'!BF14</f>
        <v>2492146.2786403401</v>
      </c>
      <c r="AE43" s="48">
        <f>'WAO Scenario Ag'!BG14</f>
        <v>2564291.3651595972</v>
      </c>
      <c r="AF43" s="48">
        <f>'WAO Scenario Ag'!BH14</f>
        <v>2635128.1051006331</v>
      </c>
      <c r="AG43" s="48">
        <f>'WAO Scenario Ag'!BI14</f>
        <v>2611486.0130005423</v>
      </c>
      <c r="AH43" s="48">
        <f>'WAO Scenario Ag'!BJ14</f>
        <v>2588264.3773351274</v>
      </c>
      <c r="AI43" s="48">
        <f>'WAO Scenario Ag'!BK14</f>
        <v>2565452.080719721</v>
      </c>
      <c r="AJ43" s="48">
        <f>'WAO Scenario Ag'!BL14</f>
        <v>2543038.3942884281</v>
      </c>
      <c r="AK43" s="48">
        <f>'WAO Scenario Ag'!BM14</f>
        <v>2521012.960869187</v>
      </c>
      <c r="AL43" s="48">
        <f>'WAO Scenario Ag'!BN14</f>
        <v>2499365.7790256487</v>
      </c>
      <c r="AM43" s="48">
        <f>'WAO Scenario Ag'!BO14</f>
        <v>2478087.1879142313</v>
      </c>
      <c r="AN43" s="48">
        <f>'WAO Scenario Ag'!BP14</f>
        <v>2457167.8529081573</v>
      </c>
      <c r="AO43" s="48">
        <f>'WAO Scenario Ag'!BQ14</f>
        <v>2436598.751943558</v>
      </c>
      <c r="AP43" s="48">
        <f>'WAO Scenario Ag'!BR14</f>
        <v>2416371.1625456568</v>
      </c>
      <c r="AQ43" s="48">
        <f>'WAO Scenario Ag'!BS14</f>
        <v>2396476.6494958596</v>
      </c>
      <c r="AR43" s="48">
        <f>'WAO Scenario Ag'!BT14</f>
        <v>2376907.0531031038</v>
      </c>
      <c r="AS43" s="48">
        <f>'WAO Scenario Ag'!BU14</f>
        <v>2357654.4780452056</v>
      </c>
      <c r="AT43" s="48">
        <f>'WAO Scenario Ag'!BV14</f>
        <v>2338711.2827481581</v>
      </c>
      <c r="AU43" s="48">
        <f>'WAO Scenario Ag'!BW14</f>
        <v>2320070.0692733484</v>
      </c>
      <c r="AV43" s="48">
        <f>'WAO Scenario Ag'!BX14</f>
        <v>2301723.6736845965</v>
      </c>
      <c r="AW43" s="48">
        <f>'WAO Scenario Ag'!BY14</f>
        <v>2283665.1568686436</v>
      </c>
      <c r="AX43" s="48">
        <f>'WAO Scenario Ag'!BZ14</f>
        <v>2265887.795784404</v>
      </c>
      <c r="AY43" s="48">
        <f>'WAO Scenario Ag'!CA14</f>
        <v>2248385.0751177748</v>
      </c>
      <c r="AZ43" s="48">
        <f>'WAO Scenario Ag'!CB14</f>
        <v>2231150.6793202613</v>
      </c>
      <c r="BA43" s="48">
        <f>'WAO Scenario Ag'!CC14</f>
        <v>2214178.4850109671</v>
      </c>
      <c r="BB43" s="48">
        <f>'WAO Scenario Ag'!CD14</f>
        <v>2197462.5537227481</v>
      </c>
      <c r="BC43" s="48">
        <f>'WAO Scenario Ag'!CE14</f>
        <v>2180997.1249744887</v>
      </c>
      <c r="BD43" s="48">
        <f>'WAO Scenario Ag'!CF14</f>
        <v>2164776.6096525108</v>
      </c>
      <c r="BE43" s="48">
        <f>'WAO Scenario Ag'!CG14</f>
        <v>2148795.5836851476</v>
      </c>
      <c r="BF43" s="48">
        <f>'WAO Scenario Ag'!CH14</f>
        <v>2133048.7819954366</v>
      </c>
      <c r="BG43" s="48">
        <f>'WAO Scenario Ag'!CI14</f>
        <v>2117531.0927177821</v>
      </c>
      <c r="BH43" s="48">
        <f>'WAO Scenario Ag'!CJ14</f>
        <v>2102237.5516652218</v>
      </c>
      <c r="BI43" s="48">
        <f>'WAO Scenario Ag'!CK14</f>
        <v>2087163.3370347449</v>
      </c>
      <c r="BJ43" s="48">
        <f>'WAO Scenario Ag'!CL14</f>
        <v>2072303.7643387644</v>
      </c>
      <c r="BK43" s="48">
        <f>'WAO Scenario Ag'!CM14</f>
        <v>2057654.2815515902</v>
      </c>
      <c r="BM43" s="102"/>
      <c r="BN43" s="53" t="s">
        <v>106</v>
      </c>
      <c r="BO43" s="61">
        <f t="shared" ref="BO43:BO45" si="30">D43/1000000</f>
        <v>0</v>
      </c>
      <c r="BP43" s="61">
        <f>M43/1000000</f>
        <v>0</v>
      </c>
      <c r="BQ43" s="73">
        <f>W43/1000000</f>
        <v>1.9473104713917853</v>
      </c>
      <c r="BR43" s="73">
        <f>AG43/1000000</f>
        <v>2.6114860130005422</v>
      </c>
      <c r="BS43" s="73">
        <f>AQ43/1000000</f>
        <v>2.3964766494958596</v>
      </c>
      <c r="BT43" s="73">
        <f>BA43/1000000</f>
        <v>2.2141784850109669</v>
      </c>
      <c r="BU43" s="73">
        <f>BK43/1000000</f>
        <v>2.0576542815515904</v>
      </c>
    </row>
    <row r="44" spans="1:75" x14ac:dyDescent="0.25">
      <c r="A44" s="50" t="s">
        <v>71</v>
      </c>
      <c r="B44" s="50" t="s">
        <v>105</v>
      </c>
      <c r="C44" s="50" t="s">
        <v>108</v>
      </c>
      <c r="D44" s="48">
        <f>SUM('WAO Scenario Ag'!AF15:AF19)</f>
        <v>639160.18152283935</v>
      </c>
      <c r="E44" s="48">
        <f>SUM('WAO Scenario Ag'!AG15:AG19)</f>
        <v>1260334.4766563233</v>
      </c>
      <c r="F44" s="48">
        <f>SUM('WAO Scenario Ag'!AH15:AH19)</f>
        <v>1864320.3504968507</v>
      </c>
      <c r="G44" s="48">
        <f>SUM('WAO Scenario Ag'!AI15:AI19)</f>
        <v>2451866.8720739367</v>
      </c>
      <c r="H44" s="48">
        <f>SUM('WAO Scenario Ag'!AJ15:AJ19)</f>
        <v>3023678.4294577935</v>
      </c>
      <c r="I44" s="48">
        <f>SUM('WAO Scenario Ag'!AK15:AK19)</f>
        <v>3580418.101937185</v>
      </c>
      <c r="J44" s="48">
        <f>SUM('WAO Scenario Ag'!AL15:AL19)</f>
        <v>4122710.7260433994</v>
      </c>
      <c r="K44" s="48">
        <f>SUM('WAO Scenario Ag'!AM15:AM19)</f>
        <v>4651145.68772492</v>
      </c>
      <c r="L44" s="48">
        <f>SUM('WAO Scenario Ag'!AN15:AN19)</f>
        <v>5166279.4691113401</v>
      </c>
      <c r="M44" s="48">
        <f>SUM('WAO Scenario Ag'!AO15:AO19)</f>
        <v>5668637.9749544468</v>
      </c>
      <c r="N44" s="48">
        <f>SUM('WAO Scenario Ag'!AP15:AP19)</f>
        <v>5980546.2373877177</v>
      </c>
      <c r="O44" s="48">
        <f>SUM('WAO Scenario Ag'!AQ15:AQ19)</f>
        <v>6638800.9409040771</v>
      </c>
      <c r="P44" s="48">
        <f>SUM('WAO Scenario Ag'!AR15:AR19)</f>
        <v>7484130.7807543855</v>
      </c>
      <c r="Q44" s="48">
        <f>SUM('WAO Scenario Ag'!AS15:AS19)</f>
        <v>7034455.9229356954</v>
      </c>
      <c r="R44" s="48">
        <f>SUM('WAO Scenario Ag'!AT15:AT19)</f>
        <v>7903645.5993537521</v>
      </c>
      <c r="S44" s="48">
        <f>SUM('WAO Scenario Ag'!AU15:AU19)</f>
        <v>9197553.4458393417</v>
      </c>
      <c r="T44" s="48">
        <f>SUM('WAO Scenario Ag'!AV15:AV19)</f>
        <v>11066979.968464991</v>
      </c>
      <c r="U44" s="48">
        <f>SUM('WAO Scenario Ag'!AW15:AW19)</f>
        <v>14573348.882268846</v>
      </c>
      <c r="V44" s="48">
        <f>SUM('WAO Scenario Ag'!AX15:AX19)</f>
        <v>16480635.482583547</v>
      </c>
      <c r="W44" s="48">
        <f>SUM('WAO Scenario Ag'!AY15:AY19)</f>
        <v>18357374.759719029</v>
      </c>
      <c r="X44" s="48">
        <f>SUM('WAO Scenario Ag'!AZ15:AZ19)</f>
        <v>20204308.984758273</v>
      </c>
      <c r="Y44" s="48">
        <f>SUM('WAO Scenario Ag'!BA15:BA19)</f>
        <v>22022156.215674914</v>
      </c>
      <c r="Z44" s="48">
        <f>SUM('WAO Scenario Ag'!BB15:BB19)</f>
        <v>23811611.293651588</v>
      </c>
      <c r="AA44" s="48">
        <f>SUM('WAO Scenario Ag'!BC15:BC19)</f>
        <v>25573346.789631065</v>
      </c>
      <c r="AB44" s="48">
        <f>SUM('WAO Scenario Ag'!BD15:BD19)</f>
        <v>27308013.904040743</v>
      </c>
      <c r="AC44" s="48">
        <f>SUM('WAO Scenario Ag'!BE15:BE19)</f>
        <v>29016243.322429951</v>
      </c>
      <c r="AD44" s="48">
        <f>SUM('WAO Scenario Ag'!BF15:BF19)</f>
        <v>30698646.029573184</v>
      </c>
      <c r="AE44" s="48">
        <f>SUM('WAO Scenario Ag'!BG15:BG19)</f>
        <v>32355814.084421281</v>
      </c>
      <c r="AF44" s="48">
        <f>SUM('WAO Scenario Ag'!BH15:BH19)</f>
        <v>33988318.638258822</v>
      </c>
      <c r="AG44" s="48">
        <f>SUM('WAO Scenario Ag'!BI15:BI19)</f>
        <v>33736168.163949437</v>
      </c>
      <c r="AH44" s="48">
        <f>SUM('WAO Scenario Ag'!BJ15:BJ19)</f>
        <v>33487803.494097676</v>
      </c>
      <c r="AI44" s="48">
        <f>SUM('WAO Scenario Ag'!BK15:BK19)</f>
        <v>33243138.864732359</v>
      </c>
      <c r="AJ44" s="48">
        <f>SUM('WAO Scenario Ag'!BL15:BL19)</f>
        <v>33002091.122473001</v>
      </c>
      <c r="AK44" s="48">
        <f>SUM('WAO Scenario Ag'!BM15:BM19)</f>
        <v>32764579.624238435</v>
      </c>
      <c r="AL44" s="48">
        <f>SUM('WAO Scenario Ag'!BN15:BN19)</f>
        <v>32530526.141632184</v>
      </c>
      <c r="AM44" s="48">
        <f>SUM('WAO Scenario Ag'!BO15:BO19)</f>
        <v>32299854.76974697</v>
      </c>
      <c r="AN44" s="48">
        <f>SUM('WAO Scenario Ag'!BP15:BP19)</f>
        <v>32072491.840146884</v>
      </c>
      <c r="AO44" s="48">
        <f>SUM('WAO Scenario Ag'!BQ15:BQ19)</f>
        <v>31848365.837801337</v>
      </c>
      <c r="AP44" s="48">
        <f>SUM('WAO Scenario Ag'!BR15:BR19)</f>
        <v>31627407.321758781</v>
      </c>
      <c r="AQ44" s="48">
        <f>SUM('WAO Scenario Ag'!BS15:BS19)</f>
        <v>31409548.849361558</v>
      </c>
      <c r="AR44" s="48">
        <f>SUM('WAO Scenario Ag'!BT15:BT19)</f>
        <v>31194724.90381537</v>
      </c>
      <c r="AS44" s="48">
        <f>SUM('WAO Scenario Ag'!BU15:BU19)</f>
        <v>30982871.824938159</v>
      </c>
      <c r="AT44" s="48">
        <f>SUM('WAO Scenario Ag'!BV15:BV19)</f>
        <v>30773927.742923949</v>
      </c>
      <c r="AU44" s="48">
        <f>SUM('WAO Scenario Ag'!BW15:BW19)</f>
        <v>30567832.51496686</v>
      </c>
      <c r="AV44" s="48">
        <f>SUM('WAO Scenario Ag'!BX15:BX19)</f>
        <v>30364527.664599743</v>
      </c>
      <c r="AW44" s="48">
        <f>SUM('WAO Scenario Ag'!BY15:BY19)</f>
        <v>30163956.323610522</v>
      </c>
      <c r="AX44" s="48">
        <f>SUM('WAO Scenario Ag'!BZ15:BZ19)</f>
        <v>29966063.176407252</v>
      </c>
      <c r="AY44" s="48">
        <f>SUM('WAO Scenario Ag'!CA15:CA19)</f>
        <v>29770794.406710178</v>
      </c>
      <c r="AZ44" s="48">
        <f>SUM('WAO Scenario Ag'!CB15:CB19)</f>
        <v>29578097.64645654</v>
      </c>
      <c r="BA44" s="48">
        <f>SUM('WAO Scenario Ag'!CC15:CC19)</f>
        <v>29387921.926809732</v>
      </c>
      <c r="BB44" s="48">
        <f>SUM('WAO Scenario Ag'!CD15:CD19)</f>
        <v>29200217.631171055</v>
      </c>
      <c r="BC44" s="48">
        <f>SUM('WAO Scenario Ag'!CE15:CE19)</f>
        <v>29014936.450097706</v>
      </c>
      <c r="BD44" s="48">
        <f>SUM('WAO Scenario Ag'!CF15:CF19)</f>
        <v>28832031.338036075</v>
      </c>
      <c r="BE44" s="48">
        <f>SUM('WAO Scenario Ag'!CG15:CG19)</f>
        <v>28651456.471784424</v>
      </c>
      <c r="BF44" s="48">
        <f>SUM('WAO Scenario Ag'!CH15:CH19)</f>
        <v>28473167.210603755</v>
      </c>
      <c r="BG44" s="48">
        <f>SUM('WAO Scenario Ag'!CI15:CI19)</f>
        <v>28297120.057899848</v>
      </c>
      <c r="BH44" s="48">
        <f>SUM('WAO Scenario Ag'!CJ15:CJ19)</f>
        <v>28123272.624404017</v>
      </c>
      <c r="BI44" s="48">
        <f>SUM('WAO Scenario Ag'!CK15:CK19)</f>
        <v>27951583.592783477</v>
      </c>
      <c r="BJ44" s="48">
        <f>SUM('WAO Scenario Ag'!CL15:CL19)</f>
        <v>27782012.683616344</v>
      </c>
      <c r="BK44" s="48">
        <f>SUM('WAO Scenario Ag'!CM15:CM19)</f>
        <v>27614520.622669324</v>
      </c>
      <c r="BM44" s="102" t="s">
        <v>71</v>
      </c>
      <c r="BN44" s="53" t="s">
        <v>105</v>
      </c>
      <c r="BO44" s="73">
        <f t="shared" si="30"/>
        <v>0.63916018152283938</v>
      </c>
      <c r="BP44" s="73">
        <f>M44/1000000</f>
        <v>5.6686379749544464</v>
      </c>
      <c r="BQ44" s="61">
        <f>W44/1000000</f>
        <v>18.357374759719029</v>
      </c>
      <c r="BR44" s="61">
        <f>AG44/1000000</f>
        <v>33.736168163949436</v>
      </c>
      <c r="BS44" s="61">
        <f>AQ44/1000000</f>
        <v>31.409548849361556</v>
      </c>
      <c r="BT44" s="61">
        <f>BA44/1000000</f>
        <v>29.387921926809732</v>
      </c>
      <c r="BU44" s="61">
        <f>BK44/1000000</f>
        <v>27.614520622669325</v>
      </c>
    </row>
    <row r="45" spans="1:75" x14ac:dyDescent="0.25">
      <c r="A45" s="50" t="s">
        <v>71</v>
      </c>
      <c r="B45" s="50" t="s">
        <v>106</v>
      </c>
      <c r="C45" s="50" t="s">
        <v>108</v>
      </c>
      <c r="D45" s="48">
        <f>'WAO Scenario Ag'!AF20</f>
        <v>138599.56472198345</v>
      </c>
      <c r="E45" s="48">
        <f>'WAO Scenario Ag'!AG20</f>
        <v>273457.71379753767</v>
      </c>
      <c r="F45" s="48">
        <f>'WAO Scenario Ag'!AH20</f>
        <v>404723.92573324346</v>
      </c>
      <c r="G45" s="48">
        <f>'WAO Scenario Ag'!AI20</f>
        <v>532539.82098634238</v>
      </c>
      <c r="H45" s="48">
        <f>'WAO Scenario Ag'!AJ20</f>
        <v>657039.67163612996</v>
      </c>
      <c r="I45" s="48">
        <f>'WAO Scenario Ag'!AK20</f>
        <v>778350.87189472397</v>
      </c>
      <c r="J45" s="48">
        <f>'WAO Scenario Ag'!AL20</f>
        <v>896594.37292321946</v>
      </c>
      <c r="K45" s="48">
        <f>'WAO Scenario Ag'!AM20</f>
        <v>1011885.0850730242</v>
      </c>
      <c r="L45" s="48">
        <f>'WAO Scenario Ag'!AN20</f>
        <v>1124332.2503643718</v>
      </c>
      <c r="M45" s="48">
        <f>'WAO Scenario Ag'!AO20</f>
        <v>1234039.7877399891</v>
      </c>
      <c r="N45" s="48">
        <f>'WAO Scenario Ag'!AP20</f>
        <v>1527995.2742244024</v>
      </c>
      <c r="O45" s="48">
        <f>'WAO Scenario Ag'!AQ20</f>
        <v>1967130.5156948098</v>
      </c>
      <c r="P45" s="48">
        <f>'WAO Scenario Ag'!AR20</f>
        <v>2598021.0199561203</v>
      </c>
      <c r="Q45" s="48">
        <f>'WAO Scenario Ag'!AS20</f>
        <v>3251413.8990502795</v>
      </c>
      <c r="R45" s="48">
        <f>'WAO Scenario Ag'!AT20</f>
        <v>4998965.2574780276</v>
      </c>
      <c r="S45" s="48">
        <f>'WAO Scenario Ag'!AU20</f>
        <v>8192818.5498469528</v>
      </c>
      <c r="T45" s="48">
        <f>'WAO Scenario Ag'!AV20</f>
        <v>10999483.226062525</v>
      </c>
      <c r="U45" s="48">
        <f>'WAO Scenario Ag'!AW20</f>
        <v>16417552.904479241</v>
      </c>
      <c r="V45" s="48">
        <f>'WAO Scenario Ag'!AX20</f>
        <v>19071444.584975265</v>
      </c>
      <c r="W45" s="48">
        <f>'WAO Scenario Ag'!AY20</f>
        <v>21673021.79211675</v>
      </c>
      <c r="X45" s="48">
        <f>'WAO Scenario Ag'!AZ20</f>
        <v>24223816.291296955</v>
      </c>
      <c r="Y45" s="48">
        <f>'WAO Scenario Ag'!BA20</f>
        <v>26725300.625887387</v>
      </c>
      <c r="Z45" s="48">
        <f>'WAO Scenario Ag'!BB20</f>
        <v>29178890.951934762</v>
      </c>
      <c r="AA45" s="48">
        <f>'WAO Scenario Ag'!BC20</f>
        <v>31585949.711580537</v>
      </c>
      <c r="AB45" s="48">
        <f>'WAO Scenario Ag'!BD20</f>
        <v>33947788.155807592</v>
      </c>
      <c r="AC45" s="48">
        <f>'WAO Scenario Ag'!BE20</f>
        <v>36265668.726328865</v>
      </c>
      <c r="AD45" s="48">
        <f>'WAO Scenario Ag'!BF20</f>
        <v>38540807.305709042</v>
      </c>
      <c r="AE45" s="48">
        <f>'WAO Scenario Ag'!BG20</f>
        <v>40774375.344146028</v>
      </c>
      <c r="AF45" s="48">
        <f>'WAO Scenario Ag'!BH20</f>
        <v>42967496.11918278</v>
      </c>
      <c r="AG45" s="48">
        <f>'WAO Scenario Ag'!BI20</f>
        <v>42581996.264889657</v>
      </c>
      <c r="AH45" s="48">
        <f>'WAO Scenario Ag'!BJ20</f>
        <v>42203352.229177132</v>
      </c>
      <c r="AI45" s="48">
        <f>'WAO Scenario Ag'!BK20</f>
        <v>41831382.735779516</v>
      </c>
      <c r="AJ45" s="48">
        <f>'WAO Scenario Ag'!BL20</f>
        <v>41465912.84348508</v>
      </c>
      <c r="AK45" s="48">
        <f>'WAO Scenario Ag'!BM20</f>
        <v>41106773.671794437</v>
      </c>
      <c r="AL45" s="48">
        <f>'WAO Scenario Ag'!BN20</f>
        <v>40753802.140712865</v>
      </c>
      <c r="AM45" s="48">
        <f>'WAO Scenario Ag'!BO20</f>
        <v>40406840.723834582</v>
      </c>
      <c r="AN45" s="48">
        <f>'WAO Scenario Ag'!BP20</f>
        <v>40065737.213933289</v>
      </c>
      <c r="AO45" s="48">
        <f>'WAO Scenario Ag'!BQ20</f>
        <v>39730344.500326388</v>
      </c>
      <c r="AP45" s="48">
        <f>'WAO Scenario Ag'!BR20</f>
        <v>39400520.3573284</v>
      </c>
      <c r="AQ45" s="48">
        <f>'WAO Scenario Ag'!BS20</f>
        <v>39076127.243154719</v>
      </c>
      <c r="AR45" s="48">
        <f>'WAO Scenario Ag'!BT20</f>
        <v>38757032.108678281</v>
      </c>
      <c r="AS45" s="48">
        <f>'WAO Scenario Ag'!BU20</f>
        <v>38443106.215480417</v>
      </c>
      <c r="AT45" s="48">
        <f>'WAO Scenario Ag'!BV20</f>
        <v>38134224.962673269</v>
      </c>
      <c r="AU45" s="48">
        <f>'WAO Scenario Ag'!BW20</f>
        <v>37830267.722004265</v>
      </c>
      <c r="AV45" s="48">
        <f>'WAO Scenario Ag'!BX20</f>
        <v>37531117.680784315</v>
      </c>
      <c r="AW45" s="48">
        <f>'WAO Scenario Ag'!BY20</f>
        <v>37236661.692209892</v>
      </c>
      <c r="AX45" s="48">
        <f>'WAO Scenario Ag'!BZ20</f>
        <v>36946790.132676281</v>
      </c>
      <c r="AY45" s="48">
        <f>'WAO Scenario Ag'!CA20</f>
        <v>36661396.765703775</v>
      </c>
      <c r="AZ45" s="48">
        <f>'WAO Scenario Ag'!CB20</f>
        <v>36380378.612122275</v>
      </c>
      <c r="BA45" s="48">
        <f>'WAO Scenario Ag'!CC20</f>
        <v>36103635.826180644</v>
      </c>
      <c r="BB45" s="48">
        <f>'WAO Scenario Ag'!CD20</f>
        <v>35831071.577268109</v>
      </c>
      <c r="BC45" s="48">
        <f>'WAO Scenario Ag'!CE20</f>
        <v>35562591.936953053</v>
      </c>
      <c r="BD45" s="48">
        <f>'WAO Scenario Ag'!CF20</f>
        <v>35298105.771062598</v>
      </c>
      <c r="BE45" s="48">
        <f>'WAO Scenario Ag'!CG20</f>
        <v>35037524.63654238</v>
      </c>
      <c r="BF45" s="48">
        <f>'WAO Scenario Ag'!CH20</f>
        <v>34780762.682851195</v>
      </c>
      <c r="BG45" s="48">
        <f>'WAO Scenario Ag'!CI20</f>
        <v>34527736.557659894</v>
      </c>
      <c r="BH45" s="48">
        <f>'WAO Scenario Ag'!CJ20</f>
        <v>34278365.316636555</v>
      </c>
      <c r="BI45" s="48">
        <f>'WAO Scenario Ag'!CK20</f>
        <v>34032570.337113149</v>
      </c>
      <c r="BJ45" s="48">
        <f>'WAO Scenario Ag'!CL20</f>
        <v>33790275.235439949</v>
      </c>
      <c r="BK45" s="48">
        <f>'WAO Scenario Ag'!CM20</f>
        <v>33551405.787845522</v>
      </c>
      <c r="BM45" s="103"/>
      <c r="BN45" s="54" t="s">
        <v>106</v>
      </c>
      <c r="BO45" s="77">
        <f t="shared" si="30"/>
        <v>0.13859956472198345</v>
      </c>
      <c r="BP45" s="74">
        <f>M45/1000000</f>
        <v>1.2340397877399891</v>
      </c>
      <c r="BQ45" s="62">
        <f>W45/1000000</f>
        <v>21.673021792116749</v>
      </c>
      <c r="BR45" s="62">
        <f>AG45/1000000</f>
        <v>42.581996264889661</v>
      </c>
      <c r="BS45" s="62">
        <f>AQ45/1000000</f>
        <v>39.076127243154723</v>
      </c>
      <c r="BT45" s="62">
        <f>BA45/1000000</f>
        <v>36.103635826180643</v>
      </c>
      <c r="BU45" s="62">
        <f>BK45/1000000</f>
        <v>33.551405787845525</v>
      </c>
      <c r="BV45" s="98">
        <f>SUM(BP42:BP45)</f>
        <v>9.2258881586671979</v>
      </c>
      <c r="BW45" s="98"/>
    </row>
    <row r="46" spans="1:75" x14ac:dyDescent="0.25">
      <c r="BM46" s="50"/>
      <c r="BN46" s="50" t="s">
        <v>110</v>
      </c>
      <c r="BO46" s="50"/>
      <c r="BP46" s="50"/>
      <c r="BQ46" s="50"/>
      <c r="BR46" s="50"/>
      <c r="BS46" s="50"/>
      <c r="BT46" s="50"/>
      <c r="BU46" s="50"/>
    </row>
    <row r="47" spans="1:75" x14ac:dyDescent="0.25">
      <c r="A47" s="50" t="s">
        <v>38</v>
      </c>
      <c r="B47" s="50" t="s">
        <v>105</v>
      </c>
      <c r="C47" s="50" t="s">
        <v>109</v>
      </c>
      <c r="D47" s="50">
        <f>D52*$D$65</f>
        <v>20945863829.462044</v>
      </c>
      <c r="E47" s="50">
        <f t="shared" ref="E47:BK47" si="31">E52*$D$65</f>
        <v>41891727658.924088</v>
      </c>
      <c r="F47" s="50">
        <f t="shared" si="31"/>
        <v>62837591488.386124</v>
      </c>
      <c r="G47" s="50">
        <f t="shared" si="31"/>
        <v>83783455317.848175</v>
      </c>
      <c r="H47" s="50">
        <f t="shared" si="31"/>
        <v>104729319147.31021</v>
      </c>
      <c r="I47" s="50">
        <f t="shared" si="31"/>
        <v>125675182976.77226</v>
      </c>
      <c r="J47" s="50">
        <f t="shared" si="31"/>
        <v>146621046806.23428</v>
      </c>
      <c r="K47" s="50">
        <f t="shared" si="31"/>
        <v>167566910635.69635</v>
      </c>
      <c r="L47" s="50">
        <f t="shared" si="31"/>
        <v>188512774465.15839</v>
      </c>
      <c r="M47" s="50">
        <f t="shared" si="31"/>
        <v>209458638294.62042</v>
      </c>
      <c r="N47" s="50">
        <f t="shared" si="31"/>
        <v>228531004354.98901</v>
      </c>
      <c r="O47" s="50">
        <f t="shared" si="31"/>
        <v>277075236804.16864</v>
      </c>
      <c r="P47" s="50">
        <f t="shared" si="31"/>
        <v>363069578260.54443</v>
      </c>
      <c r="Q47" s="50">
        <f t="shared" si="31"/>
        <v>439537659874.07227</v>
      </c>
      <c r="R47" s="50">
        <f t="shared" si="31"/>
        <v>505467316536.44946</v>
      </c>
      <c r="S47" s="50">
        <f t="shared" si="31"/>
        <v>632333281993.57776</v>
      </c>
      <c r="T47" s="50">
        <f t="shared" si="31"/>
        <v>844221116548.12439</v>
      </c>
      <c r="U47" s="50">
        <f t="shared" si="31"/>
        <v>1193169600000.0002</v>
      </c>
      <c r="V47" s="50">
        <f t="shared" si="31"/>
        <v>1295865975600.0002</v>
      </c>
      <c r="W47" s="50">
        <f t="shared" si="31"/>
        <v>1398562351200.0002</v>
      </c>
      <c r="X47" s="50">
        <f t="shared" si="31"/>
        <v>1501258726800.0002</v>
      </c>
      <c r="Y47" s="50">
        <f t="shared" si="31"/>
        <v>1603955102400.0002</v>
      </c>
      <c r="Z47" s="50">
        <f t="shared" si="31"/>
        <v>1706651478000.0002</v>
      </c>
      <c r="AA47" s="50">
        <f t="shared" si="31"/>
        <v>1809347853599.9998</v>
      </c>
      <c r="AB47" s="50">
        <f t="shared" si="31"/>
        <v>1912044229199.9998</v>
      </c>
      <c r="AC47" s="50">
        <f t="shared" si="31"/>
        <v>2014740604799.9998</v>
      </c>
      <c r="AD47" s="50">
        <f t="shared" si="31"/>
        <v>2117436980399.9998</v>
      </c>
      <c r="AE47" s="50">
        <f t="shared" si="31"/>
        <v>2220133356000</v>
      </c>
      <c r="AF47" s="50">
        <f t="shared" si="31"/>
        <v>2322829800000</v>
      </c>
      <c r="AG47" s="50">
        <f t="shared" si="31"/>
        <v>2322829800000</v>
      </c>
      <c r="AH47" s="50">
        <f t="shared" si="31"/>
        <v>2322829800000</v>
      </c>
      <c r="AI47" s="50">
        <f t="shared" si="31"/>
        <v>2322829800000</v>
      </c>
      <c r="AJ47" s="50">
        <f t="shared" si="31"/>
        <v>2322829800000</v>
      </c>
      <c r="AK47" s="50">
        <f t="shared" si="31"/>
        <v>2322829800000</v>
      </c>
      <c r="AL47" s="50">
        <f t="shared" si="31"/>
        <v>2322829800000</v>
      </c>
      <c r="AM47" s="50">
        <f t="shared" si="31"/>
        <v>2322829800000</v>
      </c>
      <c r="AN47" s="50">
        <f t="shared" si="31"/>
        <v>2322829800000</v>
      </c>
      <c r="AO47" s="50">
        <f t="shared" si="31"/>
        <v>2322829800000</v>
      </c>
      <c r="AP47" s="50">
        <f t="shared" si="31"/>
        <v>2322829800000</v>
      </c>
      <c r="AQ47" s="50">
        <f t="shared" si="31"/>
        <v>2322829800000</v>
      </c>
      <c r="AR47" s="50">
        <f t="shared" si="31"/>
        <v>2322829800000</v>
      </c>
      <c r="AS47" s="50">
        <f t="shared" si="31"/>
        <v>2322829800000</v>
      </c>
      <c r="AT47" s="50">
        <f t="shared" si="31"/>
        <v>2322829800000</v>
      </c>
      <c r="AU47" s="50">
        <f t="shared" si="31"/>
        <v>2322829800000</v>
      </c>
      <c r="AV47" s="50">
        <f t="shared" si="31"/>
        <v>2322829800000</v>
      </c>
      <c r="AW47" s="50">
        <f t="shared" si="31"/>
        <v>2322829800000</v>
      </c>
      <c r="AX47" s="50">
        <f t="shared" si="31"/>
        <v>2322829800000</v>
      </c>
      <c r="AY47" s="50">
        <f t="shared" si="31"/>
        <v>2322829800000</v>
      </c>
      <c r="AZ47" s="50">
        <f t="shared" si="31"/>
        <v>2322829800000</v>
      </c>
      <c r="BA47" s="50">
        <f t="shared" si="31"/>
        <v>2322829800000</v>
      </c>
      <c r="BB47" s="50">
        <f t="shared" si="31"/>
        <v>2322829800000</v>
      </c>
      <c r="BC47" s="50">
        <f t="shared" si="31"/>
        <v>2322829800000</v>
      </c>
      <c r="BD47" s="50">
        <f t="shared" si="31"/>
        <v>2322829800000</v>
      </c>
      <c r="BE47" s="50">
        <f t="shared" si="31"/>
        <v>2322829800000</v>
      </c>
      <c r="BF47" s="50">
        <f t="shared" si="31"/>
        <v>2322829800000</v>
      </c>
      <c r="BG47" s="50">
        <f t="shared" si="31"/>
        <v>2322829800000</v>
      </c>
      <c r="BH47" s="50">
        <f t="shared" si="31"/>
        <v>2322829800000</v>
      </c>
      <c r="BI47" s="50">
        <f t="shared" si="31"/>
        <v>2322829800000</v>
      </c>
      <c r="BJ47" s="50">
        <f t="shared" si="31"/>
        <v>2322829800000</v>
      </c>
      <c r="BK47" s="50">
        <f t="shared" si="31"/>
        <v>2322829800000</v>
      </c>
      <c r="BM47" s="57" t="s">
        <v>93</v>
      </c>
      <c r="BN47" s="57" t="s">
        <v>94</v>
      </c>
      <c r="BO47" s="57">
        <v>1991</v>
      </c>
      <c r="BP47" s="57">
        <v>2000</v>
      </c>
      <c r="BQ47" s="57">
        <v>2010</v>
      </c>
      <c r="BR47" s="57">
        <v>2020</v>
      </c>
      <c r="BS47" s="57">
        <v>2030</v>
      </c>
      <c r="BT47" s="57">
        <v>2040</v>
      </c>
      <c r="BU47" s="57">
        <v>2050</v>
      </c>
    </row>
    <row r="48" spans="1:75" x14ac:dyDescent="0.25">
      <c r="A48" s="50" t="s">
        <v>38</v>
      </c>
      <c r="B48" s="50" t="s">
        <v>106</v>
      </c>
      <c r="C48" s="50" t="s">
        <v>109</v>
      </c>
      <c r="D48" s="50">
        <f>D53*$D$66</f>
        <v>0</v>
      </c>
      <c r="E48" s="50">
        <f t="shared" ref="E48:BK48" si="32">E53*$D$66</f>
        <v>0</v>
      </c>
      <c r="F48" s="50">
        <f t="shared" si="32"/>
        <v>0</v>
      </c>
      <c r="G48" s="50">
        <f t="shared" si="32"/>
        <v>0</v>
      </c>
      <c r="H48" s="50">
        <f t="shared" si="32"/>
        <v>0</v>
      </c>
      <c r="I48" s="50">
        <f t="shared" si="32"/>
        <v>0</v>
      </c>
      <c r="J48" s="50">
        <f t="shared" si="32"/>
        <v>0</v>
      </c>
      <c r="K48" s="50">
        <f t="shared" si="32"/>
        <v>0</v>
      </c>
      <c r="L48" s="50">
        <f t="shared" si="32"/>
        <v>0</v>
      </c>
      <c r="M48" s="50">
        <f t="shared" si="32"/>
        <v>0</v>
      </c>
      <c r="N48" s="50">
        <f t="shared" si="32"/>
        <v>1209973112.2397101</v>
      </c>
      <c r="O48" s="50">
        <f t="shared" si="32"/>
        <v>1480539550.5759602</v>
      </c>
      <c r="P48" s="50">
        <f t="shared" si="32"/>
        <v>2006520706.7016301</v>
      </c>
      <c r="Q48" s="50">
        <f t="shared" si="32"/>
        <v>3939447342.1758003</v>
      </c>
      <c r="R48" s="50">
        <f t="shared" si="32"/>
        <v>12818355582.618181</v>
      </c>
      <c r="S48" s="50">
        <f t="shared" si="32"/>
        <v>35361951224.794533</v>
      </c>
      <c r="T48" s="50">
        <f t="shared" si="32"/>
        <v>69161110701.758881</v>
      </c>
      <c r="U48" s="50">
        <f t="shared" si="32"/>
        <v>86498700000</v>
      </c>
      <c r="V48" s="50">
        <f t="shared" si="32"/>
        <v>91581682900</v>
      </c>
      <c r="W48" s="50">
        <f t="shared" si="32"/>
        <v>96664665800.000015</v>
      </c>
      <c r="X48" s="50">
        <f t="shared" si="32"/>
        <v>101747648700.00003</v>
      </c>
      <c r="Y48" s="50">
        <f t="shared" si="32"/>
        <v>106830631600.00002</v>
      </c>
      <c r="Z48" s="50">
        <f t="shared" si="32"/>
        <v>111913614500.00002</v>
      </c>
      <c r="AA48" s="50">
        <f t="shared" si="32"/>
        <v>116996597400.00005</v>
      </c>
      <c r="AB48" s="50">
        <f t="shared" si="32"/>
        <v>122079580300.00003</v>
      </c>
      <c r="AC48" s="50">
        <f t="shared" si="32"/>
        <v>127162563200.00003</v>
      </c>
      <c r="AD48" s="50">
        <f t="shared" si="32"/>
        <v>132245546100.00006</v>
      </c>
      <c r="AE48" s="50">
        <f t="shared" si="32"/>
        <v>137328529000.00005</v>
      </c>
      <c r="AF48" s="50">
        <f t="shared" si="32"/>
        <v>142411400000</v>
      </c>
      <c r="AG48" s="50">
        <f t="shared" si="32"/>
        <v>142411400000</v>
      </c>
      <c r="AH48" s="50">
        <f t="shared" si="32"/>
        <v>142411400000</v>
      </c>
      <c r="AI48" s="50">
        <f t="shared" si="32"/>
        <v>142411400000</v>
      </c>
      <c r="AJ48" s="50">
        <f t="shared" si="32"/>
        <v>142411400000</v>
      </c>
      <c r="AK48" s="50">
        <f t="shared" si="32"/>
        <v>142411400000</v>
      </c>
      <c r="AL48" s="50">
        <f t="shared" si="32"/>
        <v>142411400000</v>
      </c>
      <c r="AM48" s="50">
        <f t="shared" si="32"/>
        <v>142411400000</v>
      </c>
      <c r="AN48" s="50">
        <f t="shared" si="32"/>
        <v>142411400000</v>
      </c>
      <c r="AO48" s="50">
        <f t="shared" si="32"/>
        <v>142411400000</v>
      </c>
      <c r="AP48" s="50">
        <f t="shared" si="32"/>
        <v>142411400000</v>
      </c>
      <c r="AQ48" s="50">
        <f t="shared" si="32"/>
        <v>142411400000</v>
      </c>
      <c r="AR48" s="50">
        <f t="shared" si="32"/>
        <v>142411400000</v>
      </c>
      <c r="AS48" s="50">
        <f t="shared" si="32"/>
        <v>142411400000</v>
      </c>
      <c r="AT48" s="50">
        <f t="shared" si="32"/>
        <v>142411400000</v>
      </c>
      <c r="AU48" s="50">
        <f t="shared" si="32"/>
        <v>142411400000</v>
      </c>
      <c r="AV48" s="50">
        <f t="shared" si="32"/>
        <v>142411400000</v>
      </c>
      <c r="AW48" s="50">
        <f t="shared" si="32"/>
        <v>142411400000</v>
      </c>
      <c r="AX48" s="50">
        <f t="shared" si="32"/>
        <v>142411400000</v>
      </c>
      <c r="AY48" s="50">
        <f t="shared" si="32"/>
        <v>142411400000</v>
      </c>
      <c r="AZ48" s="50">
        <f t="shared" si="32"/>
        <v>142411400000</v>
      </c>
      <c r="BA48" s="50">
        <f t="shared" si="32"/>
        <v>142411400000</v>
      </c>
      <c r="BB48" s="50">
        <f t="shared" si="32"/>
        <v>142411400000</v>
      </c>
      <c r="BC48" s="50">
        <f t="shared" si="32"/>
        <v>142411400000</v>
      </c>
      <c r="BD48" s="50">
        <f t="shared" si="32"/>
        <v>142411400000</v>
      </c>
      <c r="BE48" s="50">
        <f t="shared" si="32"/>
        <v>142411400000</v>
      </c>
      <c r="BF48" s="50">
        <f t="shared" si="32"/>
        <v>142411400000</v>
      </c>
      <c r="BG48" s="50">
        <f t="shared" si="32"/>
        <v>142411400000</v>
      </c>
      <c r="BH48" s="50">
        <f t="shared" si="32"/>
        <v>142411400000</v>
      </c>
      <c r="BI48" s="50">
        <f t="shared" si="32"/>
        <v>142411400000</v>
      </c>
      <c r="BJ48" s="50">
        <f t="shared" si="32"/>
        <v>142411400000</v>
      </c>
      <c r="BK48" s="50">
        <f t="shared" si="32"/>
        <v>142411400000</v>
      </c>
      <c r="BM48" s="101" t="s">
        <v>38</v>
      </c>
      <c r="BN48" s="55" t="s">
        <v>105</v>
      </c>
      <c r="BO48" s="66">
        <f>D47/1000000000000</f>
        <v>2.0945863829462043E-2</v>
      </c>
      <c r="BP48" s="66">
        <f>M47/1000000000000</f>
        <v>0.20945863829462041</v>
      </c>
      <c r="BQ48" s="67">
        <f>W47/1000000000000</f>
        <v>1.3985623512000003</v>
      </c>
      <c r="BR48" s="67">
        <f>AG47/1000000000000</f>
        <v>2.3228298000000001</v>
      </c>
      <c r="BS48" s="67">
        <f>AQ47/1000000000000</f>
        <v>2.3228298000000001</v>
      </c>
      <c r="BT48" s="67">
        <f>BA47/1000000000000</f>
        <v>2.3228298000000001</v>
      </c>
      <c r="BU48" s="67">
        <f>BK47/1000000000000</f>
        <v>2.3228298000000001</v>
      </c>
    </row>
    <row r="49" spans="1:75" x14ac:dyDescent="0.25">
      <c r="A49" s="50" t="s">
        <v>71</v>
      </c>
      <c r="B49" s="50" t="s">
        <v>105</v>
      </c>
      <c r="C49" s="50" t="s">
        <v>109</v>
      </c>
      <c r="D49" s="50">
        <f>D54*$D$65</f>
        <v>38467632636.660408</v>
      </c>
      <c r="E49" s="50">
        <f t="shared" ref="E49:BK49" si="33">E54*$D$65</f>
        <v>76935265273.320816</v>
      </c>
      <c r="F49" s="50">
        <f t="shared" si="33"/>
        <v>115402897909.9812</v>
      </c>
      <c r="G49" s="50">
        <f t="shared" si="33"/>
        <v>153870530546.64163</v>
      </c>
      <c r="H49" s="50">
        <f t="shared" si="33"/>
        <v>192338163183.30203</v>
      </c>
      <c r="I49" s="50">
        <f t="shared" si="33"/>
        <v>230805795819.9624</v>
      </c>
      <c r="J49" s="50">
        <f t="shared" si="33"/>
        <v>269273428456.62283</v>
      </c>
      <c r="K49" s="50">
        <f t="shared" si="33"/>
        <v>307741061093.28326</v>
      </c>
      <c r="L49" s="50">
        <f t="shared" si="33"/>
        <v>346208693729.94366</v>
      </c>
      <c r="M49" s="50">
        <f t="shared" si="33"/>
        <v>384676326366.60406</v>
      </c>
      <c r="N49" s="50">
        <f t="shared" si="33"/>
        <v>413014964761.60956</v>
      </c>
      <c r="O49" s="50">
        <f t="shared" si="33"/>
        <v>473042309596.35553</v>
      </c>
      <c r="P49" s="50">
        <f t="shared" si="33"/>
        <v>560404066267.67346</v>
      </c>
      <c r="Q49" s="50">
        <f t="shared" si="33"/>
        <v>574487053735.35046</v>
      </c>
      <c r="R49" s="50">
        <f t="shared" si="33"/>
        <v>655601171659.73401</v>
      </c>
      <c r="S49" s="50">
        <f t="shared" si="33"/>
        <v>788161062010.43115</v>
      </c>
      <c r="T49" s="50">
        <f t="shared" si="33"/>
        <v>990135632416.01428</v>
      </c>
      <c r="U49" s="50">
        <f t="shared" si="33"/>
        <v>1346419800000.0002</v>
      </c>
      <c r="V49" s="50">
        <f t="shared" si="33"/>
        <v>1506727648800.0002</v>
      </c>
      <c r="W49" s="50">
        <f t="shared" si="33"/>
        <v>1667035497600.0002</v>
      </c>
      <c r="X49" s="50">
        <f t="shared" si="33"/>
        <v>1827343346400.0002</v>
      </c>
      <c r="Y49" s="50">
        <f t="shared" si="33"/>
        <v>1987651195200.0002</v>
      </c>
      <c r="Z49" s="50">
        <f t="shared" si="33"/>
        <v>2147959044000.0005</v>
      </c>
      <c r="AA49" s="50">
        <f t="shared" si="33"/>
        <v>2308266892800.0005</v>
      </c>
      <c r="AB49" s="50">
        <f t="shared" si="33"/>
        <v>2468574741600.001</v>
      </c>
      <c r="AC49" s="50">
        <f t="shared" si="33"/>
        <v>2628882590400.001</v>
      </c>
      <c r="AD49" s="50">
        <f t="shared" si="33"/>
        <v>2789190439200.001</v>
      </c>
      <c r="AE49" s="50">
        <f t="shared" si="33"/>
        <v>2949498288000.001</v>
      </c>
      <c r="AF49" s="50">
        <f t="shared" si="33"/>
        <v>3109806000000</v>
      </c>
      <c r="AG49" s="50">
        <f t="shared" si="33"/>
        <v>3109806000000</v>
      </c>
      <c r="AH49" s="50">
        <f t="shared" si="33"/>
        <v>3109806000000</v>
      </c>
      <c r="AI49" s="50">
        <f t="shared" si="33"/>
        <v>3109806000000</v>
      </c>
      <c r="AJ49" s="50">
        <f t="shared" si="33"/>
        <v>3109806000000</v>
      </c>
      <c r="AK49" s="50">
        <f t="shared" si="33"/>
        <v>3109806000000</v>
      </c>
      <c r="AL49" s="50">
        <f t="shared" si="33"/>
        <v>3109806000000</v>
      </c>
      <c r="AM49" s="50">
        <f t="shared" si="33"/>
        <v>3109806000000</v>
      </c>
      <c r="AN49" s="50">
        <f t="shared" si="33"/>
        <v>3109806000000</v>
      </c>
      <c r="AO49" s="50">
        <f t="shared" si="33"/>
        <v>3109806000000</v>
      </c>
      <c r="AP49" s="50">
        <f t="shared" si="33"/>
        <v>3109806000000</v>
      </c>
      <c r="AQ49" s="50">
        <f t="shared" si="33"/>
        <v>3109806000000</v>
      </c>
      <c r="AR49" s="50">
        <f t="shared" si="33"/>
        <v>3109806000000</v>
      </c>
      <c r="AS49" s="50">
        <f t="shared" si="33"/>
        <v>3109806000000</v>
      </c>
      <c r="AT49" s="50">
        <f t="shared" si="33"/>
        <v>3109806000000</v>
      </c>
      <c r="AU49" s="50">
        <f t="shared" si="33"/>
        <v>3109806000000</v>
      </c>
      <c r="AV49" s="50">
        <f t="shared" si="33"/>
        <v>3109806000000</v>
      </c>
      <c r="AW49" s="50">
        <f t="shared" si="33"/>
        <v>3109806000000</v>
      </c>
      <c r="AX49" s="50">
        <f t="shared" si="33"/>
        <v>3109806000000</v>
      </c>
      <c r="AY49" s="50">
        <f t="shared" si="33"/>
        <v>3109806000000</v>
      </c>
      <c r="AZ49" s="50">
        <f t="shared" si="33"/>
        <v>3109806000000</v>
      </c>
      <c r="BA49" s="50">
        <f t="shared" si="33"/>
        <v>3109806000000</v>
      </c>
      <c r="BB49" s="50">
        <f t="shared" si="33"/>
        <v>3109806000000</v>
      </c>
      <c r="BC49" s="50">
        <f t="shared" si="33"/>
        <v>3109806000000</v>
      </c>
      <c r="BD49" s="50">
        <f t="shared" si="33"/>
        <v>3109806000000</v>
      </c>
      <c r="BE49" s="50">
        <f t="shared" si="33"/>
        <v>3109806000000</v>
      </c>
      <c r="BF49" s="50">
        <f t="shared" si="33"/>
        <v>3109806000000</v>
      </c>
      <c r="BG49" s="50">
        <f t="shared" si="33"/>
        <v>3109806000000</v>
      </c>
      <c r="BH49" s="50">
        <f t="shared" si="33"/>
        <v>3109806000000</v>
      </c>
      <c r="BI49" s="50">
        <f t="shared" si="33"/>
        <v>3109806000000</v>
      </c>
      <c r="BJ49" s="50">
        <f t="shared" si="33"/>
        <v>3109806000000</v>
      </c>
      <c r="BK49" s="50">
        <f t="shared" si="33"/>
        <v>3109806000000</v>
      </c>
      <c r="BM49" s="102"/>
      <c r="BN49" s="53" t="s">
        <v>106</v>
      </c>
      <c r="BO49" s="69">
        <f>D48/1000000000000</f>
        <v>0</v>
      </c>
      <c r="BP49" s="69">
        <f>M48/1000000000000</f>
        <v>0</v>
      </c>
      <c r="BQ49" s="69">
        <f>W48/1000000000000</f>
        <v>9.6664665800000021E-2</v>
      </c>
      <c r="BR49" s="69">
        <f>AG48/1000000000000</f>
        <v>0.14241139999999999</v>
      </c>
      <c r="BS49" s="69">
        <f>AQ48/1000000000000</f>
        <v>0.14241139999999999</v>
      </c>
      <c r="BT49" s="69">
        <f>BA48/1000000000000</f>
        <v>0.14241139999999999</v>
      </c>
      <c r="BU49" s="69">
        <f>BK48/1000000000000</f>
        <v>0.14241139999999999</v>
      </c>
    </row>
    <row r="50" spans="1:75" x14ac:dyDescent="0.25">
      <c r="A50" s="50" t="s">
        <v>71</v>
      </c>
      <c r="B50" s="50" t="s">
        <v>106</v>
      </c>
      <c r="C50" s="50" t="s">
        <v>109</v>
      </c>
      <c r="D50" s="50">
        <f>D55*$D$66</f>
        <v>3290087890.1688004</v>
      </c>
      <c r="E50" s="50">
        <f t="shared" ref="E50:BK50" si="34">E55*$D$66</f>
        <v>6580175780.3376007</v>
      </c>
      <c r="F50" s="50">
        <f t="shared" si="34"/>
        <v>9870263670.506403</v>
      </c>
      <c r="G50" s="50">
        <f t="shared" si="34"/>
        <v>13160351560.675201</v>
      </c>
      <c r="H50" s="50">
        <f t="shared" si="34"/>
        <v>16450439450.844002</v>
      </c>
      <c r="I50" s="50">
        <f t="shared" si="34"/>
        <v>19740527341.012802</v>
      </c>
      <c r="J50" s="50">
        <f t="shared" si="34"/>
        <v>23030615231.181599</v>
      </c>
      <c r="K50" s="50">
        <f t="shared" si="34"/>
        <v>26320703121.350399</v>
      </c>
      <c r="L50" s="50">
        <f t="shared" si="34"/>
        <v>29610791011.519199</v>
      </c>
      <c r="M50" s="50">
        <f t="shared" si="34"/>
        <v>32900878901.688004</v>
      </c>
      <c r="N50" s="50">
        <f t="shared" si="34"/>
        <v>41234325202.444504</v>
      </c>
      <c r="O50" s="50">
        <f t="shared" si="34"/>
        <v>53723671996.045807</v>
      </c>
      <c r="P50" s="50">
        <f t="shared" si="34"/>
        <v>71797510076.907303</v>
      </c>
      <c r="Q50" s="50">
        <f t="shared" si="34"/>
        <v>90910323280.980011</v>
      </c>
      <c r="R50" s="50">
        <f t="shared" si="34"/>
        <v>141395856143.01758</v>
      </c>
      <c r="S50" s="50">
        <f t="shared" si="34"/>
        <v>234394952327.95343</v>
      </c>
      <c r="T50" s="50">
        <f t="shared" si="34"/>
        <v>317922058639.61383</v>
      </c>
      <c r="U50" s="50">
        <f t="shared" si="34"/>
        <v>479342300000</v>
      </c>
      <c r="V50" s="50">
        <f t="shared" si="34"/>
        <v>562426371500</v>
      </c>
      <c r="W50" s="50">
        <f t="shared" si="34"/>
        <v>645510443000</v>
      </c>
      <c r="X50" s="50">
        <f t="shared" si="34"/>
        <v>728594514499.99988</v>
      </c>
      <c r="Y50" s="50">
        <f t="shared" si="34"/>
        <v>811678586000</v>
      </c>
      <c r="Z50" s="50">
        <f t="shared" si="34"/>
        <v>894762657500</v>
      </c>
      <c r="AA50" s="50">
        <f t="shared" si="34"/>
        <v>977846729000.00024</v>
      </c>
      <c r="AB50" s="50">
        <f t="shared" si="34"/>
        <v>1060930800500.0002</v>
      </c>
      <c r="AC50" s="50">
        <f t="shared" si="34"/>
        <v>1144014872000.0002</v>
      </c>
      <c r="AD50" s="50">
        <f t="shared" si="34"/>
        <v>1227098943500.0002</v>
      </c>
      <c r="AE50" s="50">
        <f t="shared" si="34"/>
        <v>1310183015000.0002</v>
      </c>
      <c r="AF50" s="50">
        <f t="shared" si="34"/>
        <v>1393266900000.0002</v>
      </c>
      <c r="AG50" s="50">
        <f t="shared" si="34"/>
        <v>1393266900000.0002</v>
      </c>
      <c r="AH50" s="50">
        <f t="shared" si="34"/>
        <v>1393266900000.0002</v>
      </c>
      <c r="AI50" s="50">
        <f t="shared" si="34"/>
        <v>1393266900000.0002</v>
      </c>
      <c r="AJ50" s="50">
        <f t="shared" si="34"/>
        <v>1393266900000.0002</v>
      </c>
      <c r="AK50" s="50">
        <f t="shared" si="34"/>
        <v>1393266900000.0002</v>
      </c>
      <c r="AL50" s="50">
        <f t="shared" si="34"/>
        <v>1393266900000.0002</v>
      </c>
      <c r="AM50" s="50">
        <f t="shared" si="34"/>
        <v>1393266900000.0002</v>
      </c>
      <c r="AN50" s="50">
        <f t="shared" si="34"/>
        <v>1393266900000.0002</v>
      </c>
      <c r="AO50" s="50">
        <f t="shared" si="34"/>
        <v>1393266900000.0002</v>
      </c>
      <c r="AP50" s="50">
        <f t="shared" si="34"/>
        <v>1393266900000.0002</v>
      </c>
      <c r="AQ50" s="50">
        <f t="shared" si="34"/>
        <v>1393266900000.0002</v>
      </c>
      <c r="AR50" s="50">
        <f t="shared" si="34"/>
        <v>1393266900000.0002</v>
      </c>
      <c r="AS50" s="50">
        <f t="shared" si="34"/>
        <v>1393266900000.0002</v>
      </c>
      <c r="AT50" s="50">
        <f t="shared" si="34"/>
        <v>1393266900000.0002</v>
      </c>
      <c r="AU50" s="50">
        <f t="shared" si="34"/>
        <v>1393266900000.0002</v>
      </c>
      <c r="AV50" s="50">
        <f t="shared" si="34"/>
        <v>1393266900000.0002</v>
      </c>
      <c r="AW50" s="50">
        <f t="shared" si="34"/>
        <v>1393266900000.0002</v>
      </c>
      <c r="AX50" s="50">
        <f t="shared" si="34"/>
        <v>1393266900000.0002</v>
      </c>
      <c r="AY50" s="50">
        <f t="shared" si="34"/>
        <v>1393266900000.0002</v>
      </c>
      <c r="AZ50" s="50">
        <f t="shared" si="34"/>
        <v>1393266900000.0002</v>
      </c>
      <c r="BA50" s="50">
        <f t="shared" si="34"/>
        <v>1393266900000.0002</v>
      </c>
      <c r="BB50" s="50">
        <f t="shared" si="34"/>
        <v>1393266900000.0002</v>
      </c>
      <c r="BC50" s="50">
        <f t="shared" si="34"/>
        <v>1393266900000.0002</v>
      </c>
      <c r="BD50" s="50">
        <f t="shared" si="34"/>
        <v>1393266900000.0002</v>
      </c>
      <c r="BE50" s="50">
        <f t="shared" si="34"/>
        <v>1393266900000.0002</v>
      </c>
      <c r="BF50" s="50">
        <f t="shared" si="34"/>
        <v>1393266900000.0002</v>
      </c>
      <c r="BG50" s="50">
        <f t="shared" si="34"/>
        <v>1393266900000.0002</v>
      </c>
      <c r="BH50" s="50">
        <f t="shared" si="34"/>
        <v>1393266900000.0002</v>
      </c>
      <c r="BI50" s="50">
        <f t="shared" si="34"/>
        <v>1393266900000.0002</v>
      </c>
      <c r="BJ50" s="50">
        <f t="shared" si="34"/>
        <v>1393266900000.0002</v>
      </c>
      <c r="BK50" s="50">
        <f t="shared" si="34"/>
        <v>1393266900000.0002</v>
      </c>
      <c r="BM50" s="102" t="s">
        <v>71</v>
      </c>
      <c r="BN50" s="53" t="s">
        <v>105</v>
      </c>
      <c r="BO50" s="69">
        <f>D49/1000000000000</f>
        <v>3.8467632636660407E-2</v>
      </c>
      <c r="BP50" s="69">
        <f>M49/1000000000000</f>
        <v>0.38467632636660404</v>
      </c>
      <c r="BQ50" s="70">
        <f>W49/1000000000000</f>
        <v>1.6670354976000001</v>
      </c>
      <c r="BR50" s="70">
        <f>AG49/1000000000000</f>
        <v>3.1098059999999998</v>
      </c>
      <c r="BS50" s="70">
        <f>AQ49/1000000000000</f>
        <v>3.1098059999999998</v>
      </c>
      <c r="BT50" s="70">
        <f>BA49/1000000000000</f>
        <v>3.1098059999999998</v>
      </c>
      <c r="BU50" s="70">
        <f>BK49/1000000000000</f>
        <v>3.1098059999999998</v>
      </c>
    </row>
    <row r="51" spans="1:75" x14ac:dyDescent="0.25">
      <c r="A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M51" s="103"/>
      <c r="BN51" s="54" t="s">
        <v>106</v>
      </c>
      <c r="BO51" s="71">
        <f>D50/1000000000000</f>
        <v>3.2900878901688003E-3</v>
      </c>
      <c r="BP51" s="71">
        <f>M50/1000000000000</f>
        <v>3.2900878901688003E-2</v>
      </c>
      <c r="BQ51" s="71">
        <f>W50/1000000000000</f>
        <v>0.64551044300000004</v>
      </c>
      <c r="BR51" s="72">
        <f>AG50/1000000000000</f>
        <v>1.3932669000000002</v>
      </c>
      <c r="BS51" s="72">
        <f>AQ50/1000000000000</f>
        <v>1.3932669000000002</v>
      </c>
      <c r="BT51" s="72">
        <f>BA50/1000000000000</f>
        <v>1.3932669000000002</v>
      </c>
      <c r="BU51" s="72">
        <f>BK50/1000000000000</f>
        <v>1.3932669000000002</v>
      </c>
      <c r="BV51" s="98">
        <f>SUM(BP48:BP51)</f>
        <v>0.62703584356291242</v>
      </c>
      <c r="BW51" s="98"/>
    </row>
    <row r="52" spans="1:75" s="50" customFormat="1" x14ac:dyDescent="0.25">
      <c r="A52" s="50" t="s">
        <v>38</v>
      </c>
      <c r="B52" s="50" t="s">
        <v>105</v>
      </c>
      <c r="C52" s="50" t="s">
        <v>114</v>
      </c>
      <c r="D52" s="50">
        <f>'Sce 3 Table'!D52</f>
        <v>161792820</v>
      </c>
      <c r="E52" s="50">
        <f>'Sce 3 Table'!E52</f>
        <v>323585640</v>
      </c>
      <c r="F52" s="50">
        <f>'Sce 3 Table'!F52</f>
        <v>485378460</v>
      </c>
      <c r="G52" s="50">
        <f>'Sce 3 Table'!G52</f>
        <v>647171280</v>
      </c>
      <c r="H52" s="50">
        <f>'Sce 3 Table'!H52</f>
        <v>808964100</v>
      </c>
      <c r="I52" s="50">
        <f>'Sce 3 Table'!I52</f>
        <v>970756920.00000012</v>
      </c>
      <c r="J52" s="50">
        <f>'Sce 3 Table'!J52</f>
        <v>1132549740</v>
      </c>
      <c r="K52" s="50">
        <f>'Sce 3 Table'!K52</f>
        <v>1294342560</v>
      </c>
      <c r="L52" s="50">
        <f>'Sce 3 Table'!L52</f>
        <v>1456135380</v>
      </c>
      <c r="M52" s="50">
        <f>'Sce 3 Table'!M52</f>
        <v>1617928200</v>
      </c>
      <c r="N52" s="50">
        <f>'Sce 3 Table'!N52</f>
        <v>1765249500</v>
      </c>
      <c r="O52" s="50">
        <f>'Sce 3 Table'!O52</f>
        <v>2140221300</v>
      </c>
      <c r="P52" s="50">
        <f>'Sce 3 Table'!P52</f>
        <v>2804470200</v>
      </c>
      <c r="Q52" s="50">
        <f>'Sce 3 Table'!Q52</f>
        <v>3395135100</v>
      </c>
      <c r="R52" s="50">
        <f>'Sce 3 Table'!R52</f>
        <v>3904397700</v>
      </c>
      <c r="S52" s="50">
        <f>'Sce 3 Table'!S52</f>
        <v>4884352620</v>
      </c>
      <c r="T52" s="50">
        <f>'Sce 3 Table'!T52</f>
        <v>6521044740</v>
      </c>
      <c r="U52" s="50">
        <f>U57*1000000/$D$64</f>
        <v>9216438906.2215195</v>
      </c>
      <c r="V52" s="50">
        <f t="shared" ref="V52:BK52" si="35">V57*1000000/$D$64</f>
        <v>10009699873.989872</v>
      </c>
      <c r="W52" s="50">
        <f t="shared" si="35"/>
        <v>10802960841.758224</v>
      </c>
      <c r="X52" s="50">
        <f t="shared" si="35"/>
        <v>11596221809.526577</v>
      </c>
      <c r="Y52" s="50">
        <f t="shared" si="35"/>
        <v>12389482777.29493</v>
      </c>
      <c r="Z52" s="50">
        <f t="shared" si="35"/>
        <v>13182743745.063282</v>
      </c>
      <c r="AA52" s="50">
        <f t="shared" si="35"/>
        <v>13976004712.831633</v>
      </c>
      <c r="AB52" s="50">
        <f t="shared" si="35"/>
        <v>14769265680.599985</v>
      </c>
      <c r="AC52" s="50">
        <f t="shared" si="35"/>
        <v>15562526648.368338</v>
      </c>
      <c r="AD52" s="50">
        <f t="shared" si="35"/>
        <v>16355787616.13669</v>
      </c>
      <c r="AE52" s="50">
        <f t="shared" si="35"/>
        <v>17149048583.905043</v>
      </c>
      <c r="AF52" s="50">
        <f t="shared" si="35"/>
        <v>17942310080.01775</v>
      </c>
      <c r="AG52" s="50">
        <f t="shared" si="35"/>
        <v>17942310080.01775</v>
      </c>
      <c r="AH52" s="50">
        <f t="shared" si="35"/>
        <v>17942310080.01775</v>
      </c>
      <c r="AI52" s="50">
        <f t="shared" si="35"/>
        <v>17942310080.01775</v>
      </c>
      <c r="AJ52" s="50">
        <f t="shared" si="35"/>
        <v>17942310080.01775</v>
      </c>
      <c r="AK52" s="50">
        <f t="shared" si="35"/>
        <v>17942310080.01775</v>
      </c>
      <c r="AL52" s="50">
        <f t="shared" si="35"/>
        <v>17942310080.01775</v>
      </c>
      <c r="AM52" s="50">
        <f t="shared" si="35"/>
        <v>17942310080.01775</v>
      </c>
      <c r="AN52" s="50">
        <f t="shared" si="35"/>
        <v>17942310080.01775</v>
      </c>
      <c r="AO52" s="50">
        <f t="shared" si="35"/>
        <v>17942310080.01775</v>
      </c>
      <c r="AP52" s="50">
        <f t="shared" si="35"/>
        <v>17942310080.01775</v>
      </c>
      <c r="AQ52" s="50">
        <f t="shared" si="35"/>
        <v>17942310080.01775</v>
      </c>
      <c r="AR52" s="50">
        <f t="shared" si="35"/>
        <v>17942310080.01775</v>
      </c>
      <c r="AS52" s="50">
        <f t="shared" si="35"/>
        <v>17942310080.01775</v>
      </c>
      <c r="AT52" s="50">
        <f t="shared" si="35"/>
        <v>17942310080.01775</v>
      </c>
      <c r="AU52" s="50">
        <f t="shared" si="35"/>
        <v>17942310080.01775</v>
      </c>
      <c r="AV52" s="50">
        <f t="shared" si="35"/>
        <v>17942310080.01775</v>
      </c>
      <c r="AW52" s="50">
        <f t="shared" si="35"/>
        <v>17942310080.01775</v>
      </c>
      <c r="AX52" s="50">
        <f t="shared" si="35"/>
        <v>17942310080.01775</v>
      </c>
      <c r="AY52" s="50">
        <f t="shared" si="35"/>
        <v>17942310080.01775</v>
      </c>
      <c r="AZ52" s="50">
        <f t="shared" si="35"/>
        <v>17942310080.01775</v>
      </c>
      <c r="BA52" s="50">
        <f t="shared" si="35"/>
        <v>17942310080.01775</v>
      </c>
      <c r="BB52" s="50">
        <f t="shared" si="35"/>
        <v>17942310080.01775</v>
      </c>
      <c r="BC52" s="50">
        <f t="shared" si="35"/>
        <v>17942310080.01775</v>
      </c>
      <c r="BD52" s="50">
        <f t="shared" si="35"/>
        <v>17942310080.01775</v>
      </c>
      <c r="BE52" s="50">
        <f t="shared" si="35"/>
        <v>17942310080.01775</v>
      </c>
      <c r="BF52" s="50">
        <f t="shared" si="35"/>
        <v>17942310080.01775</v>
      </c>
      <c r="BG52" s="50">
        <f t="shared" si="35"/>
        <v>17942310080.01775</v>
      </c>
      <c r="BH52" s="50">
        <f t="shared" si="35"/>
        <v>17942310080.01775</v>
      </c>
      <c r="BI52" s="50">
        <f t="shared" si="35"/>
        <v>17942310080.01775</v>
      </c>
      <c r="BJ52" s="50">
        <f t="shared" si="35"/>
        <v>17942310080.01775</v>
      </c>
      <c r="BK52" s="50">
        <f t="shared" si="35"/>
        <v>17942310080.01775</v>
      </c>
      <c r="BM52" s="65" t="s">
        <v>120</v>
      </c>
    </row>
    <row r="53" spans="1:75" s="50" customFormat="1" x14ac:dyDescent="0.25">
      <c r="A53" s="50" t="s">
        <v>38</v>
      </c>
      <c r="B53" s="50" t="s">
        <v>106</v>
      </c>
      <c r="C53" s="50" t="s">
        <v>114</v>
      </c>
      <c r="D53" s="50">
        <f>'Sce 3 Table'!D53</f>
        <v>0</v>
      </c>
      <c r="E53" s="50">
        <f>'Sce 3 Table'!E53</f>
        <v>0</v>
      </c>
      <c r="F53" s="50">
        <f>'Sce 3 Table'!F53</f>
        <v>0</v>
      </c>
      <c r="G53" s="50">
        <f>'Sce 3 Table'!G53</f>
        <v>0</v>
      </c>
      <c r="H53" s="50">
        <f>'Sce 3 Table'!H53</f>
        <v>0</v>
      </c>
      <c r="I53" s="50">
        <f>'Sce 3 Table'!I53</f>
        <v>0</v>
      </c>
      <c r="J53" s="50">
        <f>'Sce 3 Table'!J53</f>
        <v>0</v>
      </c>
      <c r="K53" s="50">
        <f>'Sce 3 Table'!K53</f>
        <v>0</v>
      </c>
      <c r="L53" s="50">
        <f>'Sce 3 Table'!L53</f>
        <v>0</v>
      </c>
      <c r="M53" s="50">
        <f>'Sce 3 Table'!M53</f>
        <v>0</v>
      </c>
      <c r="N53" s="50">
        <f>'Sce 3 Table'!N53</f>
        <v>8569470</v>
      </c>
      <c r="O53" s="50">
        <f>'Sce 3 Table'!O53</f>
        <v>10485720</v>
      </c>
      <c r="P53" s="50">
        <f>'Sce 3 Table'!P53</f>
        <v>14210910</v>
      </c>
      <c r="Q53" s="50">
        <f>'Sce 3 Table'!Q53</f>
        <v>27900600</v>
      </c>
      <c r="R53" s="50">
        <f>'Sce 3 Table'!R53</f>
        <v>90784260</v>
      </c>
      <c r="S53" s="50">
        <f>'Sce 3 Table'!S53</f>
        <v>250446210</v>
      </c>
      <c r="T53" s="50">
        <f>'Sce 3 Table'!T53</f>
        <v>489824160</v>
      </c>
      <c r="U53" s="50">
        <f t="shared" ref="U53:BK55" si="36">U58*1000000/$D$64</f>
        <v>612615278.13367641</v>
      </c>
      <c r="V53" s="50">
        <f t="shared" si="36"/>
        <v>648614813.1906451</v>
      </c>
      <c r="W53" s="50">
        <f t="shared" si="36"/>
        <v>684614348.24761391</v>
      </c>
      <c r="X53" s="50">
        <f t="shared" si="36"/>
        <v>720613883.30458272</v>
      </c>
      <c r="Y53" s="50">
        <f t="shared" si="36"/>
        <v>756613418.3615514</v>
      </c>
      <c r="Z53" s="50">
        <f t="shared" si="36"/>
        <v>792612953.41852009</v>
      </c>
      <c r="AA53" s="50">
        <f t="shared" si="36"/>
        <v>828612488.47548902</v>
      </c>
      <c r="AB53" s="50">
        <f t="shared" si="36"/>
        <v>864612023.53245771</v>
      </c>
      <c r="AC53" s="50">
        <f t="shared" si="36"/>
        <v>900611558.5894264</v>
      </c>
      <c r="AD53" s="50">
        <f t="shared" si="36"/>
        <v>936611093.64639533</v>
      </c>
      <c r="AE53" s="50">
        <f t="shared" si="36"/>
        <v>972610628.70336401</v>
      </c>
      <c r="AF53" s="50">
        <f t="shared" si="36"/>
        <v>1008609371.2438018</v>
      </c>
      <c r="AG53" s="50">
        <f t="shared" si="36"/>
        <v>1008609371.2438018</v>
      </c>
      <c r="AH53" s="50">
        <f t="shared" si="36"/>
        <v>1008609371.2438018</v>
      </c>
      <c r="AI53" s="50">
        <f t="shared" si="36"/>
        <v>1008609371.2438018</v>
      </c>
      <c r="AJ53" s="50">
        <f t="shared" si="36"/>
        <v>1008609371.2438018</v>
      </c>
      <c r="AK53" s="50">
        <f t="shared" si="36"/>
        <v>1008609371.2438018</v>
      </c>
      <c r="AL53" s="50">
        <f t="shared" si="36"/>
        <v>1008609371.2438018</v>
      </c>
      <c r="AM53" s="50">
        <f t="shared" si="36"/>
        <v>1008609371.2438018</v>
      </c>
      <c r="AN53" s="50">
        <f t="shared" si="36"/>
        <v>1008609371.2438018</v>
      </c>
      <c r="AO53" s="50">
        <f t="shared" si="36"/>
        <v>1008609371.2438018</v>
      </c>
      <c r="AP53" s="50">
        <f t="shared" si="36"/>
        <v>1008609371.2438018</v>
      </c>
      <c r="AQ53" s="50">
        <f t="shared" si="36"/>
        <v>1008609371.2438018</v>
      </c>
      <c r="AR53" s="50">
        <f t="shared" si="36"/>
        <v>1008609371.2438018</v>
      </c>
      <c r="AS53" s="50">
        <f t="shared" si="36"/>
        <v>1008609371.2438018</v>
      </c>
      <c r="AT53" s="50">
        <f t="shared" si="36"/>
        <v>1008609371.2438018</v>
      </c>
      <c r="AU53" s="50">
        <f t="shared" si="36"/>
        <v>1008609371.2438018</v>
      </c>
      <c r="AV53" s="50">
        <f t="shared" si="36"/>
        <v>1008609371.2438018</v>
      </c>
      <c r="AW53" s="50">
        <f t="shared" si="36"/>
        <v>1008609371.2438018</v>
      </c>
      <c r="AX53" s="50">
        <f t="shared" si="36"/>
        <v>1008609371.2438018</v>
      </c>
      <c r="AY53" s="50">
        <f t="shared" si="36"/>
        <v>1008609371.2438018</v>
      </c>
      <c r="AZ53" s="50">
        <f t="shared" si="36"/>
        <v>1008609371.2438018</v>
      </c>
      <c r="BA53" s="50">
        <f t="shared" si="36"/>
        <v>1008609371.2438018</v>
      </c>
      <c r="BB53" s="50">
        <f t="shared" si="36"/>
        <v>1008609371.2438018</v>
      </c>
      <c r="BC53" s="50">
        <f t="shared" si="36"/>
        <v>1008609371.2438018</v>
      </c>
      <c r="BD53" s="50">
        <f t="shared" si="36"/>
        <v>1008609371.2438018</v>
      </c>
      <c r="BE53" s="50">
        <f t="shared" si="36"/>
        <v>1008609371.2438018</v>
      </c>
      <c r="BF53" s="50">
        <f t="shared" si="36"/>
        <v>1008609371.2438018</v>
      </c>
      <c r="BG53" s="50">
        <f t="shared" si="36"/>
        <v>1008609371.2438018</v>
      </c>
      <c r="BH53" s="50">
        <f t="shared" si="36"/>
        <v>1008609371.2438018</v>
      </c>
      <c r="BI53" s="50">
        <f t="shared" si="36"/>
        <v>1008609371.2438018</v>
      </c>
      <c r="BJ53" s="50">
        <f t="shared" si="36"/>
        <v>1008609371.2438018</v>
      </c>
      <c r="BK53" s="50">
        <f t="shared" si="36"/>
        <v>1008609371.2438018</v>
      </c>
    </row>
    <row r="54" spans="1:75" s="50" customFormat="1" x14ac:dyDescent="0.25">
      <c r="A54" s="50" t="s">
        <v>71</v>
      </c>
      <c r="B54" s="50" t="s">
        <v>105</v>
      </c>
      <c r="C54" s="50" t="s">
        <v>114</v>
      </c>
      <c r="D54" s="50">
        <f>'Sce 3 Table'!D54</f>
        <v>297136791</v>
      </c>
      <c r="E54" s="50">
        <f>'Sce 3 Table'!E54</f>
        <v>594273582</v>
      </c>
      <c r="F54" s="50">
        <f>'Sce 3 Table'!F54</f>
        <v>891410372.99999988</v>
      </c>
      <c r="G54" s="50">
        <f>'Sce 3 Table'!G54</f>
        <v>1188547164</v>
      </c>
      <c r="H54" s="50">
        <f>'Sce 3 Table'!H54</f>
        <v>1485683955</v>
      </c>
      <c r="I54" s="50">
        <f>'Sce 3 Table'!I54</f>
        <v>1782820745.9999998</v>
      </c>
      <c r="J54" s="50">
        <f>'Sce 3 Table'!J54</f>
        <v>2079957537</v>
      </c>
      <c r="K54" s="50">
        <f>'Sce 3 Table'!K54</f>
        <v>2377094328</v>
      </c>
      <c r="L54" s="50">
        <f>'Sce 3 Table'!L54</f>
        <v>2674231119</v>
      </c>
      <c r="M54" s="50">
        <f>'Sce 3 Table'!M54</f>
        <v>2971367910</v>
      </c>
      <c r="N54" s="50">
        <f>'Sce 3 Table'!N54</f>
        <v>3190264979.9999995</v>
      </c>
      <c r="O54" s="50">
        <f>'Sce 3 Table'!O54</f>
        <v>3653936159.9999995</v>
      </c>
      <c r="P54" s="50">
        <f>'Sce 3 Table'!P54</f>
        <v>4328747430</v>
      </c>
      <c r="Q54" s="50">
        <f>'Sce 3 Table'!Q54</f>
        <v>4437529110</v>
      </c>
      <c r="R54" s="50">
        <f>'Sce 3 Table'!R54</f>
        <v>5064081540</v>
      </c>
      <c r="S54" s="50">
        <f>'Sce 3 Table'!S54</f>
        <v>6088018230</v>
      </c>
      <c r="T54" s="50">
        <f>'Sce 3 Table'!T54</f>
        <v>7648137000.000001</v>
      </c>
      <c r="U54" s="50">
        <f>U59*1000000/$D$64</f>
        <v>10400194430.722168</v>
      </c>
      <c r="V54" s="50">
        <f>V59*1000000/$D$64</f>
        <v>11638465582.327938</v>
      </c>
      <c r="W54" s="50">
        <f t="shared" si="36"/>
        <v>12876736733.933708</v>
      </c>
      <c r="X54" s="50">
        <f t="shared" si="36"/>
        <v>14115007885.53948</v>
      </c>
      <c r="Y54" s="50">
        <f t="shared" si="36"/>
        <v>15353279037.14525</v>
      </c>
      <c r="Z54" s="50">
        <f t="shared" si="36"/>
        <v>16591550188.751022</v>
      </c>
      <c r="AA54" s="50">
        <f t="shared" si="36"/>
        <v>17829821340.356792</v>
      </c>
      <c r="AB54" s="50">
        <f t="shared" si="36"/>
        <v>19068092491.962566</v>
      </c>
      <c r="AC54" s="50">
        <f t="shared" si="36"/>
        <v>20306363643.568336</v>
      </c>
      <c r="AD54" s="50">
        <f t="shared" si="36"/>
        <v>21544634795.174107</v>
      </c>
      <c r="AE54" s="50">
        <f t="shared" si="36"/>
        <v>22782905946.779877</v>
      </c>
      <c r="AF54" s="50">
        <f t="shared" si="36"/>
        <v>24021176041.696934</v>
      </c>
      <c r="AG54" s="50">
        <f t="shared" si="36"/>
        <v>24021176041.696934</v>
      </c>
      <c r="AH54" s="50">
        <f t="shared" si="36"/>
        <v>24021176041.696934</v>
      </c>
      <c r="AI54" s="50">
        <f t="shared" si="36"/>
        <v>24021176041.696934</v>
      </c>
      <c r="AJ54" s="50">
        <f t="shared" si="36"/>
        <v>24021176041.696934</v>
      </c>
      <c r="AK54" s="50">
        <f t="shared" si="36"/>
        <v>24021176041.696934</v>
      </c>
      <c r="AL54" s="50">
        <f t="shared" si="36"/>
        <v>24021176041.696934</v>
      </c>
      <c r="AM54" s="50">
        <f t="shared" si="36"/>
        <v>24021176041.696934</v>
      </c>
      <c r="AN54" s="50">
        <f t="shared" si="36"/>
        <v>24021176041.696934</v>
      </c>
      <c r="AO54" s="50">
        <f t="shared" si="36"/>
        <v>24021176041.696934</v>
      </c>
      <c r="AP54" s="50">
        <f t="shared" si="36"/>
        <v>24021176041.696934</v>
      </c>
      <c r="AQ54" s="50">
        <f t="shared" si="36"/>
        <v>24021176041.696934</v>
      </c>
      <c r="AR54" s="50">
        <f t="shared" si="36"/>
        <v>24021176041.696934</v>
      </c>
      <c r="AS54" s="50">
        <f t="shared" si="36"/>
        <v>24021176041.696934</v>
      </c>
      <c r="AT54" s="50">
        <f t="shared" si="36"/>
        <v>24021176041.696934</v>
      </c>
      <c r="AU54" s="50">
        <f t="shared" si="36"/>
        <v>24021176041.696934</v>
      </c>
      <c r="AV54" s="50">
        <f t="shared" si="36"/>
        <v>24021176041.696934</v>
      </c>
      <c r="AW54" s="50">
        <f t="shared" si="36"/>
        <v>24021176041.696934</v>
      </c>
      <c r="AX54" s="50">
        <f t="shared" si="36"/>
        <v>24021176041.696934</v>
      </c>
      <c r="AY54" s="50">
        <f t="shared" si="36"/>
        <v>24021176041.696934</v>
      </c>
      <c r="AZ54" s="50">
        <f t="shared" si="36"/>
        <v>24021176041.696934</v>
      </c>
      <c r="BA54" s="50">
        <f t="shared" si="36"/>
        <v>24021176041.696934</v>
      </c>
      <c r="BB54" s="50">
        <f t="shared" si="36"/>
        <v>24021176041.696934</v>
      </c>
      <c r="BC54" s="50">
        <f t="shared" si="36"/>
        <v>24021176041.696934</v>
      </c>
      <c r="BD54" s="50">
        <f t="shared" si="36"/>
        <v>24021176041.696934</v>
      </c>
      <c r="BE54" s="50">
        <f t="shared" si="36"/>
        <v>24021176041.696934</v>
      </c>
      <c r="BF54" s="50">
        <f t="shared" si="36"/>
        <v>24021176041.696934</v>
      </c>
      <c r="BG54" s="50">
        <f t="shared" si="36"/>
        <v>24021176041.696934</v>
      </c>
      <c r="BH54" s="50">
        <f t="shared" si="36"/>
        <v>24021176041.696934</v>
      </c>
      <c r="BI54" s="50">
        <f t="shared" si="36"/>
        <v>24021176041.696934</v>
      </c>
      <c r="BJ54" s="50">
        <f t="shared" si="36"/>
        <v>24021176041.696934</v>
      </c>
      <c r="BK54" s="50">
        <f t="shared" si="36"/>
        <v>24021176041.696934</v>
      </c>
    </row>
    <row r="55" spans="1:75" s="50" customFormat="1" x14ac:dyDescent="0.25">
      <c r="A55" s="50" t="s">
        <v>71</v>
      </c>
      <c r="B55" s="50" t="s">
        <v>106</v>
      </c>
      <c r="C55" s="50" t="s">
        <v>114</v>
      </c>
      <c r="D55" s="50">
        <f>'Sce 3 Table'!D55</f>
        <v>23301600</v>
      </c>
      <c r="E55" s="50">
        <f>'Sce 3 Table'!E55</f>
        <v>46603200</v>
      </c>
      <c r="F55" s="50">
        <f>'Sce 3 Table'!F55</f>
        <v>69904800.000000015</v>
      </c>
      <c r="G55" s="50">
        <f>'Sce 3 Table'!G55</f>
        <v>93206400</v>
      </c>
      <c r="H55" s="50">
        <f>'Sce 3 Table'!H55</f>
        <v>116508000</v>
      </c>
      <c r="I55" s="50">
        <f>'Sce 3 Table'!I55</f>
        <v>139809600</v>
      </c>
      <c r="J55" s="50">
        <f>'Sce 3 Table'!J55</f>
        <v>163111199.99999997</v>
      </c>
      <c r="K55" s="50">
        <f>'Sce 3 Table'!K55</f>
        <v>186412799.99999997</v>
      </c>
      <c r="L55" s="50">
        <f>'Sce 3 Table'!L55</f>
        <v>209714399.99999997</v>
      </c>
      <c r="M55" s="50">
        <f>'Sce 3 Table'!M55</f>
        <v>233016000</v>
      </c>
      <c r="N55" s="50">
        <f>'Sce 3 Table'!N55</f>
        <v>292036500</v>
      </c>
      <c r="O55" s="50">
        <f>'Sce 3 Table'!O55</f>
        <v>380490600</v>
      </c>
      <c r="P55" s="50">
        <f>'Sce 3 Table'!P55</f>
        <v>508496100</v>
      </c>
      <c r="Q55" s="50">
        <f>'Sce 3 Table'!Q55</f>
        <v>643860000</v>
      </c>
      <c r="R55" s="50">
        <f>'Sce 3 Table'!R55</f>
        <v>1001416920</v>
      </c>
      <c r="S55" s="50">
        <f>'Sce 3 Table'!S55</f>
        <v>1660070370</v>
      </c>
      <c r="T55" s="50">
        <f>'Sce 3 Table'!T55</f>
        <v>2251639740</v>
      </c>
      <c r="U55" s="50">
        <f>U60*1000000/$D$64</f>
        <v>3394876644.8020158</v>
      </c>
      <c r="V55" s="50">
        <f t="shared" si="36"/>
        <v>3983308281.0052276</v>
      </c>
      <c r="W55" s="50">
        <f t="shared" si="36"/>
        <v>4571739917.2084398</v>
      </c>
      <c r="X55" s="50">
        <f t="shared" si="36"/>
        <v>5160171553.4116507</v>
      </c>
      <c r="Y55" s="50">
        <f t="shared" si="36"/>
        <v>5748603189.6148634</v>
      </c>
      <c r="Z55" s="50">
        <f t="shared" si="36"/>
        <v>6337034825.8180752</v>
      </c>
      <c r="AA55" s="50">
        <f t="shared" si="36"/>
        <v>6925466462.0212879</v>
      </c>
      <c r="AB55" s="50">
        <f t="shared" si="36"/>
        <v>7513898098.2244997</v>
      </c>
      <c r="AC55" s="50">
        <f t="shared" si="36"/>
        <v>8102329734.4277124</v>
      </c>
      <c r="AD55" s="50">
        <f t="shared" si="36"/>
        <v>8690761370.6309242</v>
      </c>
      <c r="AE55" s="50">
        <f t="shared" si="36"/>
        <v>9279193006.8341351</v>
      </c>
      <c r="AF55" s="50">
        <f t="shared" si="36"/>
        <v>9867623322.1764622</v>
      </c>
      <c r="AG55" s="50">
        <f t="shared" si="36"/>
        <v>9867623322.1764622</v>
      </c>
      <c r="AH55" s="50">
        <f t="shared" si="36"/>
        <v>9867623322.1764622</v>
      </c>
      <c r="AI55" s="50">
        <f t="shared" si="36"/>
        <v>9867623322.1764622</v>
      </c>
      <c r="AJ55" s="50">
        <f t="shared" si="36"/>
        <v>9867623322.1764622</v>
      </c>
      <c r="AK55" s="50">
        <f t="shared" si="36"/>
        <v>9867623322.1764622</v>
      </c>
      <c r="AL55" s="50">
        <f t="shared" si="36"/>
        <v>9867623322.1764622</v>
      </c>
      <c r="AM55" s="50">
        <f t="shared" si="36"/>
        <v>9867623322.1764622</v>
      </c>
      <c r="AN55" s="50">
        <f t="shared" si="36"/>
        <v>9867623322.1764622</v>
      </c>
      <c r="AO55" s="50">
        <f t="shared" si="36"/>
        <v>9867623322.1764622</v>
      </c>
      <c r="AP55" s="50">
        <f t="shared" si="36"/>
        <v>9867623322.1764622</v>
      </c>
      <c r="AQ55" s="50">
        <f t="shared" si="36"/>
        <v>9867623322.1764622</v>
      </c>
      <c r="AR55" s="50">
        <f t="shared" si="36"/>
        <v>9867623322.1764622</v>
      </c>
      <c r="AS55" s="50">
        <f t="shared" si="36"/>
        <v>9867623322.1764622</v>
      </c>
      <c r="AT55" s="50">
        <f t="shared" si="36"/>
        <v>9867623322.1764622</v>
      </c>
      <c r="AU55" s="50">
        <f t="shared" si="36"/>
        <v>9867623322.1764622</v>
      </c>
      <c r="AV55" s="50">
        <f t="shared" si="36"/>
        <v>9867623322.1764622</v>
      </c>
      <c r="AW55" s="50">
        <f t="shared" si="36"/>
        <v>9867623322.1764622</v>
      </c>
      <c r="AX55" s="50">
        <f t="shared" si="36"/>
        <v>9867623322.1764622</v>
      </c>
      <c r="AY55" s="50">
        <f t="shared" si="36"/>
        <v>9867623322.1764622</v>
      </c>
      <c r="AZ55" s="50">
        <f t="shared" si="36"/>
        <v>9867623322.1764622</v>
      </c>
      <c r="BA55" s="50">
        <f t="shared" si="36"/>
        <v>9867623322.1764622</v>
      </c>
      <c r="BB55" s="50">
        <f t="shared" si="36"/>
        <v>9867623322.1764622</v>
      </c>
      <c r="BC55" s="50">
        <f t="shared" si="36"/>
        <v>9867623322.1764622</v>
      </c>
      <c r="BD55" s="50">
        <f t="shared" si="36"/>
        <v>9867623322.1764622</v>
      </c>
      <c r="BE55" s="50">
        <f t="shared" si="36"/>
        <v>9867623322.1764622</v>
      </c>
      <c r="BF55" s="50">
        <f t="shared" si="36"/>
        <v>9867623322.1764622</v>
      </c>
      <c r="BG55" s="50">
        <f t="shared" si="36"/>
        <v>9867623322.1764622</v>
      </c>
      <c r="BH55" s="50">
        <f t="shared" si="36"/>
        <v>9867623322.1764622</v>
      </c>
      <c r="BI55" s="50">
        <f t="shared" si="36"/>
        <v>9867623322.1764622</v>
      </c>
      <c r="BJ55" s="50">
        <f t="shared" si="36"/>
        <v>9867623322.1764622</v>
      </c>
      <c r="BK55" s="50">
        <f t="shared" si="36"/>
        <v>9867623322.1764622</v>
      </c>
    </row>
    <row r="56" spans="1:75" s="50" customFormat="1" x14ac:dyDescent="0.25"/>
    <row r="57" spans="1:75" s="50" customFormat="1" x14ac:dyDescent="0.25">
      <c r="A57" s="50" t="s">
        <v>38</v>
      </c>
      <c r="B57" s="50" t="s">
        <v>105</v>
      </c>
      <c r="C57" s="50" t="s">
        <v>132</v>
      </c>
      <c r="U57" s="50">
        <v>34888</v>
      </c>
      <c r="V57" s="50">
        <v>37890.817999999999</v>
      </c>
      <c r="W57" s="50">
        <v>40893.635999999999</v>
      </c>
      <c r="X57" s="50">
        <v>43896.453999999998</v>
      </c>
      <c r="Y57" s="50">
        <v>46899.271999999997</v>
      </c>
      <c r="Z57" s="50">
        <v>49902.09</v>
      </c>
      <c r="AA57" s="50">
        <v>52904.907999999996</v>
      </c>
      <c r="AB57" s="50">
        <v>55907.725999999995</v>
      </c>
      <c r="AC57" s="50">
        <v>58910.543999999994</v>
      </c>
      <c r="AD57" s="50">
        <v>61913.361999999994</v>
      </c>
      <c r="AE57" s="50">
        <v>64916.179999999993</v>
      </c>
      <c r="AF57" s="50">
        <v>67919</v>
      </c>
      <c r="AG57" s="50">
        <v>67919</v>
      </c>
      <c r="AH57" s="50">
        <v>67919</v>
      </c>
      <c r="AI57" s="50">
        <v>67919</v>
      </c>
      <c r="AJ57" s="50">
        <v>67919</v>
      </c>
      <c r="AK57" s="50">
        <v>67919</v>
      </c>
      <c r="AL57" s="50">
        <v>67919</v>
      </c>
      <c r="AM57" s="50">
        <v>67919</v>
      </c>
      <c r="AN57" s="50">
        <v>67919</v>
      </c>
      <c r="AO57" s="50">
        <v>67919</v>
      </c>
      <c r="AP57" s="50">
        <v>67919</v>
      </c>
      <c r="AQ57" s="50">
        <v>67919</v>
      </c>
      <c r="AR57" s="50">
        <v>67919</v>
      </c>
      <c r="AS57" s="50">
        <v>67919</v>
      </c>
      <c r="AT57" s="50">
        <v>67919</v>
      </c>
      <c r="AU57" s="50">
        <v>67919</v>
      </c>
      <c r="AV57" s="50">
        <v>67919</v>
      </c>
      <c r="AW57" s="50">
        <v>67919</v>
      </c>
      <c r="AX57" s="50">
        <v>67919</v>
      </c>
      <c r="AY57" s="50">
        <v>67919</v>
      </c>
      <c r="AZ57" s="50">
        <v>67919</v>
      </c>
      <c r="BA57" s="50">
        <v>67919</v>
      </c>
      <c r="BB57" s="50">
        <v>67919</v>
      </c>
      <c r="BC57" s="50">
        <v>67919</v>
      </c>
      <c r="BD57" s="50">
        <v>67919</v>
      </c>
      <c r="BE57" s="50">
        <v>67919</v>
      </c>
      <c r="BF57" s="50">
        <v>67919</v>
      </c>
      <c r="BG57" s="50">
        <v>67919</v>
      </c>
      <c r="BH57" s="50">
        <v>67919</v>
      </c>
      <c r="BI57" s="50">
        <v>67919</v>
      </c>
      <c r="BJ57" s="50">
        <v>67919</v>
      </c>
      <c r="BK57" s="50">
        <v>67919</v>
      </c>
    </row>
    <row r="58" spans="1:75" s="50" customFormat="1" x14ac:dyDescent="0.25">
      <c r="A58" s="50" t="s">
        <v>38</v>
      </c>
      <c r="B58" s="50" t="s">
        <v>106</v>
      </c>
      <c r="C58" s="50" t="s">
        <v>132</v>
      </c>
      <c r="U58" s="50">
        <v>2319</v>
      </c>
      <c r="V58" s="50">
        <v>2455.2730000000001</v>
      </c>
      <c r="W58" s="50">
        <v>2591.5460000000003</v>
      </c>
      <c r="X58" s="50">
        <v>2727.8190000000004</v>
      </c>
      <c r="Y58" s="50">
        <v>2864.0920000000006</v>
      </c>
      <c r="Z58" s="50">
        <v>3000.3650000000007</v>
      </c>
      <c r="AA58" s="50">
        <v>3136.6380000000008</v>
      </c>
      <c r="AB58" s="50">
        <v>3272.911000000001</v>
      </c>
      <c r="AC58" s="50">
        <v>3409.1840000000011</v>
      </c>
      <c r="AD58" s="50">
        <v>3545.4570000000012</v>
      </c>
      <c r="AE58" s="50">
        <v>3681.7300000000014</v>
      </c>
      <c r="AF58" s="50">
        <v>3818</v>
      </c>
      <c r="AG58" s="50">
        <v>3818</v>
      </c>
      <c r="AH58" s="50">
        <v>3818</v>
      </c>
      <c r="AI58" s="50">
        <v>3818</v>
      </c>
      <c r="AJ58" s="50">
        <v>3818</v>
      </c>
      <c r="AK58" s="50">
        <v>3818</v>
      </c>
      <c r="AL58" s="50">
        <v>3818</v>
      </c>
      <c r="AM58" s="50">
        <v>3818</v>
      </c>
      <c r="AN58" s="50">
        <v>3818</v>
      </c>
      <c r="AO58" s="50">
        <v>3818</v>
      </c>
      <c r="AP58" s="50">
        <v>3818</v>
      </c>
      <c r="AQ58" s="50">
        <v>3818</v>
      </c>
      <c r="AR58" s="50">
        <v>3818</v>
      </c>
      <c r="AS58" s="50">
        <v>3818</v>
      </c>
      <c r="AT58" s="50">
        <v>3818</v>
      </c>
      <c r="AU58" s="50">
        <v>3818</v>
      </c>
      <c r="AV58" s="50">
        <v>3818</v>
      </c>
      <c r="AW58" s="50">
        <v>3818</v>
      </c>
      <c r="AX58" s="50">
        <v>3818</v>
      </c>
      <c r="AY58" s="50">
        <v>3818</v>
      </c>
      <c r="AZ58" s="50">
        <v>3818</v>
      </c>
      <c r="BA58" s="50">
        <v>3818</v>
      </c>
      <c r="BB58" s="50">
        <v>3818</v>
      </c>
      <c r="BC58" s="50">
        <v>3818</v>
      </c>
      <c r="BD58" s="50">
        <v>3818</v>
      </c>
      <c r="BE58" s="50">
        <v>3818</v>
      </c>
      <c r="BF58" s="50">
        <v>3818</v>
      </c>
      <c r="BG58" s="50">
        <v>3818</v>
      </c>
      <c r="BH58" s="50">
        <v>3818</v>
      </c>
      <c r="BI58" s="50">
        <v>3818</v>
      </c>
      <c r="BJ58" s="50">
        <v>3818</v>
      </c>
      <c r="BK58" s="50">
        <v>3818</v>
      </c>
    </row>
    <row r="59" spans="1:75" s="50" customFormat="1" x14ac:dyDescent="0.25">
      <c r="A59" s="50" t="s">
        <v>71</v>
      </c>
      <c r="B59" s="50" t="s">
        <v>105</v>
      </c>
      <c r="C59" s="50" t="s">
        <v>132</v>
      </c>
      <c r="U59" s="50">
        <v>39369</v>
      </c>
      <c r="V59" s="50">
        <v>44056.364000000001</v>
      </c>
      <c r="W59" s="50">
        <v>48743.728000000003</v>
      </c>
      <c r="X59" s="50">
        <v>53431.092000000004</v>
      </c>
      <c r="Y59" s="50">
        <v>58118.456000000006</v>
      </c>
      <c r="Z59" s="50">
        <v>62805.820000000007</v>
      </c>
      <c r="AA59" s="50">
        <v>67493.184000000008</v>
      </c>
      <c r="AB59" s="50">
        <v>72180.54800000001</v>
      </c>
      <c r="AC59" s="50">
        <v>76867.912000000011</v>
      </c>
      <c r="AD59" s="50">
        <v>81555.276000000013</v>
      </c>
      <c r="AE59" s="50">
        <v>86242.640000000014</v>
      </c>
      <c r="AF59" s="50">
        <v>90930</v>
      </c>
      <c r="AG59" s="50">
        <v>90930</v>
      </c>
      <c r="AH59" s="50">
        <v>90930</v>
      </c>
      <c r="AI59" s="50">
        <v>90930</v>
      </c>
      <c r="AJ59" s="50">
        <v>90930</v>
      </c>
      <c r="AK59" s="50">
        <v>90930</v>
      </c>
      <c r="AL59" s="50">
        <v>90930</v>
      </c>
      <c r="AM59" s="50">
        <v>90930</v>
      </c>
      <c r="AN59" s="50">
        <v>90930</v>
      </c>
      <c r="AO59" s="50">
        <v>90930</v>
      </c>
      <c r="AP59" s="50">
        <v>90930</v>
      </c>
      <c r="AQ59" s="50">
        <v>90930</v>
      </c>
      <c r="AR59" s="50">
        <v>90930</v>
      </c>
      <c r="AS59" s="50">
        <v>90930</v>
      </c>
      <c r="AT59" s="50">
        <v>90930</v>
      </c>
      <c r="AU59" s="50">
        <v>90930</v>
      </c>
      <c r="AV59" s="50">
        <v>90930</v>
      </c>
      <c r="AW59" s="50">
        <v>90930</v>
      </c>
      <c r="AX59" s="50">
        <v>90930</v>
      </c>
      <c r="AY59" s="50">
        <v>90930</v>
      </c>
      <c r="AZ59" s="50">
        <v>90930</v>
      </c>
      <c r="BA59" s="50">
        <v>90930</v>
      </c>
      <c r="BB59" s="50">
        <v>90930</v>
      </c>
      <c r="BC59" s="50">
        <v>90930</v>
      </c>
      <c r="BD59" s="50">
        <v>90930</v>
      </c>
      <c r="BE59" s="50">
        <v>90930</v>
      </c>
      <c r="BF59" s="50">
        <v>90930</v>
      </c>
      <c r="BG59" s="50">
        <v>90930</v>
      </c>
      <c r="BH59" s="50">
        <v>90930</v>
      </c>
      <c r="BI59" s="50">
        <v>90930</v>
      </c>
      <c r="BJ59" s="50">
        <v>90930</v>
      </c>
      <c r="BK59" s="50">
        <v>90930</v>
      </c>
    </row>
    <row r="60" spans="1:75" s="50" customFormat="1" x14ac:dyDescent="0.25">
      <c r="A60" s="50" t="s">
        <v>71</v>
      </c>
      <c r="B60" s="50" t="s">
        <v>106</v>
      </c>
      <c r="C60" s="50" t="s">
        <v>132</v>
      </c>
      <c r="U60" s="50">
        <v>12851</v>
      </c>
      <c r="V60" s="50">
        <v>15078.455</v>
      </c>
      <c r="W60" s="50">
        <v>17305.91</v>
      </c>
      <c r="X60" s="50">
        <v>19533.364999999998</v>
      </c>
      <c r="Y60" s="50">
        <v>21760.82</v>
      </c>
      <c r="Z60" s="50">
        <v>23988.275000000001</v>
      </c>
      <c r="AA60" s="50">
        <v>26215.730000000003</v>
      </c>
      <c r="AB60" s="50">
        <v>28443.185000000005</v>
      </c>
      <c r="AC60" s="50">
        <v>30670.640000000007</v>
      </c>
      <c r="AD60" s="50">
        <v>32898.095000000008</v>
      </c>
      <c r="AE60" s="50">
        <v>35125.55000000001</v>
      </c>
      <c r="AF60" s="50">
        <v>37353</v>
      </c>
      <c r="AG60" s="50">
        <v>37353</v>
      </c>
      <c r="AH60" s="50">
        <v>37353</v>
      </c>
      <c r="AI60" s="50">
        <v>37353</v>
      </c>
      <c r="AJ60" s="50">
        <v>37353</v>
      </c>
      <c r="AK60" s="50">
        <v>37353</v>
      </c>
      <c r="AL60" s="50">
        <v>37353</v>
      </c>
      <c r="AM60" s="50">
        <v>37353</v>
      </c>
      <c r="AN60" s="50">
        <v>37353</v>
      </c>
      <c r="AO60" s="50">
        <v>37353</v>
      </c>
      <c r="AP60" s="50">
        <v>37353</v>
      </c>
      <c r="AQ60" s="50">
        <v>37353</v>
      </c>
      <c r="AR60" s="50">
        <v>37353</v>
      </c>
      <c r="AS60" s="50">
        <v>37353</v>
      </c>
      <c r="AT60" s="50">
        <v>37353</v>
      </c>
      <c r="AU60" s="50">
        <v>37353</v>
      </c>
      <c r="AV60" s="50">
        <v>37353</v>
      </c>
      <c r="AW60" s="50">
        <v>37353</v>
      </c>
      <c r="AX60" s="50">
        <v>37353</v>
      </c>
      <c r="AY60" s="50">
        <v>37353</v>
      </c>
      <c r="AZ60" s="50">
        <v>37353</v>
      </c>
      <c r="BA60" s="50">
        <v>37353</v>
      </c>
      <c r="BB60" s="50">
        <v>37353</v>
      </c>
      <c r="BC60" s="50">
        <v>37353</v>
      </c>
      <c r="BD60" s="50">
        <v>37353</v>
      </c>
      <c r="BE60" s="50">
        <v>37353</v>
      </c>
      <c r="BF60" s="50">
        <v>37353</v>
      </c>
      <c r="BG60" s="50">
        <v>37353</v>
      </c>
      <c r="BH60" s="50">
        <v>37353</v>
      </c>
      <c r="BI60" s="50">
        <v>37353</v>
      </c>
      <c r="BJ60" s="50">
        <v>37353</v>
      </c>
      <c r="BK60" s="50">
        <v>37353</v>
      </c>
    </row>
    <row r="61" spans="1:75" x14ac:dyDescent="0.25">
      <c r="A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0"/>
      <c r="BK61" s="50"/>
    </row>
    <row r="62" spans="1:75" x14ac:dyDescent="0.25">
      <c r="A62" s="50"/>
      <c r="C62" s="50"/>
      <c r="D62" s="50">
        <v>34.200000000000003</v>
      </c>
      <c r="E62" s="50" t="s">
        <v>115</v>
      </c>
      <c r="F62" s="50" t="s">
        <v>116</v>
      </c>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row>
    <row r="63" spans="1:75" x14ac:dyDescent="0.25">
      <c r="A63" s="50"/>
      <c r="C63" s="50"/>
      <c r="D63" s="50">
        <v>37.299999999999997</v>
      </c>
      <c r="E63" s="50" t="s">
        <v>115</v>
      </c>
      <c r="F63" s="50" t="s">
        <v>117</v>
      </c>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row>
    <row r="64" spans="1:75" x14ac:dyDescent="0.25">
      <c r="A64" s="50"/>
      <c r="C64" s="50"/>
      <c r="D64" s="50">
        <v>3.7854100000000002</v>
      </c>
      <c r="E64" s="50" t="s">
        <v>118</v>
      </c>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row>
    <row r="65" spans="1:63" x14ac:dyDescent="0.25">
      <c r="A65" s="50"/>
      <c r="C65" s="50"/>
      <c r="D65" s="50">
        <f>D62*D64</f>
        <v>129.46102200000001</v>
      </c>
      <c r="E65" s="50" t="s">
        <v>119</v>
      </c>
      <c r="F65" s="50" t="s">
        <v>116</v>
      </c>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50"/>
      <c r="BA65" s="50"/>
      <c r="BB65" s="50"/>
      <c r="BC65" s="50"/>
      <c r="BD65" s="50"/>
      <c r="BE65" s="50"/>
      <c r="BF65" s="50"/>
      <c r="BG65" s="50"/>
      <c r="BH65" s="50"/>
      <c r="BI65" s="50"/>
      <c r="BJ65" s="50"/>
      <c r="BK65" s="50"/>
    </row>
    <row r="66" spans="1:63" x14ac:dyDescent="0.25">
      <c r="A66" s="50"/>
      <c r="C66" s="50"/>
      <c r="D66" s="50">
        <f>D63*D64</f>
        <v>141.19579300000001</v>
      </c>
      <c r="E66" s="50" t="s">
        <v>119</v>
      </c>
      <c r="F66" s="50" t="s">
        <v>117</v>
      </c>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50"/>
      <c r="BA66" s="50"/>
      <c r="BB66" s="50"/>
      <c r="BC66" s="50"/>
      <c r="BD66" s="50"/>
      <c r="BE66" s="50"/>
      <c r="BF66" s="50"/>
      <c r="BG66" s="50"/>
      <c r="BH66" s="50"/>
      <c r="BI66" s="50"/>
      <c r="BJ66" s="50"/>
      <c r="BK66" s="50"/>
    </row>
    <row r="67" spans="1:63" x14ac:dyDescent="0.25">
      <c r="D67" s="50">
        <v>24</v>
      </c>
      <c r="E67" s="50" t="s">
        <v>115</v>
      </c>
      <c r="F67" s="50" t="s">
        <v>105</v>
      </c>
    </row>
    <row r="68" spans="1:63" x14ac:dyDescent="0.25">
      <c r="D68" s="50">
        <v>33</v>
      </c>
      <c r="E68" s="50" t="s">
        <v>115</v>
      </c>
      <c r="F68" s="50" t="s">
        <v>131</v>
      </c>
    </row>
    <row r="69" spans="1:63" x14ac:dyDescent="0.25">
      <c r="D69" s="50">
        <f>D64*D67</f>
        <v>90.84984</v>
      </c>
      <c r="E69" s="50" t="s">
        <v>119</v>
      </c>
      <c r="F69" s="50" t="s">
        <v>105</v>
      </c>
    </row>
    <row r="70" spans="1:63" x14ac:dyDescent="0.25">
      <c r="D70" s="50">
        <f>D64*D68</f>
        <v>124.91853</v>
      </c>
      <c r="E70" s="50" t="s">
        <v>119</v>
      </c>
      <c r="F70" s="50" t="s">
        <v>131</v>
      </c>
    </row>
  </sheetData>
  <mergeCells count="8">
    <mergeCell ref="BM48:BM49"/>
    <mergeCell ref="BM50:BM51"/>
    <mergeCell ref="BM2:BM12"/>
    <mergeCell ref="BM13:BM23"/>
    <mergeCell ref="BM26:BM32"/>
    <mergeCell ref="BM33:BM39"/>
    <mergeCell ref="BM42:BM43"/>
    <mergeCell ref="BM44:BM4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B70"/>
  <sheetViews>
    <sheetView topLeftCell="BD1" workbookViewId="0">
      <selection activeCell="BW13" sqref="BW13"/>
    </sheetView>
  </sheetViews>
  <sheetFormatPr defaultRowHeight="15" x14ac:dyDescent="0.25"/>
  <cols>
    <col min="1" max="1" width="8.42578125" style="50" bestFit="1" customWidth="1"/>
    <col min="2" max="2" width="26.140625" style="50" bestFit="1" customWidth="1"/>
    <col min="3" max="3" width="15.7109375" style="50" bestFit="1" customWidth="1"/>
    <col min="4" max="4" width="12" style="50" bestFit="1" customWidth="1"/>
    <col min="5" max="20" width="9.140625" style="50"/>
    <col min="21" max="21" width="11" style="50" bestFit="1" customWidth="1"/>
    <col min="22" max="32" width="9.140625" style="50"/>
    <col min="33" max="33" width="9.28515625" style="50" customWidth="1"/>
    <col min="34" max="64" width="9.140625" style="50"/>
    <col min="65" max="65" width="8.42578125" style="50" bestFit="1" customWidth="1"/>
    <col min="66" max="66" width="26.140625" style="50" bestFit="1" customWidth="1"/>
    <col min="67" max="67" width="5" style="50" bestFit="1" customWidth="1"/>
    <col min="68" max="68" width="5.5703125" style="50" bestFit="1" customWidth="1"/>
    <col min="69" max="73" width="5" style="50" bestFit="1" customWidth="1"/>
    <col min="74" max="74" width="12" style="50" bestFit="1" customWidth="1"/>
    <col min="75" max="75" width="12" style="50" customWidth="1"/>
    <col min="76" max="76" width="16.85546875" style="50" bestFit="1" customWidth="1"/>
    <col min="77" max="77" width="9.140625" style="50"/>
    <col min="78" max="78" width="9.28515625" style="50" bestFit="1" customWidth="1"/>
    <col min="79" max="16384" width="9.140625" style="50"/>
  </cols>
  <sheetData>
    <row r="1" spans="1:80" x14ac:dyDescent="0.25">
      <c r="A1" s="50" t="s">
        <v>93</v>
      </c>
      <c r="B1" s="50" t="s">
        <v>94</v>
      </c>
      <c r="C1" s="50" t="s">
        <v>73</v>
      </c>
      <c r="D1" s="50">
        <v>1991</v>
      </c>
      <c r="E1" s="50">
        <v>1992</v>
      </c>
      <c r="F1" s="50">
        <v>1993</v>
      </c>
      <c r="G1" s="50">
        <v>1994</v>
      </c>
      <c r="H1" s="50">
        <v>1995</v>
      </c>
      <c r="I1" s="50">
        <v>1996</v>
      </c>
      <c r="J1" s="50">
        <v>1997</v>
      </c>
      <c r="K1" s="50">
        <v>1998</v>
      </c>
      <c r="L1" s="50">
        <v>1999</v>
      </c>
      <c r="M1" s="50">
        <v>2000</v>
      </c>
      <c r="N1" s="50">
        <v>2001</v>
      </c>
      <c r="O1" s="50">
        <v>2002</v>
      </c>
      <c r="P1" s="50">
        <v>2003</v>
      </c>
      <c r="Q1" s="50">
        <v>2004</v>
      </c>
      <c r="R1" s="50">
        <v>2005</v>
      </c>
      <c r="S1" s="50">
        <v>2006</v>
      </c>
      <c r="T1" s="50">
        <v>2007</v>
      </c>
      <c r="U1" s="50">
        <v>2008</v>
      </c>
      <c r="V1" s="50">
        <v>2009</v>
      </c>
      <c r="W1" s="50">
        <v>2010</v>
      </c>
      <c r="X1" s="50">
        <v>2011</v>
      </c>
      <c r="Y1" s="50">
        <v>2012</v>
      </c>
      <c r="Z1" s="50">
        <v>2013</v>
      </c>
      <c r="AA1" s="50">
        <v>2014</v>
      </c>
      <c r="AB1" s="50">
        <v>2015</v>
      </c>
      <c r="AC1" s="50">
        <v>2016</v>
      </c>
      <c r="AD1" s="50">
        <v>2017</v>
      </c>
      <c r="AE1" s="50">
        <v>2018</v>
      </c>
      <c r="AF1" s="50">
        <v>2019</v>
      </c>
      <c r="AG1" s="50">
        <v>2020</v>
      </c>
      <c r="AH1" s="50">
        <v>2021</v>
      </c>
      <c r="AI1" s="50">
        <v>2022</v>
      </c>
      <c r="AJ1" s="50">
        <v>2023</v>
      </c>
      <c r="AK1" s="50">
        <v>2024</v>
      </c>
      <c r="AL1" s="50">
        <v>2025</v>
      </c>
      <c r="AM1" s="50">
        <v>2026</v>
      </c>
      <c r="AN1" s="50">
        <v>2027</v>
      </c>
      <c r="AO1" s="50">
        <v>2028</v>
      </c>
      <c r="AP1" s="50">
        <v>2029</v>
      </c>
      <c r="AQ1" s="50">
        <v>2030</v>
      </c>
      <c r="AR1" s="50">
        <v>2031</v>
      </c>
      <c r="AS1" s="50">
        <v>2032</v>
      </c>
      <c r="AT1" s="50">
        <v>2033</v>
      </c>
      <c r="AU1" s="50">
        <v>2034</v>
      </c>
      <c r="AV1" s="50">
        <v>2035</v>
      </c>
      <c r="AW1" s="50">
        <v>2036</v>
      </c>
      <c r="AX1" s="50">
        <v>2037</v>
      </c>
      <c r="AY1" s="50">
        <v>2038</v>
      </c>
      <c r="AZ1" s="50">
        <v>2039</v>
      </c>
      <c r="BA1" s="50">
        <v>2040</v>
      </c>
      <c r="BB1" s="50">
        <v>2041</v>
      </c>
      <c r="BC1" s="50">
        <v>2042</v>
      </c>
      <c r="BD1" s="50">
        <v>2043</v>
      </c>
      <c r="BE1" s="50">
        <v>2044</v>
      </c>
      <c r="BF1" s="50">
        <v>2045</v>
      </c>
      <c r="BG1" s="50">
        <v>2046</v>
      </c>
      <c r="BH1" s="50">
        <v>2047</v>
      </c>
      <c r="BI1" s="50">
        <v>2048</v>
      </c>
      <c r="BJ1" s="50">
        <v>2049</v>
      </c>
      <c r="BK1" s="50">
        <v>2050</v>
      </c>
      <c r="BM1" s="56" t="s">
        <v>93</v>
      </c>
      <c r="BN1" s="56" t="s">
        <v>94</v>
      </c>
      <c r="BO1" s="56">
        <v>1991</v>
      </c>
      <c r="BP1" s="56">
        <v>2000</v>
      </c>
      <c r="BQ1" s="56">
        <v>2010</v>
      </c>
      <c r="BR1" s="56">
        <v>2020</v>
      </c>
      <c r="BS1" s="56">
        <v>2030</v>
      </c>
      <c r="BT1" s="56">
        <v>2040</v>
      </c>
      <c r="BU1" s="56">
        <v>2050</v>
      </c>
      <c r="BV1" s="50" t="s">
        <v>134</v>
      </c>
      <c r="BW1" s="50" t="s">
        <v>137</v>
      </c>
      <c r="BX1" s="50" t="s">
        <v>135</v>
      </c>
      <c r="BZ1" s="50" t="s">
        <v>136</v>
      </c>
    </row>
    <row r="2" spans="1:80" x14ac:dyDescent="0.25">
      <c r="A2" s="50" t="s">
        <v>71</v>
      </c>
      <c r="B2" s="50" t="s">
        <v>96</v>
      </c>
      <c r="C2" s="50" t="s">
        <v>92</v>
      </c>
      <c r="D2" s="51">
        <f>'LUC-2013-01-08-Run2'!AF2</f>
        <v>1.0508415631190336E-5</v>
      </c>
      <c r="E2" s="51">
        <f>'LUC-2013-01-08-Run2'!AG2</f>
        <v>1.0527618537027347E-5</v>
      </c>
      <c r="F2" s="51">
        <f>'LUC-2013-01-08-Run2'!AH2</f>
        <v>1.0524144816427411E-5</v>
      </c>
      <c r="G2" s="51">
        <f>'LUC-2013-01-08-Run2'!AI2</f>
        <v>1.0522462802637258E-5</v>
      </c>
      <c r="H2" s="51">
        <f>'LUC-2013-01-08-Run2'!AJ2</f>
        <v>1.05226809524005E-5</v>
      </c>
      <c r="I2" s="51">
        <f>'LUC-2013-01-08-Run2'!AK2</f>
        <v>1.0524797835739828E-5</v>
      </c>
      <c r="J2" s="51">
        <f>'LUC-2013-01-08-Run2'!AL2</f>
        <v>1.0528848568531622E-5</v>
      </c>
      <c r="K2" s="51">
        <f>'LUC-2013-01-08-Run2'!AM2</f>
        <v>1.0535257891350468E-5</v>
      </c>
      <c r="L2" s="51">
        <f>'LUC-2013-01-08-Run2'!AN2</f>
        <v>1.0544407835154982E-5</v>
      </c>
      <c r="M2" s="51">
        <f>'LUC-2013-01-08-Run2'!AO2</f>
        <v>1.0556611219831291E-5</v>
      </c>
      <c r="N2" s="51">
        <f>'LUC-2013-01-08-Run2'!AP2</f>
        <v>1.0571844928448045E-5</v>
      </c>
      <c r="O2" s="51">
        <f>'LUC-2013-01-08-Run2'!AQ2</f>
        <v>1.0589980349233616E-5</v>
      </c>
      <c r="P2" s="51">
        <f>'LUC-2013-01-08-Run2'!AR2</f>
        <v>1.0610719107102551E-5</v>
      </c>
      <c r="Q2" s="51">
        <f>'LUC-2013-01-08-Run2'!AS2</f>
        <v>1.0633798162037924E-5</v>
      </c>
      <c r="R2" s="51">
        <f>'LUC-2013-01-08-Run2'!AT2</f>
        <v>1.0658934712118934E-5</v>
      </c>
      <c r="S2" s="51">
        <f>'LUC-2013-01-08-Run2'!AU2</f>
        <v>1.0847332703046877E-5</v>
      </c>
      <c r="T2" s="51">
        <f>'LUC-2013-01-08-Run2'!AV2</f>
        <v>1.0964836112430804E-5</v>
      </c>
      <c r="U2" s="51">
        <f>'LUC-2013-01-08-Run2'!AW2</f>
        <v>1.1083992348417336E-5</v>
      </c>
      <c r="V2" s="51">
        <f>'LUC-2013-01-08-Run2'!AX2</f>
        <v>1.1204770395154344E-5</v>
      </c>
      <c r="W2" s="51">
        <f>'LUC-2013-01-08-Run2'!AY2</f>
        <v>1.1327126153256903E-5</v>
      </c>
      <c r="X2" s="51">
        <f>'LUC-2013-01-08-Run2'!AZ2</f>
        <v>1.1451082991095796E-5</v>
      </c>
      <c r="Y2" s="51">
        <f>'LUC-2013-01-08-Run2'!BA2</f>
        <v>1.1576694440980276E-5</v>
      </c>
      <c r="Z2" s="51">
        <f>'LUC-2013-01-08-Run2'!BB2</f>
        <v>1.1703990120910524E-5</v>
      </c>
      <c r="AA2" s="51">
        <f>'LUC-2013-01-08-Run2'!BC2</f>
        <v>1.1833062981199678E-5</v>
      </c>
      <c r="AB2" s="51">
        <f>'LUC-2013-01-08-Run2'!BD2</f>
        <v>1.1963939200804165E-5</v>
      </c>
      <c r="AC2" s="51">
        <f>'LUC-2013-01-08-Run2'!BE2</f>
        <v>1.2096649107742124E-5</v>
      </c>
      <c r="AD2" s="51">
        <f>'LUC-2013-01-08-Run2'!BF2</f>
        <v>1.2231179027703737E-5</v>
      </c>
      <c r="AE2" s="51">
        <f>'LUC-2013-01-08-Run2'!BG2</f>
        <v>1.2367491102724216E-5</v>
      </c>
      <c r="AF2" s="51">
        <f>'LUC-2013-01-08-Run2'!BH2</f>
        <v>1.2505587125350255E-5</v>
      </c>
      <c r="AG2" s="51">
        <f>'LUC-2013-01-08-Run2'!BI2</f>
        <v>1.2645391460335783E-5</v>
      </c>
      <c r="AH2" s="51">
        <f>'LUC-2013-01-08-Run2'!BJ2</f>
        <v>1.2786912777983501E-5</v>
      </c>
      <c r="AI2" s="51">
        <f>'LUC-2013-01-08-Run2'!BK2</f>
        <v>1.2930111981195844E-5</v>
      </c>
      <c r="AJ2" s="51">
        <f>'LUC-2013-01-08-Run2'!BL2</f>
        <v>1.3074987114622234E-5</v>
      </c>
      <c r="AK2" s="51">
        <f>'LUC-2013-01-08-Run2'!BM2</f>
        <v>1.3221532009949526E-5</v>
      </c>
      <c r="AL2" s="51">
        <f>'LUC-2013-01-08-Run2'!BN2</f>
        <v>1.336975621292177E-5</v>
      </c>
      <c r="AM2" s="51">
        <f>'LUC-2013-01-08-Run2'!BO2</f>
        <v>1.3519600210944814E-5</v>
      </c>
      <c r="AN2" s="51">
        <f>'LUC-2013-01-08-Run2'!BP2</f>
        <v>1.3671072306706926E-5</v>
      </c>
      <c r="AO2" s="51">
        <f>'LUC-2013-01-08-Run2'!BQ2</f>
        <v>1.3824160526861523E-5</v>
      </c>
      <c r="AP2" s="51">
        <f>'LUC-2013-01-08-Run2'!BR2</f>
        <v>1.3978932771532774E-5</v>
      </c>
      <c r="AQ2" s="51">
        <f>'LUC-2013-01-08-Run2'!BS2</f>
        <v>1.4135376399489679E-5</v>
      </c>
      <c r="AR2" s="51">
        <f>'LUC-2013-01-08-Run2'!BT2</f>
        <v>1.4293509548508365E-5</v>
      </c>
      <c r="AS2" s="51">
        <f>'LUC-2013-01-08-Run2'!BU2</f>
        <v>1.4453326694501365E-5</v>
      </c>
      <c r="AT2" s="51">
        <f>'LUC-2013-01-08-Run2'!BV2</f>
        <v>1.461472877710608E-5</v>
      </c>
      <c r="AU2" s="51">
        <f>'LUC-2013-01-08-Run2'!BW2</f>
        <v>1.4777608887724497E-5</v>
      </c>
      <c r="AV2" s="51">
        <f>'LUC-2013-01-08-Run2'!BX2</f>
        <v>1.4941900379275375E-5</v>
      </c>
      <c r="AW2" s="51">
        <f>'LUC-2013-01-08-Run2'!BY2</f>
        <v>1.5107582006366144E-5</v>
      </c>
      <c r="AX2" s="51">
        <f>'LUC-2013-01-08-Run2'!BZ2</f>
        <v>1.5274650565041359E-5</v>
      </c>
      <c r="AY2" s="51">
        <f>'LUC-2013-01-08-Run2'!CA2</f>
        <v>1.5443152813069433E-5</v>
      </c>
      <c r="AZ2" s="51">
        <f>'LUC-2013-01-08-Run2'!CB2</f>
        <v>1.561315753966831E-5</v>
      </c>
      <c r="BA2" s="51">
        <f>'LUC-2013-01-08-Run2'!CC2</f>
        <v>1.5784720843484096E-5</v>
      </c>
      <c r="BB2" s="51">
        <f>'LUC-2013-01-08-Run2'!CD2</f>
        <v>1.5957833983506664E-5</v>
      </c>
      <c r="BC2" s="51">
        <f>'LUC-2013-01-08-Run2'!CE2</f>
        <v>1.6132524720255121E-5</v>
      </c>
      <c r="BD2" s="51">
        <f>'LUC-2013-01-08-Run2'!CF2</f>
        <v>1.6308756580048994E-5</v>
      </c>
      <c r="BE2" s="51">
        <f>'LUC-2013-01-08-Run2'!CG2</f>
        <v>1.648651616536634E-5</v>
      </c>
      <c r="BF2" s="51">
        <f>'LUC-2013-01-08-Run2'!CH2</f>
        <v>1.6665822935154385E-5</v>
      </c>
      <c r="BG2" s="51">
        <f>'LUC-2013-01-08-Run2'!CI2</f>
        <v>1.6846654192520645E-5</v>
      </c>
      <c r="BH2" s="51">
        <f>'LUC-2013-01-08-Run2'!CJ2</f>
        <v>1.7029046477618662E-5</v>
      </c>
      <c r="BI2" s="51">
        <f>'LUC-2013-01-08-Run2'!CK2</f>
        <v>1.7213053532147078E-5</v>
      </c>
      <c r="BJ2" s="51">
        <f>'LUC-2013-01-08-Run2'!CL2</f>
        <v>1.7398717254626916E-5</v>
      </c>
      <c r="BK2" s="51">
        <f>'LUC-2013-01-08-Run2'!CM2</f>
        <v>1.7586114631468625E-5</v>
      </c>
      <c r="BM2" s="104" t="s">
        <v>71</v>
      </c>
      <c r="BN2" s="50" t="s">
        <v>96</v>
      </c>
      <c r="BO2" s="64">
        <f>D2*1000000</f>
        <v>10.508415631190337</v>
      </c>
      <c r="BP2" s="64">
        <f t="shared" ref="BP2:BP12" si="0">M2*1000000</f>
        <v>10.556611219831291</v>
      </c>
      <c r="BQ2" s="64">
        <f t="shared" ref="BQ2:BQ12" si="1">W2*1000000</f>
        <v>11.327126153256904</v>
      </c>
      <c r="BR2" s="64">
        <f t="shared" ref="BR2:BR12" si="2">AG2*1000000</f>
        <v>12.645391460335782</v>
      </c>
      <c r="BS2" s="64">
        <f t="shared" ref="BS2:BS12" si="3">AQ2*1000000</f>
        <v>14.135376399489679</v>
      </c>
      <c r="BT2" s="64">
        <f t="shared" ref="BT2:BT12" si="4">BA2*1000000</f>
        <v>15.784720843484095</v>
      </c>
      <c r="BU2" s="64">
        <f t="shared" ref="BU2:BU12" si="5">BK2*1000000</f>
        <v>17.586114631468625</v>
      </c>
      <c r="BV2" s="47">
        <f>SUM(M2:M5)*1000000</f>
        <v>108.18871139589582</v>
      </c>
      <c r="BW2" s="47">
        <f>SUM(BU2:BU5)</f>
        <v>200.28652160130508</v>
      </c>
      <c r="BX2" s="96">
        <f t="shared" ref="BX2:BX12" si="6">(BK2-R2)/R2</f>
        <v>0.64989420673284226</v>
      </c>
      <c r="BZ2" s="97">
        <f>(BK2-'Sce 1 Table'!BK2)/'Sce 1 Table'!BK2</f>
        <v>-0.211425908975201</v>
      </c>
      <c r="CB2" s="47">
        <f>BU2+BU4+BU5</f>
        <v>71.48616748920621</v>
      </c>
    </row>
    <row r="3" spans="1:80" x14ac:dyDescent="0.25">
      <c r="A3" s="50" t="s">
        <v>71</v>
      </c>
      <c r="B3" s="50" t="s">
        <v>97</v>
      </c>
      <c r="C3" s="50" t="s">
        <v>92</v>
      </c>
      <c r="D3" s="51">
        <f>'LUC-2013-01-08-Run2'!AF3</f>
        <v>7.0000430409191978E-5</v>
      </c>
      <c r="E3" s="51">
        <f>'LUC-2013-01-08-Run2'!AG3</f>
        <v>7.0630961246729871E-5</v>
      </c>
      <c r="F3" s="51">
        <f>'LUC-2013-01-08-Run2'!AH3</f>
        <v>7.1066274150239037E-5</v>
      </c>
      <c r="G3" s="51">
        <f>'LUC-2013-01-08-Run2'!AI3</f>
        <v>7.150778011594632E-5</v>
      </c>
      <c r="H3" s="51">
        <f>'LUC-2013-01-08-Run2'!AJ3</f>
        <v>7.1952944698856812E-5</v>
      </c>
      <c r="I3" s="51">
        <f>'LUC-2013-01-08-Run2'!AK3</f>
        <v>7.2400861735737981E-5</v>
      </c>
      <c r="J3" s="51">
        <f>'LUC-2013-01-08-Run2'!AL3</f>
        <v>7.285284622485931E-5</v>
      </c>
      <c r="K3" s="51">
        <f>'LUC-2013-01-08-Run2'!AM3</f>
        <v>7.3313273932656012E-5</v>
      </c>
      <c r="L3" s="51">
        <f>'LUC-2013-01-08-Run2'!AN3</f>
        <v>7.3787111123243884E-5</v>
      </c>
      <c r="M3" s="51">
        <f>'LUC-2013-01-08-Run2'!AO3</f>
        <v>7.4277957562576602E-5</v>
      </c>
      <c r="N3" s="51">
        <f>'LUC-2013-01-08-Run2'!AP3</f>
        <v>7.478586235260993E-5</v>
      </c>
      <c r="O3" s="51">
        <f>'LUC-2013-01-08-Run2'!AQ3</f>
        <v>7.5308758342790844E-5</v>
      </c>
      <c r="P3" s="51">
        <f>'LUC-2013-01-08-Run2'!AR3</f>
        <v>7.5842609785929511E-5</v>
      </c>
      <c r="Q3" s="51">
        <f>'LUC-2013-01-08-Run2'!AS3</f>
        <v>7.6383079700261544E-5</v>
      </c>
      <c r="R3" s="51">
        <f>'LUC-2013-01-08-Run2'!AT3</f>
        <v>7.6926134271035562E-5</v>
      </c>
      <c r="S3" s="51">
        <f>'LUC-2013-01-08-Run2'!AU3</f>
        <v>7.8564814285327943E-5</v>
      </c>
      <c r="T3" s="51">
        <f>'LUC-2013-01-08-Run2'!AV3</f>
        <v>7.975963310304218E-5</v>
      </c>
      <c r="U3" s="51">
        <f>'LUC-2013-01-08-Run2'!AW3</f>
        <v>8.0954261880852003E-5</v>
      </c>
      <c r="V3" s="51">
        <f>'LUC-2013-01-08-Run2'!AX3</f>
        <v>8.2147891965987329E-5</v>
      </c>
      <c r="W3" s="51">
        <f>'LUC-2013-01-08-Run2'!AY3</f>
        <v>8.3339977261299875E-5</v>
      </c>
      <c r="X3" s="51">
        <f>'LUC-2013-01-08-Run2'!AZ3</f>
        <v>8.4530221105783915E-5</v>
      </c>
      <c r="Y3" s="51">
        <f>'LUC-2013-01-08-Run2'!BA3</f>
        <v>8.5718612444647251E-5</v>
      </c>
      <c r="Z3" s="51">
        <f>'LUC-2013-01-08-Run2'!BB3</f>
        <v>8.6905669889591832E-5</v>
      </c>
      <c r="AA3" s="51">
        <f>'LUC-2013-01-08-Run2'!BC3</f>
        <v>8.8092572774455127E-5</v>
      </c>
      <c r="AB3" s="51">
        <f>'LUC-2013-01-08-Run2'!BD3</f>
        <v>8.9279966565095401E-5</v>
      </c>
      <c r="AC3" s="51">
        <f>'LUC-2013-01-08-Run2'!BE3</f>
        <v>9.0467983154341602E-5</v>
      </c>
      <c r="AD3" s="51">
        <f>'LUC-2013-01-08-Run2'!BF3</f>
        <v>9.1656451978961193E-5</v>
      </c>
      <c r="AE3" s="51">
        <f>'LUC-2013-01-08-Run2'!BG3</f>
        <v>9.2845626529475093E-5</v>
      </c>
      <c r="AF3" s="51">
        <f>'LUC-2013-01-08-Run2'!BH3</f>
        <v>9.4035979030347884E-5</v>
      </c>
      <c r="AG3" s="51">
        <f>'LUC-2013-01-08-Run2'!BI3</f>
        <v>9.5227510574324398E-5</v>
      </c>
      <c r="AH3" s="51">
        <f>'LUC-2013-01-08-Run2'!BJ3</f>
        <v>9.6420416442247414E-5</v>
      </c>
      <c r="AI3" s="51">
        <f>'LUC-2013-01-08-Run2'!BK3</f>
        <v>9.7614503715712849E-5</v>
      </c>
      <c r="AJ3" s="51">
        <f>'LUC-2013-01-08-Run2'!BL3</f>
        <v>9.8809372181047912E-5</v>
      </c>
      <c r="AK3" s="51">
        <f>'LUC-2013-01-08-Run2'!BM3</f>
        <v>1.0000446419189215E-4</v>
      </c>
      <c r="AL3" s="51">
        <f>'LUC-2013-01-08-Run2'!BN3</f>
        <v>1.011995727197744E-4</v>
      </c>
      <c r="AM3" s="51">
        <f>'LUC-2013-01-08-Run2'!BO3</f>
        <v>1.0239414762549752E-4</v>
      </c>
      <c r="AN3" s="51">
        <f>'LUC-2013-01-08-Run2'!BP3</f>
        <v>1.0358838103355418E-4</v>
      </c>
      <c r="AO3" s="51">
        <f>'LUC-2013-01-08-Run2'!BQ3</f>
        <v>1.0478175869485435E-4</v>
      </c>
      <c r="AP3" s="51">
        <f>'LUC-2013-01-08-Run2'!BR3</f>
        <v>1.0597432428171442E-4</v>
      </c>
      <c r="AQ3" s="51">
        <f>'LUC-2013-01-08-Run2'!BS3</f>
        <v>1.0716564825407785E-4</v>
      </c>
      <c r="AR3" s="51">
        <f>'LUC-2013-01-08-Run2'!BT3</f>
        <v>1.0822524976050468E-4</v>
      </c>
      <c r="AS3" s="51">
        <f>'LUC-2013-01-08-Run2'!BU3</f>
        <v>1.0928722791460635E-4</v>
      </c>
      <c r="AT3" s="51">
        <f>'LUC-2013-01-08-Run2'!BV3</f>
        <v>1.1035132417498938E-4</v>
      </c>
      <c r="AU3" s="51">
        <f>'LUC-2013-01-08-Run2'!BW3</f>
        <v>1.1141783799382022E-4</v>
      </c>
      <c r="AV3" s="51">
        <f>'LUC-2013-01-08-Run2'!BX3</f>
        <v>1.1248685991353272E-4</v>
      </c>
      <c r="AW3" s="51">
        <f>'LUC-2013-01-08-Run2'!BY3</f>
        <v>1.1355858475974895E-4</v>
      </c>
      <c r="AX3" s="51">
        <f>'LUC-2013-01-08-Run2'!BZ3</f>
        <v>1.1463260759244673E-4</v>
      </c>
      <c r="AY3" s="51">
        <f>'LUC-2013-01-08-Run2'!CA3</f>
        <v>1.157091962436633E-4</v>
      </c>
      <c r="AZ3" s="51">
        <f>'LUC-2013-01-08-Run2'!CB3</f>
        <v>1.1678823506150475E-4</v>
      </c>
      <c r="BA3" s="51">
        <f>'LUC-2013-01-08-Run2'!CC3</f>
        <v>1.1786969517439455E-4</v>
      </c>
      <c r="BB3" s="51">
        <f>'LUC-2013-01-08-Run2'!CD3</f>
        <v>1.1895337378753631E-4</v>
      </c>
      <c r="BC3" s="51">
        <f>'LUC-2013-01-08-Run2'!CE3</f>
        <v>1.2003930941952695E-4</v>
      </c>
      <c r="BD3" s="51">
        <f>'LUC-2013-01-08-Run2'!CF3</f>
        <v>1.2112747901802054E-4</v>
      </c>
      <c r="BE3" s="51">
        <f>'LUC-2013-01-08-Run2'!CG3</f>
        <v>1.2221779370117183E-4</v>
      </c>
      <c r="BF3" s="51">
        <f>'LUC-2013-01-08-Run2'!CH3</f>
        <v>1.2331033229500272E-4</v>
      </c>
      <c r="BG3" s="51">
        <f>'LUC-2013-01-08-Run2'!CI3</f>
        <v>1.2440494790464076E-4</v>
      </c>
      <c r="BH3" s="51">
        <f>'LUC-2013-01-08-Run2'!CJ3</f>
        <v>1.2550153274019381E-4</v>
      </c>
      <c r="BI3" s="51">
        <f>'LUC-2013-01-08-Run2'!CK3</f>
        <v>1.2659968153820708E-4</v>
      </c>
      <c r="BJ3" s="51">
        <f>'LUC-2013-01-08-Run2'!CL3</f>
        <v>1.276994691580742E-4</v>
      </c>
      <c r="BK3" s="51">
        <f>'LUC-2013-01-08-Run2'!CM3</f>
        <v>1.288003541120989E-4</v>
      </c>
      <c r="BM3" s="105"/>
      <c r="BN3" s="50" t="s">
        <v>97</v>
      </c>
      <c r="BO3" s="64">
        <f t="shared" ref="BO3:BO12" si="7">D3*1000000</f>
        <v>70.000430409191978</v>
      </c>
      <c r="BP3" s="64">
        <f t="shared" si="0"/>
        <v>74.277957562576603</v>
      </c>
      <c r="BQ3" s="64">
        <f t="shared" si="1"/>
        <v>83.339977261299879</v>
      </c>
      <c r="BR3" s="64">
        <f t="shared" si="2"/>
        <v>95.227510574324398</v>
      </c>
      <c r="BS3" s="64">
        <f t="shared" si="3"/>
        <v>107.16564825407785</v>
      </c>
      <c r="BT3" s="64">
        <f t="shared" si="4"/>
        <v>117.86969517439455</v>
      </c>
      <c r="BU3" s="64">
        <f t="shared" si="5"/>
        <v>128.80035411209889</v>
      </c>
      <c r="BX3" s="96">
        <f t="shared" si="6"/>
        <v>0.67433805601479646</v>
      </c>
      <c r="BZ3" s="97">
        <f>(BK3-'Sce 1 Table'!BK3)/'Sce 1 Table'!BK3</f>
        <v>-7.3378747394971897E-2</v>
      </c>
    </row>
    <row r="4" spans="1:80" x14ac:dyDescent="0.25">
      <c r="A4" s="50" t="s">
        <v>71</v>
      </c>
      <c r="B4" s="50" t="s">
        <v>95</v>
      </c>
      <c r="C4" s="50" t="s">
        <v>92</v>
      </c>
      <c r="D4" s="51">
        <f>'LUC-2013-01-08-Run2'!AF4</f>
        <v>1.3228986578653787E-5</v>
      </c>
      <c r="E4" s="51">
        <f>'LUC-2013-01-08-Run2'!AG4</f>
        <v>1.3351004035312167E-5</v>
      </c>
      <c r="F4" s="51">
        <f>'LUC-2013-01-08-Run2'!AH4</f>
        <v>1.3448210690384045E-5</v>
      </c>
      <c r="G4" s="51">
        <f>'LUC-2013-01-08-Run2'!AI4</f>
        <v>1.3548882358160103E-5</v>
      </c>
      <c r="H4" s="51">
        <f>'LUC-2013-01-08-Run2'!AJ4</f>
        <v>1.365327018224468E-5</v>
      </c>
      <c r="I4" s="51">
        <f>'LUC-2013-01-08-Run2'!AK4</f>
        <v>1.3761500883312822E-5</v>
      </c>
      <c r="J4" s="51">
        <f>'LUC-2013-01-08-Run2'!AL4</f>
        <v>1.387370090955609E-5</v>
      </c>
      <c r="K4" s="51">
        <f>'LUC-2013-01-08-Run2'!AM4</f>
        <v>1.3990474699641369E-5</v>
      </c>
      <c r="L4" s="51">
        <f>'LUC-2013-01-08-Run2'!AN4</f>
        <v>1.4112378817260886E-5</v>
      </c>
      <c r="M4" s="51">
        <f>'LUC-2013-01-08-Run2'!AO4</f>
        <v>1.4239928335395459E-5</v>
      </c>
      <c r="N4" s="51">
        <f>'LUC-2013-01-08-Run2'!AP4</f>
        <v>1.4373258842965937E-5</v>
      </c>
      <c r="O4" s="51">
        <f>'LUC-2013-01-08-Run2'!AQ4</f>
        <v>1.4512396972370334E-5</v>
      </c>
      <c r="P4" s="51">
        <f>'LUC-2013-01-08-Run2'!AR4</f>
        <v>1.4657165111117269E-5</v>
      </c>
      <c r="Q4" s="51">
        <f>'LUC-2013-01-08-Run2'!AS4</f>
        <v>1.4807426681632889E-5</v>
      </c>
      <c r="R4" s="51">
        <f>'LUC-2013-01-08-Run2'!AT4</f>
        <v>1.4962997035753534E-5</v>
      </c>
      <c r="S4" s="51">
        <f>'LUC-2013-01-08-Run2'!AU4</f>
        <v>1.5469466422515655E-5</v>
      </c>
      <c r="T4" s="51">
        <f>'LUC-2013-01-08-Run2'!AV4</f>
        <v>1.5574976370094695E-5</v>
      </c>
      <c r="U4" s="51">
        <f>'LUC-2013-01-08-Run2'!AW4</f>
        <v>1.5682744238183712E-5</v>
      </c>
      <c r="V4" s="51">
        <f>'LUC-2013-01-08-Run2'!AX4</f>
        <v>1.579276536744829E-5</v>
      </c>
      <c r="W4" s="51">
        <f>'LUC-2013-01-08-Run2'!AY4</f>
        <v>1.590501523153287E-5</v>
      </c>
      <c r="X4" s="51">
        <f>'LUC-2013-01-08-Run2'!AZ4</f>
        <v>1.6019564264837292E-5</v>
      </c>
      <c r="Y4" s="51">
        <f>'LUC-2013-01-08-Run2'!BA4</f>
        <v>1.6136521123591277E-5</v>
      </c>
      <c r="Z4" s="51">
        <f>'LUC-2013-01-08-Run2'!BB4</f>
        <v>1.6255961000692786E-5</v>
      </c>
      <c r="AA4" s="51">
        <f>'LUC-2013-01-08-Run2'!BC4</f>
        <v>1.6378047391306338E-5</v>
      </c>
      <c r="AB4" s="51">
        <f>'LUC-2013-01-08-Run2'!BD4</f>
        <v>1.6502859414118649E-5</v>
      </c>
      <c r="AC4" s="51">
        <f>'LUC-2013-01-08-Run2'!BE4</f>
        <v>1.6630485774268858E-5</v>
      </c>
      <c r="AD4" s="51">
        <f>'LUC-2013-01-08-Run2'!BF4</f>
        <v>1.6760961637346351E-5</v>
      </c>
      <c r="AE4" s="51">
        <f>'LUC-2013-01-08-Run2'!BG4</f>
        <v>1.6894312433243585E-5</v>
      </c>
      <c r="AF4" s="51">
        <f>'LUC-2013-01-08-Run2'!BH4</f>
        <v>1.703062755161906E-5</v>
      </c>
      <c r="AG4" s="51">
        <f>'LUC-2013-01-08-Run2'!BI4</f>
        <v>1.716988964677118E-5</v>
      </c>
      <c r="AH4" s="51">
        <f>'LUC-2013-01-08-Run2'!BJ4</f>
        <v>1.7312207426551629E-5</v>
      </c>
      <c r="AI4" s="51">
        <f>'LUC-2013-01-08-Run2'!BK4</f>
        <v>1.7457606054617057E-5</v>
      </c>
      <c r="AJ4" s="51">
        <f>'LUC-2013-01-08-Run2'!BL4</f>
        <v>1.7606171496817636E-5</v>
      </c>
      <c r="AK4" s="51">
        <f>'LUC-2013-01-08-Run2'!BM4</f>
        <v>1.7757977604245819E-5</v>
      </c>
      <c r="AL4" s="51">
        <f>'LUC-2013-01-08-Run2'!BN4</f>
        <v>1.7913133711696151E-5</v>
      </c>
      <c r="AM4" s="51">
        <f>'LUC-2013-01-08-Run2'!BO4</f>
        <v>1.8071652865918737E-5</v>
      </c>
      <c r="AN4" s="51">
        <f>'LUC-2013-01-08-Run2'!BP4</f>
        <v>1.8233635514169785E-5</v>
      </c>
      <c r="AO4" s="51">
        <f>'LUC-2013-01-08-Run2'!BQ4</f>
        <v>1.8399148666801222E-5</v>
      </c>
      <c r="AP4" s="51">
        <f>'LUC-2013-01-08-Run2'!BR4</f>
        <v>1.8568334276582576E-5</v>
      </c>
      <c r="AQ4" s="51">
        <f>'LUC-2013-01-08-Run2'!BS4</f>
        <v>1.8741252850249103E-5</v>
      </c>
      <c r="AR4" s="51">
        <f>'LUC-2013-01-08-Run2'!BT4</f>
        <v>1.8917994086357809E-5</v>
      </c>
      <c r="AS4" s="51">
        <f>'LUC-2013-01-08-Run2'!BU4</f>
        <v>1.9098656551532022E-5</v>
      </c>
      <c r="AT4" s="51">
        <f>'LUC-2013-01-08-Run2'!BV4</f>
        <v>1.9283182040007754E-5</v>
      </c>
      <c r="AU4" s="51">
        <f>'LUC-2013-01-08-Run2'!BW4</f>
        <v>1.947151926724002E-5</v>
      </c>
      <c r="AV4" s="51">
        <f>'LUC-2013-01-08-Run2'!BX4</f>
        <v>1.9663666430494453E-5</v>
      </c>
      <c r="AW4" s="51">
        <f>'LUC-2013-01-08-Run2'!BY4</f>
        <v>1.9859684135003457E-5</v>
      </c>
      <c r="AX4" s="51">
        <f>'LUC-2013-01-08-Run2'!BZ4</f>
        <v>2.0059662924267403E-5</v>
      </c>
      <c r="AY4" s="51">
        <f>'LUC-2013-01-08-Run2'!CA4</f>
        <v>2.0263768203733196E-5</v>
      </c>
      <c r="AZ4" s="51">
        <f>'LUC-2013-01-08-Run2'!CB4</f>
        <v>2.0472217863934785E-5</v>
      </c>
      <c r="BA4" s="51">
        <f>'LUC-2013-01-08-Run2'!CC4</f>
        <v>2.0685177630400022E-5</v>
      </c>
      <c r="BB4" s="51">
        <f>'LUC-2013-01-08-Run2'!CD4</f>
        <v>2.0902762801762623E-5</v>
      </c>
      <c r="BC4" s="51">
        <f>'LUC-2013-01-08-Run2'!CE4</f>
        <v>2.1125137609645198E-5</v>
      </c>
      <c r="BD4" s="51">
        <f>'LUC-2013-01-08-Run2'!CF4</f>
        <v>2.13523592396579E-5</v>
      </c>
      <c r="BE4" s="51">
        <f>'LUC-2013-01-08-Run2'!CG4</f>
        <v>2.1584550274591934E-5</v>
      </c>
      <c r="BF4" s="51">
        <f>'LUC-2013-01-08-Run2'!CH4</f>
        <v>2.1821849605301195E-5</v>
      </c>
      <c r="BG4" s="51">
        <f>'LUC-2013-01-08-Run2'!CI4</f>
        <v>2.2064400207881321E-5</v>
      </c>
      <c r="BH4" s="51">
        <f>'LUC-2013-01-08-Run2'!CJ4</f>
        <v>2.2312384995534275E-5</v>
      </c>
      <c r="BI4" s="51">
        <f>'LUC-2013-01-08-Run2'!CK4</f>
        <v>2.2566061124170165E-5</v>
      </c>
      <c r="BJ4" s="51">
        <f>'LUC-2013-01-08-Run2'!CL4</f>
        <v>2.2825634709128289E-5</v>
      </c>
      <c r="BK4" s="51">
        <f>'LUC-2013-01-08-Run2'!CM4</f>
        <v>2.3091432921461527E-5</v>
      </c>
      <c r="BM4" s="105"/>
      <c r="BN4" s="50" t="s">
        <v>95</v>
      </c>
      <c r="BO4" s="64">
        <f t="shared" si="7"/>
        <v>13.228986578653787</v>
      </c>
      <c r="BP4" s="64">
        <f t="shared" si="0"/>
        <v>14.23992833539546</v>
      </c>
      <c r="BQ4" s="64">
        <f t="shared" si="1"/>
        <v>15.90501523153287</v>
      </c>
      <c r="BR4" s="64">
        <f t="shared" si="2"/>
        <v>17.169889646771178</v>
      </c>
      <c r="BS4" s="64">
        <f t="shared" si="3"/>
        <v>18.741252850249104</v>
      </c>
      <c r="BT4" s="64">
        <f t="shared" si="4"/>
        <v>20.685177630400023</v>
      </c>
      <c r="BU4" s="64">
        <f t="shared" si="5"/>
        <v>23.091432921461529</v>
      </c>
      <c r="BX4" s="96">
        <f t="shared" si="6"/>
        <v>0.54323581474255411</v>
      </c>
      <c r="BZ4" s="97">
        <f>(BK4-'Sce 1 Table'!BK4)/'Sce 1 Table'!BK4</f>
        <v>-0.35402327225200647</v>
      </c>
    </row>
    <row r="5" spans="1:80" x14ac:dyDescent="0.25">
      <c r="A5" s="50" t="s">
        <v>71</v>
      </c>
      <c r="B5" s="50" t="s">
        <v>98</v>
      </c>
      <c r="C5" s="50" t="s">
        <v>92</v>
      </c>
      <c r="D5" s="51">
        <f>'LUC-2013-01-08-Run2'!AF5</f>
        <v>7.0121002027183778E-6</v>
      </c>
      <c r="E5" s="51">
        <f>'LUC-2013-01-08-Run2'!AG5</f>
        <v>7.2210894119728063E-6</v>
      </c>
      <c r="F5" s="51">
        <f>'LUC-2013-01-08-Run2'!AH5</f>
        <v>7.4202145751621905E-6</v>
      </c>
      <c r="G5" s="51">
        <f>'LUC-2013-01-08-Run2'!AI5</f>
        <v>7.6288203120131999E-6</v>
      </c>
      <c r="H5" s="51">
        <f>'LUC-2013-01-08-Run2'!AJ5</f>
        <v>7.8474396653895003E-6</v>
      </c>
      <c r="I5" s="51">
        <f>'LUC-2013-01-08-Run2'!AK5</f>
        <v>8.0765895476182639E-6</v>
      </c>
      <c r="J5" s="51">
        <f>'LUC-2013-01-08-Run2'!AL5</f>
        <v>8.3168765465417997E-6</v>
      </c>
      <c r="K5" s="51">
        <f>'LUC-2013-01-08-Run2'!AM5</f>
        <v>8.569263350893212E-6</v>
      </c>
      <c r="L5" s="51">
        <f>'LUC-2013-01-08-Run2'!AN5</f>
        <v>8.8347261253526665E-6</v>
      </c>
      <c r="M5" s="51">
        <f>'LUC-2013-01-08-Run2'!AO5</f>
        <v>9.11421427809247E-6</v>
      </c>
      <c r="N5" s="51">
        <f>'LUC-2013-01-08-Run2'!AP5</f>
        <v>9.4084016592827995E-6</v>
      </c>
      <c r="O5" s="51">
        <f>'LUC-2013-01-08-Run2'!AQ5</f>
        <v>9.7178946223932155E-6</v>
      </c>
      <c r="P5" s="51">
        <f>'LUC-2013-01-08-Run2'!AR5</f>
        <v>1.0043173749519153E-5</v>
      </c>
      <c r="Q5" s="51">
        <f>'LUC-2013-01-08-Run2'!AS5</f>
        <v>1.0384788452865011E-5</v>
      </c>
      <c r="R5" s="51">
        <f>'LUC-2013-01-08-Run2'!AT5</f>
        <v>1.0743308883754397E-5</v>
      </c>
      <c r="S5" s="51">
        <f>'LUC-2013-01-08-Run2'!AU5</f>
        <v>1.1732150845198387E-5</v>
      </c>
      <c r="T5" s="51">
        <f>'LUC-2013-01-08-Run2'!AV5</f>
        <v>1.2029101934575739E-5</v>
      </c>
      <c r="U5" s="51">
        <f>'LUC-2013-01-08-Run2'!AW5</f>
        <v>1.2330362812000245E-5</v>
      </c>
      <c r="V5" s="51">
        <f>'LUC-2013-01-08-Run2'!AX5</f>
        <v>1.2636010643891824E-5</v>
      </c>
      <c r="W5" s="51">
        <f>'LUC-2013-01-08-Run2'!AY5</f>
        <v>1.294610467098004E-5</v>
      </c>
      <c r="X5" s="51">
        <f>'LUC-2013-01-08-Run2'!AZ5</f>
        <v>1.3260781122275616E-5</v>
      </c>
      <c r="Y5" s="51">
        <f>'LUC-2013-01-08-Run2'!BA5</f>
        <v>1.3580209329302407E-5</v>
      </c>
      <c r="Z5" s="51">
        <f>'LUC-2013-01-08-Run2'!BB5</f>
        <v>1.3904534506306729E-5</v>
      </c>
      <c r="AA5" s="51">
        <f>'LUC-2013-01-08-Run2'!BC5</f>
        <v>1.4233979095234456E-5</v>
      </c>
      <c r="AB5" s="51">
        <f>'LUC-2013-01-08-Run2'!BD5</f>
        <v>1.4568700292291712E-5</v>
      </c>
      <c r="AC5" s="51">
        <f>'LUC-2013-01-08-Run2'!BE5</f>
        <v>1.490886503450716E-5</v>
      </c>
      <c r="AD5" s="51">
        <f>'LUC-2013-01-08-Run2'!BF5</f>
        <v>1.5254594004074044E-5</v>
      </c>
      <c r="AE5" s="51">
        <f>'LUC-2013-01-08-Run2'!BG5</f>
        <v>1.5605990085826174E-5</v>
      </c>
      <c r="AF5" s="51">
        <f>'LUC-2013-01-08-Run2'!BH5</f>
        <v>1.5963210744890837E-5</v>
      </c>
      <c r="AG5" s="51">
        <f>'LUC-2013-01-08-Run2'!BI5</f>
        <v>1.6326321960921515E-5</v>
      </c>
      <c r="AH5" s="51">
        <f>'LUC-2013-01-08-Run2'!BJ5</f>
        <v>1.6695498066511173E-5</v>
      </c>
      <c r="AI5" s="51">
        <f>'LUC-2013-01-08-Run2'!BK5</f>
        <v>1.7070852196150819E-5</v>
      </c>
      <c r="AJ5" s="51">
        <f>'LUC-2013-01-08-Run2'!BL5</f>
        <v>1.7452545021238879E-5</v>
      </c>
      <c r="AK5" s="51">
        <f>'LUC-2013-01-08-Run2'!BM5</f>
        <v>1.7840733475907901E-5</v>
      </c>
      <c r="AL5" s="51">
        <f>'LUC-2013-01-08-Run2'!BN5</f>
        <v>1.823560246986816E-5</v>
      </c>
      <c r="AM5" s="51">
        <f>'LUC-2013-01-08-Run2'!BO5</f>
        <v>1.8637252878765394E-5</v>
      </c>
      <c r="AN5" s="51">
        <f>'LUC-2013-01-08-Run2'!BP5</f>
        <v>1.9045873585162299E-5</v>
      </c>
      <c r="AO5" s="51">
        <f>'LUC-2013-01-08-Run2'!BQ5</f>
        <v>1.9461627645654656E-5</v>
      </c>
      <c r="AP5" s="51">
        <f>'LUC-2013-01-08-Run2'!BR5</f>
        <v>1.9884772486444035E-5</v>
      </c>
      <c r="AQ5" s="51">
        <f>'LUC-2013-01-08-Run2'!BS5</f>
        <v>2.0315473648547058E-5</v>
      </c>
      <c r="AR5" s="51">
        <f>'LUC-2013-01-08-Run2'!BT5</f>
        <v>2.0753937998592071E-5</v>
      </c>
      <c r="AS5" s="51">
        <f>'LUC-2013-01-08-Run2'!BU5</f>
        <v>2.1200361852035525E-5</v>
      </c>
      <c r="AT5" s="51">
        <f>'LUC-2013-01-08-Run2'!BV5</f>
        <v>2.1654810170228369E-5</v>
      </c>
      <c r="AU5" s="51">
        <f>'LUC-2013-01-08-Run2'!BW5</f>
        <v>2.2117347207509639E-5</v>
      </c>
      <c r="AV5" s="51">
        <f>'LUC-2013-01-08-Run2'!BX5</f>
        <v>2.2588090468108009E-5</v>
      </c>
      <c r="AW5" s="51">
        <f>'LUC-2013-01-08-Run2'!BY5</f>
        <v>2.3067221764584342E-5</v>
      </c>
      <c r="AX5" s="51">
        <f>'LUC-2013-01-08-Run2'!BZ5</f>
        <v>2.3554948560878236E-5</v>
      </c>
      <c r="AY5" s="51">
        <f>'LUC-2013-01-08-Run2'!CA5</f>
        <v>2.4051560720881107E-5</v>
      </c>
      <c r="AZ5" s="51">
        <f>'LUC-2013-01-08-Run2'!CB5</f>
        <v>2.455738921757222E-5</v>
      </c>
      <c r="BA5" s="51">
        <f>'LUC-2013-01-08-Run2'!CC5</f>
        <v>2.5072741724341258E-5</v>
      </c>
      <c r="BB5" s="51">
        <f>'LUC-2013-01-08-Run2'!CD5</f>
        <v>2.5597855940880496E-5</v>
      </c>
      <c r="BC5" s="51">
        <f>'LUC-2013-01-08-Run2'!CE5</f>
        <v>2.6133029556600889E-5</v>
      </c>
      <c r="BD5" s="51">
        <f>'LUC-2013-01-08-Run2'!CF5</f>
        <v>2.667846635816827E-5</v>
      </c>
      <c r="BE5" s="51">
        <f>'LUC-2013-01-08-Run2'!CG5</f>
        <v>2.7234421242270185E-5</v>
      </c>
      <c r="BF5" s="51">
        <f>'LUC-2013-01-08-Run2'!CH5</f>
        <v>2.7801191106722099E-5</v>
      </c>
      <c r="BG5" s="51">
        <f>'LUC-2013-01-08-Run2'!CI5</f>
        <v>2.8379045524085055E-5</v>
      </c>
      <c r="BH5" s="51">
        <f>'LUC-2013-01-08-Run2'!CJ5</f>
        <v>2.8968323511028758E-5</v>
      </c>
      <c r="BI5" s="51">
        <f>'LUC-2013-01-08-Run2'!CK5</f>
        <v>2.9569415819543594E-5</v>
      </c>
      <c r="BJ5" s="51">
        <f>'LUC-2013-01-08-Run2'!CL5</f>
        <v>3.0182697084869239E-5</v>
      </c>
      <c r="BK5" s="51">
        <f>'LUC-2013-01-08-Run2'!CM5</f>
        <v>3.0808619936276061E-5</v>
      </c>
      <c r="BM5" s="105"/>
      <c r="BN5" s="50" t="s">
        <v>98</v>
      </c>
      <c r="BO5" s="82">
        <f t="shared" si="7"/>
        <v>7.0121002027183774</v>
      </c>
      <c r="BP5" s="82">
        <f t="shared" si="0"/>
        <v>9.1142142780924704</v>
      </c>
      <c r="BQ5" s="64">
        <f t="shared" si="1"/>
        <v>12.94610467098004</v>
      </c>
      <c r="BR5" s="64">
        <f t="shared" si="2"/>
        <v>16.326321960921515</v>
      </c>
      <c r="BS5" s="64">
        <f t="shared" si="3"/>
        <v>20.315473648547059</v>
      </c>
      <c r="BT5" s="64">
        <f t="shared" si="4"/>
        <v>25.07274172434126</v>
      </c>
      <c r="BU5" s="64">
        <f t="shared" si="5"/>
        <v>30.80861993627606</v>
      </c>
      <c r="BX5" s="96">
        <f t="shared" si="6"/>
        <v>1.8677030763644547</v>
      </c>
      <c r="BZ5" s="97">
        <f>(BK5-'Sce 1 Table'!BK5)/'Sce 1 Table'!BK5</f>
        <v>-5.7102399912398627E-2</v>
      </c>
    </row>
    <row r="6" spans="1:80" x14ac:dyDescent="0.25">
      <c r="A6" s="50" t="s">
        <v>71</v>
      </c>
      <c r="B6" s="50" t="s">
        <v>99</v>
      </c>
      <c r="C6" s="50" t="s">
        <v>92</v>
      </c>
      <c r="D6" s="51">
        <f>'LUC-2013-01-08-Run2'!AF7</f>
        <v>3.6843336955314182E-5</v>
      </c>
      <c r="E6" s="51">
        <f>'LUC-2013-01-08-Run2'!AG7</f>
        <v>3.6790336088918271E-5</v>
      </c>
      <c r="F6" s="51">
        <f>'LUC-2013-01-08-Run2'!AH7</f>
        <v>3.6735360620641035E-5</v>
      </c>
      <c r="G6" s="51">
        <f>'LUC-2013-01-08-Run2'!AI7</f>
        <v>3.667954216924579E-5</v>
      </c>
      <c r="H6" s="51">
        <f>'LUC-2013-01-08-Run2'!AJ7</f>
        <v>3.6623172446285202E-5</v>
      </c>
      <c r="I6" s="51">
        <f>'LUC-2013-01-08-Run2'!AK7</f>
        <v>3.6566333390967918E-5</v>
      </c>
      <c r="J6" s="51">
        <f>'LUC-2013-01-08-Run2'!AL7</f>
        <v>3.6509049093726465E-5</v>
      </c>
      <c r="K6" s="51">
        <f>'LUC-2013-01-08-Run2'!AM7</f>
        <v>3.6451465927738483E-5</v>
      </c>
      <c r="L6" s="51">
        <f>'LUC-2013-01-08-Run2'!AN7</f>
        <v>3.6393772236650164E-5</v>
      </c>
      <c r="M6" s="51">
        <f>'LUC-2013-01-08-Run2'!AO7</f>
        <v>3.6336058437465606E-5</v>
      </c>
      <c r="N6" s="51">
        <f>'LUC-2013-01-08-Run2'!AP7</f>
        <v>3.6278480991528786E-5</v>
      </c>
      <c r="O6" s="51">
        <f>'LUC-2013-01-08-Run2'!AQ7</f>
        <v>3.6221086104825362E-5</v>
      </c>
      <c r="P6" s="51">
        <f>'LUC-2013-01-08-Run2'!AR7</f>
        <v>3.6163908142653389E-5</v>
      </c>
      <c r="Q6" s="51">
        <f>'LUC-2013-01-08-Run2'!AS7</f>
        <v>3.6106967137093158E-5</v>
      </c>
      <c r="R6" s="51">
        <f>'LUC-2013-01-08-Run2'!AT7</f>
        <v>3.6050252332744931E-5</v>
      </c>
      <c r="S6" s="51">
        <f>'LUC-2013-01-08-Run2'!AU7</f>
        <v>3.6181023108186044E-5</v>
      </c>
      <c r="T6" s="51">
        <f>'LUC-2013-01-08-Run2'!AV7</f>
        <v>3.6805880686838144E-5</v>
      </c>
      <c r="U6" s="51">
        <f>'LUC-2013-01-08-Run2'!AW7</f>
        <v>3.7432182540437799E-5</v>
      </c>
      <c r="V6" s="51">
        <f>'LUC-2013-01-08-Run2'!AX7</f>
        <v>3.80598402093277E-5</v>
      </c>
      <c r="W6" s="51">
        <f>'LUC-2013-01-08-Run2'!AY7</f>
        <v>3.86887842668519E-5</v>
      </c>
      <c r="X6" s="51">
        <f>'LUC-2013-01-08-Run2'!AZ7</f>
        <v>3.9318984814036444E-5</v>
      </c>
      <c r="Y6" s="51">
        <f>'LUC-2013-01-08-Run2'!BA7</f>
        <v>3.9950454324620326E-5</v>
      </c>
      <c r="Z6" s="51">
        <f>'LUC-2013-01-08-Run2'!BB7</f>
        <v>4.058323771919377E-5</v>
      </c>
      <c r="AA6" s="51">
        <f>'LUC-2013-01-08-Run2'!BC7</f>
        <v>4.1217413638741283E-5</v>
      </c>
      <c r="AB6" s="51">
        <f>'LUC-2013-01-08-Run2'!BD7</f>
        <v>4.1853031626262509E-5</v>
      </c>
      <c r="AC6" s="51">
        <f>'LUC-2013-01-08-Run2'!BE7</f>
        <v>4.2490101422829168E-5</v>
      </c>
      <c r="AD6" s="51">
        <f>'LUC-2013-01-08-Run2'!BF7</f>
        <v>4.3128576395727857E-5</v>
      </c>
      <c r="AE6" s="51">
        <f>'LUC-2013-01-08-Run2'!BG7</f>
        <v>4.3768429306014496E-5</v>
      </c>
      <c r="AF6" s="51">
        <f>'LUC-2013-01-08-Run2'!BH7</f>
        <v>4.4409623286892179E-5</v>
      </c>
      <c r="AG6" s="51">
        <f>'LUC-2013-01-08-Run2'!BI7</f>
        <v>4.5052144357670757E-5</v>
      </c>
      <c r="AH6" s="51">
        <f>'LUC-2013-01-08-Run2'!BJ7</f>
        <v>4.5695973254979865E-5</v>
      </c>
      <c r="AI6" s="51">
        <f>'LUC-2013-01-08-Run2'!BK7</f>
        <v>4.6341126684092635E-5</v>
      </c>
      <c r="AJ6" s="51">
        <f>'LUC-2013-01-08-Run2'!BL7</f>
        <v>4.6987579201309435E-5</v>
      </c>
      <c r="AK6" s="51">
        <f>'LUC-2013-01-08-Run2'!BM7</f>
        <v>4.7635341292882607E-5</v>
      </c>
      <c r="AL6" s="51">
        <f>'LUC-2013-01-08-Run2'!BN7</f>
        <v>4.8284391676933665E-5</v>
      </c>
      <c r="AM6" s="51">
        <f>'LUC-2013-01-08-Run2'!BO7</f>
        <v>4.8934736165148652E-5</v>
      </c>
      <c r="AN6" s="51">
        <f>'LUC-2013-01-08-Run2'!BP7</f>
        <v>4.9586381811837859E-5</v>
      </c>
      <c r="AO6" s="51">
        <f>'LUC-2013-01-08-Run2'!BQ7</f>
        <v>5.0239352229828933E-5</v>
      </c>
      <c r="AP6" s="51">
        <f>'LUC-2013-01-08-Run2'!BR7</f>
        <v>5.0893684723365161E-5</v>
      </c>
      <c r="AQ6" s="51">
        <f>'LUC-2013-01-08-Run2'!BS7</f>
        <v>5.1549385587840429E-5</v>
      </c>
      <c r="AR6" s="51">
        <f>'LUC-2013-01-08-Run2'!BT7</f>
        <v>5.1636306402230199E-5</v>
      </c>
      <c r="AS6" s="51">
        <f>'LUC-2013-01-08-Run2'!BU7</f>
        <v>5.1724550281244116E-5</v>
      </c>
      <c r="AT6" s="51">
        <f>'LUC-2013-01-08-Run2'!BV7</f>
        <v>5.1814122168769529E-5</v>
      </c>
      <c r="AU6" s="51">
        <f>'LUC-2013-01-08-Run2'!BW7</f>
        <v>5.1905017314471409E-5</v>
      </c>
      <c r="AV6" s="51">
        <f>'LUC-2013-01-08-Run2'!BX7</f>
        <v>5.1997226518439087E-5</v>
      </c>
      <c r="AW6" s="51">
        <f>'LUC-2013-01-08-Run2'!BY7</f>
        <v>5.209074305574026E-5</v>
      </c>
      <c r="AX6" s="51">
        <f>'LUC-2013-01-08-Run2'!BZ7</f>
        <v>5.2185571878579461E-5</v>
      </c>
      <c r="AY6" s="51">
        <f>'LUC-2013-01-08-Run2'!CA7</f>
        <v>5.2281706246236016E-5</v>
      </c>
      <c r="AZ6" s="51">
        <f>'LUC-2013-01-08-Run2'!CB7</f>
        <v>5.2379129328157627E-5</v>
      </c>
      <c r="BA6" s="51">
        <f>'LUC-2013-01-08-Run2'!CC7</f>
        <v>5.2477845020516877E-5</v>
      </c>
      <c r="BB6" s="51">
        <f>'LUC-2013-01-08-Run2'!CD7</f>
        <v>5.2577842307954798E-5</v>
      </c>
      <c r="BC6" s="51">
        <f>'LUC-2013-01-08-Run2'!CE7</f>
        <v>5.2679112681640577E-5</v>
      </c>
      <c r="BD6" s="51">
        <f>'LUC-2013-01-08-Run2'!CF7</f>
        <v>5.2781651624729282E-5</v>
      </c>
      <c r="BE6" s="51">
        <f>'LUC-2013-01-08-Run2'!CG7</f>
        <v>5.2885444749710062E-5</v>
      </c>
      <c r="BF6" s="51">
        <f>'LUC-2013-01-08-Run2'!CH7</f>
        <v>5.2990487639432671E-5</v>
      </c>
      <c r="BG6" s="51">
        <f>'LUC-2013-01-08-Run2'!CI7</f>
        <v>5.3096775381587056E-5</v>
      </c>
      <c r="BH6" s="51">
        <f>'LUC-2013-01-08-Run2'!CJ7</f>
        <v>5.3204297991539445E-5</v>
      </c>
      <c r="BI6" s="51">
        <f>'LUC-2013-01-08-Run2'!CK7</f>
        <v>5.3313060712255301E-5</v>
      </c>
      <c r="BJ6" s="51">
        <f>'LUC-2013-01-08-Run2'!CL7</f>
        <v>5.3423070555134916E-5</v>
      </c>
      <c r="BK6" s="51">
        <f>'LUC-2013-01-08-Run2'!CM7</f>
        <v>5.3534324193367958E-5</v>
      </c>
      <c r="BM6" s="105"/>
      <c r="BN6" s="50" t="s">
        <v>99</v>
      </c>
      <c r="BO6" s="64">
        <f t="shared" si="7"/>
        <v>36.843336955314179</v>
      </c>
      <c r="BP6" s="64">
        <f t="shared" si="0"/>
        <v>36.33605843746561</v>
      </c>
      <c r="BQ6" s="64">
        <f t="shared" si="1"/>
        <v>38.688784266851897</v>
      </c>
      <c r="BR6" s="64">
        <f t="shared" si="2"/>
        <v>45.052144357670755</v>
      </c>
      <c r="BS6" s="64">
        <f t="shared" si="3"/>
        <v>51.549385587840426</v>
      </c>
      <c r="BT6" s="64">
        <f t="shared" si="4"/>
        <v>52.477845020516874</v>
      </c>
      <c r="BU6" s="64">
        <f t="shared" si="5"/>
        <v>53.534324193367958</v>
      </c>
      <c r="BV6" s="47">
        <f>SUM(M6:M12)*1000000</f>
        <v>263.99050229103472</v>
      </c>
      <c r="BW6" s="47">
        <f>SUM(BU6:BU12)</f>
        <v>341.2939859087075</v>
      </c>
      <c r="BX6" s="96">
        <f t="shared" si="6"/>
        <v>0.48499166383759285</v>
      </c>
      <c r="BZ6" s="97">
        <f>(BK6-'Sce 1 Table'!BK6)/'Sce 1 Table'!BK6</f>
        <v>0.39497545800706402</v>
      </c>
    </row>
    <row r="7" spans="1:80" x14ac:dyDescent="0.25">
      <c r="A7" s="50" t="s">
        <v>71</v>
      </c>
      <c r="B7" s="50" t="s">
        <v>100</v>
      </c>
      <c r="C7" s="50" t="s">
        <v>92</v>
      </c>
      <c r="D7" s="51">
        <f>'LUC-2013-01-08-Run2'!AF8</f>
        <v>5.2769166477933858E-5</v>
      </c>
      <c r="E7" s="51">
        <f>'LUC-2013-01-08-Run2'!AG8</f>
        <v>5.2693255559611984E-5</v>
      </c>
      <c r="F7" s="51">
        <f>'LUC-2013-01-08-Run2'!AH8</f>
        <v>5.2614516501821335E-5</v>
      </c>
      <c r="G7" s="51">
        <f>'LUC-2013-01-08-Run2'!AI8</f>
        <v>5.25345700746617E-5</v>
      </c>
      <c r="H7" s="51">
        <f>'LUC-2013-01-08-Run2'!AJ8</f>
        <v>5.2453834084356881E-5</v>
      </c>
      <c r="I7" s="51">
        <f>'LUC-2013-01-08-Run2'!AK8</f>
        <v>5.2372425888999203E-5</v>
      </c>
      <c r="J7" s="51">
        <f>'LUC-2013-01-08-Run2'!AL8</f>
        <v>5.2290379992305006E-5</v>
      </c>
      <c r="K7" s="51">
        <f>'LUC-2013-01-08-Run2'!AM8</f>
        <v>5.2207906038438337E-5</v>
      </c>
      <c r="L7" s="51">
        <f>'LUC-2013-01-08-Run2'!AN8</f>
        <v>5.2125273784105413E-5</v>
      </c>
      <c r="M7" s="51">
        <f>'LUC-2013-01-08-Run2'!AO8</f>
        <v>5.204261272978946E-5</v>
      </c>
      <c r="N7" s="51">
        <f>'LUC-2013-01-08-Run2'!AP8</f>
        <v>5.1960146968512207E-5</v>
      </c>
      <c r="O7" s="51">
        <f>'LUC-2013-01-08-Run2'!AQ8</f>
        <v>5.187794267916924E-5</v>
      </c>
      <c r="P7" s="51">
        <f>'LUC-2013-01-08-Run2'!AR8</f>
        <v>5.1796049081735804E-5</v>
      </c>
      <c r="Q7" s="51">
        <f>'LUC-2013-01-08-Run2'!AS8</f>
        <v>5.1714494867320529E-5</v>
      </c>
      <c r="R7" s="51">
        <f>'LUC-2013-01-08-Run2'!AT8</f>
        <v>5.1633264631415317E-5</v>
      </c>
      <c r="S7" s="51">
        <f>'LUC-2013-01-08-Run2'!AU8</f>
        <v>5.1820562129143874E-5</v>
      </c>
      <c r="T7" s="51">
        <f>'LUC-2013-01-08-Run2'!AV8</f>
        <v>5.1885131359856297E-5</v>
      </c>
      <c r="U7" s="51">
        <f>'LUC-2013-01-08-Run2'!AW8</f>
        <v>5.1950214305834867E-5</v>
      </c>
      <c r="V7" s="51">
        <f>'LUC-2013-01-08-Run2'!AX8</f>
        <v>5.2015700294839928E-5</v>
      </c>
      <c r="W7" s="51">
        <f>'LUC-2013-01-08-Run2'!AY8</f>
        <v>5.2081507781076679E-5</v>
      </c>
      <c r="X7" s="51">
        <f>'LUC-2013-01-08-Run2'!AZ8</f>
        <v>5.2147614632487234E-5</v>
      </c>
      <c r="Y7" s="51">
        <f>'LUC-2013-01-08-Run2'!BA8</f>
        <v>5.2214058561288894E-5</v>
      </c>
      <c r="Z7" s="51">
        <f>'LUC-2013-01-08-Run2'!BB8</f>
        <v>5.2280919174022914E-5</v>
      </c>
      <c r="AA7" s="51">
        <f>'LUC-2013-01-08-Run2'!BC8</f>
        <v>5.2348326142311333E-5</v>
      </c>
      <c r="AB7" s="51">
        <f>'LUC-2013-01-08-Run2'!BD8</f>
        <v>5.2416362295017331E-5</v>
      </c>
      <c r="AC7" s="51">
        <f>'LUC-2013-01-08-Run2'!BE8</f>
        <v>5.2485056095018153E-5</v>
      </c>
      <c r="AD7" s="51">
        <f>'LUC-2013-01-08-Run2'!BF8</f>
        <v>5.255435759938655E-5</v>
      </c>
      <c r="AE7" s="51">
        <f>'LUC-2013-01-08-Run2'!BG8</f>
        <v>5.2624226698379906E-5</v>
      </c>
      <c r="AF7" s="51">
        <f>'LUC-2013-01-08-Run2'!BH8</f>
        <v>5.2694616780850149E-5</v>
      </c>
      <c r="AG7" s="51">
        <f>'LUC-2013-01-08-Run2'!BI8</f>
        <v>5.2765502995160863E-5</v>
      </c>
      <c r="AH7" s="51">
        <f>'LUC-2013-01-08-Run2'!BJ8</f>
        <v>5.283686082478873E-5</v>
      </c>
      <c r="AI7" s="51">
        <f>'LUC-2013-01-08-Run2'!BK8</f>
        <v>5.2908715260658917E-5</v>
      </c>
      <c r="AJ7" s="51">
        <f>'LUC-2013-01-08-Run2'!BL8</f>
        <v>5.2981037203205353E-5</v>
      </c>
      <c r="AK7" s="51">
        <f>'LUC-2013-01-08-Run2'!BM8</f>
        <v>5.3053843546664738E-5</v>
      </c>
      <c r="AL7" s="51">
        <f>'LUC-2013-01-08-Run2'!BN8</f>
        <v>5.3127112809578331E-5</v>
      </c>
      <c r="AM7" s="51">
        <f>'LUC-2013-01-08-Run2'!BO8</f>
        <v>5.3200845887448871E-5</v>
      </c>
      <c r="AN7" s="51">
        <f>'LUC-2013-01-08-Run2'!BP8</f>
        <v>5.3275066305476904E-5</v>
      </c>
      <c r="AO7" s="51">
        <f>'LUC-2013-01-08-Run2'!BQ8</f>
        <v>5.3349808273080411E-5</v>
      </c>
      <c r="AP7" s="51">
        <f>'LUC-2013-01-08-Run2'!BR8</f>
        <v>5.3425155494199776E-5</v>
      </c>
      <c r="AQ7" s="51">
        <f>'LUC-2013-01-08-Run2'!BS8</f>
        <v>5.3501125356345247E-5</v>
      </c>
      <c r="AR7" s="51">
        <f>'LUC-2013-01-08-Run2'!BT8</f>
        <v>5.358589951393191E-5</v>
      </c>
      <c r="AS7" s="51">
        <f>'LUC-2013-01-08-Run2'!BU8</f>
        <v>5.3672282503609282E-5</v>
      </c>
      <c r="AT7" s="51">
        <f>'LUC-2013-01-08-Run2'!BV8</f>
        <v>5.3760270054983049E-5</v>
      </c>
      <c r="AU7" s="51">
        <f>'LUC-2013-01-08-Run2'!BW8</f>
        <v>5.3849853081464978E-5</v>
      </c>
      <c r="AV7" s="51">
        <f>'LUC-2013-01-08-Run2'!BX8</f>
        <v>5.3941017829373365E-5</v>
      </c>
      <c r="AW7" s="51">
        <f>'LUC-2013-01-08-Run2'!BY8</f>
        <v>5.4033763050466951E-5</v>
      </c>
      <c r="AX7" s="51">
        <f>'LUC-2013-01-08-Run2'!BZ8</f>
        <v>5.4128092228636533E-5</v>
      </c>
      <c r="AY7" s="51">
        <f>'LUC-2013-01-08-Run2'!CA8</f>
        <v>5.4224008946083018E-5</v>
      </c>
      <c r="AZ7" s="51">
        <f>'LUC-2013-01-08-Run2'!CB8</f>
        <v>5.4321496723876302E-5</v>
      </c>
      <c r="BA7" s="51">
        <f>'LUC-2013-01-08-Run2'!CC8</f>
        <v>5.4420572901668634E-5</v>
      </c>
      <c r="BB7" s="51">
        <f>'LUC-2013-01-08-Run2'!CD8</f>
        <v>5.4521219352321004E-5</v>
      </c>
      <c r="BC7" s="51">
        <f>'LUC-2013-01-08-Run2'!CE8</f>
        <v>5.4623425888475123E-5</v>
      </c>
      <c r="BD7" s="51">
        <f>'LUC-2013-01-08-Run2'!CF8</f>
        <v>5.4727189212199551E-5</v>
      </c>
      <c r="BE7" s="51">
        <f>'LUC-2013-01-08-Run2'!CG8</f>
        <v>5.4832486288335323E-5</v>
      </c>
      <c r="BF7" s="51">
        <f>'LUC-2013-01-08-Run2'!CH8</f>
        <v>5.4939322222557939E-5</v>
      </c>
      <c r="BG7" s="51">
        <f>'LUC-2013-01-08-Run2'!CI8</f>
        <v>5.5047676022657148E-5</v>
      </c>
      <c r="BH7" s="51">
        <f>'LUC-2013-01-08-Run2'!CJ8</f>
        <v>5.5157543030486721E-5</v>
      </c>
      <c r="BI7" s="51">
        <f>'LUC-2013-01-08-Run2'!CK8</f>
        <v>5.5268920681017922E-5</v>
      </c>
      <c r="BJ7" s="51">
        <f>'LUC-2013-01-08-Run2'!CL8</f>
        <v>5.5381826903601599E-5</v>
      </c>
      <c r="BK7" s="51">
        <f>'LUC-2013-01-08-Run2'!CM8</f>
        <v>5.5496247612017253E-5</v>
      </c>
      <c r="BM7" s="105"/>
      <c r="BN7" s="53" t="s">
        <v>100</v>
      </c>
      <c r="BO7" s="61">
        <f t="shared" si="7"/>
        <v>52.769166477933858</v>
      </c>
      <c r="BP7" s="61">
        <f t="shared" si="0"/>
        <v>52.042612729789461</v>
      </c>
      <c r="BQ7" s="61">
        <f t="shared" si="1"/>
        <v>52.081507781076681</v>
      </c>
      <c r="BR7" s="61">
        <f t="shared" si="2"/>
        <v>52.765502995160865</v>
      </c>
      <c r="BS7" s="61">
        <f t="shared" si="3"/>
        <v>53.501125356345248</v>
      </c>
      <c r="BT7" s="61">
        <f t="shared" si="4"/>
        <v>54.420572901668635</v>
      </c>
      <c r="BU7" s="61">
        <f t="shared" si="5"/>
        <v>55.496247612017257</v>
      </c>
      <c r="BX7" s="96">
        <f t="shared" si="6"/>
        <v>7.4815780256737338E-2</v>
      </c>
      <c r="BZ7" s="97">
        <f>(BK7-'Sce 1 Table'!BK7)/'Sce 1 Table'!BK7</f>
        <v>0.24685822221022685</v>
      </c>
    </row>
    <row r="8" spans="1:80" x14ac:dyDescent="0.25">
      <c r="A8" s="50" t="s">
        <v>71</v>
      </c>
      <c r="B8" s="50" t="s">
        <v>101</v>
      </c>
      <c r="C8" s="50" t="s">
        <v>92</v>
      </c>
      <c r="D8" s="51">
        <f>'LUC-2013-01-08-Run2'!AF9</f>
        <v>3.755643379961059E-5</v>
      </c>
      <c r="E8" s="51">
        <f>'LUC-2013-01-08-Run2'!AG9</f>
        <v>3.7502407109994121E-5</v>
      </c>
      <c r="F8" s="51">
        <f>'LUC-2013-01-08-Run2'!AH9</f>
        <v>3.7446367600395375E-5</v>
      </c>
      <c r="G8" s="51">
        <f>'LUC-2013-01-08-Run2'!AI9</f>
        <v>3.7389468791876361E-5</v>
      </c>
      <c r="H8" s="51">
        <f>'LUC-2013-01-08-Run2'!AJ9</f>
        <v>3.7332008042019762E-5</v>
      </c>
      <c r="I8" s="51">
        <f>'LUC-2013-01-08-Run2'!AK9</f>
        <v>3.7274068875954395E-5</v>
      </c>
      <c r="J8" s="51">
        <f>'LUC-2013-01-08-Run2'!AL9</f>
        <v>3.7215675850379237E-5</v>
      </c>
      <c r="K8" s="51">
        <f>'LUC-2013-01-08-Run2'!AM9</f>
        <v>3.7156978171501163E-5</v>
      </c>
      <c r="L8" s="51">
        <f>'LUC-2013-01-08-Run2'!AN9</f>
        <v>3.7098167828327268E-5</v>
      </c>
      <c r="M8" s="51">
        <f>'LUC-2013-01-08-Run2'!AO9</f>
        <v>3.7039336987868168E-5</v>
      </c>
      <c r="N8" s="51">
        <f>'LUC-2013-01-08-Run2'!AP9</f>
        <v>3.6980645139751931E-5</v>
      </c>
      <c r="O8" s="51">
        <f>'LUC-2013-01-08-Run2'!AQ9</f>
        <v>3.692213938427361E-5</v>
      </c>
      <c r="P8" s="51">
        <f>'LUC-2013-01-08-Run2'!AR9</f>
        <v>3.6863854751866036E-5</v>
      </c>
      <c r="Q8" s="51">
        <f>'LUC-2013-01-08-Run2'!AS9</f>
        <v>3.6805811662327231E-5</v>
      </c>
      <c r="R8" s="51">
        <f>'LUC-2013-01-08-Run2'!AT9</f>
        <v>3.6747999152088383E-5</v>
      </c>
      <c r="S8" s="51">
        <f>'LUC-2013-01-08-Run2'!AU9</f>
        <v>3.6881300974796092E-5</v>
      </c>
      <c r="T8" s="51">
        <f>'LUC-2013-01-08-Run2'!AV9</f>
        <v>3.6933062893627826E-5</v>
      </c>
      <c r="U8" s="51">
        <f>'LUC-2013-01-08-Run2'!AW9</f>
        <v>3.6984803288137251E-5</v>
      </c>
      <c r="V8" s="51">
        <f>'LUC-2013-01-08-Run2'!AX9</f>
        <v>3.7036437188603112E-5</v>
      </c>
      <c r="W8" s="51">
        <f>'LUC-2013-01-08-Run2'!AY9</f>
        <v>3.7087901513367618E-5</v>
      </c>
      <c r="X8" s="51">
        <f>'LUC-2013-01-08-Run2'!AZ9</f>
        <v>3.7139176923422152E-5</v>
      </c>
      <c r="Y8" s="51">
        <f>'LUC-2013-01-08-Run2'!BA9</f>
        <v>3.719028632859785E-5</v>
      </c>
      <c r="Z8" s="51">
        <f>'LUC-2013-01-08-Run2'!BB9</f>
        <v>3.7241283775133937E-5</v>
      </c>
      <c r="AA8" s="51">
        <f>'LUC-2013-01-08-Run2'!BC9</f>
        <v>3.7292262121969226E-5</v>
      </c>
      <c r="AB8" s="51">
        <f>'LUC-2013-01-08-Run2'!BD9</f>
        <v>3.7343280820957652E-5</v>
      </c>
      <c r="AC8" s="51">
        <f>'LUC-2013-01-08-Run2'!BE9</f>
        <v>3.7394359310285553E-5</v>
      </c>
      <c r="AD8" s="51">
        <f>'LUC-2013-01-08-Run2'!BF9</f>
        <v>3.7445462106810545E-5</v>
      </c>
      <c r="AE8" s="51">
        <f>'LUC-2013-01-08-Run2'!BG9</f>
        <v>3.7496556366296019E-5</v>
      </c>
      <c r="AF8" s="51">
        <f>'LUC-2013-01-08-Run2'!BH9</f>
        <v>3.7547608783536608E-5</v>
      </c>
      <c r="AG8" s="51">
        <f>'LUC-2013-01-08-Run2'!BI9</f>
        <v>3.7598597706895901E-5</v>
      </c>
      <c r="AH8" s="51">
        <f>'LUC-2013-01-08-Run2'!BJ9</f>
        <v>3.7649502569235385E-5</v>
      </c>
      <c r="AI8" s="51">
        <f>'LUC-2013-01-08-Run2'!BK9</f>
        <v>3.7700339228367647E-5</v>
      </c>
      <c r="AJ8" s="51">
        <f>'LUC-2013-01-08-Run2'!BL9</f>
        <v>3.7751080142069215E-5</v>
      </c>
      <c r="AK8" s="51">
        <f>'LUC-2013-01-08-Run2'!BM9</f>
        <v>3.7801728334648505E-5</v>
      </c>
      <c r="AL8" s="51">
        <f>'LUC-2013-01-08-Run2'!BN9</f>
        <v>3.785226250308605E-5</v>
      </c>
      <c r="AM8" s="51">
        <f>'LUC-2013-01-08-Run2'!BO9</f>
        <v>3.7902673895436454E-5</v>
      </c>
      <c r="AN8" s="51">
        <f>'LUC-2013-01-08-Run2'!BP9</f>
        <v>3.7952979622613387E-5</v>
      </c>
      <c r="AO8" s="51">
        <f>'LUC-2013-01-08-Run2'!BQ9</f>
        <v>3.8003197609965645E-5</v>
      </c>
      <c r="AP8" s="51">
        <f>'LUC-2013-01-08-Run2'!BR9</f>
        <v>3.8053393767208994E-5</v>
      </c>
      <c r="AQ8" s="51">
        <f>'LUC-2013-01-08-Run2'!BS9</f>
        <v>3.8103574826890966E-5</v>
      </c>
      <c r="AR8" s="51">
        <f>'LUC-2013-01-08-Run2'!BT9</f>
        <v>3.8156452560328051E-5</v>
      </c>
      <c r="AS8" s="51">
        <f>'LUC-2013-01-08-Run2'!BU9</f>
        <v>3.8210417968048391E-5</v>
      </c>
      <c r="AT8" s="51">
        <f>'LUC-2013-01-08-Run2'!BV9</f>
        <v>3.8265475695102741E-5</v>
      </c>
      <c r="AU8" s="51">
        <f>'LUC-2013-01-08-Run2'!BW9</f>
        <v>3.8321623685974469E-5</v>
      </c>
      <c r="AV8" s="51">
        <f>'LUC-2013-01-08-Run2'!BX9</f>
        <v>3.8378859609958136E-5</v>
      </c>
      <c r="AW8" s="51">
        <f>'LUC-2013-01-08-Run2'!BY9</f>
        <v>3.8437187893822393E-5</v>
      </c>
      <c r="AX8" s="51">
        <f>'LUC-2013-01-08-Run2'!BZ9</f>
        <v>3.8496607768899382E-5</v>
      </c>
      <c r="AY8" s="51">
        <f>'LUC-2013-01-08-Run2'!CA9</f>
        <v>3.8557127565013271E-5</v>
      </c>
      <c r="AZ8" s="51">
        <f>'LUC-2013-01-08-Run2'!CB9</f>
        <v>3.8618733800416279E-5</v>
      </c>
      <c r="BA8" s="51">
        <f>'LUC-2013-01-08-Run2'!CC9</f>
        <v>3.8681442904030025E-5</v>
      </c>
      <c r="BB8" s="51">
        <f>'LUC-2013-01-08-Run2'!CD9</f>
        <v>3.8745238156913579E-5</v>
      </c>
      <c r="BC8" s="51">
        <f>'LUC-2013-01-08-Run2'!CE9</f>
        <v>3.8810115409190752E-5</v>
      </c>
      <c r="BD8" s="51">
        <f>'LUC-2013-01-08-Run2'!CF9</f>
        <v>3.8876073147932574E-5</v>
      </c>
      <c r="BE8" s="51">
        <f>'LUC-2013-01-08-Run2'!CG9</f>
        <v>3.894309386333759E-5</v>
      </c>
      <c r="BF8" s="51">
        <f>'LUC-2013-01-08-Run2'!CH9</f>
        <v>3.9011183503462591E-5</v>
      </c>
      <c r="BG8" s="51">
        <f>'LUC-2013-01-08-Run2'!CI9</f>
        <v>3.9080323898003936E-5</v>
      </c>
      <c r="BH8" s="51">
        <f>'LUC-2013-01-08-Run2'!CJ9</f>
        <v>3.9150511218413924E-5</v>
      </c>
      <c r="BI8" s="51">
        <f>'LUC-2013-01-08-Run2'!CK9</f>
        <v>3.9221737742214523E-5</v>
      </c>
      <c r="BJ8" s="51">
        <f>'LUC-2013-01-08-Run2'!CL9</f>
        <v>3.9294017281482045E-5</v>
      </c>
      <c r="BK8" s="51">
        <f>'LUC-2013-01-08-Run2'!CM9</f>
        <v>3.936733039718203E-5</v>
      </c>
      <c r="BM8" s="105"/>
      <c r="BN8" s="53" t="s">
        <v>101</v>
      </c>
      <c r="BO8" s="61">
        <f t="shared" si="7"/>
        <v>37.556433799610588</v>
      </c>
      <c r="BP8" s="61">
        <f t="shared" si="0"/>
        <v>37.039336987868168</v>
      </c>
      <c r="BQ8" s="61">
        <f t="shared" si="1"/>
        <v>37.087901513367619</v>
      </c>
      <c r="BR8" s="61">
        <f t="shared" si="2"/>
        <v>37.598597706895902</v>
      </c>
      <c r="BS8" s="61">
        <f t="shared" si="3"/>
        <v>38.103574826890963</v>
      </c>
      <c r="BT8" s="61">
        <f t="shared" si="4"/>
        <v>38.681442904030028</v>
      </c>
      <c r="BU8" s="61">
        <f t="shared" si="5"/>
        <v>39.36733039718203</v>
      </c>
      <c r="BX8" s="96">
        <f t="shared" si="6"/>
        <v>7.127820032467784E-2</v>
      </c>
      <c r="BZ8" s="97">
        <f>(BK8-'Sce 1 Table'!BK8)/'Sce 1 Table'!BK8</f>
        <v>0.28392672663556956</v>
      </c>
    </row>
    <row r="9" spans="1:80" x14ac:dyDescent="0.25">
      <c r="A9" s="50" t="s">
        <v>71</v>
      </c>
      <c r="B9" s="50" t="s">
        <v>111</v>
      </c>
      <c r="C9" s="50" t="s">
        <v>92</v>
      </c>
      <c r="D9" s="51">
        <f>'LUC-2013-01-08-Run2'!AF10</f>
        <v>3.2802454837634565E-5</v>
      </c>
      <c r="E9" s="51">
        <f>'LUC-2013-01-08-Run2'!AG10</f>
        <v>3.2755266969488529E-5</v>
      </c>
      <c r="F9" s="51">
        <f>'LUC-2013-01-08-Run2'!AH10</f>
        <v>3.2706321068699752E-5</v>
      </c>
      <c r="G9" s="51">
        <f>'LUC-2013-01-08-Run2'!AI10</f>
        <v>3.2656624641005933E-5</v>
      </c>
      <c r="H9" s="51">
        <f>'LUC-2013-01-08-Run2'!AJ10</f>
        <v>3.260643740378941E-5</v>
      </c>
      <c r="I9" s="51">
        <f>'LUC-2013-01-08-Run2'!AK10</f>
        <v>3.2555832309377881E-5</v>
      </c>
      <c r="J9" s="51">
        <f>'LUC-2013-01-08-Run2'!AL10</f>
        <v>3.2504830806027448E-5</v>
      </c>
      <c r="K9" s="51">
        <f>'LUC-2013-01-08-Run2'!AM10</f>
        <v>3.2453563213083297E-5</v>
      </c>
      <c r="L9" s="51">
        <f>'LUC-2013-01-08-Run2'!AN10</f>
        <v>3.2402197217146604E-5</v>
      </c>
      <c r="M9" s="51">
        <f>'LUC-2013-01-08-Run2'!AO10</f>
        <v>3.2350813318517766E-5</v>
      </c>
      <c r="N9" s="51">
        <f>'LUC-2013-01-08-Run2'!AP10</f>
        <v>3.2299550818264349E-5</v>
      </c>
      <c r="O9" s="51">
        <f>'LUC-2013-01-08-Run2'!AQ10</f>
        <v>3.2248450854618708E-5</v>
      </c>
      <c r="P9" s="51">
        <f>'LUC-2013-01-08-Run2'!AR10</f>
        <v>3.2197544023781722E-5</v>
      </c>
      <c r="Q9" s="51">
        <f>'LUC-2013-01-08-Run2'!AS10</f>
        <v>3.2146848160766819E-5</v>
      </c>
      <c r="R9" s="51">
        <f>'LUC-2013-01-08-Run2'!AT10</f>
        <v>3.2096353689798707E-5</v>
      </c>
      <c r="S9" s="51">
        <f>'LUC-2013-01-08-Run2'!AU10</f>
        <v>3.2212781864062408E-5</v>
      </c>
      <c r="T9" s="51">
        <f>'LUC-2013-01-08-Run2'!AV10</f>
        <v>3.2464153102729245E-5</v>
      </c>
      <c r="U9" s="51">
        <f>'LUC-2013-01-08-Run2'!AW10</f>
        <v>3.271690581497304E-5</v>
      </c>
      <c r="V9" s="51">
        <f>'LUC-2013-01-08-Run2'!AX10</f>
        <v>3.2970962421275322E-5</v>
      </c>
      <c r="W9" s="51">
        <f>'LUC-2013-01-08-Run2'!AY10</f>
        <v>3.3226264413713801E-5</v>
      </c>
      <c r="X9" s="51">
        <f>'LUC-2013-01-08-Run2'!AZ10</f>
        <v>3.3482789042779644E-5</v>
      </c>
      <c r="Y9" s="51">
        <f>'LUC-2013-01-08-Run2'!BA10</f>
        <v>3.3740550001192795E-5</v>
      </c>
      <c r="Z9" s="51">
        <f>'LUC-2013-01-08-Run2'!BB10</f>
        <v>3.3999587604779657E-5</v>
      </c>
      <c r="AA9" s="51">
        <f>'LUC-2013-01-08-Run2'!BC10</f>
        <v>3.425996881315825E-5</v>
      </c>
      <c r="AB9" s="51">
        <f>'LUC-2013-01-08-Run2'!BD10</f>
        <v>3.4521734016547037E-5</v>
      </c>
      <c r="AC9" s="51">
        <f>'LUC-2013-01-08-Run2'!BE10</f>
        <v>3.4784889445536507E-5</v>
      </c>
      <c r="AD9" s="51">
        <f>'LUC-2013-01-08-Run2'!BF10</f>
        <v>3.5049395121155097E-5</v>
      </c>
      <c r="AE9" s="51">
        <f>'LUC-2013-01-08-Run2'!BG10</f>
        <v>3.5315227950970887E-5</v>
      </c>
      <c r="AF9" s="51">
        <f>'LUC-2013-01-08-Run2'!BH10</f>
        <v>3.5582357866475032E-5</v>
      </c>
      <c r="AG9" s="51">
        <f>'LUC-2013-01-08-Run2'!BI10</f>
        <v>3.5850774182663768E-5</v>
      </c>
      <c r="AH9" s="51">
        <f>'LUC-2013-01-08-Run2'!BJ10</f>
        <v>3.6120462447432588E-5</v>
      </c>
      <c r="AI9" s="51">
        <f>'LUC-2013-01-08-Run2'!BK10</f>
        <v>3.6391436750654276E-5</v>
      </c>
      <c r="AJ9" s="51">
        <f>'LUC-2013-01-08-Run2'!BL10</f>
        <v>3.6663678447313321E-5</v>
      </c>
      <c r="AK9" s="51">
        <f>'LUC-2013-01-08-Run2'!BM10</f>
        <v>3.6937197528123228E-5</v>
      </c>
      <c r="AL9" s="51">
        <f>'LUC-2013-01-08-Run2'!BN10</f>
        <v>3.7211979372309135E-5</v>
      </c>
      <c r="AM9" s="51">
        <f>'LUC-2013-01-08-Run2'!BO10</f>
        <v>3.7488031388110743E-5</v>
      </c>
      <c r="AN9" s="51">
        <f>'LUC-2013-01-08-Run2'!BP10</f>
        <v>3.7765360137229976E-5</v>
      </c>
      <c r="AO9" s="51">
        <f>'LUC-2013-01-08-Run2'!BQ10</f>
        <v>3.8043985474369211E-5</v>
      </c>
      <c r="AP9" s="51">
        <f>'LUC-2013-01-08-Run2'!BR10</f>
        <v>3.8323933618482537E-5</v>
      </c>
      <c r="AQ9" s="51">
        <f>'LUC-2013-01-08-Run2'!BS10</f>
        <v>3.8605209547791053E-5</v>
      </c>
      <c r="AR9" s="51">
        <f>'LUC-2013-01-08-Run2'!BT10</f>
        <v>3.8677920059823958E-5</v>
      </c>
      <c r="AS9" s="51">
        <f>'LUC-2013-01-08-Run2'!BU10</f>
        <v>3.8751713009784551E-5</v>
      </c>
      <c r="AT9" s="51">
        <f>'LUC-2013-01-08-Run2'!BV10</f>
        <v>3.8826591933489533E-5</v>
      </c>
      <c r="AU9" s="51">
        <f>'LUC-2013-01-08-Run2'!BW10</f>
        <v>3.890255296099992E-5</v>
      </c>
      <c r="AV9" s="51">
        <f>'LUC-2013-01-08-Run2'!BX10</f>
        <v>3.8979588221708722E-5</v>
      </c>
      <c r="AW9" s="51">
        <f>'LUC-2013-01-08-Run2'!BY10</f>
        <v>3.9057691220618749E-5</v>
      </c>
      <c r="AX9" s="51">
        <f>'LUC-2013-01-08-Run2'!BZ10</f>
        <v>3.9136866220622919E-5</v>
      </c>
      <c r="AY9" s="51">
        <f>'LUC-2013-01-08-Run2'!CA10</f>
        <v>3.9217106232685925E-5</v>
      </c>
      <c r="AZ9" s="51">
        <f>'LUC-2013-01-08-Run2'!CB10</f>
        <v>3.9298398757022331E-5</v>
      </c>
      <c r="BA9" s="51">
        <f>'LUC-2013-01-08-Run2'!CC10</f>
        <v>3.9380744857709663E-5</v>
      </c>
      <c r="BB9" s="51">
        <f>'LUC-2013-01-08-Run2'!CD10</f>
        <v>3.9464137259924096E-5</v>
      </c>
      <c r="BC9" s="51">
        <f>'LUC-2013-01-08-Run2'!CE10</f>
        <v>3.9548568806148973E-5</v>
      </c>
      <c r="BD9" s="51">
        <f>'LUC-2013-01-08-Run2'!CF10</f>
        <v>3.9634035486339887E-5</v>
      </c>
      <c r="BE9" s="51">
        <f>'LUC-2013-01-08-Run2'!CG10</f>
        <v>3.9720527015119885E-5</v>
      </c>
      <c r="BF9" s="51">
        <f>'LUC-2013-01-08-Run2'!CH10</f>
        <v>3.9808038587477014E-5</v>
      </c>
      <c r="BG9" s="51">
        <f>'LUC-2013-01-08-Run2'!CI10</f>
        <v>3.9896568115661278E-5</v>
      </c>
      <c r="BH9" s="51">
        <f>'LUC-2013-01-08-Run2'!CJ10</f>
        <v>3.998610769803857E-5</v>
      </c>
      <c r="BI9" s="51">
        <f>'LUC-2013-01-08-Run2'!CK10</f>
        <v>4.0076663427659374E-5</v>
      </c>
      <c r="BJ9" s="51">
        <f>'LUC-2013-01-08-Run2'!CL10</f>
        <v>4.0168239548289989E-5</v>
      </c>
      <c r="BK9" s="51">
        <f>'LUC-2013-01-08-Run2'!CM10</f>
        <v>4.0260837211252985E-5</v>
      </c>
      <c r="BM9" s="105"/>
      <c r="BN9" s="53" t="s">
        <v>111</v>
      </c>
      <c r="BO9" s="61">
        <f t="shared" si="7"/>
        <v>32.802454837634563</v>
      </c>
      <c r="BP9" s="61">
        <f t="shared" si="0"/>
        <v>32.350813318517766</v>
      </c>
      <c r="BQ9" s="61">
        <f t="shared" si="1"/>
        <v>33.2262644137138</v>
      </c>
      <c r="BR9" s="61">
        <f t="shared" si="2"/>
        <v>35.85077418266377</v>
      </c>
      <c r="BS9" s="61">
        <f t="shared" si="3"/>
        <v>38.605209547791056</v>
      </c>
      <c r="BT9" s="61">
        <f t="shared" si="4"/>
        <v>39.380744857709665</v>
      </c>
      <c r="BU9" s="61">
        <f t="shared" si="5"/>
        <v>40.260837211252984</v>
      </c>
      <c r="BX9" s="96">
        <f t="shared" si="6"/>
        <v>0.25437417596906731</v>
      </c>
      <c r="BZ9" s="97">
        <f>(BK9-'Sce 1 Table'!BK9)/'Sce 1 Table'!BK9</f>
        <v>0.2800344253241569</v>
      </c>
    </row>
    <row r="10" spans="1:80" x14ac:dyDescent="0.25">
      <c r="A10" s="50" t="s">
        <v>71</v>
      </c>
      <c r="B10" s="50" t="s">
        <v>102</v>
      </c>
      <c r="C10" s="50" t="s">
        <v>92</v>
      </c>
      <c r="D10" s="51">
        <f>'LUC-2013-01-08-Run2'!AF11</f>
        <v>9.854236723099179E-6</v>
      </c>
      <c r="E10" s="51">
        <f>'LUC-2013-01-08-Run2'!AG11</f>
        <v>9.9823313516283816E-6</v>
      </c>
      <c r="F10" s="51">
        <f>'LUC-2013-01-08-Run2'!AH11</f>
        <v>1.0100376622903003E-5</v>
      </c>
      <c r="G10" s="51">
        <f>'LUC-2013-01-08-Run2'!AI11</f>
        <v>1.0217954371032664E-5</v>
      </c>
      <c r="H10" s="51">
        <f>'LUC-2013-01-08-Run2'!AJ11</f>
        <v>1.0335036222756833E-5</v>
      </c>
      <c r="I10" s="51">
        <f>'LUC-2013-01-08-Run2'!AK11</f>
        <v>1.0451609591361124E-5</v>
      </c>
      <c r="J10" s="51">
        <f>'LUC-2013-01-08-Run2'!AL11</f>
        <v>1.0567721275233579E-5</v>
      </c>
      <c r="K10" s="51">
        <f>'LUC-2013-01-08-Run2'!AM11</f>
        <v>1.0683584645201572E-5</v>
      </c>
      <c r="L10" s="51">
        <f>'LUC-2013-01-08-Run2'!AN11</f>
        <v>1.0799445063931594E-5</v>
      </c>
      <c r="M10" s="51">
        <f>'LUC-2013-01-08-Run2'!AO11</f>
        <v>1.0915504194081234E-5</v>
      </c>
      <c r="N10" s="51">
        <f>'LUC-2013-01-08-Run2'!AP11</f>
        <v>1.1031807456688384E-5</v>
      </c>
      <c r="O10" s="51">
        <f>'LUC-2013-01-08-Run2'!AQ11</f>
        <v>1.1148309525294568E-5</v>
      </c>
      <c r="P10" s="51">
        <f>'LUC-2013-01-08-Run2'!AR11</f>
        <v>1.1264870100794226E-5</v>
      </c>
      <c r="Q10" s="51">
        <f>'LUC-2013-01-08-Run2'!AS11</f>
        <v>1.1381328286422772E-5</v>
      </c>
      <c r="R10" s="51">
        <f>'LUC-2013-01-08-Run2'!AT11</f>
        <v>1.1497512483415883E-5</v>
      </c>
      <c r="S10" s="51">
        <f>'LUC-2013-01-08-Run2'!AU11</f>
        <v>1.1803464369167429E-5</v>
      </c>
      <c r="T10" s="51">
        <f>'LUC-2013-01-08-Run2'!AV11</f>
        <v>1.2071076753421164E-5</v>
      </c>
      <c r="U10" s="51">
        <f>'LUC-2013-01-08-Run2'!AW11</f>
        <v>1.2339032919941119E-5</v>
      </c>
      <c r="V10" s="51">
        <f>'LUC-2013-01-08-Run2'!AX11</f>
        <v>1.2607263023161016E-5</v>
      </c>
      <c r="W10" s="51">
        <f>'LUC-2013-01-08-Run2'!AY11</f>
        <v>1.2875722419325717E-5</v>
      </c>
      <c r="X10" s="51">
        <f>'LUC-2013-01-08-Run2'!AZ11</f>
        <v>1.3144397729442386E-5</v>
      </c>
      <c r="Y10" s="51">
        <f>'LUC-2013-01-08-Run2'!BA11</f>
        <v>1.3413300071319038E-5</v>
      </c>
      <c r="Z10" s="51">
        <f>'LUC-2013-01-08-Run2'!BB11</f>
        <v>1.3682448844595694E-5</v>
      </c>
      <c r="AA10" s="51">
        <f>'LUC-2013-01-08-Run2'!BC11</f>
        <v>1.395188726793054E-5</v>
      </c>
      <c r="AB10" s="51">
        <f>'LUC-2013-01-08-Run2'!BD11</f>
        <v>1.4221622177317089E-5</v>
      </c>
      <c r="AC10" s="51">
        <f>'LUC-2013-01-08-Run2'!BE11</f>
        <v>1.4491643827531894E-5</v>
      </c>
      <c r="AD10" s="51">
        <f>'LUC-2013-01-08-Run2'!BF11</f>
        <v>1.4761924783512753E-5</v>
      </c>
      <c r="AE10" s="51">
        <f>'LUC-2013-01-08-Run2'!BG11</f>
        <v>1.503244380112934E-5</v>
      </c>
      <c r="AF10" s="51">
        <f>'LUC-2013-01-08-Run2'!BH11</f>
        <v>1.5303187831917682E-5</v>
      </c>
      <c r="AG10" s="51">
        <f>'LUC-2013-01-08-Run2'!BI11</f>
        <v>1.557412314738251E-5</v>
      </c>
      <c r="AH10" s="51">
        <f>'LUC-2013-01-08-Run2'!BJ11</f>
        <v>1.5845231954920686E-5</v>
      </c>
      <c r="AI10" s="51">
        <f>'LUC-2013-01-08-Run2'!BK11</f>
        <v>1.6116481807391817E-5</v>
      </c>
      <c r="AJ10" s="51">
        <f>'LUC-2013-01-08-Run2'!BL11</f>
        <v>1.6387846539899619E-5</v>
      </c>
      <c r="AK10" s="51">
        <f>'LUC-2013-01-08-Run2'!BM11</f>
        <v>1.6659294228484215E-5</v>
      </c>
      <c r="AL10" s="51">
        <f>'LUC-2013-01-08-Run2'!BN11</f>
        <v>1.6930804678487053E-5</v>
      </c>
      <c r="AM10" s="51">
        <f>'LUC-2013-01-08-Run2'!BO11</f>
        <v>1.72023400226907E-5</v>
      </c>
      <c r="AN10" s="51">
        <f>'LUC-2013-01-08-Run2'!BP11</f>
        <v>1.7473889524296791E-5</v>
      </c>
      <c r="AO10" s="51">
        <f>'LUC-2013-01-08-Run2'!BQ11</f>
        <v>1.7745421916057434E-5</v>
      </c>
      <c r="AP10" s="51">
        <f>'LUC-2013-01-08-Run2'!BR11</f>
        <v>1.8016930836368059E-5</v>
      </c>
      <c r="AQ10" s="51">
        <f>'LUC-2013-01-08-Run2'!BS11</f>
        <v>1.8288393046038396E-5</v>
      </c>
      <c r="AR10" s="51">
        <f>'LUC-2013-01-08-Run2'!BT11</f>
        <v>1.8537394223131596E-5</v>
      </c>
      <c r="AS10" s="51">
        <f>'LUC-2013-01-08-Run2'!BU11</f>
        <v>1.8786939369484812E-5</v>
      </c>
      <c r="AT10" s="51">
        <f>'LUC-2013-01-08-Run2'!BV11</f>
        <v>1.9037001323926226E-5</v>
      </c>
      <c r="AU10" s="51">
        <f>'LUC-2013-01-08-Run2'!BW11</f>
        <v>1.9287578920227342E-5</v>
      </c>
      <c r="AV10" s="51">
        <f>'LUC-2013-01-08-Run2'!BX11</f>
        <v>1.9538671131323192E-5</v>
      </c>
      <c r="AW10" s="51">
        <f>'LUC-2013-01-08-Run2'!BY11</f>
        <v>1.9790284246013519E-5</v>
      </c>
      <c r="AX10" s="51">
        <f>'LUC-2013-01-08-Run2'!BZ11</f>
        <v>2.0042405273308238E-5</v>
      </c>
      <c r="AY10" s="51">
        <f>'LUC-2013-01-08-Run2'!CA11</f>
        <v>2.0295033898328146E-5</v>
      </c>
      <c r="AZ10" s="51">
        <f>'LUC-2013-01-08-Run2'!CB11</f>
        <v>2.0548156613124433E-5</v>
      </c>
      <c r="BA10" s="51">
        <f>'LUC-2013-01-08-Run2'!CC11</f>
        <v>2.0801758869785672E-5</v>
      </c>
      <c r="BB10" s="51">
        <f>'LUC-2013-01-08-Run2'!CD11</f>
        <v>2.1055828081857568E-5</v>
      </c>
      <c r="BC10" s="51">
        <f>'LUC-2013-01-08-Run2'!CE11</f>
        <v>2.1310346949605758E-5</v>
      </c>
      <c r="BD10" s="51">
        <f>'LUC-2013-01-08-Run2'!CF11</f>
        <v>2.1565314955439615E-5</v>
      </c>
      <c r="BE10" s="51">
        <f>'LUC-2013-01-08-Run2'!CG11</f>
        <v>2.1820723628412651E-5</v>
      </c>
      <c r="BF10" s="51">
        <f>'LUC-2013-01-08-Run2'!CH11</f>
        <v>2.2076567644162625E-5</v>
      </c>
      <c r="BG10" s="51">
        <f>'LUC-2013-01-08-Run2'!CI11</f>
        <v>2.2332826663134236E-5</v>
      </c>
      <c r="BH10" s="51">
        <f>'LUC-2013-01-08-Run2'!CJ11</f>
        <v>2.2589489050445082E-5</v>
      </c>
      <c r="BI10" s="51">
        <f>'LUC-2013-01-08-Run2'!CK11</f>
        <v>2.2846510383298265E-5</v>
      </c>
      <c r="BJ10" s="51">
        <f>'LUC-2013-01-08-Run2'!CL11</f>
        <v>2.3103864648919468E-5</v>
      </c>
      <c r="BK10" s="51">
        <f>'LUC-2013-01-08-Run2'!CM11</f>
        <v>2.336149868724929E-5</v>
      </c>
      <c r="BM10" s="105"/>
      <c r="BN10" s="53" t="s">
        <v>102</v>
      </c>
      <c r="BO10" s="61">
        <f t="shared" si="7"/>
        <v>9.854236723099179</v>
      </c>
      <c r="BP10" s="61">
        <f t="shared" si="0"/>
        <v>10.915504194081233</v>
      </c>
      <c r="BQ10" s="61">
        <f t="shared" si="1"/>
        <v>12.875722419325717</v>
      </c>
      <c r="BR10" s="61">
        <f t="shared" si="2"/>
        <v>15.57412314738251</v>
      </c>
      <c r="BS10" s="61">
        <f t="shared" si="3"/>
        <v>18.288393046038397</v>
      </c>
      <c r="BT10" s="61">
        <f t="shared" si="4"/>
        <v>20.801758869785672</v>
      </c>
      <c r="BU10" s="61">
        <f t="shared" si="5"/>
        <v>23.361498687249291</v>
      </c>
      <c r="BX10" s="96">
        <f t="shared" si="6"/>
        <v>1.0318741746048226</v>
      </c>
      <c r="BZ10" s="97">
        <f>(BK10-'Sce 1 Table'!BK10)/'Sce 1 Table'!BK10</f>
        <v>0.42448162727129829</v>
      </c>
    </row>
    <row r="11" spans="1:80" x14ac:dyDescent="0.25">
      <c r="A11" s="50" t="s">
        <v>71</v>
      </c>
      <c r="B11" s="50" t="s">
        <v>103</v>
      </c>
      <c r="C11" s="50" t="s">
        <v>92</v>
      </c>
      <c r="D11" s="51">
        <f>'LUC-2013-01-08-Run2'!AF12</f>
        <v>2.1546611417777664E-5</v>
      </c>
      <c r="E11" s="51">
        <f>'LUC-2013-01-08-Run2'!AG12</f>
        <v>2.1548776353901259E-5</v>
      </c>
      <c r="F11" s="51">
        <f>'LUC-2013-01-08-Run2'!AH12</f>
        <v>2.1529813843228388E-5</v>
      </c>
      <c r="G11" s="51">
        <f>'LUC-2013-01-08-Run2'!AI12</f>
        <v>2.1511796280261009E-5</v>
      </c>
      <c r="H11" s="51">
        <f>'LUC-2013-01-08-Run2'!AJ12</f>
        <v>2.1494294630538175E-5</v>
      </c>
      <c r="I11" s="51">
        <f>'LUC-2013-01-08-Run2'!AK12</f>
        <v>2.1477258718884035E-5</v>
      </c>
      <c r="J11" s="51">
        <f>'LUC-2013-01-08-Run2'!AL12</f>
        <v>2.1460780711870611E-5</v>
      </c>
      <c r="K11" s="51">
        <f>'LUC-2013-01-08-Run2'!AM12</f>
        <v>2.1445238306112089E-5</v>
      </c>
      <c r="L11" s="51">
        <f>'LUC-2013-01-08-Run2'!AN12</f>
        <v>2.1430974190250699E-5</v>
      </c>
      <c r="M11" s="51">
        <f>'LUC-2013-01-08-Run2'!AO12</f>
        <v>2.1418246228484336E-5</v>
      </c>
      <c r="N11" s="51">
        <f>'LUC-2013-01-08-Run2'!AP12</f>
        <v>2.1406989135757382E-5</v>
      </c>
      <c r="O11" s="51">
        <f>'LUC-2013-01-08-Run2'!AQ12</f>
        <v>2.1396971476561034E-5</v>
      </c>
      <c r="P11" s="51">
        <f>'LUC-2013-01-08-Run2'!AR12</f>
        <v>2.1387819441490876E-5</v>
      </c>
      <c r="Q11" s="51">
        <f>'LUC-2013-01-08-Run2'!AS12</f>
        <v>2.1379160748666734E-5</v>
      </c>
      <c r="R11" s="51">
        <f>'LUC-2013-01-08-Run2'!AT12</f>
        <v>2.1370586114888923E-5</v>
      </c>
      <c r="S11" s="51">
        <f>'LUC-2013-01-08-Run2'!AU12</f>
        <v>2.1564353450623786E-5</v>
      </c>
      <c r="T11" s="51">
        <f>'LUC-2013-01-08-Run2'!AV12</f>
        <v>2.1793341436211772E-5</v>
      </c>
      <c r="U11" s="51">
        <f>'LUC-2013-01-08-Run2'!AW12</f>
        <v>2.2022900015537084E-5</v>
      </c>
      <c r="V11" s="51">
        <f>'LUC-2013-01-08-Run2'!AX12</f>
        <v>2.225291554480102E-5</v>
      </c>
      <c r="W11" s="51">
        <f>'LUC-2013-01-08-Run2'!AY12</f>
        <v>2.248331696163916E-5</v>
      </c>
      <c r="X11" s="51">
        <f>'LUC-2013-01-08-Run2'!AZ12</f>
        <v>2.2714121854788541E-5</v>
      </c>
      <c r="Y11" s="51">
        <f>'LUC-2013-01-08-Run2'!BA12</f>
        <v>2.2945369953573054E-5</v>
      </c>
      <c r="Z11" s="51">
        <f>'LUC-2013-01-08-Run2'!BB12</f>
        <v>2.317716854182256E-5</v>
      </c>
      <c r="AA11" s="51">
        <f>'LUC-2013-01-08-Run2'!BC12</f>
        <v>2.3409714567266966E-5</v>
      </c>
      <c r="AB11" s="51">
        <f>'LUC-2013-01-08-Run2'!BD12</f>
        <v>2.3643118283127092E-5</v>
      </c>
      <c r="AC11" s="51">
        <f>'LUC-2013-01-08-Run2'!BE12</f>
        <v>2.3877389487586614E-5</v>
      </c>
      <c r="AD11" s="51">
        <f>'LUC-2013-01-08-Run2'!BF12</f>
        <v>2.4112490073566627E-5</v>
      </c>
      <c r="AE11" s="51">
        <f>'LUC-2013-01-08-Run2'!BG12</f>
        <v>2.4348441491904624E-5</v>
      </c>
      <c r="AF11" s="51">
        <f>'LUC-2013-01-08-Run2'!BH12</f>
        <v>2.4585313440037396E-5</v>
      </c>
      <c r="AG11" s="51">
        <f>'LUC-2013-01-08-Run2'!BI12</f>
        <v>2.4823070699872917E-5</v>
      </c>
      <c r="AH11" s="51">
        <f>'LUC-2013-01-08-Run2'!BJ12</f>
        <v>2.5061723396556276E-5</v>
      </c>
      <c r="AI11" s="51">
        <f>'LUC-2013-01-08-Run2'!BK12</f>
        <v>2.5301222927894769E-5</v>
      </c>
      <c r="AJ11" s="51">
        <f>'LUC-2013-01-08-Run2'!BL12</f>
        <v>2.5541470402580263E-5</v>
      </c>
      <c r="AK11" s="51">
        <f>'LUC-2013-01-08-Run2'!BM12</f>
        <v>2.5782356869015562E-5</v>
      </c>
      <c r="AL11" s="51">
        <f>'LUC-2013-01-08-Run2'!BN12</f>
        <v>2.602382674911267E-5</v>
      </c>
      <c r="AM11" s="51">
        <f>'LUC-2013-01-08-Run2'!BO12</f>
        <v>2.6265788224911583E-5</v>
      </c>
      <c r="AN11" s="51">
        <f>'LUC-2013-01-08-Run2'!BP12</f>
        <v>2.6508240428606932E-5</v>
      </c>
      <c r="AO11" s="51">
        <f>'LUC-2013-01-08-Run2'!BQ12</f>
        <v>2.6751112796108488E-5</v>
      </c>
      <c r="AP11" s="51">
        <f>'LUC-2013-01-08-Run2'!BR12</f>
        <v>2.6994398843226654E-5</v>
      </c>
      <c r="AQ11" s="51">
        <f>'LUC-2013-01-08-Run2'!BS12</f>
        <v>2.7238015928863178E-5</v>
      </c>
      <c r="AR11" s="51">
        <f>'LUC-2013-01-08-Run2'!BT12</f>
        <v>2.7486278328480859E-5</v>
      </c>
      <c r="AS11" s="51">
        <f>'LUC-2013-01-08-Run2'!BU12</f>
        <v>2.7735066702356564E-5</v>
      </c>
      <c r="AT11" s="51">
        <f>'LUC-2013-01-08-Run2'!BV12</f>
        <v>2.7984373471102214E-5</v>
      </c>
      <c r="AU11" s="51">
        <f>'LUC-2013-01-08-Run2'!BW12</f>
        <v>2.8234185785609252E-5</v>
      </c>
      <c r="AV11" s="51">
        <f>'LUC-2013-01-08-Run2'!BX12</f>
        <v>2.848452661865839E-5</v>
      </c>
      <c r="AW11" s="51">
        <f>'LUC-2013-01-08-Run2'!BY12</f>
        <v>2.8735407812141995E-5</v>
      </c>
      <c r="AX11" s="51">
        <f>'LUC-2013-01-08-Run2'!BZ12</f>
        <v>2.8986784416274045E-5</v>
      </c>
      <c r="AY11" s="51">
        <f>'LUC-2013-01-08-Run2'!CA12</f>
        <v>2.923868910001958E-5</v>
      </c>
      <c r="AZ11" s="51">
        <f>'LUC-2013-01-08-Run2'!CB12</f>
        <v>2.9491106015792109E-5</v>
      </c>
      <c r="BA11" s="51">
        <f>'LUC-2013-01-08-Run2'!CC12</f>
        <v>2.974403013996918E-5</v>
      </c>
      <c r="BB11" s="51">
        <f>'LUC-2013-01-08-Run2'!CD12</f>
        <v>2.9997418547630894E-5</v>
      </c>
      <c r="BC11" s="51">
        <f>'LUC-2013-01-08-Run2'!CE12</f>
        <v>3.0251285972614444E-5</v>
      </c>
      <c r="BD11" s="51">
        <f>'LUC-2013-01-08-Run2'!CF12</f>
        <v>3.0505605048150061E-5</v>
      </c>
      <c r="BE11" s="51">
        <f>'LUC-2013-01-08-Run2'!CG12</f>
        <v>3.0760361503078086E-5</v>
      </c>
      <c r="BF11" s="51">
        <f>'LUC-2013-01-08-Run2'!CH12</f>
        <v>3.1015537929679432E-5</v>
      </c>
      <c r="BG11" s="51">
        <f>'LUC-2013-01-08-Run2'!CI12</f>
        <v>3.1271124426628932E-5</v>
      </c>
      <c r="BH11" s="51">
        <f>'LUC-2013-01-08-Run2'!CJ12</f>
        <v>3.152708507740859E-5</v>
      </c>
      <c r="BI11" s="51">
        <f>'LUC-2013-01-08-Run2'!CK12</f>
        <v>3.1783371020349179E-5</v>
      </c>
      <c r="BJ11" s="51">
        <f>'LUC-2013-01-08-Run2'!CL12</f>
        <v>3.2039952017257924E-5</v>
      </c>
      <c r="BK11" s="51">
        <f>'LUC-2013-01-08-Run2'!CM12</f>
        <v>3.2296747924272995E-5</v>
      </c>
      <c r="BM11" s="105"/>
      <c r="BN11" s="53" t="s">
        <v>103</v>
      </c>
      <c r="BO11" s="61">
        <f t="shared" si="7"/>
        <v>21.546611417777665</v>
      </c>
      <c r="BP11" s="61">
        <f t="shared" si="0"/>
        <v>21.418246228484335</v>
      </c>
      <c r="BQ11" s="61">
        <f t="shared" si="1"/>
        <v>22.483316961639161</v>
      </c>
      <c r="BR11" s="61">
        <f t="shared" si="2"/>
        <v>24.823070699872918</v>
      </c>
      <c r="BS11" s="61">
        <f t="shared" si="3"/>
        <v>27.238015928863177</v>
      </c>
      <c r="BT11" s="61">
        <f t="shared" si="4"/>
        <v>29.74403013996918</v>
      </c>
      <c r="BU11" s="61">
        <f t="shared" si="5"/>
        <v>32.296747924272992</v>
      </c>
      <c r="BW11" s="50">
        <f>(BW12-BV12)/BV12</f>
        <v>0.4551605452248037</v>
      </c>
      <c r="BX11" s="96">
        <f t="shared" si="6"/>
        <v>0.51127104098337273</v>
      </c>
      <c r="BZ11" s="97">
        <f>(BK11-'Sce 1 Table'!BK11)/'Sce 1 Table'!BK11</f>
        <v>-0.21227444087139039</v>
      </c>
    </row>
    <row r="12" spans="1:80" x14ac:dyDescent="0.25">
      <c r="A12" s="50" t="s">
        <v>71</v>
      </c>
      <c r="B12" s="50" t="s">
        <v>104</v>
      </c>
      <c r="C12" s="50" t="s">
        <v>92</v>
      </c>
      <c r="D12" s="51">
        <f>'LUC-2013-01-08-Run2'!AF14</f>
        <v>7.2579400635636128E-5</v>
      </c>
      <c r="E12" s="51">
        <f>'LUC-2013-01-08-Run2'!AG14</f>
        <v>7.2710750357848772E-5</v>
      </c>
      <c r="F12" s="51">
        <f>'LUC-2013-01-08-Run2'!AH14</f>
        <v>7.2835631481469562E-5</v>
      </c>
      <c r="G12" s="51">
        <f>'LUC-2013-01-08-Run2'!AI14</f>
        <v>7.2966844650889425E-5</v>
      </c>
      <c r="H12" s="51">
        <f>'LUC-2013-01-08-Run2'!AJ14</f>
        <v>7.3104359921105733E-5</v>
      </c>
      <c r="I12" s="51">
        <f>'LUC-2013-01-08-Run2'!AK14</f>
        <v>7.3248246864508071E-5</v>
      </c>
      <c r="J12" s="51">
        <f>'LUC-2013-01-08-Run2'!AL14</f>
        <v>7.3398754505103175E-5</v>
      </c>
      <c r="K12" s="51">
        <f>'LUC-2013-01-08-Run2'!AM14</f>
        <v>7.3555626460515322E-5</v>
      </c>
      <c r="L12" s="51">
        <f>'LUC-2013-01-08-Run2'!AN14</f>
        <v>7.3718630250443402E-5</v>
      </c>
      <c r="M12" s="51">
        <f>'LUC-2013-01-08-Run2'!AO14</f>
        <v>7.3887930394828121E-5</v>
      </c>
      <c r="N12" s="51">
        <f>'LUC-2013-01-08-Run2'!AP14</f>
        <v>7.4063048210976443E-5</v>
      </c>
      <c r="O12" s="51">
        <f>'LUC-2013-01-08-Run2'!AQ14</f>
        <v>7.4244147109695115E-5</v>
      </c>
      <c r="P12" s="51">
        <f>'LUC-2013-01-08-Run2'!AR14</f>
        <v>7.4431632375143155E-5</v>
      </c>
      <c r="Q12" s="51">
        <f>'LUC-2013-01-08-Run2'!AS14</f>
        <v>7.4625871636400709E-5</v>
      </c>
      <c r="R12" s="51">
        <f>'LUC-2013-01-08-Run2'!AT14</f>
        <v>7.4827372348252132E-5</v>
      </c>
      <c r="S12" s="51">
        <f>'LUC-2013-01-08-Run2'!AU14</f>
        <v>7.5272799341533807E-5</v>
      </c>
      <c r="T12" s="51">
        <f>'LUC-2013-01-08-Run2'!AV14</f>
        <v>7.5653421761369362E-5</v>
      </c>
      <c r="U12" s="51">
        <f>'LUC-2013-01-08-Run2'!AW14</f>
        <v>7.6040193622583865E-5</v>
      </c>
      <c r="V12" s="51">
        <f>'LUC-2013-01-08-Run2'!AX14</f>
        <v>7.6432190906052539E-5</v>
      </c>
      <c r="W12" s="51">
        <f>'LUC-2013-01-08-Run2'!AY14</f>
        <v>7.6828880354967423E-5</v>
      </c>
      <c r="X12" s="51">
        <f>'LUC-2013-01-08-Run2'!AZ14</f>
        <v>7.7229800876962352E-5</v>
      </c>
      <c r="Y12" s="51">
        <f>'LUC-2013-01-08-Run2'!BA14</f>
        <v>7.7634910652234077E-5</v>
      </c>
      <c r="Z12" s="51">
        <f>'LUC-2013-01-08-Run2'!BB14</f>
        <v>7.8043932027252886E-5</v>
      </c>
      <c r="AA12" s="51">
        <f>'LUC-2013-01-08-Run2'!BC14</f>
        <v>7.8456345254956117E-5</v>
      </c>
      <c r="AB12" s="51">
        <f>'LUC-2013-01-08-Run2'!BD14</f>
        <v>7.8871802407409408E-5</v>
      </c>
      <c r="AC12" s="51">
        <f>'LUC-2013-01-08-Run2'!BE14</f>
        <v>7.9290254340928318E-5</v>
      </c>
      <c r="AD12" s="51">
        <f>'LUC-2013-01-08-Run2'!BF14</f>
        <v>7.9711490722035377E-5</v>
      </c>
      <c r="AE12" s="51">
        <f>'LUC-2013-01-08-Run2'!BG14</f>
        <v>8.0135788621319673E-5</v>
      </c>
      <c r="AF12" s="51">
        <f>'LUC-2013-01-08-Run2'!BH14</f>
        <v>8.0562988302829418E-5</v>
      </c>
      <c r="AG12" s="51">
        <f>'LUC-2013-01-08-Run2'!BI14</f>
        <v>8.0993198348850272E-5</v>
      </c>
      <c r="AH12" s="51">
        <f>'LUC-2013-01-08-Run2'!BJ14</f>
        <v>8.1426526896724929E-5</v>
      </c>
      <c r="AI12" s="51">
        <f>'LUC-2013-01-08-Run2'!BK14</f>
        <v>8.1862876820251466E-5</v>
      </c>
      <c r="AJ12" s="51">
        <f>'LUC-2013-01-08-Run2'!BL14</f>
        <v>8.2302563022349228E-5</v>
      </c>
      <c r="AK12" s="51">
        <f>'LUC-2013-01-08-Run2'!BM14</f>
        <v>8.2745948066426073E-5</v>
      </c>
      <c r="AL12" s="51">
        <f>'LUC-2013-01-08-Run2'!BN14</f>
        <v>8.3193150536952967E-5</v>
      </c>
      <c r="AM12" s="51">
        <f>'LUC-2013-01-08-Run2'!BO14</f>
        <v>8.3644366820044867E-5</v>
      </c>
      <c r="AN12" s="51">
        <f>'LUC-2013-01-08-Run2'!BP14</f>
        <v>8.4099276794272285E-5</v>
      </c>
      <c r="AO12" s="51">
        <f>'LUC-2013-01-08-Run2'!BQ14</f>
        <v>8.4557925721439917E-5</v>
      </c>
      <c r="AP12" s="51">
        <f>'LUC-2013-01-08-Run2'!BR14</f>
        <v>8.5019750842936146E-5</v>
      </c>
      <c r="AQ12" s="51">
        <f>'LUC-2013-01-08-Run2'!BS14</f>
        <v>8.8421503654507531E-5</v>
      </c>
      <c r="AR12" s="51">
        <f>'LUC-2013-01-08-Run2'!BT14</f>
        <v>8.8842393838757668E-5</v>
      </c>
      <c r="AS12" s="51">
        <f>'LUC-2013-01-08-Run2'!BU14</f>
        <v>8.9265303631429454E-5</v>
      </c>
      <c r="AT12" s="51">
        <f>'LUC-2013-01-08-Run2'!BV14</f>
        <v>8.968966968738465E-5</v>
      </c>
      <c r="AU12" s="51">
        <f>'LUC-2013-01-08-Run2'!BW14</f>
        <v>9.0115191424142366E-5</v>
      </c>
      <c r="AV12" s="51">
        <f>'LUC-2013-01-08-Run2'!BX14</f>
        <v>9.0541413440371632E-5</v>
      </c>
      <c r="AW12" s="51">
        <f>'LUC-2013-01-08-Run2'!BY14</f>
        <v>9.0968056296699494E-5</v>
      </c>
      <c r="AX12" s="51">
        <f>'LUC-2013-01-08-Run2'!BZ14</f>
        <v>9.1395259359980312E-5</v>
      </c>
      <c r="AY12" s="51">
        <f>'LUC-2013-01-08-Run2'!CA14</f>
        <v>9.1822763544531668E-5</v>
      </c>
      <c r="AZ12" s="51">
        <f>'LUC-2013-01-08-Run2'!CB14</f>
        <v>9.2250697448126019E-5</v>
      </c>
      <c r="BA12" s="51">
        <f>'LUC-2013-01-08-Run2'!CC14</f>
        <v>9.2678861236957113E-5</v>
      </c>
      <c r="BB12" s="51">
        <f>'LUC-2013-01-08-Run2'!CD14</f>
        <v>9.3107437683878698E-5</v>
      </c>
      <c r="BC12" s="51">
        <f>'LUC-2013-01-08-Run2'!CE14</f>
        <v>9.3536262752496986E-5</v>
      </c>
      <c r="BD12" s="51">
        <f>'LUC-2013-01-08-Run2'!CF14</f>
        <v>9.3965275259047813E-5</v>
      </c>
      <c r="BE12" s="51">
        <f>'LUC-2013-01-08-Run2'!CG14</f>
        <v>9.4394518640761839E-5</v>
      </c>
      <c r="BF12" s="51">
        <f>'LUC-2013-01-08-Run2'!CH14</f>
        <v>9.4823893052683463E-5</v>
      </c>
      <c r="BG12" s="51">
        <f>'LUC-2013-01-08-Run2'!CI14</f>
        <v>9.5253528751421097E-5</v>
      </c>
      <c r="BH12" s="51">
        <f>'LUC-2013-01-08-Run2'!CJ14</f>
        <v>9.5683465522345998E-5</v>
      </c>
      <c r="BI12" s="51">
        <f>'LUC-2013-01-08-Run2'!CK14</f>
        <v>9.611397100395814E-5</v>
      </c>
      <c r="BJ12" s="51">
        <f>'LUC-2013-01-08-Run2'!CL14</f>
        <v>9.6545000653288165E-5</v>
      </c>
      <c r="BK12" s="51">
        <f>'LUC-2013-01-08-Run2'!CM14</f>
        <v>9.6976999883365017E-5</v>
      </c>
      <c r="BM12" s="103"/>
      <c r="BN12" s="54" t="s">
        <v>104</v>
      </c>
      <c r="BO12" s="62">
        <f t="shared" si="7"/>
        <v>72.579400635636134</v>
      </c>
      <c r="BP12" s="62">
        <f t="shared" si="0"/>
        <v>73.887930394828118</v>
      </c>
      <c r="BQ12" s="62">
        <f t="shared" si="1"/>
        <v>76.828880354967424</v>
      </c>
      <c r="BR12" s="62">
        <f t="shared" si="2"/>
        <v>80.993198348850271</v>
      </c>
      <c r="BS12" s="62">
        <f t="shared" si="3"/>
        <v>88.421503654507532</v>
      </c>
      <c r="BT12" s="62">
        <f t="shared" si="4"/>
        <v>92.678861236957118</v>
      </c>
      <c r="BU12" s="62">
        <f t="shared" si="5"/>
        <v>96.976999883365011</v>
      </c>
      <c r="BV12" s="47">
        <f>SUM(BV2:BV6)</f>
        <v>372.17921368693055</v>
      </c>
      <c r="BW12" s="47">
        <f>SUM(BW2:BW6)</f>
        <v>541.58050751001258</v>
      </c>
      <c r="BX12" s="96">
        <f t="shared" si="6"/>
        <v>0.29600969324469761</v>
      </c>
      <c r="BY12" s="96">
        <f>SUM(BX2:BX12)</f>
        <v>6.4597858830756163</v>
      </c>
      <c r="BZ12" s="97">
        <f>(BK12-'Sce 1 Table'!BK12)/'Sce 1 Table'!BK12</f>
        <v>0.301704696421007</v>
      </c>
      <c r="CA12" s="97">
        <f>SUM(BZ2:BZ12)</f>
        <v>1.0237763864633542</v>
      </c>
    </row>
    <row r="13" spans="1:80" x14ac:dyDescent="0.25">
      <c r="BM13" s="104" t="s">
        <v>38</v>
      </c>
      <c r="BN13" s="55" t="s">
        <v>96</v>
      </c>
      <c r="BO13" s="60">
        <f t="shared" ref="BO13:BO23" si="8">D14*1000000</f>
        <v>26.047124150016419</v>
      </c>
      <c r="BP13" s="60">
        <f t="shared" ref="BP13:BP23" si="9">M14*1000000</f>
        <v>25.027577905867933</v>
      </c>
      <c r="BQ13" s="60">
        <f t="shared" ref="BQ13:BQ23" si="10">W14*1000000</f>
        <v>24.612609299800145</v>
      </c>
      <c r="BR13" s="60">
        <f t="shared" ref="BR13:BR23" si="11">AG14*1000000</f>
        <v>24.826489976641632</v>
      </c>
      <c r="BS13" s="60">
        <f t="shared" ref="BS13:BS23" si="12">AQ14*1000000</f>
        <v>25.041135718846558</v>
      </c>
      <c r="BT13" s="60">
        <f t="shared" ref="BT13:BT23" si="13">BA14*1000000</f>
        <v>25.256549263104439</v>
      </c>
      <c r="BU13" s="60">
        <f t="shared" ref="BU13:BU23" si="14">BK14*1000000</f>
        <v>25.472733355894153</v>
      </c>
      <c r="BV13" s="47">
        <f>SUM(M14:M17)*1000000</f>
        <v>280.89504032553498</v>
      </c>
      <c r="BW13" s="47">
        <f>SUM(BU13:BU16)</f>
        <v>359.61704765492402</v>
      </c>
      <c r="BX13" s="96">
        <f t="shared" ref="BX13:BX23" si="15">(BK14-R14)/R14</f>
        <v>4.0616225473341941E-2</v>
      </c>
      <c r="BZ13" s="97">
        <f>(BK14-'Sce 1 Table'!BK14)/'Sce 1 Table'!BK14</f>
        <v>0.14221577494424772</v>
      </c>
    </row>
    <row r="14" spans="1:80" x14ac:dyDescent="0.25">
      <c r="A14" s="50" t="s">
        <v>38</v>
      </c>
      <c r="B14" s="50" t="s">
        <v>96</v>
      </c>
      <c r="C14" s="50" t="s">
        <v>92</v>
      </c>
      <c r="D14" s="51">
        <f>'LUC-2013-01-08-Run2'!AF16</f>
        <v>2.6047124150016419E-5</v>
      </c>
      <c r="E14" s="51">
        <f>'LUC-2013-01-08-Run2'!AG16</f>
        <v>2.5931820509822103E-5</v>
      </c>
      <c r="F14" s="51">
        <f>'LUC-2013-01-08-Run2'!AH16</f>
        <v>2.5817027287951345E-5</v>
      </c>
      <c r="G14" s="51">
        <f>'LUC-2013-01-08-Run2'!AI16</f>
        <v>2.5702742224918969E-5</v>
      </c>
      <c r="H14" s="51">
        <f>'LUC-2013-01-08-Run2'!AJ16</f>
        <v>2.5588963071241946E-5</v>
      </c>
      <c r="I14" s="51">
        <f>'LUC-2013-01-08-Run2'!AK16</f>
        <v>2.5475687587395098E-5</v>
      </c>
      <c r="J14" s="51">
        <f>'LUC-2013-01-08-Run2'!AL16</f>
        <v>2.5362913543767027E-5</v>
      </c>
      <c r="K14" s="51">
        <f>'LUC-2013-01-08-Run2'!AM16</f>
        <v>2.5250638720616227E-5</v>
      </c>
      <c r="L14" s="51">
        <f>'LUC-2013-01-08-Run2'!AN16</f>
        <v>2.5138860908027395E-5</v>
      </c>
      <c r="M14" s="51">
        <f>'LUC-2013-01-08-Run2'!AO16</f>
        <v>2.5027577905867931E-5</v>
      </c>
      <c r="N14" s="51">
        <f>'LUC-2013-01-08-Run2'!AP16</f>
        <v>2.4916787523744632E-5</v>
      </c>
      <c r="O14" s="51">
        <f>'LUC-2013-01-08-Run2'!AQ16</f>
        <v>2.4806487580960574E-5</v>
      </c>
      <c r="P14" s="51">
        <f>'LUC-2013-01-08-Run2'!AR16</f>
        <v>2.4696675906472202E-5</v>
      </c>
      <c r="Q14" s="51">
        <f>'LUC-2013-01-08-Run2'!AS16</f>
        <v>2.4587350338846587E-5</v>
      </c>
      <c r="R14" s="51">
        <f>'LUC-2013-01-08-Run2'!AT16</f>
        <v>2.4478508726218878E-5</v>
      </c>
      <c r="S14" s="51">
        <f>'LUC-2013-01-08-Run2'!AU16</f>
        <v>2.4527270636204891E-5</v>
      </c>
      <c r="T14" s="51">
        <f>'LUC-2013-01-08-Run2'!AV16</f>
        <v>2.4548593876562171E-5</v>
      </c>
      <c r="U14" s="51">
        <f>'LUC-2013-01-08-Run2'!AW16</f>
        <v>2.4569924732133882E-5</v>
      </c>
      <c r="V14" s="51">
        <f>'LUC-2013-01-08-Run2'!AX16</f>
        <v>2.4591263205639672E-5</v>
      </c>
      <c r="W14" s="51">
        <f>'LUC-2013-01-08-Run2'!AY16</f>
        <v>2.4612609299800146E-5</v>
      </c>
      <c r="X14" s="51">
        <f>'LUC-2013-01-08-Run2'!AZ16</f>
        <v>2.4633963017336884E-5</v>
      </c>
      <c r="Y14" s="51">
        <f>'LUC-2013-01-08-Run2'!BA16</f>
        <v>2.4655324360972442E-5</v>
      </c>
      <c r="Z14" s="51">
        <f>'LUC-2013-01-08-Run2'!BB16</f>
        <v>2.467669333343034E-5</v>
      </c>
      <c r="AA14" s="51">
        <f>'LUC-2013-01-08-Run2'!BC16</f>
        <v>2.4698069937435075E-5</v>
      </c>
      <c r="AB14" s="51">
        <f>'LUC-2013-01-08-Run2'!BD16</f>
        <v>2.4719454175712123E-5</v>
      </c>
      <c r="AC14" s="51">
        <f>'LUC-2013-01-08-Run2'!BE16</f>
        <v>2.4740846050987925E-5</v>
      </c>
      <c r="AD14" s="51">
        <f>'LUC-2013-01-08-Run2'!BF16</f>
        <v>2.4762245565989893E-5</v>
      </c>
      <c r="AE14" s="51">
        <f>'LUC-2013-01-08-Run2'!BG16</f>
        <v>2.4783652723446429E-5</v>
      </c>
      <c r="AF14" s="51">
        <f>'LUC-2013-01-08-Run2'!BH16</f>
        <v>2.4805067526086899E-5</v>
      </c>
      <c r="AG14" s="51">
        <f>'LUC-2013-01-08-Run2'!BI16</f>
        <v>2.4826489976641633E-5</v>
      </c>
      <c r="AH14" s="51">
        <f>'LUC-2013-01-08-Run2'!BJ16</f>
        <v>2.4847920077841963E-5</v>
      </c>
      <c r="AI14" s="51">
        <f>'LUC-2013-01-08-Run2'!BK16</f>
        <v>2.4869357832420167E-5</v>
      </c>
      <c r="AJ14" s="51">
        <f>'LUC-2013-01-08-Run2'!BL16</f>
        <v>2.4890803243109515E-5</v>
      </c>
      <c r="AK14" s="51">
        <f>'LUC-2013-01-08-Run2'!BM16</f>
        <v>2.491225631264425E-5</v>
      </c>
      <c r="AL14" s="51">
        <f>'LUC-2013-01-08-Run2'!BN16</f>
        <v>2.49337170437596E-5</v>
      </c>
      <c r="AM14" s="51">
        <f>'LUC-2013-01-08-Run2'!BO16</f>
        <v>2.4955185439191757E-5</v>
      </c>
      <c r="AN14" s="51">
        <f>'LUC-2013-01-08-Run2'!BP16</f>
        <v>2.497666150167789E-5</v>
      </c>
      <c r="AO14" s="51">
        <f>'LUC-2013-01-08-Run2'!BQ16</f>
        <v>2.4998145233956152E-5</v>
      </c>
      <c r="AP14" s="51">
        <f>'LUC-2013-01-08-Run2'!BR16</f>
        <v>2.5019636638765671E-5</v>
      </c>
      <c r="AQ14" s="51">
        <f>'LUC-2013-01-08-Run2'!BS16</f>
        <v>2.5041135718846558E-5</v>
      </c>
      <c r="AR14" s="51">
        <f>'LUC-2013-01-08-Run2'!BT16</f>
        <v>2.5062642476939903E-5</v>
      </c>
      <c r="AS14" s="51">
        <f>'LUC-2013-01-08-Run2'!BU16</f>
        <v>2.5084156915787766E-5</v>
      </c>
      <c r="AT14" s="51">
        <f>'LUC-2013-01-08-Run2'!BV16</f>
        <v>2.5105679038133188E-5</v>
      </c>
      <c r="AU14" s="51">
        <f>'LUC-2013-01-08-Run2'!BW16</f>
        <v>2.5127208846720193E-5</v>
      </c>
      <c r="AV14" s="51">
        <f>'LUC-2013-01-08-Run2'!BX16</f>
        <v>2.5148746344293792E-5</v>
      </c>
      <c r="AW14" s="51">
        <f>'LUC-2013-01-08-Run2'!BY16</f>
        <v>2.5170291533599969E-5</v>
      </c>
      <c r="AX14" s="51">
        <f>'LUC-2013-01-08-Run2'!BZ16</f>
        <v>2.5191844417385685E-5</v>
      </c>
      <c r="AY14" s="51">
        <f>'LUC-2013-01-08-Run2'!CA16</f>
        <v>2.5213404998398886E-5</v>
      </c>
      <c r="AZ14" s="51">
        <f>'LUC-2013-01-08-Run2'!CB16</f>
        <v>2.5234973279388503E-5</v>
      </c>
      <c r="BA14" s="51">
        <f>'LUC-2013-01-08-Run2'!CC16</f>
        <v>2.5256549263104441E-5</v>
      </c>
      <c r="BB14" s="51">
        <f>'LUC-2013-01-08-Run2'!CD16</f>
        <v>2.5278132952297586E-5</v>
      </c>
      <c r="BC14" s="51">
        <f>'LUC-2013-01-08-Run2'!CE16</f>
        <v>2.5299724349719819E-5</v>
      </c>
      <c r="BD14" s="51">
        <f>'LUC-2013-01-08-Run2'!CF16</f>
        <v>2.5321323458123997E-5</v>
      </c>
      <c r="BE14" s="51">
        <f>'LUC-2013-01-08-Run2'!CG16</f>
        <v>2.5342930280263964E-5</v>
      </c>
      <c r="BF14" s="51">
        <f>'LUC-2013-01-08-Run2'!CH16</f>
        <v>2.5364544818894534E-5</v>
      </c>
      <c r="BG14" s="51">
        <f>'LUC-2013-01-08-Run2'!CI16</f>
        <v>2.5386167076771516E-5</v>
      </c>
      <c r="BH14" s="51">
        <f>'LUC-2013-01-08-Run2'!CJ16</f>
        <v>2.5407797056651697E-5</v>
      </c>
      <c r="BI14" s="51">
        <f>'LUC-2013-01-08-Run2'!CK16</f>
        <v>2.5429434761292858E-5</v>
      </c>
      <c r="BJ14" s="51">
        <f>'LUC-2013-01-08-Run2'!CL16</f>
        <v>2.5451080193453763E-5</v>
      </c>
      <c r="BK14" s="51">
        <f>'LUC-2013-01-08-Run2'!CM16</f>
        <v>2.5472733355894152E-5</v>
      </c>
      <c r="BM14" s="102"/>
      <c r="BN14" s="53" t="s">
        <v>97</v>
      </c>
      <c r="BO14" s="61">
        <f t="shared" si="8"/>
        <v>201</v>
      </c>
      <c r="BP14" s="61">
        <f t="shared" si="9"/>
        <v>201.6</v>
      </c>
      <c r="BQ14" s="61">
        <f t="shared" si="10"/>
        <v>207.40500000000009</v>
      </c>
      <c r="BR14" s="61">
        <f t="shared" si="11"/>
        <v>220.67583333333343</v>
      </c>
      <c r="BS14" s="61">
        <f t="shared" si="12"/>
        <v>233.94666666666686</v>
      </c>
      <c r="BT14" s="61">
        <f t="shared" si="13"/>
        <v>242.5216666666669</v>
      </c>
      <c r="BU14" s="61">
        <f t="shared" si="14"/>
        <v>251.09666666666683</v>
      </c>
      <c r="BX14" s="96">
        <f t="shared" si="15"/>
        <v>0.24346318917134452</v>
      </c>
      <c r="BZ14" s="97">
        <f>(BK15-'Sce 1 Table'!BK15)/'Sce 1 Table'!BK15</f>
        <v>0.80645083932853845</v>
      </c>
    </row>
    <row r="15" spans="1:80" x14ac:dyDescent="0.25">
      <c r="A15" s="50" t="s">
        <v>38</v>
      </c>
      <c r="B15" s="50" t="s">
        <v>97</v>
      </c>
      <c r="C15" s="50" t="s">
        <v>92</v>
      </c>
      <c r="D15" s="51">
        <f>'LUC-2013-01-08-Run2'!AF17</f>
        <v>2.0100000000000001E-4</v>
      </c>
      <c r="E15" s="51">
        <f>'LUC-2013-01-08-Run2'!AG17</f>
        <v>2.0106666666666668E-4</v>
      </c>
      <c r="F15" s="51">
        <f>'LUC-2013-01-08-Run2'!AH17</f>
        <v>2.0113333333333333E-4</v>
      </c>
      <c r="G15" s="51">
        <f>'LUC-2013-01-08-Run2'!AI17</f>
        <v>2.0120000000000001E-4</v>
      </c>
      <c r="H15" s="51">
        <f>'LUC-2013-01-08-Run2'!AJ17</f>
        <v>2.0126666666666666E-4</v>
      </c>
      <c r="I15" s="51">
        <f>'LUC-2013-01-08-Run2'!AK17</f>
        <v>2.0133333333333334E-4</v>
      </c>
      <c r="J15" s="51">
        <f>'LUC-2013-01-08-Run2'!AL17</f>
        <v>2.0140000000000002E-4</v>
      </c>
      <c r="K15" s="51">
        <f>'LUC-2013-01-08-Run2'!AM17</f>
        <v>2.0146666666666667E-4</v>
      </c>
      <c r="L15" s="51">
        <f>'LUC-2013-01-08-Run2'!AN17</f>
        <v>2.0153333333333334E-4</v>
      </c>
      <c r="M15" s="51">
        <f>'LUC-2013-01-08-Run2'!AO17</f>
        <v>2.0159999999999999E-4</v>
      </c>
      <c r="N15" s="51">
        <f>'LUC-2013-01-08-Run2'!AP17</f>
        <v>2.0166666666666667E-4</v>
      </c>
      <c r="O15" s="51">
        <f>'LUC-2013-01-08-Run2'!AQ17</f>
        <v>2.0173333333333335E-4</v>
      </c>
      <c r="P15" s="51">
        <f>'LUC-2013-01-08-Run2'!AR17</f>
        <v>2.018E-4</v>
      </c>
      <c r="Q15" s="51">
        <f>'LUC-2013-01-08-Run2'!AS17</f>
        <v>2.0186666666666668E-4</v>
      </c>
      <c r="R15" s="51">
        <f>'LUC-2013-01-08-Run2'!AT17</f>
        <v>2.0193333333333333E-4</v>
      </c>
      <c r="S15" s="51">
        <f>'LUC-2013-01-08-Run2'!AU17</f>
        <v>2.0209666666666669E-4</v>
      </c>
      <c r="T15" s="51">
        <f>'LUC-2013-01-08-Run2'!AV17</f>
        <v>2.0342375000000006E-4</v>
      </c>
      <c r="U15" s="51">
        <f>'LUC-2013-01-08-Run2'!AW17</f>
        <v>2.0475083333333335E-4</v>
      </c>
      <c r="V15" s="51">
        <f>'LUC-2013-01-08-Run2'!AX17</f>
        <v>2.0607791666666671E-4</v>
      </c>
      <c r="W15" s="51">
        <f>'LUC-2013-01-08-Run2'!AY17</f>
        <v>2.0740500000000008E-4</v>
      </c>
      <c r="X15" s="51">
        <f>'LUC-2013-01-08-Run2'!AZ17</f>
        <v>2.0873208333333336E-4</v>
      </c>
      <c r="Y15" s="51">
        <f>'LUC-2013-01-08-Run2'!BA17</f>
        <v>2.1005916666666673E-4</v>
      </c>
      <c r="Z15" s="51">
        <f>'LUC-2013-01-08-Run2'!BB17</f>
        <v>2.113862500000001E-4</v>
      </c>
      <c r="AA15" s="51">
        <f>'LUC-2013-01-08-Run2'!BC17</f>
        <v>2.1271333333333338E-4</v>
      </c>
      <c r="AB15" s="51">
        <f>'LUC-2013-01-08-Run2'!BD17</f>
        <v>2.1404041666666675E-4</v>
      </c>
      <c r="AC15" s="51">
        <f>'LUC-2013-01-08-Run2'!BE17</f>
        <v>2.1536750000000012E-4</v>
      </c>
      <c r="AD15" s="51">
        <f>'LUC-2013-01-08-Run2'!BF17</f>
        <v>2.166945833333334E-4</v>
      </c>
      <c r="AE15" s="51">
        <f>'LUC-2013-01-08-Run2'!BG17</f>
        <v>2.1802166666666677E-4</v>
      </c>
      <c r="AF15" s="51">
        <f>'LUC-2013-01-08-Run2'!BH17</f>
        <v>2.1934875000000013E-4</v>
      </c>
      <c r="AG15" s="51">
        <f>'LUC-2013-01-08-Run2'!BI17</f>
        <v>2.2067583333333342E-4</v>
      </c>
      <c r="AH15" s="51">
        <f>'LUC-2013-01-08-Run2'!BJ17</f>
        <v>2.2200291666666679E-4</v>
      </c>
      <c r="AI15" s="51">
        <f>'LUC-2013-01-08-Run2'!BK17</f>
        <v>2.2333000000000015E-4</v>
      </c>
      <c r="AJ15" s="51">
        <f>'LUC-2013-01-08-Run2'!BL17</f>
        <v>2.2465708333333344E-4</v>
      </c>
      <c r="AK15" s="51">
        <f>'LUC-2013-01-08-Run2'!BM17</f>
        <v>2.2598416666666681E-4</v>
      </c>
      <c r="AL15" s="51">
        <f>'LUC-2013-01-08-Run2'!BN17</f>
        <v>2.2731125000000017E-4</v>
      </c>
      <c r="AM15" s="51">
        <f>'LUC-2013-01-08-Run2'!BO17</f>
        <v>2.2863833333333346E-4</v>
      </c>
      <c r="AN15" s="51">
        <f>'LUC-2013-01-08-Run2'!BP17</f>
        <v>2.2996541666666682E-4</v>
      </c>
      <c r="AO15" s="51">
        <f>'LUC-2013-01-08-Run2'!BQ17</f>
        <v>2.3129250000000019E-4</v>
      </c>
      <c r="AP15" s="51">
        <f>'LUC-2013-01-08-Run2'!BR17</f>
        <v>2.3261958333333348E-4</v>
      </c>
      <c r="AQ15" s="51">
        <f>'LUC-2013-01-08-Run2'!BS17</f>
        <v>2.3394666666666684E-4</v>
      </c>
      <c r="AR15" s="51">
        <f>'LUC-2013-01-08-Run2'!BT17</f>
        <v>2.3480416666666687E-4</v>
      </c>
      <c r="AS15" s="51">
        <f>'LUC-2013-01-08-Run2'!BU17</f>
        <v>2.3566166666666682E-4</v>
      </c>
      <c r="AT15" s="51">
        <f>'LUC-2013-01-08-Run2'!BV17</f>
        <v>2.3651916666666685E-4</v>
      </c>
      <c r="AU15" s="51">
        <f>'LUC-2013-01-08-Run2'!BW17</f>
        <v>2.3737666666666688E-4</v>
      </c>
      <c r="AV15" s="51">
        <f>'LUC-2013-01-08-Run2'!BX17</f>
        <v>2.3823416666666683E-4</v>
      </c>
      <c r="AW15" s="51">
        <f>'LUC-2013-01-08-Run2'!BY17</f>
        <v>2.3909166666666686E-4</v>
      </c>
      <c r="AX15" s="51">
        <f>'LUC-2013-01-08-Run2'!BZ17</f>
        <v>2.3994916666666689E-4</v>
      </c>
      <c r="AY15" s="51">
        <f>'LUC-2013-01-08-Run2'!CA17</f>
        <v>2.4080666666666692E-4</v>
      </c>
      <c r="AZ15" s="51">
        <f>'LUC-2013-01-08-Run2'!CB17</f>
        <v>2.4166416666666687E-4</v>
      </c>
      <c r="BA15" s="51">
        <f>'LUC-2013-01-08-Run2'!CC17</f>
        <v>2.425216666666669E-4</v>
      </c>
      <c r="BB15" s="51">
        <f>'LUC-2013-01-08-Run2'!CD17</f>
        <v>2.4337916666666693E-4</v>
      </c>
      <c r="BC15" s="51">
        <f>'LUC-2013-01-08-Run2'!CE17</f>
        <v>2.4423666666666691E-4</v>
      </c>
      <c r="BD15" s="51">
        <f>'LUC-2013-01-08-Run2'!CF17</f>
        <v>2.4509416666666691E-4</v>
      </c>
      <c r="BE15" s="51">
        <f>'LUC-2013-01-08-Run2'!CG17</f>
        <v>2.4595166666666692E-4</v>
      </c>
      <c r="BF15" s="51">
        <f>'LUC-2013-01-08-Run2'!CH17</f>
        <v>2.4680916666666692E-4</v>
      </c>
      <c r="BG15" s="51">
        <f>'LUC-2013-01-08-Run2'!CI17</f>
        <v>2.4766666666666687E-4</v>
      </c>
      <c r="BH15" s="51">
        <f>'LUC-2013-01-08-Run2'!CJ17</f>
        <v>2.4852416666666687E-4</v>
      </c>
      <c r="BI15" s="51">
        <f>'LUC-2013-01-08-Run2'!CK17</f>
        <v>2.4938166666666687E-4</v>
      </c>
      <c r="BJ15" s="51">
        <f>'LUC-2013-01-08-Run2'!CL17</f>
        <v>2.5023916666666682E-4</v>
      </c>
      <c r="BK15" s="51">
        <f>'LUC-2013-01-08-Run2'!CM17</f>
        <v>2.5109666666666683E-4</v>
      </c>
      <c r="BM15" s="102"/>
      <c r="BN15" s="53" t="s">
        <v>95</v>
      </c>
      <c r="BO15" s="61">
        <f t="shared" si="8"/>
        <v>31.090007506599417</v>
      </c>
      <c r="BP15" s="61">
        <f t="shared" si="9"/>
        <v>32.23196487380563</v>
      </c>
      <c r="BQ15" s="61">
        <f t="shared" si="10"/>
        <v>33.532021269465524</v>
      </c>
      <c r="BR15" s="61">
        <f t="shared" si="11"/>
        <v>34.347829876898324</v>
      </c>
      <c r="BS15" s="61">
        <f t="shared" si="12"/>
        <v>35.171833379861368</v>
      </c>
      <c r="BT15" s="61">
        <f t="shared" si="13"/>
        <v>36.004114097065312</v>
      </c>
      <c r="BU15" s="61">
        <f t="shared" si="14"/>
        <v>36.844755174122234</v>
      </c>
      <c r="BX15" s="96">
        <f t="shared" si="15"/>
        <v>0.12043221191572157</v>
      </c>
      <c r="BZ15" s="97">
        <f>(BK16-'Sce 1 Table'!BK16)/'Sce 1 Table'!BK16</f>
        <v>3.0722279687310318E-2</v>
      </c>
      <c r="CB15" s="47">
        <f>BU16+BU15+BU13</f>
        <v>108.52038098825719</v>
      </c>
    </row>
    <row r="16" spans="1:80" x14ac:dyDescent="0.25">
      <c r="A16" s="50" t="s">
        <v>38</v>
      </c>
      <c r="B16" s="50" t="s">
        <v>95</v>
      </c>
      <c r="C16" s="50" t="s">
        <v>92</v>
      </c>
      <c r="D16" s="51">
        <f>'LUC-2013-01-08-Run2'!AF18</f>
        <v>3.1090007506599416E-5</v>
      </c>
      <c r="E16" s="51">
        <f>'LUC-2013-01-08-Run2'!AG18</f>
        <v>3.1214866974497405E-5</v>
      </c>
      <c r="F16" s="51">
        <f>'LUC-2013-01-08-Run2'!AH18</f>
        <v>3.1340227886041568E-5</v>
      </c>
      <c r="G16" s="51">
        <f>'LUC-2013-01-08-Run2'!AI18</f>
        <v>3.1466092255061819E-5</v>
      </c>
      <c r="H16" s="51">
        <f>'LUC-2013-01-08-Run2'!AJ18</f>
        <v>3.1592462103475722E-5</v>
      </c>
      <c r="I16" s="51">
        <f>'LUC-2013-01-08-Run2'!AK18</f>
        <v>3.1719339461321004E-5</v>
      </c>
      <c r="J16" s="51">
        <f>'LUC-2013-01-08-Run2'!AL18</f>
        <v>3.1846726366788155E-5</v>
      </c>
      <c r="K16" s="51">
        <f>'LUC-2013-01-08-Run2'!AM18</f>
        <v>3.1974624866253171E-5</v>
      </c>
      <c r="L16" s="51">
        <f>'LUC-2013-01-08-Run2'!AN18</f>
        <v>3.2103037014310414E-5</v>
      </c>
      <c r="M16" s="51">
        <f>'LUC-2013-01-08-Run2'!AO18</f>
        <v>3.2231964873805633E-5</v>
      </c>
      <c r="N16" s="51">
        <f>'LUC-2013-01-08-Run2'!AP18</f>
        <v>3.2361410515869112E-5</v>
      </c>
      <c r="O16" s="51">
        <f>'LUC-2013-01-08-Run2'!AQ18</f>
        <v>3.2491376019948906E-5</v>
      </c>
      <c r="P16" s="51">
        <f>'LUC-2013-01-08-Run2'!AR18</f>
        <v>3.2621863473844284E-5</v>
      </c>
      <c r="Q16" s="51">
        <f>'LUC-2013-01-08-Run2'!AS18</f>
        <v>3.2752874973739242E-5</v>
      </c>
      <c r="R16" s="51">
        <f>'LUC-2013-01-08-Run2'!AT18</f>
        <v>3.288441262423619E-5</v>
      </c>
      <c r="S16" s="51">
        <f>'LUC-2013-01-08-Run2'!AU18</f>
        <v>3.3207974113912413E-5</v>
      </c>
      <c r="T16" s="51">
        <f>'LUC-2013-01-08-Run2'!AV18</f>
        <v>3.3288864486331462E-5</v>
      </c>
      <c r="U16" s="51">
        <f>'LUC-2013-01-08-Run2'!AW18</f>
        <v>3.3369835749122934E-5</v>
      </c>
      <c r="V16" s="51">
        <f>'LUC-2013-01-08-Run2'!AX18</f>
        <v>3.3450887983177203E-5</v>
      </c>
      <c r="W16" s="51">
        <f>'LUC-2013-01-08-Run2'!AY18</f>
        <v>3.3532021269465522E-5</v>
      </c>
      <c r="X16" s="51">
        <f>'LUC-2013-01-08-Run2'!AZ18</f>
        <v>3.3613235689040128E-5</v>
      </c>
      <c r="Y16" s="51">
        <f>'LUC-2013-01-08-Run2'!BA18</f>
        <v>3.3694531323034302E-5</v>
      </c>
      <c r="Z16" s="51">
        <f>'LUC-2013-01-08-Run2'!BB18</f>
        <v>3.3775908252662486E-5</v>
      </c>
      <c r="AA16" s="51">
        <f>'LUC-2013-01-08-Run2'!BC18</f>
        <v>3.3857366559220299E-5</v>
      </c>
      <c r="AB16" s="51">
        <f>'LUC-2013-01-08-Run2'!BD18</f>
        <v>3.3938906324084656E-5</v>
      </c>
      <c r="AC16" s="51">
        <f>'LUC-2013-01-08-Run2'!BE18</f>
        <v>3.4020527628713876E-5</v>
      </c>
      <c r="AD16" s="51">
        <f>'LUC-2013-01-08-Run2'!BF18</f>
        <v>3.4102230554647727E-5</v>
      </c>
      <c r="AE16" s="51">
        <f>'LUC-2013-01-08-Run2'!BG18</f>
        <v>3.4184015183507524E-5</v>
      </c>
      <c r="AF16" s="51">
        <f>'LUC-2013-01-08-Run2'!BH18</f>
        <v>3.4265881596996182E-5</v>
      </c>
      <c r="AG16" s="51">
        <f>'LUC-2013-01-08-Run2'!BI18</f>
        <v>3.4347829876898322E-5</v>
      </c>
      <c r="AH16" s="51">
        <f>'LUC-2013-01-08-Run2'!BJ18</f>
        <v>3.4429860105080371E-5</v>
      </c>
      <c r="AI16" s="51">
        <f>'LUC-2013-01-08-Run2'!BK18</f>
        <v>3.4511972363490597E-5</v>
      </c>
      <c r="AJ16" s="51">
        <f>'LUC-2013-01-08-Run2'!BL18</f>
        <v>3.4594166734159236E-5</v>
      </c>
      <c r="AK16" s="51">
        <f>'LUC-2013-01-08-Run2'!BM18</f>
        <v>3.4676443299198535E-5</v>
      </c>
      <c r="AL16" s="51">
        <f>'LUC-2013-01-08-Run2'!BN18</f>
        <v>3.4758802140802879E-5</v>
      </c>
      <c r="AM16" s="51">
        <f>'LUC-2013-01-08-Run2'!BO18</f>
        <v>3.4841243341248831E-5</v>
      </c>
      <c r="AN16" s="51">
        <f>'LUC-2013-01-08-Run2'!BP18</f>
        <v>3.4923766982895216E-5</v>
      </c>
      <c r="AO16" s="51">
        <f>'LUC-2013-01-08-Run2'!BQ18</f>
        <v>3.5006373148183261E-5</v>
      </c>
      <c r="AP16" s="51">
        <f>'LUC-2013-01-08-Run2'!BR18</f>
        <v>3.5089061919636589E-5</v>
      </c>
      <c r="AQ16" s="51">
        <f>'LUC-2013-01-08-Run2'!BS18</f>
        <v>3.5171833379861369E-5</v>
      </c>
      <c r="AR16" s="51">
        <f>'LUC-2013-01-08-Run2'!BT18</f>
        <v>3.5254687611546367E-5</v>
      </c>
      <c r="AS16" s="51">
        <f>'LUC-2013-01-08-Run2'!BU18</f>
        <v>3.5337624697463061E-5</v>
      </c>
      <c r="AT16" s="51">
        <f>'LUC-2013-01-08-Run2'!BV18</f>
        <v>3.5420644720465657E-5</v>
      </c>
      <c r="AU16" s="51">
        <f>'LUC-2013-01-08-Run2'!BW18</f>
        <v>3.5503747763491259E-5</v>
      </c>
      <c r="AV16" s="51">
        <f>'LUC-2013-01-08-Run2'!BX18</f>
        <v>3.5586933909559896E-5</v>
      </c>
      <c r="AW16" s="51">
        <f>'LUC-2013-01-08-Run2'!BY18</f>
        <v>3.5670203241774602E-5</v>
      </c>
      <c r="AX16" s="51">
        <f>'LUC-2013-01-08-Run2'!BZ18</f>
        <v>3.575355584332152E-5</v>
      </c>
      <c r="AY16" s="51">
        <f>'LUC-2013-01-08-Run2'!CA18</f>
        <v>3.5836991797469985E-5</v>
      </c>
      <c r="AZ16" s="51">
        <f>'LUC-2013-01-08-Run2'!CB18</f>
        <v>3.5920511187572593E-5</v>
      </c>
      <c r="BA16" s="51">
        <f>'LUC-2013-01-08-Run2'!CC18</f>
        <v>3.6004114097065308E-5</v>
      </c>
      <c r="BB16" s="51">
        <f>'LUC-2013-01-08-Run2'!CD18</f>
        <v>3.6087800609467511E-5</v>
      </c>
      <c r="BC16" s="51">
        <f>'LUC-2013-01-08-Run2'!CE18</f>
        <v>3.6171570808382118E-5</v>
      </c>
      <c r="BD16" s="51">
        <f>'LUC-2013-01-08-Run2'!CF18</f>
        <v>3.6255424777495646E-5</v>
      </c>
      <c r="BE16" s="51">
        <f>'LUC-2013-01-08-Run2'!CG18</f>
        <v>3.6339362600578278E-5</v>
      </c>
      <c r="BF16" s="51">
        <f>'LUC-2013-01-08-Run2'!CH18</f>
        <v>3.6423384361484006E-5</v>
      </c>
      <c r="BG16" s="51">
        <f>'LUC-2013-01-08-Run2'!CI18</f>
        <v>3.6507490144150623E-5</v>
      </c>
      <c r="BH16" s="51">
        <f>'LUC-2013-01-08-Run2'!CJ18</f>
        <v>3.6591680032599916E-5</v>
      </c>
      <c r="BI16" s="51">
        <f>'LUC-2013-01-08-Run2'!CK18</f>
        <v>3.6675954110937653E-5</v>
      </c>
      <c r="BJ16" s="51">
        <f>'LUC-2013-01-08-Run2'!CL18</f>
        <v>3.6760312463353728E-5</v>
      </c>
      <c r="BK16" s="51">
        <f>'LUC-2013-01-08-Run2'!CM18</f>
        <v>3.6844755174122232E-5</v>
      </c>
      <c r="BM16" s="102"/>
      <c r="BN16" s="53" t="s">
        <v>98</v>
      </c>
      <c r="BO16" s="61">
        <f t="shared" si="8"/>
        <v>19.058062501626264</v>
      </c>
      <c r="BP16" s="61">
        <f t="shared" si="9"/>
        <v>22.035497545861407</v>
      </c>
      <c r="BQ16" s="61">
        <f t="shared" si="10"/>
        <v>26.520586503409294</v>
      </c>
      <c r="BR16" s="61">
        <f t="shared" si="11"/>
        <v>30.938874918665931</v>
      </c>
      <c r="BS16" s="61">
        <f t="shared" si="12"/>
        <v>35.676369952265183</v>
      </c>
      <c r="BT16" s="61">
        <f t="shared" si="13"/>
        <v>40.756133218935943</v>
      </c>
      <c r="BU16" s="61">
        <f t="shared" si="14"/>
        <v>46.202892458240804</v>
      </c>
      <c r="BX16" s="96">
        <f t="shared" si="15"/>
        <v>0.93429093209294678</v>
      </c>
      <c r="BZ16" s="97">
        <f>(BK17-'Sce 1 Table'!BK17)/'Sce 1 Table'!BK17</f>
        <v>0.41403920416068413</v>
      </c>
    </row>
    <row r="17" spans="1:79" x14ac:dyDescent="0.25">
      <c r="A17" s="50" t="s">
        <v>38</v>
      </c>
      <c r="B17" s="50" t="s">
        <v>98</v>
      </c>
      <c r="C17" s="50" t="s">
        <v>92</v>
      </c>
      <c r="D17" s="51">
        <f>'LUC-2013-01-08-Run2'!AF19</f>
        <v>1.9058062501626263E-5</v>
      </c>
      <c r="E17" s="51">
        <f>'LUC-2013-01-08-Run2'!AG19</f>
        <v>1.9367949696774658E-5</v>
      </c>
      <c r="F17" s="51">
        <f>'LUC-2013-01-08-Run2'!AH19</f>
        <v>1.9682875708104327E-5</v>
      </c>
      <c r="G17" s="51">
        <f>'LUC-2013-01-08-Run2'!AI19</f>
        <v>2.0002922467585699E-5</v>
      </c>
      <c r="H17" s="51">
        <f>'LUC-2013-01-08-Run2'!AJ19</f>
        <v>2.0328173239416362E-5</v>
      </c>
      <c r="I17" s="51">
        <f>'LUC-2013-01-08-Run2'!AK19</f>
        <v>2.0658712641683296E-5</v>
      </c>
      <c r="J17" s="51">
        <f>'LUC-2013-01-08-Run2'!AL19</f>
        <v>2.0994626668377332E-5</v>
      </c>
      <c r="K17" s="51">
        <f>'LUC-2013-01-08-Run2'!AM19</f>
        <v>2.1336002711765583E-5</v>
      </c>
      <c r="L17" s="51">
        <f>'LUC-2013-01-08-Run2'!AN19</f>
        <v>2.1682929585127624E-5</v>
      </c>
      <c r="M17" s="51">
        <f>'LUC-2013-01-08-Run2'!AO19</f>
        <v>2.2035497545861405E-5</v>
      </c>
      <c r="N17" s="51">
        <f>'LUC-2013-01-08-Run2'!AP19</f>
        <v>2.2393798318964842E-5</v>
      </c>
      <c r="O17" s="51">
        <f>'LUC-2013-01-08-Run2'!AQ19</f>
        <v>2.2757925120899231E-5</v>
      </c>
      <c r="P17" s="51">
        <f>'LUC-2013-01-08-Run2'!AR19</f>
        <v>2.3127972683840682E-5</v>
      </c>
      <c r="Q17" s="51">
        <f>'LUC-2013-01-08-Run2'!AS19</f>
        <v>2.3504037280325898E-5</v>
      </c>
      <c r="R17" s="51">
        <f>'LUC-2013-01-08-Run2'!AT19</f>
        <v>2.3886216748298676E-5</v>
      </c>
      <c r="S17" s="51">
        <f>'LUC-2013-01-08-Run2'!AU19</f>
        <v>2.483778148054797E-5</v>
      </c>
      <c r="T17" s="51">
        <f>'LUC-2013-01-08-Run2'!AV19</f>
        <v>2.5254091050907037E-5</v>
      </c>
      <c r="U17" s="51">
        <f>'LUC-2013-01-08-Run2'!AW19</f>
        <v>2.5673314788258621E-5</v>
      </c>
      <c r="V17" s="51">
        <f>'LUC-2013-01-08-Run2'!AX19</f>
        <v>2.6095473091771663E-5</v>
      </c>
      <c r="W17" s="51">
        <f>'LUC-2013-01-08-Run2'!AY19</f>
        <v>2.6520586503409295E-5</v>
      </c>
      <c r="X17" s="51">
        <f>'LUC-2013-01-08-Run2'!AZ19</f>
        <v>2.6948675708928396E-5</v>
      </c>
      <c r="Y17" s="51">
        <f>'LUC-2013-01-08-Run2'!BA19</f>
        <v>2.737976153888613E-5</v>
      </c>
      <c r="Z17" s="51">
        <f>'LUC-2013-01-08-Run2'!BB19</f>
        <v>2.7813864969653563E-5</v>
      </c>
      <c r="AA17" s="51">
        <f>'LUC-2013-01-08-Run2'!BC19</f>
        <v>2.8251007124436367E-5</v>
      </c>
      <c r="AB17" s="51">
        <f>'LUC-2013-01-08-Run2'!BD19</f>
        <v>2.8691209274302657E-5</v>
      </c>
      <c r="AC17" s="51">
        <f>'LUC-2013-01-08-Run2'!BE19</f>
        <v>2.9134492839218006E-5</v>
      </c>
      <c r="AD17" s="51">
        <f>'LUC-2013-01-08-Run2'!BF19</f>
        <v>2.9580879389087765E-5</v>
      </c>
      <c r="AE17" s="51">
        <f>'LUC-2013-01-08-Run2'!BG19</f>
        <v>3.0030390644806612E-5</v>
      </c>
      <c r="AF17" s="51">
        <f>'LUC-2013-01-08-Run2'!BH19</f>
        <v>3.0483048479315491E-5</v>
      </c>
      <c r="AG17" s="51">
        <f>'LUC-2013-01-08-Run2'!BI19</f>
        <v>3.0938874918665932E-5</v>
      </c>
      <c r="AH17" s="51">
        <f>'LUC-2013-01-08-Run2'!BJ19</f>
        <v>3.1397892143091828E-5</v>
      </c>
      <c r="AI17" s="51">
        <f>'LUC-2013-01-08-Run2'!BK19</f>
        <v>3.1860122488088699E-5</v>
      </c>
      <c r="AJ17" s="51">
        <f>'LUC-2013-01-08-Run2'!BL19</f>
        <v>3.2325588445500551E-5</v>
      </c>
      <c r="AK17" s="51">
        <f>'LUC-2013-01-08-Run2'!BM19</f>
        <v>3.279431266461429E-5</v>
      </c>
      <c r="AL17" s="51">
        <f>'LUC-2013-01-08-Run2'!BN19</f>
        <v>3.3266317953261819E-5</v>
      </c>
      <c r="AM17" s="51">
        <f>'LUC-2013-01-08-Run2'!BO19</f>
        <v>3.3741627278929884E-5</v>
      </c>
      <c r="AN17" s="51">
        <f>'LUC-2013-01-08-Run2'!BP19</f>
        <v>3.4220263769877625E-5</v>
      </c>
      <c r="AO17" s="51">
        <f>'LUC-2013-01-08-Run2'!BQ19</f>
        <v>3.4702250716261995E-5</v>
      </c>
      <c r="AP17" s="51">
        <f>'LUC-2013-01-08-Run2'!BR19</f>
        <v>3.5187611571271056E-5</v>
      </c>
      <c r="AQ17" s="51">
        <f>'LUC-2013-01-08-Run2'!BS19</f>
        <v>3.5676369952265181E-5</v>
      </c>
      <c r="AR17" s="51">
        <f>'LUC-2013-01-08-Run2'!BT19</f>
        <v>3.6168549641926262E-5</v>
      </c>
      <c r="AS17" s="51">
        <f>'LUC-2013-01-08-Run2'!BU19</f>
        <v>3.6664174589414974E-5</v>
      </c>
      <c r="AT17" s="51">
        <f>'LUC-2013-01-08-Run2'!BV19</f>
        <v>3.7163268911536108E-5</v>
      </c>
      <c r="AU17" s="51">
        <f>'LUC-2013-01-08-Run2'!BW19</f>
        <v>3.7665856893912095E-5</v>
      </c>
      <c r="AV17" s="51">
        <f>'LUC-2013-01-08-Run2'!BX19</f>
        <v>3.8171962992164707E-5</v>
      </c>
      <c r="AW17" s="51">
        <f>'LUC-2013-01-08-Run2'!BY19</f>
        <v>3.8681611833105085E-5</v>
      </c>
      <c r="AX17" s="51">
        <f>'LUC-2013-01-08-Run2'!BZ19</f>
        <v>3.9194828215932059E-5</v>
      </c>
      <c r="AY17" s="51">
        <f>'LUC-2013-01-08-Run2'!CA19</f>
        <v>3.9711637113438815E-5</v>
      </c>
      <c r="AZ17" s="51">
        <f>'LUC-2013-01-08-Run2'!CB19</f>
        <v>4.0232063673228111E-5</v>
      </c>
      <c r="BA17" s="51">
        <f>'LUC-2013-01-08-Run2'!CC19</f>
        <v>4.0756133218935944E-5</v>
      </c>
      <c r="BB17" s="51">
        <f>'LUC-2013-01-08-Run2'!CD19</f>
        <v>4.128387125146372E-5</v>
      </c>
      <c r="BC17" s="51">
        <f>'LUC-2013-01-08-Run2'!CE19</f>
        <v>4.1815303450219195E-5</v>
      </c>
      <c r="BD17" s="51">
        <f>'LUC-2013-01-08-Run2'!CF19</f>
        <v>4.2350455674365956E-5</v>
      </c>
      <c r="BE17" s="51">
        <f>'LUC-2013-01-08-Run2'!CG19</f>
        <v>4.2889353964081748E-5</v>
      </c>
      <c r="BF17" s="51">
        <f>'LUC-2013-01-08-Run2'!CH19</f>
        <v>4.3432024541825556E-5</v>
      </c>
      <c r="BG17" s="51">
        <f>'LUC-2013-01-08-Run2'!CI19</f>
        <v>4.397849381361356E-5</v>
      </c>
      <c r="BH17" s="51">
        <f>'LUC-2013-01-08-Run2'!CJ19</f>
        <v>4.4528788370304082E-5</v>
      </c>
      <c r="BI17" s="51">
        <f>'LUC-2013-01-08-Run2'!CK19</f>
        <v>4.5082934988891445E-5</v>
      </c>
      <c r="BJ17" s="51">
        <f>'LUC-2013-01-08-Run2'!CL19</f>
        <v>4.5640960633808913E-5</v>
      </c>
      <c r="BK17" s="51">
        <f>'LUC-2013-01-08-Run2'!CM19</f>
        <v>4.6202892458240802E-5</v>
      </c>
      <c r="BM17" s="102"/>
      <c r="BN17" s="53" t="s">
        <v>99</v>
      </c>
      <c r="BO17" s="61">
        <f t="shared" si="8"/>
        <v>37.310549777117387</v>
      </c>
      <c r="BP17" s="61">
        <f t="shared" si="9"/>
        <v>38.001485884101037</v>
      </c>
      <c r="BQ17" s="61">
        <f t="shared" si="10"/>
        <v>40.807993113849527</v>
      </c>
      <c r="BR17" s="61">
        <f t="shared" si="11"/>
        <v>46.394407300157347</v>
      </c>
      <c r="BS17" s="61">
        <f t="shared" si="12"/>
        <v>51.980821486465189</v>
      </c>
      <c r="BT17" s="61">
        <f t="shared" si="13"/>
        <v>51.980821486465189</v>
      </c>
      <c r="BU17" s="61">
        <f t="shared" si="14"/>
        <v>51.980821486465189</v>
      </c>
      <c r="BV17" s="47">
        <f>SUM(M18:M24)*1000000</f>
        <v>297.89999999999998</v>
      </c>
      <c r="BW17" s="47">
        <f>SUM(BU17:BU23)</f>
        <v>329.91036154486</v>
      </c>
      <c r="BX17" s="96">
        <f t="shared" si="15"/>
        <v>0.35418423975707392</v>
      </c>
      <c r="BZ17" s="97">
        <f>(BK18-'Sce 1 Table'!BK18)/'Sce 1 Table'!BK18</f>
        <v>0.35449492177671466</v>
      </c>
    </row>
    <row r="18" spans="1:79" x14ac:dyDescent="0.25">
      <c r="A18" s="50" t="s">
        <v>38</v>
      </c>
      <c r="B18" s="50" t="s">
        <v>99</v>
      </c>
      <c r="C18" s="50" t="s">
        <v>92</v>
      </c>
      <c r="D18" s="51">
        <f>'LUC-2013-01-08-Run2'!AF21</f>
        <v>3.7310549777117386E-5</v>
      </c>
      <c r="E18" s="51">
        <f>'LUC-2013-01-08-Run2'!AG21</f>
        <v>3.7387320455671127E-5</v>
      </c>
      <c r="F18" s="51">
        <f>'LUC-2013-01-08-Run2'!AH21</f>
        <v>3.7464091134224867E-5</v>
      </c>
      <c r="G18" s="51">
        <f>'LUC-2013-01-08-Run2'!AI21</f>
        <v>3.7540861812778601E-5</v>
      </c>
      <c r="H18" s="51">
        <f>'LUC-2013-01-08-Run2'!AJ21</f>
        <v>3.7617632491332342E-5</v>
      </c>
      <c r="I18" s="51">
        <f>'LUC-2013-01-08-Run2'!AK21</f>
        <v>3.7694403169886082E-5</v>
      </c>
      <c r="J18" s="51">
        <f>'LUC-2013-01-08-Run2'!AL21</f>
        <v>3.7771173848439823E-5</v>
      </c>
      <c r="K18" s="51">
        <f>'LUC-2013-01-08-Run2'!AM21</f>
        <v>3.7847944526993563E-5</v>
      </c>
      <c r="L18" s="51">
        <f>'LUC-2013-01-08-Run2'!AN21</f>
        <v>3.7924715205547297E-5</v>
      </c>
      <c r="M18" s="51">
        <f>'LUC-2013-01-08-Run2'!AO21</f>
        <v>3.8001485884101038E-5</v>
      </c>
      <c r="N18" s="51">
        <f>'LUC-2013-01-08-Run2'!AP21</f>
        <v>3.8078256562654778E-5</v>
      </c>
      <c r="O18" s="51">
        <f>'LUC-2013-01-08-Run2'!AQ21</f>
        <v>3.8155027241208519E-5</v>
      </c>
      <c r="P18" s="51">
        <f>'LUC-2013-01-08-Run2'!AR21</f>
        <v>3.823179791976226E-5</v>
      </c>
      <c r="Q18" s="51">
        <f>'LUC-2013-01-08-Run2'!AS21</f>
        <v>3.8308568598315993E-5</v>
      </c>
      <c r="R18" s="51">
        <f>'LUC-2013-01-08-Run2'!AT21</f>
        <v>3.8385339276869734E-5</v>
      </c>
      <c r="S18" s="51">
        <f>'LUC-2013-01-08-Run2'!AU21</f>
        <v>3.8573427439326397E-5</v>
      </c>
      <c r="T18" s="51">
        <f>'LUC-2013-01-08-Run2'!AV21</f>
        <v>3.9132068857957175E-5</v>
      </c>
      <c r="U18" s="51">
        <f>'LUC-2013-01-08-Run2'!AW21</f>
        <v>3.9690710276587974E-5</v>
      </c>
      <c r="V18" s="51">
        <f>'LUC-2013-01-08-Run2'!AX21</f>
        <v>4.0249351695218752E-5</v>
      </c>
      <c r="W18" s="51">
        <f>'LUC-2013-01-08-Run2'!AY21</f>
        <v>4.080799311384953E-5</v>
      </c>
      <c r="X18" s="51">
        <f>'LUC-2013-01-08-Run2'!AZ21</f>
        <v>4.1366634532480307E-5</v>
      </c>
      <c r="Y18" s="51">
        <f>'LUC-2013-01-08-Run2'!BA21</f>
        <v>4.1925275951111085E-5</v>
      </c>
      <c r="Z18" s="51">
        <f>'LUC-2013-01-08-Run2'!BB21</f>
        <v>4.2483917369741884E-5</v>
      </c>
      <c r="AA18" s="51">
        <f>'LUC-2013-01-08-Run2'!BC21</f>
        <v>4.3042558788372662E-5</v>
      </c>
      <c r="AB18" s="51">
        <f>'LUC-2013-01-08-Run2'!BD21</f>
        <v>4.360120020700344E-5</v>
      </c>
      <c r="AC18" s="51">
        <f>'LUC-2013-01-08-Run2'!BE21</f>
        <v>4.4159841625634238E-5</v>
      </c>
      <c r="AD18" s="51">
        <f>'LUC-2013-01-08-Run2'!BF21</f>
        <v>4.4718483044265016E-5</v>
      </c>
      <c r="AE18" s="51">
        <f>'LUC-2013-01-08-Run2'!BG21</f>
        <v>4.5277124462895794E-5</v>
      </c>
      <c r="AF18" s="51">
        <f>'LUC-2013-01-08-Run2'!BH21</f>
        <v>4.5835765881526572E-5</v>
      </c>
      <c r="AG18" s="51">
        <f>'LUC-2013-01-08-Run2'!BI21</f>
        <v>4.639440730015735E-5</v>
      </c>
      <c r="AH18" s="51">
        <f>'LUC-2013-01-08-Run2'!BJ21</f>
        <v>4.6953048718788148E-5</v>
      </c>
      <c r="AI18" s="51">
        <f>'LUC-2013-01-08-Run2'!BK21</f>
        <v>4.7511690137418926E-5</v>
      </c>
      <c r="AJ18" s="51">
        <f>'LUC-2013-01-08-Run2'!BL21</f>
        <v>4.8070331556049704E-5</v>
      </c>
      <c r="AK18" s="51">
        <f>'LUC-2013-01-08-Run2'!BM21</f>
        <v>4.8628972974680502E-5</v>
      </c>
      <c r="AL18" s="51">
        <f>'LUC-2013-01-08-Run2'!BN21</f>
        <v>4.918761439331128E-5</v>
      </c>
      <c r="AM18" s="51">
        <f>'LUC-2013-01-08-Run2'!BO21</f>
        <v>4.9746255811942058E-5</v>
      </c>
      <c r="AN18" s="51">
        <f>'LUC-2013-01-08-Run2'!BP21</f>
        <v>5.0304897230572836E-5</v>
      </c>
      <c r="AO18" s="51">
        <f>'LUC-2013-01-08-Run2'!BQ21</f>
        <v>5.0863538649203614E-5</v>
      </c>
      <c r="AP18" s="51">
        <f>'LUC-2013-01-08-Run2'!BR21</f>
        <v>5.1422180067834412E-5</v>
      </c>
      <c r="AQ18" s="51">
        <f>'LUC-2013-01-08-Run2'!BS21</f>
        <v>5.198082148646519E-5</v>
      </c>
      <c r="AR18" s="51">
        <f>'LUC-2013-01-08-Run2'!BT21</f>
        <v>5.198082148646519E-5</v>
      </c>
      <c r="AS18" s="51">
        <f>'LUC-2013-01-08-Run2'!BU21</f>
        <v>5.198082148646519E-5</v>
      </c>
      <c r="AT18" s="51">
        <f>'LUC-2013-01-08-Run2'!BV21</f>
        <v>5.198082148646519E-5</v>
      </c>
      <c r="AU18" s="51">
        <f>'LUC-2013-01-08-Run2'!BW21</f>
        <v>5.198082148646519E-5</v>
      </c>
      <c r="AV18" s="51">
        <f>'LUC-2013-01-08-Run2'!BX21</f>
        <v>5.198082148646519E-5</v>
      </c>
      <c r="AW18" s="51">
        <f>'LUC-2013-01-08-Run2'!BY21</f>
        <v>5.198082148646519E-5</v>
      </c>
      <c r="AX18" s="51">
        <f>'LUC-2013-01-08-Run2'!BZ21</f>
        <v>5.198082148646519E-5</v>
      </c>
      <c r="AY18" s="51">
        <f>'LUC-2013-01-08-Run2'!CA21</f>
        <v>5.198082148646519E-5</v>
      </c>
      <c r="AZ18" s="51">
        <f>'LUC-2013-01-08-Run2'!CB21</f>
        <v>5.198082148646519E-5</v>
      </c>
      <c r="BA18" s="51">
        <f>'LUC-2013-01-08-Run2'!CC21</f>
        <v>5.198082148646519E-5</v>
      </c>
      <c r="BB18" s="51">
        <f>'LUC-2013-01-08-Run2'!CD21</f>
        <v>5.198082148646519E-5</v>
      </c>
      <c r="BC18" s="51">
        <f>'LUC-2013-01-08-Run2'!CE21</f>
        <v>5.198082148646519E-5</v>
      </c>
      <c r="BD18" s="51">
        <f>'LUC-2013-01-08-Run2'!CF21</f>
        <v>5.198082148646519E-5</v>
      </c>
      <c r="BE18" s="51">
        <f>'LUC-2013-01-08-Run2'!CG21</f>
        <v>5.198082148646519E-5</v>
      </c>
      <c r="BF18" s="51">
        <f>'LUC-2013-01-08-Run2'!CH21</f>
        <v>5.198082148646519E-5</v>
      </c>
      <c r="BG18" s="51">
        <f>'LUC-2013-01-08-Run2'!CI21</f>
        <v>5.198082148646519E-5</v>
      </c>
      <c r="BH18" s="51">
        <f>'LUC-2013-01-08-Run2'!CJ21</f>
        <v>5.198082148646519E-5</v>
      </c>
      <c r="BI18" s="51">
        <f>'LUC-2013-01-08-Run2'!CK21</f>
        <v>5.198082148646519E-5</v>
      </c>
      <c r="BJ18" s="51">
        <f>'LUC-2013-01-08-Run2'!CL21</f>
        <v>5.198082148646519E-5</v>
      </c>
      <c r="BK18" s="51">
        <f>'LUC-2013-01-08-Run2'!CM21</f>
        <v>5.198082148646519E-5</v>
      </c>
      <c r="BM18" s="102"/>
      <c r="BN18" s="53" t="s">
        <v>100</v>
      </c>
      <c r="BO18" s="61">
        <f t="shared" si="8"/>
        <v>53.438335809806837</v>
      </c>
      <c r="BP18" s="61">
        <f t="shared" si="9"/>
        <v>54.427934621099553</v>
      </c>
      <c r="BQ18" s="61">
        <f t="shared" si="10"/>
        <v>55.557054097938625</v>
      </c>
      <c r="BR18" s="61">
        <f t="shared" si="11"/>
        <v>56.331933027777737</v>
      </c>
      <c r="BS18" s="61">
        <f t="shared" si="12"/>
        <v>57.106811957616856</v>
      </c>
      <c r="BT18" s="61">
        <f t="shared" si="13"/>
        <v>57.106811957616856</v>
      </c>
      <c r="BU18" s="61">
        <f t="shared" si="14"/>
        <v>57.106811957616856</v>
      </c>
      <c r="BX18" s="96">
        <f t="shared" si="15"/>
        <v>3.8726606688544433E-2</v>
      </c>
      <c r="BZ18" s="97">
        <f>(BK19-'Sce 1 Table'!BK19)/'Sce 1 Table'!BK19</f>
        <v>0.28304346865695507</v>
      </c>
    </row>
    <row r="19" spans="1:79" x14ac:dyDescent="0.25">
      <c r="A19" s="50" t="s">
        <v>38</v>
      </c>
      <c r="B19" s="50" t="s">
        <v>100</v>
      </c>
      <c r="C19" s="50" t="s">
        <v>92</v>
      </c>
      <c r="D19" s="51">
        <f>'LUC-2013-01-08-Run2'!AF22</f>
        <v>5.3438335809806834E-5</v>
      </c>
      <c r="E19" s="51">
        <f>'LUC-2013-01-08-Run2'!AG22</f>
        <v>5.3548291233283803E-5</v>
      </c>
      <c r="F19" s="51">
        <f>'LUC-2013-01-08-Run2'!AH22</f>
        <v>5.3658246656760772E-5</v>
      </c>
      <c r="G19" s="51">
        <f>'LUC-2013-01-08-Run2'!AI22</f>
        <v>5.3768202080237741E-5</v>
      </c>
      <c r="H19" s="51">
        <f>'LUC-2013-01-08-Run2'!AJ22</f>
        <v>5.3878157503714709E-5</v>
      </c>
      <c r="I19" s="51">
        <f>'LUC-2013-01-08-Run2'!AK22</f>
        <v>5.3988112927191678E-5</v>
      </c>
      <c r="J19" s="51">
        <f>'LUC-2013-01-08-Run2'!AL22</f>
        <v>5.4098068350668647E-5</v>
      </c>
      <c r="K19" s="51">
        <f>'LUC-2013-01-08-Run2'!AM22</f>
        <v>5.4208023774145616E-5</v>
      </c>
      <c r="L19" s="51">
        <f>'LUC-2013-01-08-Run2'!AN22</f>
        <v>5.4317979197622585E-5</v>
      </c>
      <c r="M19" s="51">
        <f>'LUC-2013-01-08-Run2'!AO22</f>
        <v>5.4427934621099554E-5</v>
      </c>
      <c r="N19" s="51">
        <f>'LUC-2013-01-08-Run2'!AP22</f>
        <v>5.4537890044576523E-5</v>
      </c>
      <c r="O19" s="51">
        <f>'LUC-2013-01-08-Run2'!AQ22</f>
        <v>5.4647845468053492E-5</v>
      </c>
      <c r="P19" s="51">
        <f>'LUC-2013-01-08-Run2'!AR22</f>
        <v>5.4757800891530461E-5</v>
      </c>
      <c r="Q19" s="51">
        <f>'LUC-2013-01-08-Run2'!AS22</f>
        <v>5.4867756315007429E-5</v>
      </c>
      <c r="R19" s="51">
        <f>'LUC-2013-01-08-Run2'!AT22</f>
        <v>5.4977711738484398E-5</v>
      </c>
      <c r="S19" s="51">
        <f>'LUC-2013-01-08-Run2'!AU22</f>
        <v>5.5247102526002975E-5</v>
      </c>
      <c r="T19" s="51">
        <f>'LUC-2013-01-08-Run2'!AV22</f>
        <v>5.5324590418986889E-5</v>
      </c>
      <c r="U19" s="51">
        <f>'LUC-2013-01-08-Run2'!AW22</f>
        <v>5.5402078311970795E-5</v>
      </c>
      <c r="V19" s="51">
        <f>'LUC-2013-01-08-Run2'!AX22</f>
        <v>5.5479566204954709E-5</v>
      </c>
      <c r="W19" s="51">
        <f>'LUC-2013-01-08-Run2'!AY22</f>
        <v>5.5557054097938623E-5</v>
      </c>
      <c r="X19" s="51">
        <f>'LUC-2013-01-08-Run2'!AZ22</f>
        <v>5.5634541990922537E-5</v>
      </c>
      <c r="Y19" s="51">
        <f>'LUC-2013-01-08-Run2'!BA22</f>
        <v>5.5712029883906443E-5</v>
      </c>
      <c r="Z19" s="51">
        <f>'LUC-2013-01-08-Run2'!BB22</f>
        <v>5.5789517776890357E-5</v>
      </c>
      <c r="AA19" s="51">
        <f>'LUC-2013-01-08-Run2'!BC22</f>
        <v>5.5867005669874271E-5</v>
      </c>
      <c r="AB19" s="51">
        <f>'LUC-2013-01-08-Run2'!BD22</f>
        <v>5.5944493562858178E-5</v>
      </c>
      <c r="AC19" s="51">
        <f>'LUC-2013-01-08-Run2'!BE22</f>
        <v>5.6021981455842091E-5</v>
      </c>
      <c r="AD19" s="51">
        <f>'LUC-2013-01-08-Run2'!BF22</f>
        <v>5.6099469348826005E-5</v>
      </c>
      <c r="AE19" s="51">
        <f>'LUC-2013-01-08-Run2'!BG22</f>
        <v>5.6176957241809919E-5</v>
      </c>
      <c r="AF19" s="51">
        <f>'LUC-2013-01-08-Run2'!BH22</f>
        <v>5.6254445134793826E-5</v>
      </c>
      <c r="AG19" s="51">
        <f>'LUC-2013-01-08-Run2'!BI22</f>
        <v>5.633193302777774E-5</v>
      </c>
      <c r="AH19" s="51">
        <f>'LUC-2013-01-08-Run2'!BJ22</f>
        <v>5.6409420920761653E-5</v>
      </c>
      <c r="AI19" s="51">
        <f>'LUC-2013-01-08-Run2'!BK22</f>
        <v>5.648690881374556E-5</v>
      </c>
      <c r="AJ19" s="51">
        <f>'LUC-2013-01-08-Run2'!BL22</f>
        <v>5.6564396706729474E-5</v>
      </c>
      <c r="AK19" s="51">
        <f>'LUC-2013-01-08-Run2'!BM22</f>
        <v>5.6641884599713388E-5</v>
      </c>
      <c r="AL19" s="51">
        <f>'LUC-2013-01-08-Run2'!BN22</f>
        <v>5.6719372492697294E-5</v>
      </c>
      <c r="AM19" s="51">
        <f>'LUC-2013-01-08-Run2'!BO22</f>
        <v>5.6796860385681208E-5</v>
      </c>
      <c r="AN19" s="51">
        <f>'LUC-2013-01-08-Run2'!BP22</f>
        <v>5.6874348278665122E-5</v>
      </c>
      <c r="AO19" s="51">
        <f>'LUC-2013-01-08-Run2'!BQ22</f>
        <v>5.6951836171649036E-5</v>
      </c>
      <c r="AP19" s="51">
        <f>'LUC-2013-01-08-Run2'!BR22</f>
        <v>5.7029324064632942E-5</v>
      </c>
      <c r="AQ19" s="51">
        <f>'LUC-2013-01-08-Run2'!BS22</f>
        <v>5.7106811957616856E-5</v>
      </c>
      <c r="AR19" s="51">
        <f>'LUC-2013-01-08-Run2'!BT22</f>
        <v>5.7106811957616856E-5</v>
      </c>
      <c r="AS19" s="51">
        <f>'LUC-2013-01-08-Run2'!BU22</f>
        <v>5.7106811957616856E-5</v>
      </c>
      <c r="AT19" s="51">
        <f>'LUC-2013-01-08-Run2'!BV22</f>
        <v>5.7106811957616856E-5</v>
      </c>
      <c r="AU19" s="51">
        <f>'LUC-2013-01-08-Run2'!BW22</f>
        <v>5.7106811957616856E-5</v>
      </c>
      <c r="AV19" s="51">
        <f>'LUC-2013-01-08-Run2'!BX22</f>
        <v>5.7106811957616856E-5</v>
      </c>
      <c r="AW19" s="51">
        <f>'LUC-2013-01-08-Run2'!BY22</f>
        <v>5.7106811957616856E-5</v>
      </c>
      <c r="AX19" s="51">
        <f>'LUC-2013-01-08-Run2'!BZ22</f>
        <v>5.7106811957616856E-5</v>
      </c>
      <c r="AY19" s="51">
        <f>'LUC-2013-01-08-Run2'!CA22</f>
        <v>5.7106811957616856E-5</v>
      </c>
      <c r="AZ19" s="51">
        <f>'LUC-2013-01-08-Run2'!CB22</f>
        <v>5.7106811957616856E-5</v>
      </c>
      <c r="BA19" s="51">
        <f>'LUC-2013-01-08-Run2'!CC22</f>
        <v>5.7106811957616856E-5</v>
      </c>
      <c r="BB19" s="51">
        <f>'LUC-2013-01-08-Run2'!CD22</f>
        <v>5.7106811957616856E-5</v>
      </c>
      <c r="BC19" s="51">
        <f>'LUC-2013-01-08-Run2'!CE22</f>
        <v>5.7106811957616856E-5</v>
      </c>
      <c r="BD19" s="51">
        <f>'LUC-2013-01-08-Run2'!CF22</f>
        <v>5.7106811957616856E-5</v>
      </c>
      <c r="BE19" s="51">
        <f>'LUC-2013-01-08-Run2'!CG22</f>
        <v>5.7106811957616856E-5</v>
      </c>
      <c r="BF19" s="51">
        <f>'LUC-2013-01-08-Run2'!CH22</f>
        <v>5.7106811957616856E-5</v>
      </c>
      <c r="BG19" s="51">
        <f>'LUC-2013-01-08-Run2'!CI22</f>
        <v>5.7106811957616856E-5</v>
      </c>
      <c r="BH19" s="51">
        <f>'LUC-2013-01-08-Run2'!CJ22</f>
        <v>5.7106811957616856E-5</v>
      </c>
      <c r="BI19" s="51">
        <f>'LUC-2013-01-08-Run2'!CK22</f>
        <v>5.7106811957616856E-5</v>
      </c>
      <c r="BJ19" s="51">
        <f>'LUC-2013-01-08-Run2'!CL22</f>
        <v>5.7106811957616856E-5</v>
      </c>
      <c r="BK19" s="51">
        <f>'LUC-2013-01-08-Run2'!CM22</f>
        <v>5.7106811957616856E-5</v>
      </c>
      <c r="BM19" s="102"/>
      <c r="BN19" s="53" t="s">
        <v>101</v>
      </c>
      <c r="BO19" s="61">
        <f t="shared" si="8"/>
        <v>38.032689450222882</v>
      </c>
      <c r="BP19" s="61">
        <f t="shared" si="9"/>
        <v>38.736998514115896</v>
      </c>
      <c r="BQ19" s="61">
        <f t="shared" si="10"/>
        <v>39.627826304946105</v>
      </c>
      <c r="BR19" s="61">
        <f t="shared" si="11"/>
        <v>40.397367302576363</v>
      </c>
      <c r="BS19" s="61">
        <f t="shared" si="12"/>
        <v>41.166908300206622</v>
      </c>
      <c r="BT19" s="61">
        <f t="shared" si="13"/>
        <v>41.166908300206622</v>
      </c>
      <c r="BU19" s="61">
        <f t="shared" si="14"/>
        <v>41.166908300206622</v>
      </c>
      <c r="BX19" s="96">
        <f t="shared" si="15"/>
        <v>5.210111212806532E-2</v>
      </c>
      <c r="BZ19" s="97">
        <f>(BK20-'Sce 1 Table'!BK20)/'Sce 1 Table'!BK20</f>
        <v>0.34261818838938596</v>
      </c>
    </row>
    <row r="20" spans="1:79" x14ac:dyDescent="0.25">
      <c r="A20" s="50" t="s">
        <v>38</v>
      </c>
      <c r="B20" s="50" t="s">
        <v>101</v>
      </c>
      <c r="C20" s="50" t="s">
        <v>92</v>
      </c>
      <c r="D20" s="51">
        <f>'LUC-2013-01-08-Run2'!AF23</f>
        <v>3.8032689450222883E-5</v>
      </c>
      <c r="E20" s="51">
        <f>'LUC-2013-01-08-Run2'!AG23</f>
        <v>3.8110946012877659E-5</v>
      </c>
      <c r="F20" s="51">
        <f>'LUC-2013-01-08-Run2'!AH23</f>
        <v>3.8189202575532442E-5</v>
      </c>
      <c r="G20" s="51">
        <f>'LUC-2013-01-08-Run2'!AI23</f>
        <v>3.8267459138187219E-5</v>
      </c>
      <c r="H20" s="51">
        <f>'LUC-2013-01-08-Run2'!AJ23</f>
        <v>3.8345715700842002E-5</v>
      </c>
      <c r="I20" s="51">
        <f>'LUC-2013-01-08-Run2'!AK23</f>
        <v>3.8423972263496778E-5</v>
      </c>
      <c r="J20" s="51">
        <f>'LUC-2013-01-08-Run2'!AL23</f>
        <v>3.8502228826151561E-5</v>
      </c>
      <c r="K20" s="51">
        <f>'LUC-2013-01-08-Run2'!AM23</f>
        <v>3.8580485388806337E-5</v>
      </c>
      <c r="L20" s="51">
        <f>'LUC-2013-01-08-Run2'!AN23</f>
        <v>3.865874195146112E-5</v>
      </c>
      <c r="M20" s="51">
        <f>'LUC-2013-01-08-Run2'!AO23</f>
        <v>3.8736998514115897E-5</v>
      </c>
      <c r="N20" s="51">
        <f>'LUC-2013-01-08-Run2'!AP23</f>
        <v>3.881525507677068E-5</v>
      </c>
      <c r="O20" s="51">
        <f>'LUC-2013-01-08-Run2'!AQ23</f>
        <v>3.8893511639425456E-5</v>
      </c>
      <c r="P20" s="51">
        <f>'LUC-2013-01-08-Run2'!AR23</f>
        <v>3.8971768202080239E-5</v>
      </c>
      <c r="Q20" s="51">
        <f>'LUC-2013-01-08-Run2'!AS23</f>
        <v>3.9050024764735016E-5</v>
      </c>
      <c r="R20" s="51">
        <f>'LUC-2013-01-08-Run2'!AT23</f>
        <v>3.9128281327389799E-5</v>
      </c>
      <c r="S20" s="51">
        <f>'LUC-2013-01-08-Run2'!AU23</f>
        <v>3.9320009905894E-5</v>
      </c>
      <c r="T20" s="51">
        <f>'LUC-2013-01-08-Run2'!AV23</f>
        <v>3.9396964005657025E-5</v>
      </c>
      <c r="U20" s="51">
        <f>'LUC-2013-01-08-Run2'!AW23</f>
        <v>3.9473918105420051E-5</v>
      </c>
      <c r="V20" s="51">
        <f>'LUC-2013-01-08-Run2'!AX23</f>
        <v>3.9550872205183077E-5</v>
      </c>
      <c r="W20" s="51">
        <f>'LUC-2013-01-08-Run2'!AY23</f>
        <v>3.9627826304946103E-5</v>
      </c>
      <c r="X20" s="51">
        <f>'LUC-2013-01-08-Run2'!AZ23</f>
        <v>3.9704780404709129E-5</v>
      </c>
      <c r="Y20" s="51">
        <f>'LUC-2013-01-08-Run2'!BA23</f>
        <v>3.9781734504472154E-5</v>
      </c>
      <c r="Z20" s="51">
        <f>'LUC-2013-01-08-Run2'!BB23</f>
        <v>3.985868860423518E-5</v>
      </c>
      <c r="AA20" s="51">
        <f>'LUC-2013-01-08-Run2'!BC23</f>
        <v>3.9935642703998206E-5</v>
      </c>
      <c r="AB20" s="51">
        <f>'LUC-2013-01-08-Run2'!BD23</f>
        <v>4.0012596803761232E-5</v>
      </c>
      <c r="AC20" s="51">
        <f>'LUC-2013-01-08-Run2'!BE23</f>
        <v>4.0089550903524258E-5</v>
      </c>
      <c r="AD20" s="51">
        <f>'LUC-2013-01-08-Run2'!BF23</f>
        <v>4.0166505003287283E-5</v>
      </c>
      <c r="AE20" s="51">
        <f>'LUC-2013-01-08-Run2'!BG23</f>
        <v>4.0243459103050309E-5</v>
      </c>
      <c r="AF20" s="51">
        <f>'LUC-2013-01-08-Run2'!BH23</f>
        <v>4.0320413202813335E-5</v>
      </c>
      <c r="AG20" s="51">
        <f>'LUC-2013-01-08-Run2'!BI23</f>
        <v>4.0397367302576361E-5</v>
      </c>
      <c r="AH20" s="51">
        <f>'LUC-2013-01-08-Run2'!BJ23</f>
        <v>4.0474321402339387E-5</v>
      </c>
      <c r="AI20" s="51">
        <f>'LUC-2013-01-08-Run2'!BK23</f>
        <v>4.0551275502102413E-5</v>
      </c>
      <c r="AJ20" s="51">
        <f>'LUC-2013-01-08-Run2'!BL23</f>
        <v>4.0628229601865438E-5</v>
      </c>
      <c r="AK20" s="51">
        <f>'LUC-2013-01-08-Run2'!BM23</f>
        <v>4.0705183701628464E-5</v>
      </c>
      <c r="AL20" s="51">
        <f>'LUC-2013-01-08-Run2'!BN23</f>
        <v>4.078213780139149E-5</v>
      </c>
      <c r="AM20" s="51">
        <f>'LUC-2013-01-08-Run2'!BO23</f>
        <v>4.0859091901154516E-5</v>
      </c>
      <c r="AN20" s="51">
        <f>'LUC-2013-01-08-Run2'!BP23</f>
        <v>4.0936046000917542E-5</v>
      </c>
      <c r="AO20" s="51">
        <f>'LUC-2013-01-08-Run2'!BQ23</f>
        <v>4.1013000100680567E-5</v>
      </c>
      <c r="AP20" s="51">
        <f>'LUC-2013-01-08-Run2'!BR23</f>
        <v>4.1089954200443593E-5</v>
      </c>
      <c r="AQ20" s="51">
        <f>'LUC-2013-01-08-Run2'!BS23</f>
        <v>4.1166908300206619E-5</v>
      </c>
      <c r="AR20" s="51">
        <f>'LUC-2013-01-08-Run2'!BT23</f>
        <v>4.1166908300206619E-5</v>
      </c>
      <c r="AS20" s="51">
        <f>'LUC-2013-01-08-Run2'!BU23</f>
        <v>4.1166908300206619E-5</v>
      </c>
      <c r="AT20" s="51">
        <f>'LUC-2013-01-08-Run2'!BV23</f>
        <v>4.1166908300206619E-5</v>
      </c>
      <c r="AU20" s="51">
        <f>'LUC-2013-01-08-Run2'!BW23</f>
        <v>4.1166908300206619E-5</v>
      </c>
      <c r="AV20" s="51">
        <f>'LUC-2013-01-08-Run2'!BX23</f>
        <v>4.1166908300206619E-5</v>
      </c>
      <c r="AW20" s="51">
        <f>'LUC-2013-01-08-Run2'!BY23</f>
        <v>4.1166908300206619E-5</v>
      </c>
      <c r="AX20" s="51">
        <f>'LUC-2013-01-08-Run2'!BZ23</f>
        <v>4.1166908300206619E-5</v>
      </c>
      <c r="AY20" s="51">
        <f>'LUC-2013-01-08-Run2'!CA23</f>
        <v>4.1166908300206619E-5</v>
      </c>
      <c r="AZ20" s="51">
        <f>'LUC-2013-01-08-Run2'!CB23</f>
        <v>4.1166908300206619E-5</v>
      </c>
      <c r="BA20" s="51">
        <f>'LUC-2013-01-08-Run2'!CC23</f>
        <v>4.1166908300206619E-5</v>
      </c>
      <c r="BB20" s="51">
        <f>'LUC-2013-01-08-Run2'!CD23</f>
        <v>4.1166908300206619E-5</v>
      </c>
      <c r="BC20" s="51">
        <f>'LUC-2013-01-08-Run2'!CE23</f>
        <v>4.1166908300206619E-5</v>
      </c>
      <c r="BD20" s="51">
        <f>'LUC-2013-01-08-Run2'!CF23</f>
        <v>4.1166908300206619E-5</v>
      </c>
      <c r="BE20" s="51">
        <f>'LUC-2013-01-08-Run2'!CG23</f>
        <v>4.1166908300206619E-5</v>
      </c>
      <c r="BF20" s="51">
        <f>'LUC-2013-01-08-Run2'!CH23</f>
        <v>4.1166908300206619E-5</v>
      </c>
      <c r="BG20" s="51">
        <f>'LUC-2013-01-08-Run2'!CI23</f>
        <v>4.1166908300206619E-5</v>
      </c>
      <c r="BH20" s="51">
        <f>'LUC-2013-01-08-Run2'!CJ23</f>
        <v>4.1166908300206619E-5</v>
      </c>
      <c r="BI20" s="51">
        <f>'LUC-2013-01-08-Run2'!CK23</f>
        <v>4.1166908300206619E-5</v>
      </c>
      <c r="BJ20" s="51">
        <f>'LUC-2013-01-08-Run2'!CL23</f>
        <v>4.1166908300206619E-5</v>
      </c>
      <c r="BK20" s="51">
        <f>'LUC-2013-01-08-Run2'!CM23</f>
        <v>4.1166908300206619E-5</v>
      </c>
      <c r="BM20" s="102"/>
      <c r="BN20" s="53" t="s">
        <v>111</v>
      </c>
      <c r="BO20" s="61">
        <f t="shared" si="8"/>
        <v>33.2184249628529</v>
      </c>
      <c r="BP20" s="61">
        <f t="shared" si="9"/>
        <v>33.833580980683507</v>
      </c>
      <c r="BQ20" s="61">
        <f t="shared" si="10"/>
        <v>35.063297851853505</v>
      </c>
      <c r="BR20" s="61">
        <f t="shared" si="11"/>
        <v>36.86455882621236</v>
      </c>
      <c r="BS20" s="61">
        <f t="shared" si="12"/>
        <v>38.665819800571214</v>
      </c>
      <c r="BT20" s="61">
        <f t="shared" si="13"/>
        <v>38.665819800571214</v>
      </c>
      <c r="BU20" s="61">
        <f t="shared" si="14"/>
        <v>38.665819800571214</v>
      </c>
      <c r="BX20" s="96">
        <f t="shared" si="15"/>
        <v>0.13139550981671438</v>
      </c>
      <c r="BZ20" s="97">
        <f>(BK21-'Sce 1 Table'!BK21)/'Sce 1 Table'!BK21</f>
        <v>0.22932317995309909</v>
      </c>
    </row>
    <row r="21" spans="1:79" x14ac:dyDescent="0.25">
      <c r="A21" s="50" t="s">
        <v>38</v>
      </c>
      <c r="B21" s="50" t="s">
        <v>111</v>
      </c>
      <c r="C21" s="50" t="s">
        <v>92</v>
      </c>
      <c r="D21" s="51">
        <f>'LUC-2013-01-08-Run2'!AF24</f>
        <v>3.3218424962852898E-5</v>
      </c>
      <c r="E21" s="51">
        <f>'LUC-2013-01-08-Run2'!AG24</f>
        <v>3.3286775631500744E-5</v>
      </c>
      <c r="F21" s="51">
        <f>'LUC-2013-01-08-Run2'!AH24</f>
        <v>3.3355126300148591E-5</v>
      </c>
      <c r="G21" s="51">
        <f>'LUC-2013-01-08-Run2'!AI24</f>
        <v>3.3423476968796431E-5</v>
      </c>
      <c r="H21" s="51">
        <f>'LUC-2013-01-08-Run2'!AJ24</f>
        <v>3.3491827637444278E-5</v>
      </c>
      <c r="I21" s="51">
        <f>'LUC-2013-01-08-Run2'!AK24</f>
        <v>3.3560178306092124E-5</v>
      </c>
      <c r="J21" s="51">
        <f>'LUC-2013-01-08-Run2'!AL24</f>
        <v>3.3628528974739971E-5</v>
      </c>
      <c r="K21" s="51">
        <f>'LUC-2013-01-08-Run2'!AM24</f>
        <v>3.3696879643387817E-5</v>
      </c>
      <c r="L21" s="51">
        <f>'LUC-2013-01-08-Run2'!AN24</f>
        <v>3.3765230312035657E-5</v>
      </c>
      <c r="M21" s="51">
        <f>'LUC-2013-01-08-Run2'!AO24</f>
        <v>3.3833580980683504E-5</v>
      </c>
      <c r="N21" s="51">
        <f>'LUC-2013-01-08-Run2'!AP24</f>
        <v>3.3901931649331351E-5</v>
      </c>
      <c r="O21" s="51">
        <f>'LUC-2013-01-08-Run2'!AQ24</f>
        <v>3.3970282317979197E-5</v>
      </c>
      <c r="P21" s="51">
        <f>'LUC-2013-01-08-Run2'!AR24</f>
        <v>3.4038632986627044E-5</v>
      </c>
      <c r="Q21" s="51">
        <f>'LUC-2013-01-08-Run2'!AS24</f>
        <v>3.4106983655274884E-5</v>
      </c>
      <c r="R21" s="51">
        <f>'LUC-2013-01-08-Run2'!AT24</f>
        <v>3.417533432392273E-5</v>
      </c>
      <c r="S21" s="51">
        <f>'LUC-2013-01-08-Run2'!AU24</f>
        <v>3.4342793462109958E-5</v>
      </c>
      <c r="T21" s="51">
        <f>'LUC-2013-01-08-Run2'!AV24</f>
        <v>3.4522919559545845E-5</v>
      </c>
      <c r="U21" s="51">
        <f>'LUC-2013-01-08-Run2'!AW24</f>
        <v>3.4703045656981732E-5</v>
      </c>
      <c r="V21" s="51">
        <f>'LUC-2013-01-08-Run2'!AX24</f>
        <v>3.4883171754417618E-5</v>
      </c>
      <c r="W21" s="51">
        <f>'LUC-2013-01-08-Run2'!AY24</f>
        <v>3.5063297851853505E-5</v>
      </c>
      <c r="X21" s="51">
        <f>'LUC-2013-01-08-Run2'!AZ24</f>
        <v>3.5243423949289392E-5</v>
      </c>
      <c r="Y21" s="51">
        <f>'LUC-2013-01-08-Run2'!BA24</f>
        <v>3.5423550046725279E-5</v>
      </c>
      <c r="Z21" s="51">
        <f>'LUC-2013-01-08-Run2'!BB24</f>
        <v>3.5603676144161152E-5</v>
      </c>
      <c r="AA21" s="51">
        <f>'LUC-2013-01-08-Run2'!BC24</f>
        <v>3.5783802241597039E-5</v>
      </c>
      <c r="AB21" s="51">
        <f>'LUC-2013-01-08-Run2'!BD24</f>
        <v>3.5963928339032926E-5</v>
      </c>
      <c r="AC21" s="51">
        <f>'LUC-2013-01-08-Run2'!BE24</f>
        <v>3.6144054436468813E-5</v>
      </c>
      <c r="AD21" s="51">
        <f>'LUC-2013-01-08-Run2'!BF24</f>
        <v>3.63241805339047E-5</v>
      </c>
      <c r="AE21" s="51">
        <f>'LUC-2013-01-08-Run2'!BG24</f>
        <v>3.6504306631340587E-5</v>
      </c>
      <c r="AF21" s="51">
        <f>'LUC-2013-01-08-Run2'!BH24</f>
        <v>3.6684432728776473E-5</v>
      </c>
      <c r="AG21" s="51">
        <f>'LUC-2013-01-08-Run2'!BI24</f>
        <v>3.686455882621236E-5</v>
      </c>
      <c r="AH21" s="51">
        <f>'LUC-2013-01-08-Run2'!BJ24</f>
        <v>3.7044684923648247E-5</v>
      </c>
      <c r="AI21" s="51">
        <f>'LUC-2013-01-08-Run2'!BK24</f>
        <v>3.7224811021084134E-5</v>
      </c>
      <c r="AJ21" s="51">
        <f>'LUC-2013-01-08-Run2'!BL24</f>
        <v>3.7404937118520021E-5</v>
      </c>
      <c r="AK21" s="51">
        <f>'LUC-2013-01-08-Run2'!BM24</f>
        <v>3.7585063215955894E-5</v>
      </c>
      <c r="AL21" s="51">
        <f>'LUC-2013-01-08-Run2'!BN24</f>
        <v>3.7765189313391781E-5</v>
      </c>
      <c r="AM21" s="51">
        <f>'LUC-2013-01-08-Run2'!BO24</f>
        <v>3.7945315410827668E-5</v>
      </c>
      <c r="AN21" s="51">
        <f>'LUC-2013-01-08-Run2'!BP24</f>
        <v>3.8125441508263555E-5</v>
      </c>
      <c r="AO21" s="51">
        <f>'LUC-2013-01-08-Run2'!BQ24</f>
        <v>3.8305567605699441E-5</v>
      </c>
      <c r="AP21" s="51">
        <f>'LUC-2013-01-08-Run2'!BR24</f>
        <v>3.8485693703135328E-5</v>
      </c>
      <c r="AQ21" s="51">
        <f>'LUC-2013-01-08-Run2'!BS24</f>
        <v>3.8665819800571215E-5</v>
      </c>
      <c r="AR21" s="51">
        <f>'LUC-2013-01-08-Run2'!BT24</f>
        <v>3.8665819800571215E-5</v>
      </c>
      <c r="AS21" s="51">
        <f>'LUC-2013-01-08-Run2'!BU24</f>
        <v>3.8665819800571215E-5</v>
      </c>
      <c r="AT21" s="51">
        <f>'LUC-2013-01-08-Run2'!BV24</f>
        <v>3.8665819800571215E-5</v>
      </c>
      <c r="AU21" s="51">
        <f>'LUC-2013-01-08-Run2'!BW24</f>
        <v>3.8665819800571215E-5</v>
      </c>
      <c r="AV21" s="51">
        <f>'LUC-2013-01-08-Run2'!BX24</f>
        <v>3.8665819800571215E-5</v>
      </c>
      <c r="AW21" s="51">
        <f>'LUC-2013-01-08-Run2'!BY24</f>
        <v>3.8665819800571215E-5</v>
      </c>
      <c r="AX21" s="51">
        <f>'LUC-2013-01-08-Run2'!BZ24</f>
        <v>3.8665819800571215E-5</v>
      </c>
      <c r="AY21" s="51">
        <f>'LUC-2013-01-08-Run2'!CA24</f>
        <v>3.8665819800571215E-5</v>
      </c>
      <c r="AZ21" s="51">
        <f>'LUC-2013-01-08-Run2'!CB24</f>
        <v>3.8665819800571215E-5</v>
      </c>
      <c r="BA21" s="51">
        <f>'LUC-2013-01-08-Run2'!CC24</f>
        <v>3.8665819800571215E-5</v>
      </c>
      <c r="BB21" s="51">
        <f>'LUC-2013-01-08-Run2'!CD24</f>
        <v>3.8665819800571215E-5</v>
      </c>
      <c r="BC21" s="51">
        <f>'LUC-2013-01-08-Run2'!CE24</f>
        <v>3.8665819800571215E-5</v>
      </c>
      <c r="BD21" s="51">
        <f>'LUC-2013-01-08-Run2'!CF24</f>
        <v>3.8665819800571215E-5</v>
      </c>
      <c r="BE21" s="51">
        <f>'LUC-2013-01-08-Run2'!CG24</f>
        <v>3.8665819800571215E-5</v>
      </c>
      <c r="BF21" s="51">
        <f>'LUC-2013-01-08-Run2'!CH24</f>
        <v>3.8665819800571215E-5</v>
      </c>
      <c r="BG21" s="51">
        <f>'LUC-2013-01-08-Run2'!CI24</f>
        <v>3.8665819800571215E-5</v>
      </c>
      <c r="BH21" s="51">
        <f>'LUC-2013-01-08-Run2'!CJ24</f>
        <v>3.8665819800571215E-5</v>
      </c>
      <c r="BI21" s="51">
        <f>'LUC-2013-01-08-Run2'!CK24</f>
        <v>3.8665819800571215E-5</v>
      </c>
      <c r="BJ21" s="51">
        <f>'LUC-2013-01-08-Run2'!CL24</f>
        <v>3.8665819800571215E-5</v>
      </c>
      <c r="BK21" s="51">
        <f>'LUC-2013-01-08-Run2'!CM24</f>
        <v>3.8665819800571215E-5</v>
      </c>
      <c r="BM21" s="102"/>
      <c r="BN21" s="53" t="s">
        <v>102</v>
      </c>
      <c r="BO21" s="61">
        <f t="shared" si="8"/>
        <v>16</v>
      </c>
      <c r="BP21" s="61">
        <f t="shared" si="9"/>
        <v>17.8</v>
      </c>
      <c r="BQ21" s="61">
        <f t="shared" si="10"/>
        <v>19.698333333333338</v>
      </c>
      <c r="BR21" s="61">
        <f t="shared" si="11"/>
        <v>20.71916666666668</v>
      </c>
      <c r="BS21" s="61">
        <f t="shared" si="12"/>
        <v>21.740000000000016</v>
      </c>
      <c r="BT21" s="61">
        <f t="shared" si="13"/>
        <v>22.965000000000018</v>
      </c>
      <c r="BU21" s="61">
        <f t="shared" si="14"/>
        <v>24.190000000000019</v>
      </c>
      <c r="BX21" s="96">
        <f t="shared" si="15"/>
        <v>0.28670212765957559</v>
      </c>
      <c r="BZ21" s="97">
        <f>(BK22-'Sce 1 Table'!BK22)/'Sce 1 Table'!BK22</f>
        <v>0.47500000000000137</v>
      </c>
    </row>
    <row r="22" spans="1:79" x14ac:dyDescent="0.25">
      <c r="A22" s="50" t="s">
        <v>38</v>
      </c>
      <c r="B22" s="50" t="s">
        <v>102</v>
      </c>
      <c r="C22" s="50" t="s">
        <v>92</v>
      </c>
      <c r="D22" s="51">
        <f>'LUC-2013-01-08-Run2'!AF25</f>
        <v>1.5999999999999999E-5</v>
      </c>
      <c r="E22" s="51">
        <f>'LUC-2013-01-08-Run2'!AG25</f>
        <v>1.6200000000000001E-5</v>
      </c>
      <c r="F22" s="51">
        <f>'LUC-2013-01-08-Run2'!AH25</f>
        <v>1.6399999999999999E-5</v>
      </c>
      <c r="G22" s="51">
        <f>'LUC-2013-01-08-Run2'!AI25</f>
        <v>1.66E-5</v>
      </c>
      <c r="H22" s="51">
        <f>'LUC-2013-01-08-Run2'!AJ25</f>
        <v>1.6799999999999998E-5</v>
      </c>
      <c r="I22" s="51">
        <f>'LUC-2013-01-08-Run2'!AK25</f>
        <v>1.7E-5</v>
      </c>
      <c r="J22" s="51">
        <f>'LUC-2013-01-08-Run2'!AL25</f>
        <v>1.7200000000000001E-5</v>
      </c>
      <c r="K22" s="51">
        <f>'LUC-2013-01-08-Run2'!AM25</f>
        <v>1.7399999999999999E-5</v>
      </c>
      <c r="L22" s="51">
        <f>'LUC-2013-01-08-Run2'!AN25</f>
        <v>1.7600000000000001E-5</v>
      </c>
      <c r="M22" s="51">
        <f>'LUC-2013-01-08-Run2'!AO25</f>
        <v>1.7799999999999999E-5</v>
      </c>
      <c r="N22" s="51">
        <f>'LUC-2013-01-08-Run2'!AP25</f>
        <v>1.8E-5</v>
      </c>
      <c r="O22" s="51">
        <f>'LUC-2013-01-08-Run2'!AQ25</f>
        <v>1.8200000000000002E-5</v>
      </c>
      <c r="P22" s="51">
        <f>'LUC-2013-01-08-Run2'!AR25</f>
        <v>1.84E-5</v>
      </c>
      <c r="Q22" s="51">
        <f>'LUC-2013-01-08-Run2'!AS25</f>
        <v>1.8600000000000001E-5</v>
      </c>
      <c r="R22" s="51">
        <f>'LUC-2013-01-08-Run2'!AT25</f>
        <v>1.88E-5</v>
      </c>
      <c r="S22" s="51">
        <f>'LUC-2013-01-08-Run2'!AU25</f>
        <v>1.9290000000000003E-5</v>
      </c>
      <c r="T22" s="51">
        <f>'LUC-2013-01-08-Run2'!AV25</f>
        <v>1.9392083333333337E-5</v>
      </c>
      <c r="U22" s="51">
        <f>'LUC-2013-01-08-Run2'!AW25</f>
        <v>1.949416666666667E-5</v>
      </c>
      <c r="V22" s="51">
        <f>'LUC-2013-01-08-Run2'!AX25</f>
        <v>1.9596250000000004E-5</v>
      </c>
      <c r="W22" s="51">
        <f>'LUC-2013-01-08-Run2'!AY25</f>
        <v>1.9698333333333338E-5</v>
      </c>
      <c r="X22" s="51">
        <f>'LUC-2013-01-08-Run2'!AZ25</f>
        <v>1.9800416666666671E-5</v>
      </c>
      <c r="Y22" s="51">
        <f>'LUC-2013-01-08-Run2'!BA25</f>
        <v>1.9902500000000005E-5</v>
      </c>
      <c r="Z22" s="51">
        <f>'LUC-2013-01-08-Run2'!BB25</f>
        <v>2.0004583333333338E-5</v>
      </c>
      <c r="AA22" s="51">
        <f>'LUC-2013-01-08-Run2'!BC25</f>
        <v>2.0106666666666672E-5</v>
      </c>
      <c r="AB22" s="51">
        <f>'LUC-2013-01-08-Run2'!BD25</f>
        <v>2.0208750000000005E-5</v>
      </c>
      <c r="AC22" s="51">
        <f>'LUC-2013-01-08-Run2'!BE25</f>
        <v>2.0310833333333339E-5</v>
      </c>
      <c r="AD22" s="51">
        <f>'LUC-2013-01-08-Run2'!BF25</f>
        <v>2.0412916666666672E-5</v>
      </c>
      <c r="AE22" s="51">
        <f>'LUC-2013-01-08-Run2'!BG25</f>
        <v>2.0515000000000006E-5</v>
      </c>
      <c r="AF22" s="51">
        <f>'LUC-2013-01-08-Run2'!BH25</f>
        <v>2.0617083333333346E-5</v>
      </c>
      <c r="AG22" s="51">
        <f>'LUC-2013-01-08-Run2'!BI25</f>
        <v>2.071916666666668E-5</v>
      </c>
      <c r="AH22" s="51">
        <f>'LUC-2013-01-08-Run2'!BJ25</f>
        <v>2.0821250000000013E-5</v>
      </c>
      <c r="AI22" s="51">
        <f>'LUC-2013-01-08-Run2'!BK25</f>
        <v>2.0923333333333347E-5</v>
      </c>
      <c r="AJ22" s="51">
        <f>'LUC-2013-01-08-Run2'!BL25</f>
        <v>2.1025416666666681E-5</v>
      </c>
      <c r="AK22" s="51">
        <f>'LUC-2013-01-08-Run2'!BM25</f>
        <v>2.1127500000000014E-5</v>
      </c>
      <c r="AL22" s="51">
        <f>'LUC-2013-01-08-Run2'!BN25</f>
        <v>2.1229583333333348E-5</v>
      </c>
      <c r="AM22" s="51">
        <f>'LUC-2013-01-08-Run2'!BO25</f>
        <v>2.1331666666666681E-5</v>
      </c>
      <c r="AN22" s="51">
        <f>'LUC-2013-01-08-Run2'!BP25</f>
        <v>2.1433750000000015E-5</v>
      </c>
      <c r="AO22" s="51">
        <f>'LUC-2013-01-08-Run2'!BQ25</f>
        <v>2.1535833333333348E-5</v>
      </c>
      <c r="AP22" s="51">
        <f>'LUC-2013-01-08-Run2'!BR25</f>
        <v>2.1637916666666682E-5</v>
      </c>
      <c r="AQ22" s="51">
        <f>'LUC-2013-01-08-Run2'!BS25</f>
        <v>2.1740000000000015E-5</v>
      </c>
      <c r="AR22" s="51">
        <f>'LUC-2013-01-08-Run2'!BT25</f>
        <v>2.186250000000002E-5</v>
      </c>
      <c r="AS22" s="51">
        <f>'LUC-2013-01-08-Run2'!BU25</f>
        <v>2.1985000000000014E-5</v>
      </c>
      <c r="AT22" s="51">
        <f>'LUC-2013-01-08-Run2'!BV25</f>
        <v>2.2107500000000018E-5</v>
      </c>
      <c r="AU22" s="51">
        <f>'LUC-2013-01-08-Run2'!BW25</f>
        <v>2.2230000000000012E-5</v>
      </c>
      <c r="AV22" s="51">
        <f>'LUC-2013-01-08-Run2'!BX25</f>
        <v>2.2352500000000017E-5</v>
      </c>
      <c r="AW22" s="51">
        <f>'LUC-2013-01-08-Run2'!BY25</f>
        <v>2.2475000000000021E-5</v>
      </c>
      <c r="AX22" s="51">
        <f>'LUC-2013-01-08-Run2'!BZ25</f>
        <v>2.2597500000000015E-5</v>
      </c>
      <c r="AY22" s="51">
        <f>'LUC-2013-01-08-Run2'!CA25</f>
        <v>2.272000000000002E-5</v>
      </c>
      <c r="AZ22" s="51">
        <f>'LUC-2013-01-08-Run2'!CB25</f>
        <v>2.2842500000000014E-5</v>
      </c>
      <c r="BA22" s="51">
        <f>'LUC-2013-01-08-Run2'!CC25</f>
        <v>2.2965000000000018E-5</v>
      </c>
      <c r="BB22" s="51">
        <f>'LUC-2013-01-08-Run2'!CD25</f>
        <v>2.3087500000000022E-5</v>
      </c>
      <c r="BC22" s="51">
        <f>'LUC-2013-01-08-Run2'!CE25</f>
        <v>2.3210000000000017E-5</v>
      </c>
      <c r="BD22" s="51">
        <f>'LUC-2013-01-08-Run2'!CF25</f>
        <v>2.3332500000000021E-5</v>
      </c>
      <c r="BE22" s="51">
        <f>'LUC-2013-01-08-Run2'!CG25</f>
        <v>2.3455000000000015E-5</v>
      </c>
      <c r="BF22" s="51">
        <f>'LUC-2013-01-08-Run2'!CH25</f>
        <v>2.3577500000000019E-5</v>
      </c>
      <c r="BG22" s="51">
        <f>'LUC-2013-01-08-Run2'!CI25</f>
        <v>2.3700000000000024E-5</v>
      </c>
      <c r="BH22" s="51">
        <f>'LUC-2013-01-08-Run2'!CJ25</f>
        <v>2.3822500000000018E-5</v>
      </c>
      <c r="BI22" s="51">
        <f>'LUC-2013-01-08-Run2'!CK25</f>
        <v>2.3945000000000022E-5</v>
      </c>
      <c r="BJ22" s="51">
        <f>'LUC-2013-01-08-Run2'!CL25</f>
        <v>2.4067500000000016E-5</v>
      </c>
      <c r="BK22" s="51">
        <f>'LUC-2013-01-08-Run2'!CM25</f>
        <v>2.4190000000000021E-5</v>
      </c>
      <c r="BM22" s="102"/>
      <c r="BN22" s="53" t="s">
        <v>103</v>
      </c>
      <c r="BO22" s="61">
        <f t="shared" si="8"/>
        <v>36</v>
      </c>
      <c r="BP22" s="61">
        <f t="shared" si="9"/>
        <v>34.799999999999997</v>
      </c>
      <c r="BQ22" s="61">
        <f t="shared" si="10"/>
        <v>34.268333333333338</v>
      </c>
      <c r="BR22" s="61">
        <f t="shared" si="11"/>
        <v>34.455833333333345</v>
      </c>
      <c r="BS22" s="61">
        <f t="shared" si="12"/>
        <v>34.643333333333345</v>
      </c>
      <c r="BT22" s="61">
        <f t="shared" si="13"/>
        <v>34.643333333333345</v>
      </c>
      <c r="BU22" s="61">
        <f t="shared" si="14"/>
        <v>34.643333333333345</v>
      </c>
      <c r="BW22" s="50">
        <f>(BW23-BV23)/BV23</f>
        <v>0.19131533817561597</v>
      </c>
      <c r="BX22" s="96">
        <f t="shared" si="15"/>
        <v>1.4941406250000403E-2</v>
      </c>
      <c r="BZ22" s="97">
        <f>(BK23-'Sce 1 Table'!BK23)/'Sce 1 Table'!BK23</f>
        <v>-0.15504065040650372</v>
      </c>
    </row>
    <row r="23" spans="1:79" x14ac:dyDescent="0.25">
      <c r="A23" s="50" t="s">
        <v>38</v>
      </c>
      <c r="B23" s="50" t="s">
        <v>103</v>
      </c>
      <c r="C23" s="50" t="s">
        <v>92</v>
      </c>
      <c r="D23" s="51">
        <f>'LUC-2013-01-08-Run2'!AF26</f>
        <v>3.6000000000000001E-5</v>
      </c>
      <c r="E23" s="51">
        <f>'LUC-2013-01-08-Run2'!AG26</f>
        <v>3.5866666666666667E-5</v>
      </c>
      <c r="F23" s="51">
        <f>'LUC-2013-01-08-Run2'!AH26</f>
        <v>3.5733333333333332E-5</v>
      </c>
      <c r="G23" s="51">
        <f>'LUC-2013-01-08-Run2'!AI26</f>
        <v>3.5599999999999998E-5</v>
      </c>
      <c r="H23" s="51">
        <f>'LUC-2013-01-08-Run2'!AJ26</f>
        <v>3.546666666666667E-5</v>
      </c>
      <c r="I23" s="51">
        <f>'LUC-2013-01-08-Run2'!AK26</f>
        <v>3.5333333333333336E-5</v>
      </c>
      <c r="J23" s="51">
        <f>'LUC-2013-01-08-Run2'!AL26</f>
        <v>3.5200000000000002E-5</v>
      </c>
      <c r="K23" s="51">
        <f>'LUC-2013-01-08-Run2'!AM26</f>
        <v>3.5066666666666667E-5</v>
      </c>
      <c r="L23" s="51">
        <f>'LUC-2013-01-08-Run2'!AN26</f>
        <v>3.4933333333333333E-5</v>
      </c>
      <c r="M23" s="51">
        <f>'LUC-2013-01-08-Run2'!AO26</f>
        <v>3.4799999999999999E-5</v>
      </c>
      <c r="N23" s="51">
        <f>'LUC-2013-01-08-Run2'!AP26</f>
        <v>3.4666666666666665E-5</v>
      </c>
      <c r="O23" s="51">
        <f>'LUC-2013-01-08-Run2'!AQ26</f>
        <v>3.453333333333333E-5</v>
      </c>
      <c r="P23" s="51">
        <f>'LUC-2013-01-08-Run2'!AR26</f>
        <v>3.4400000000000003E-5</v>
      </c>
      <c r="Q23" s="51">
        <f>'LUC-2013-01-08-Run2'!AS26</f>
        <v>3.4266666666666668E-5</v>
      </c>
      <c r="R23" s="51">
        <f>'LUC-2013-01-08-Run2'!AT26</f>
        <v>3.4133333333333334E-5</v>
      </c>
      <c r="S23" s="51">
        <f>'LUC-2013-01-08-Run2'!AU26</f>
        <v>3.4193333333333337E-5</v>
      </c>
      <c r="T23" s="51">
        <f>'LUC-2013-01-08-Run2'!AV26</f>
        <v>3.4212083333333334E-5</v>
      </c>
      <c r="U23" s="51">
        <f>'LUC-2013-01-08-Run2'!AW26</f>
        <v>3.4230833333333338E-5</v>
      </c>
      <c r="V23" s="51">
        <f>'LUC-2013-01-08-Run2'!AX26</f>
        <v>3.4249583333333342E-5</v>
      </c>
      <c r="W23" s="51">
        <f>'LUC-2013-01-08-Run2'!AY26</f>
        <v>3.4268333333333339E-5</v>
      </c>
      <c r="X23" s="51">
        <f>'LUC-2013-01-08-Run2'!AZ26</f>
        <v>3.4287083333333336E-5</v>
      </c>
      <c r="Y23" s="51">
        <f>'LUC-2013-01-08-Run2'!BA26</f>
        <v>3.430583333333334E-5</v>
      </c>
      <c r="Z23" s="51">
        <f>'LUC-2013-01-08-Run2'!BB26</f>
        <v>3.4324583333333343E-5</v>
      </c>
      <c r="AA23" s="51">
        <f>'LUC-2013-01-08-Run2'!BC26</f>
        <v>3.4343333333333341E-5</v>
      </c>
      <c r="AB23" s="51">
        <f>'LUC-2013-01-08-Run2'!BD26</f>
        <v>3.4362083333333338E-5</v>
      </c>
      <c r="AC23" s="51">
        <f>'LUC-2013-01-08-Run2'!BE26</f>
        <v>3.4380833333333341E-5</v>
      </c>
      <c r="AD23" s="51">
        <f>'LUC-2013-01-08-Run2'!BF26</f>
        <v>3.4399583333333345E-5</v>
      </c>
      <c r="AE23" s="51">
        <f>'LUC-2013-01-08-Run2'!BG26</f>
        <v>3.4418333333333342E-5</v>
      </c>
      <c r="AF23" s="51">
        <f>'LUC-2013-01-08-Run2'!BH26</f>
        <v>3.4437083333333339E-5</v>
      </c>
      <c r="AG23" s="51">
        <f>'LUC-2013-01-08-Run2'!BI26</f>
        <v>3.4455833333333343E-5</v>
      </c>
      <c r="AH23" s="51">
        <f>'LUC-2013-01-08-Run2'!BJ26</f>
        <v>3.4474583333333347E-5</v>
      </c>
      <c r="AI23" s="51">
        <f>'LUC-2013-01-08-Run2'!BK26</f>
        <v>3.4493333333333344E-5</v>
      </c>
      <c r="AJ23" s="51">
        <f>'LUC-2013-01-08-Run2'!BL26</f>
        <v>3.4512083333333341E-5</v>
      </c>
      <c r="AK23" s="51">
        <f>'LUC-2013-01-08-Run2'!BM26</f>
        <v>3.4530833333333345E-5</v>
      </c>
      <c r="AL23" s="51">
        <f>'LUC-2013-01-08-Run2'!BN26</f>
        <v>3.4549583333333349E-5</v>
      </c>
      <c r="AM23" s="51">
        <f>'LUC-2013-01-08-Run2'!BO26</f>
        <v>3.4568333333333346E-5</v>
      </c>
      <c r="AN23" s="51">
        <f>'LUC-2013-01-08-Run2'!BP26</f>
        <v>3.4587083333333343E-5</v>
      </c>
      <c r="AO23" s="51">
        <f>'LUC-2013-01-08-Run2'!BQ26</f>
        <v>3.4605833333333347E-5</v>
      </c>
      <c r="AP23" s="51">
        <f>'LUC-2013-01-08-Run2'!BR26</f>
        <v>3.4624583333333351E-5</v>
      </c>
      <c r="AQ23" s="51">
        <f>'LUC-2013-01-08-Run2'!BS26</f>
        <v>3.4643333333333348E-5</v>
      </c>
      <c r="AR23" s="51">
        <f>'LUC-2013-01-08-Run2'!BT26</f>
        <v>3.4643333333333348E-5</v>
      </c>
      <c r="AS23" s="51">
        <f>'LUC-2013-01-08-Run2'!BU26</f>
        <v>3.4643333333333348E-5</v>
      </c>
      <c r="AT23" s="51">
        <f>'LUC-2013-01-08-Run2'!BV26</f>
        <v>3.4643333333333348E-5</v>
      </c>
      <c r="AU23" s="51">
        <f>'LUC-2013-01-08-Run2'!BW26</f>
        <v>3.4643333333333348E-5</v>
      </c>
      <c r="AV23" s="51">
        <f>'LUC-2013-01-08-Run2'!BX26</f>
        <v>3.4643333333333348E-5</v>
      </c>
      <c r="AW23" s="51">
        <f>'LUC-2013-01-08-Run2'!BY26</f>
        <v>3.4643333333333348E-5</v>
      </c>
      <c r="AX23" s="51">
        <f>'LUC-2013-01-08-Run2'!BZ26</f>
        <v>3.4643333333333348E-5</v>
      </c>
      <c r="AY23" s="51">
        <f>'LUC-2013-01-08-Run2'!CA26</f>
        <v>3.4643333333333348E-5</v>
      </c>
      <c r="AZ23" s="51">
        <f>'LUC-2013-01-08-Run2'!CB26</f>
        <v>3.4643333333333348E-5</v>
      </c>
      <c r="BA23" s="51">
        <f>'LUC-2013-01-08-Run2'!CC26</f>
        <v>3.4643333333333348E-5</v>
      </c>
      <c r="BB23" s="51">
        <f>'LUC-2013-01-08-Run2'!CD26</f>
        <v>3.4643333333333348E-5</v>
      </c>
      <c r="BC23" s="51">
        <f>'LUC-2013-01-08-Run2'!CE26</f>
        <v>3.4643333333333348E-5</v>
      </c>
      <c r="BD23" s="51">
        <f>'LUC-2013-01-08-Run2'!CF26</f>
        <v>3.4643333333333348E-5</v>
      </c>
      <c r="BE23" s="51">
        <f>'LUC-2013-01-08-Run2'!CG26</f>
        <v>3.4643333333333348E-5</v>
      </c>
      <c r="BF23" s="51">
        <f>'LUC-2013-01-08-Run2'!CH26</f>
        <v>3.4643333333333348E-5</v>
      </c>
      <c r="BG23" s="51">
        <f>'LUC-2013-01-08-Run2'!CI26</f>
        <v>3.4643333333333348E-5</v>
      </c>
      <c r="BH23" s="51">
        <f>'LUC-2013-01-08-Run2'!CJ26</f>
        <v>3.4643333333333348E-5</v>
      </c>
      <c r="BI23" s="51">
        <f>'LUC-2013-01-08-Run2'!CK26</f>
        <v>3.4643333333333348E-5</v>
      </c>
      <c r="BJ23" s="51">
        <f>'LUC-2013-01-08-Run2'!CL26</f>
        <v>3.4643333333333348E-5</v>
      </c>
      <c r="BK23" s="51">
        <f>'LUC-2013-01-08-Run2'!CM26</f>
        <v>3.4643333333333348E-5</v>
      </c>
      <c r="BM23" s="103"/>
      <c r="BN23" s="54" t="s">
        <v>104</v>
      </c>
      <c r="BO23" s="62">
        <f t="shared" si="8"/>
        <v>80.900000000000006</v>
      </c>
      <c r="BP23" s="62">
        <f t="shared" si="9"/>
        <v>80.3</v>
      </c>
      <c r="BQ23" s="62">
        <f t="shared" si="10"/>
        <v>80.193030303030298</v>
      </c>
      <c r="BR23" s="62">
        <f t="shared" si="11"/>
        <v>80.683939393939397</v>
      </c>
      <c r="BS23" s="62">
        <f t="shared" si="12"/>
        <v>81.751666666666679</v>
      </c>
      <c r="BT23" s="62">
        <f t="shared" si="13"/>
        <v>81.954166666666723</v>
      </c>
      <c r="BU23" s="62">
        <f t="shared" si="14"/>
        <v>82.156666666666752</v>
      </c>
      <c r="BV23" s="47">
        <f>SUM(BV13:BV17)</f>
        <v>578.79504032553496</v>
      </c>
      <c r="BW23" s="47">
        <f>SUM(BW13:BW17)</f>
        <v>689.52740919978396</v>
      </c>
      <c r="BX23" s="96">
        <f t="shared" si="15"/>
        <v>2.7386411004586317E-2</v>
      </c>
      <c r="BY23" s="96">
        <f>SUM(BX13:BX23)</f>
        <v>2.2442399719579154</v>
      </c>
      <c r="BZ23" s="97">
        <f>(BK24-'Sce 1 Table'!BK24)/'Sce 1 Table'!BK24</f>
        <v>0.10277404921700348</v>
      </c>
      <c r="CA23" s="97">
        <f>SUM(BZ13:BZ23)</f>
        <v>3.0256412557074364</v>
      </c>
    </row>
    <row r="24" spans="1:79" x14ac:dyDescent="0.25">
      <c r="A24" s="50" t="s">
        <v>38</v>
      </c>
      <c r="B24" s="50" t="s">
        <v>104</v>
      </c>
      <c r="C24" s="50" t="s">
        <v>92</v>
      </c>
      <c r="D24" s="51">
        <f>'LUC-2013-01-08-Run2'!AF28</f>
        <v>8.0900000000000001E-5</v>
      </c>
      <c r="E24" s="51">
        <f>'LUC-2013-01-08-Run2'!AG28</f>
        <v>8.0833333333333338E-5</v>
      </c>
      <c r="F24" s="51">
        <f>'LUC-2013-01-08-Run2'!AH28</f>
        <v>8.0766666666666674E-5</v>
      </c>
      <c r="G24" s="51">
        <f>'LUC-2013-01-08-Run2'!AI28</f>
        <v>8.0699999999999996E-5</v>
      </c>
      <c r="H24" s="51">
        <f>'LUC-2013-01-08-Run2'!AJ28</f>
        <v>8.0633333333333333E-5</v>
      </c>
      <c r="I24" s="51">
        <f>'LUC-2013-01-08-Run2'!AK28</f>
        <v>8.0566666666666669E-5</v>
      </c>
      <c r="J24" s="51">
        <f>'LUC-2013-01-08-Run2'!AL28</f>
        <v>8.0500000000000005E-5</v>
      </c>
      <c r="K24" s="51">
        <f>'LUC-2013-01-08-Run2'!AM28</f>
        <v>8.0433333333333341E-5</v>
      </c>
      <c r="L24" s="51">
        <f>'LUC-2013-01-08-Run2'!AN28</f>
        <v>8.0366666666666664E-5</v>
      </c>
      <c r="M24" s="51">
        <f>'LUC-2013-01-08-Run2'!AO28</f>
        <v>8.03E-5</v>
      </c>
      <c r="N24" s="51">
        <f>'LUC-2013-01-08-Run2'!AP28</f>
        <v>8.0233333333333337E-5</v>
      </c>
      <c r="O24" s="51">
        <f>'LUC-2013-01-08-Run2'!AQ28</f>
        <v>8.0166666666666673E-5</v>
      </c>
      <c r="P24" s="51">
        <f>'LUC-2013-01-08-Run2'!AR28</f>
        <v>8.0100000000000009E-5</v>
      </c>
      <c r="Q24" s="51">
        <f>'LUC-2013-01-08-Run2'!AS28</f>
        <v>8.0033333333333332E-5</v>
      </c>
      <c r="R24" s="51">
        <f>'LUC-2013-01-08-Run2'!AT28</f>
        <v>7.9966666666666668E-5</v>
      </c>
      <c r="S24" s="51">
        <f>'LUC-2013-01-08-Run2'!AU28</f>
        <v>7.9996666666666666E-5</v>
      </c>
      <c r="T24" s="51">
        <f>'LUC-2013-01-08-Run2'!AV28</f>
        <v>8.0045757575757575E-5</v>
      </c>
      <c r="U24" s="51">
        <f>'LUC-2013-01-08-Run2'!AW28</f>
        <v>8.0094848484848485E-5</v>
      </c>
      <c r="V24" s="51">
        <f>'LUC-2013-01-08-Run2'!AX28</f>
        <v>8.0143939393939395E-5</v>
      </c>
      <c r="W24" s="51">
        <f>'LUC-2013-01-08-Run2'!AY28</f>
        <v>8.0193030303030304E-5</v>
      </c>
      <c r="X24" s="51">
        <f>'LUC-2013-01-08-Run2'!AZ28</f>
        <v>8.0242121212121214E-5</v>
      </c>
      <c r="Y24" s="51">
        <f>'LUC-2013-01-08-Run2'!BA28</f>
        <v>8.0291212121212123E-5</v>
      </c>
      <c r="Z24" s="51">
        <f>'LUC-2013-01-08-Run2'!BB28</f>
        <v>8.0340303030303033E-5</v>
      </c>
      <c r="AA24" s="51">
        <f>'LUC-2013-01-08-Run2'!BC28</f>
        <v>8.0389393939393942E-5</v>
      </c>
      <c r="AB24" s="51">
        <f>'LUC-2013-01-08-Run2'!BD28</f>
        <v>8.0438484848484852E-5</v>
      </c>
      <c r="AC24" s="51">
        <f>'LUC-2013-01-08-Run2'!BE28</f>
        <v>8.0487575757575761E-5</v>
      </c>
      <c r="AD24" s="51">
        <f>'LUC-2013-01-08-Run2'!BF28</f>
        <v>8.0536666666666671E-5</v>
      </c>
      <c r="AE24" s="51">
        <f>'LUC-2013-01-08-Run2'!BG28</f>
        <v>8.058575757575758E-5</v>
      </c>
      <c r="AF24" s="51">
        <f>'LUC-2013-01-08-Run2'!BH28</f>
        <v>8.063484848484849E-5</v>
      </c>
      <c r="AG24" s="51">
        <f>'LUC-2013-01-08-Run2'!BI28</f>
        <v>8.06839393939394E-5</v>
      </c>
      <c r="AH24" s="51">
        <f>'LUC-2013-01-08-Run2'!BJ28</f>
        <v>8.0733030303030309E-5</v>
      </c>
      <c r="AI24" s="51">
        <f>'LUC-2013-01-08-Run2'!BK28</f>
        <v>8.0782121212121219E-5</v>
      </c>
      <c r="AJ24" s="51">
        <f>'LUC-2013-01-08-Run2'!BL28</f>
        <v>8.0831212121212128E-5</v>
      </c>
      <c r="AK24" s="51">
        <f>'LUC-2013-01-08-Run2'!BM28</f>
        <v>8.0880303030303038E-5</v>
      </c>
      <c r="AL24" s="51">
        <f>'LUC-2013-01-08-Run2'!BN28</f>
        <v>8.0929393939393947E-5</v>
      </c>
      <c r="AM24" s="51">
        <f>'LUC-2013-01-08-Run2'!BO28</f>
        <v>8.0978484848484857E-5</v>
      </c>
      <c r="AN24" s="51">
        <f>'LUC-2013-01-08-Run2'!BP28</f>
        <v>8.1027575757575766E-5</v>
      </c>
      <c r="AO24" s="51">
        <f>'LUC-2013-01-08-Run2'!BQ28</f>
        <v>8.1076666666666676E-5</v>
      </c>
      <c r="AP24" s="51">
        <f>'LUC-2013-01-08-Run2'!BR28</f>
        <v>8.1125757575757585E-5</v>
      </c>
      <c r="AQ24" s="51">
        <f>'LUC-2013-01-08-Run2'!BS28</f>
        <v>8.1751666666666679E-5</v>
      </c>
      <c r="AR24" s="51">
        <f>'LUC-2013-01-08-Run2'!BT28</f>
        <v>8.1771916666666686E-5</v>
      </c>
      <c r="AS24" s="51">
        <f>'LUC-2013-01-08-Run2'!BU28</f>
        <v>8.1792166666666693E-5</v>
      </c>
      <c r="AT24" s="51">
        <f>'LUC-2013-01-08-Run2'!BV28</f>
        <v>8.1812416666666687E-5</v>
      </c>
      <c r="AU24" s="51">
        <f>'LUC-2013-01-08-Run2'!BW28</f>
        <v>8.1832666666666694E-5</v>
      </c>
      <c r="AV24" s="51">
        <f>'LUC-2013-01-08-Run2'!BX28</f>
        <v>8.1852916666666701E-5</v>
      </c>
      <c r="AW24" s="51">
        <f>'LUC-2013-01-08-Run2'!BY28</f>
        <v>8.1873166666666694E-5</v>
      </c>
      <c r="AX24" s="51">
        <f>'LUC-2013-01-08-Run2'!BZ28</f>
        <v>8.1893416666666702E-5</v>
      </c>
      <c r="AY24" s="51">
        <f>'LUC-2013-01-08-Run2'!CA28</f>
        <v>8.1913666666666709E-5</v>
      </c>
      <c r="AZ24" s="51">
        <f>'LUC-2013-01-08-Run2'!CB28</f>
        <v>8.1933916666666716E-5</v>
      </c>
      <c r="BA24" s="51">
        <f>'LUC-2013-01-08-Run2'!CC28</f>
        <v>8.1954166666666723E-5</v>
      </c>
      <c r="BB24" s="51">
        <f>'LUC-2013-01-08-Run2'!CD28</f>
        <v>8.1974416666666717E-5</v>
      </c>
      <c r="BC24" s="51">
        <f>'LUC-2013-01-08-Run2'!CE28</f>
        <v>8.1994666666666724E-5</v>
      </c>
      <c r="BD24" s="51">
        <f>'LUC-2013-01-08-Run2'!CF28</f>
        <v>8.2014916666666731E-5</v>
      </c>
      <c r="BE24" s="51">
        <f>'LUC-2013-01-08-Run2'!CG28</f>
        <v>8.2035166666666724E-5</v>
      </c>
      <c r="BF24" s="51">
        <f>'LUC-2013-01-08-Run2'!CH28</f>
        <v>8.2055416666666732E-5</v>
      </c>
      <c r="BG24" s="51">
        <f>'LUC-2013-01-08-Run2'!CI28</f>
        <v>8.2075666666666739E-5</v>
      </c>
      <c r="BH24" s="51">
        <f>'LUC-2013-01-08-Run2'!CJ28</f>
        <v>8.2095916666666746E-5</v>
      </c>
      <c r="BI24" s="51">
        <f>'LUC-2013-01-08-Run2'!CK28</f>
        <v>8.2116166666666753E-5</v>
      </c>
      <c r="BJ24" s="51">
        <f>'LUC-2013-01-08-Run2'!CL28</f>
        <v>8.2136416666666747E-5</v>
      </c>
      <c r="BK24" s="51">
        <f>'LUC-2013-01-08-Run2'!CM28</f>
        <v>8.2156666666666754E-5</v>
      </c>
      <c r="BN24" s="50" t="s">
        <v>112</v>
      </c>
    </row>
    <row r="25" spans="1:79" x14ac:dyDescent="0.25">
      <c r="BM25" s="56" t="s">
        <v>93</v>
      </c>
      <c r="BN25" s="56" t="s">
        <v>94</v>
      </c>
      <c r="BO25" s="56">
        <v>1991</v>
      </c>
      <c r="BP25" s="56">
        <v>2000</v>
      </c>
      <c r="BQ25" s="56">
        <v>2010</v>
      </c>
      <c r="BR25" s="56">
        <v>2020</v>
      </c>
      <c r="BS25" s="56">
        <v>2030</v>
      </c>
      <c r="BT25" s="56">
        <v>2040</v>
      </c>
      <c r="BU25" s="56">
        <v>2050</v>
      </c>
    </row>
    <row r="26" spans="1:79" x14ac:dyDescent="0.25">
      <c r="A26" s="52" t="s">
        <v>71</v>
      </c>
      <c r="B26" s="50" t="s">
        <v>99</v>
      </c>
      <c r="C26" s="52" t="s">
        <v>107</v>
      </c>
      <c r="D26" s="51">
        <f>'LUC-2013-01-08-Run2'!AF30</f>
        <v>2.8586557155908612E-3</v>
      </c>
      <c r="E26" s="51">
        <f>'LUC-2013-01-08-Run2'!AG30</f>
        <v>2.909963886131464E-3</v>
      </c>
      <c r="F26" s="51">
        <f>'LUC-2013-01-08-Run2'!AH30</f>
        <v>2.9612720566720677E-3</v>
      </c>
      <c r="G26" s="51">
        <f>'LUC-2013-01-08-Run2'!AI30</f>
        <v>3.0125802272126705E-3</v>
      </c>
      <c r="H26" s="51">
        <f>'LUC-2013-01-08-Run2'!AJ30</f>
        <v>3.0638883977532742E-3</v>
      </c>
      <c r="I26" s="51">
        <f>'LUC-2013-01-08-Run2'!AK30</f>
        <v>3.1151965682938766E-3</v>
      </c>
      <c r="J26" s="51">
        <f>'LUC-2013-01-08-Run2'!AL30</f>
        <v>3.1665047388344802E-3</v>
      </c>
      <c r="K26" s="51">
        <f>'LUC-2013-01-08-Run2'!AM30</f>
        <v>3.2178129093750835E-3</v>
      </c>
      <c r="L26" s="51">
        <f>'LUC-2013-01-08-Run2'!AN30</f>
        <v>3.2691210799156863E-3</v>
      </c>
      <c r="M26" s="51">
        <f>'LUC-2013-01-08-Run2'!AO30</f>
        <v>3.3204292504562887E-3</v>
      </c>
      <c r="N26" s="51">
        <f>'LUC-2013-01-08-Run2'!AP30</f>
        <v>3.3717374209968911E-3</v>
      </c>
      <c r="O26" s="51">
        <f>'LUC-2013-01-08-Run2'!AQ30</f>
        <v>3.4230455915374956E-3</v>
      </c>
      <c r="P26" s="51">
        <f>'LUC-2013-01-08-Run2'!AR30</f>
        <v>3.474353762078098E-3</v>
      </c>
      <c r="Q26" s="51">
        <f>'LUC-2013-01-08-Run2'!AS30</f>
        <v>3.5256619326187004E-3</v>
      </c>
      <c r="R26" s="51">
        <f>'LUC-2013-01-08-Run2'!AT30</f>
        <v>3.5769701031593041E-3</v>
      </c>
      <c r="S26" s="51">
        <f>'LUC-2013-01-08-Run2'!AU30</f>
        <v>3.6282782736999073E-3</v>
      </c>
      <c r="T26" s="51">
        <f>'LUC-2013-01-08-Run2'!AV30</f>
        <v>3.6601435786098075E-3</v>
      </c>
      <c r="U26" s="51">
        <f>'LUC-2013-01-08-Run2'!AW30</f>
        <v>3.6920088835197063E-3</v>
      </c>
      <c r="V26" s="51">
        <f>'LUC-2013-01-08-Run2'!AX30</f>
        <v>3.7238741884296055E-3</v>
      </c>
      <c r="W26" s="51">
        <f>'LUC-2013-01-08-Run2'!AY30</f>
        <v>3.7557394933395052E-3</v>
      </c>
      <c r="X26" s="51">
        <f>'LUC-2013-01-08-Run2'!AZ30</f>
        <v>3.7876047982494045E-3</v>
      </c>
      <c r="Y26" s="51">
        <f>'LUC-2013-01-08-Run2'!BA30</f>
        <v>3.8194701031593042E-3</v>
      </c>
      <c r="Z26" s="51">
        <f>'LUC-2013-01-08-Run2'!BB30</f>
        <v>3.8513354080692043E-3</v>
      </c>
      <c r="AA26" s="51">
        <f>'LUC-2013-01-08-Run2'!BC30</f>
        <v>3.8832007129791031E-3</v>
      </c>
      <c r="AB26" s="51">
        <f>'LUC-2013-01-08-Run2'!BD30</f>
        <v>3.9150660178890037E-3</v>
      </c>
      <c r="AC26" s="51">
        <f>'LUC-2013-01-08-Run2'!BE30</f>
        <v>3.9469313227989029E-3</v>
      </c>
      <c r="AD26" s="51">
        <f>'LUC-2013-01-08-Run2'!BF30</f>
        <v>3.9787966277088022E-3</v>
      </c>
      <c r="AE26" s="51">
        <f>'LUC-2013-01-08-Run2'!BG30</f>
        <v>4.0106619326187015E-3</v>
      </c>
      <c r="AF26" s="51">
        <f>'LUC-2013-01-08-Run2'!BH30</f>
        <v>4.0425272375286016E-3</v>
      </c>
      <c r="AG26" s="51">
        <f>'LUC-2013-01-08-Run2'!BI30</f>
        <v>4.0743925424385008E-3</v>
      </c>
      <c r="AH26" s="51">
        <f>'LUC-2013-01-08-Run2'!BJ30</f>
        <v>4.1062578473483992E-3</v>
      </c>
      <c r="AI26" s="51">
        <f>'LUC-2013-01-08-Run2'!BK30</f>
        <v>4.1381231522582993E-3</v>
      </c>
      <c r="AJ26" s="51">
        <f>'LUC-2013-01-08-Run2'!BL30</f>
        <v>4.1699884571681986E-3</v>
      </c>
      <c r="AK26" s="51">
        <f>'LUC-2013-01-08-Run2'!BM30</f>
        <v>4.2018537620780979E-3</v>
      </c>
      <c r="AL26" s="51">
        <f>'LUC-2013-01-08-Run2'!BN30</f>
        <v>4.233719066987998E-3</v>
      </c>
      <c r="AM26" s="51">
        <f>'LUC-2013-01-08-Run2'!BO30</f>
        <v>4.2655843718978972E-3</v>
      </c>
      <c r="AN26" s="51">
        <f>'LUC-2013-01-08-Run2'!BP30</f>
        <v>4.2974496768077956E-3</v>
      </c>
      <c r="AO26" s="51">
        <f>'LUC-2013-01-08-Run2'!BQ30</f>
        <v>4.3293149817176958E-3</v>
      </c>
      <c r="AP26" s="51">
        <f>'LUC-2013-01-08-Run2'!BR30</f>
        <v>4.3611802866275959E-3</v>
      </c>
      <c r="AQ26" s="51">
        <f>'LUC-2013-01-08-Run2'!BS30</f>
        <v>4.3930455915374969E-3</v>
      </c>
      <c r="AR26" s="51">
        <f>'LUC-2013-01-08-Run2'!BT30</f>
        <v>4.4249108964473944E-3</v>
      </c>
      <c r="AS26" s="51">
        <f>'LUC-2013-01-08-Run2'!BU30</f>
        <v>4.4567762013572945E-3</v>
      </c>
      <c r="AT26" s="51">
        <f>'LUC-2013-01-08-Run2'!BV30</f>
        <v>4.4886415062671938E-3</v>
      </c>
      <c r="AU26" s="51">
        <f>'LUC-2013-01-08-Run2'!BW30</f>
        <v>4.520506811177093E-3</v>
      </c>
      <c r="AV26" s="51">
        <f>'LUC-2013-01-08-Run2'!BX30</f>
        <v>4.5523721160869923E-3</v>
      </c>
      <c r="AW26" s="51">
        <f>'LUC-2013-01-08-Run2'!BY30</f>
        <v>4.5842374209968924E-3</v>
      </c>
      <c r="AX26" s="51">
        <f>'LUC-2013-01-08-Run2'!BZ30</f>
        <v>4.6161027259067908E-3</v>
      </c>
      <c r="AY26" s="51">
        <f>'LUC-2013-01-08-Run2'!CA30</f>
        <v>4.6479680308166918E-3</v>
      </c>
      <c r="AZ26" s="51">
        <f>'LUC-2013-01-08-Run2'!CB30</f>
        <v>4.6798333357265902E-3</v>
      </c>
      <c r="BA26" s="51">
        <f>'LUC-2013-01-08-Run2'!CC30</f>
        <v>4.7116986406364903E-3</v>
      </c>
      <c r="BB26" s="51">
        <f>'LUC-2013-01-08-Run2'!CD30</f>
        <v>4.7435639455463896E-3</v>
      </c>
      <c r="BC26" s="51">
        <f>'LUC-2013-01-08-Run2'!CE30</f>
        <v>4.7754292504562897E-3</v>
      </c>
      <c r="BD26" s="51">
        <f>'LUC-2013-01-08-Run2'!CF30</f>
        <v>4.8072945553661881E-3</v>
      </c>
      <c r="BE26" s="51">
        <f>'LUC-2013-01-08-Run2'!CG30</f>
        <v>4.8391598602760891E-3</v>
      </c>
      <c r="BF26" s="51">
        <f>'LUC-2013-01-08-Run2'!CH30</f>
        <v>4.8710251651859866E-3</v>
      </c>
      <c r="BG26" s="51">
        <f>'LUC-2013-01-08-Run2'!CI30</f>
        <v>4.9028904700958876E-3</v>
      </c>
      <c r="BH26" s="51">
        <f>'LUC-2013-01-08-Run2'!CJ30</f>
        <v>4.9347557750057851E-3</v>
      </c>
      <c r="BI26" s="51">
        <f>'LUC-2013-01-08-Run2'!CK30</f>
        <v>4.9666210799156861E-3</v>
      </c>
      <c r="BJ26" s="51">
        <f>'LUC-2013-01-08-Run2'!CL30</f>
        <v>4.9984863848255862E-3</v>
      </c>
      <c r="BK26" s="51">
        <f>'LUC-2013-01-08-Run2'!CM30</f>
        <v>5.0303516897354846E-3</v>
      </c>
      <c r="BM26" s="101" t="s">
        <v>71</v>
      </c>
      <c r="BN26" s="55" t="s">
        <v>99</v>
      </c>
      <c r="BO26" s="81">
        <f t="shared" ref="BO26:BO32" si="16">D26*1000</f>
        <v>2.8586557155908614</v>
      </c>
      <c r="BP26" s="81">
        <f t="shared" ref="BP26:BP32" si="17">M26*1000</f>
        <v>3.3204292504562889</v>
      </c>
      <c r="BQ26" s="81">
        <f t="shared" ref="BQ26:BQ32" si="18">W26*1000</f>
        <v>3.7557394933395054</v>
      </c>
      <c r="BR26" s="81">
        <f t="shared" ref="BR26:BR32" si="19">AG26*1000</f>
        <v>4.0743925424385008</v>
      </c>
      <c r="BS26" s="81">
        <f t="shared" ref="BS26:BS32" si="20">AQ26*1000</f>
        <v>4.3930455915374971</v>
      </c>
      <c r="BT26" s="81">
        <f t="shared" ref="BT26:BT32" si="21">BA26*1000</f>
        <v>4.7116986406364907</v>
      </c>
      <c r="BU26" s="81">
        <f t="shared" ref="BU26:BU32" si="22">BK26*1000</f>
        <v>5.0303516897354843</v>
      </c>
    </row>
    <row r="27" spans="1:79" x14ac:dyDescent="0.25">
      <c r="A27" s="52" t="s">
        <v>71</v>
      </c>
      <c r="B27" s="50" t="s">
        <v>100</v>
      </c>
      <c r="C27" s="52" t="s">
        <v>107</v>
      </c>
      <c r="D27" s="51">
        <f>'LUC-2013-01-08-Run2'!AF31</f>
        <v>2.21991625074704E-3</v>
      </c>
      <c r="E27" s="51">
        <f>'LUC-2013-01-08-Run2'!AG31</f>
        <v>2.2566263371078163E-3</v>
      </c>
      <c r="F27" s="51">
        <f>'LUC-2013-01-08-Run2'!AH31</f>
        <v>2.2933364234685931E-3</v>
      </c>
      <c r="G27" s="51">
        <f>'LUC-2013-01-08-Run2'!AI31</f>
        <v>2.3300465098293689E-3</v>
      </c>
      <c r="H27" s="51">
        <f>'LUC-2013-01-08-Run2'!AJ31</f>
        <v>2.3667565961901457E-3</v>
      </c>
      <c r="I27" s="51">
        <f>'LUC-2013-01-08-Run2'!AK31</f>
        <v>2.403466682550922E-3</v>
      </c>
      <c r="J27" s="51">
        <f>'LUC-2013-01-08-Run2'!AL31</f>
        <v>2.4401767689116983E-3</v>
      </c>
      <c r="K27" s="51">
        <f>'LUC-2013-01-08-Run2'!AM31</f>
        <v>2.4768868552724754E-3</v>
      </c>
      <c r="L27" s="51">
        <f>'LUC-2013-01-08-Run2'!AN31</f>
        <v>2.5135969416332517E-3</v>
      </c>
      <c r="M27" s="51">
        <f>'LUC-2013-01-08-Run2'!AO31</f>
        <v>2.5503070279940276E-3</v>
      </c>
      <c r="N27" s="51">
        <f>'LUC-2013-01-08-Run2'!AP31</f>
        <v>2.5870171143548043E-3</v>
      </c>
      <c r="O27" s="51">
        <f>'LUC-2013-01-08-Run2'!AQ31</f>
        <v>2.6237272007155811E-3</v>
      </c>
      <c r="P27" s="51">
        <f>'LUC-2013-01-08-Run2'!AR31</f>
        <v>2.6604372870763569E-3</v>
      </c>
      <c r="Q27" s="51">
        <f>'LUC-2013-01-08-Run2'!AS31</f>
        <v>2.6971473734371336E-3</v>
      </c>
      <c r="R27" s="51">
        <f>'LUC-2013-01-08-Run2'!AT31</f>
        <v>2.7338574597979095E-3</v>
      </c>
      <c r="S27" s="51">
        <f>'LUC-2013-01-08-Run2'!AU31</f>
        <v>2.7705675461586858E-3</v>
      </c>
      <c r="T27" s="51">
        <f>'LUC-2013-01-08-Run2'!AV31</f>
        <v>2.7941732069956472E-3</v>
      </c>
      <c r="U27" s="51">
        <f>'LUC-2013-01-08-Run2'!AW31</f>
        <v>2.8177788678326082E-3</v>
      </c>
      <c r="V27" s="51">
        <f>'LUC-2013-01-08-Run2'!AX31</f>
        <v>2.8413845286695688E-3</v>
      </c>
      <c r="W27" s="51">
        <f>'LUC-2013-01-08-Run2'!AY31</f>
        <v>2.8649901895065294E-3</v>
      </c>
      <c r="X27" s="51">
        <f>'LUC-2013-01-08-Run2'!AZ31</f>
        <v>2.8885958503434904E-3</v>
      </c>
      <c r="Y27" s="51">
        <f>'LUC-2013-01-08-Run2'!BA31</f>
        <v>2.9122015111804514E-3</v>
      </c>
      <c r="Z27" s="51">
        <f>'LUC-2013-01-08-Run2'!BB31</f>
        <v>2.9358071720174115E-3</v>
      </c>
      <c r="AA27" s="51">
        <f>'LUC-2013-01-08-Run2'!BC31</f>
        <v>2.9594128328543738E-3</v>
      </c>
      <c r="AB27" s="51">
        <f>'LUC-2013-01-08-Run2'!BD31</f>
        <v>2.9830184936913344E-3</v>
      </c>
      <c r="AC27" s="51">
        <f>'LUC-2013-01-08-Run2'!BE31</f>
        <v>3.0066241545282949E-3</v>
      </c>
      <c r="AD27" s="51">
        <f>'LUC-2013-01-08-Run2'!BF31</f>
        <v>3.030229815365256E-3</v>
      </c>
      <c r="AE27" s="51">
        <f>'LUC-2013-01-08-Run2'!BG31</f>
        <v>3.0538354762022174E-3</v>
      </c>
      <c r="AF27" s="51">
        <f>'LUC-2013-01-08-Run2'!BH31</f>
        <v>3.0774411370391771E-3</v>
      </c>
      <c r="AG27" s="51">
        <f>'LUC-2013-01-08-Run2'!BI31</f>
        <v>3.1010467978761381E-3</v>
      </c>
      <c r="AH27" s="51">
        <f>'LUC-2013-01-08-Run2'!BJ31</f>
        <v>3.1246524587130987E-3</v>
      </c>
      <c r="AI27" s="51">
        <f>'LUC-2013-01-08-Run2'!BK31</f>
        <v>3.1482581195500597E-3</v>
      </c>
      <c r="AJ27" s="51">
        <f>'LUC-2013-01-08-Run2'!BL31</f>
        <v>3.1718637803870211E-3</v>
      </c>
      <c r="AK27" s="51">
        <f>'LUC-2013-01-08-Run2'!BM31</f>
        <v>3.1954694412239821E-3</v>
      </c>
      <c r="AL27" s="51">
        <f>'LUC-2013-01-08-Run2'!BN31</f>
        <v>3.2190751020609435E-3</v>
      </c>
      <c r="AM27" s="51">
        <f>'LUC-2013-01-08-Run2'!BO31</f>
        <v>3.2426807628979037E-3</v>
      </c>
      <c r="AN27" s="51">
        <f>'LUC-2013-01-08-Run2'!BP31</f>
        <v>3.2662864237348651E-3</v>
      </c>
      <c r="AO27" s="51">
        <f>'LUC-2013-01-08-Run2'!BQ31</f>
        <v>3.2898920845718252E-3</v>
      </c>
      <c r="AP27" s="51">
        <f>'LUC-2013-01-08-Run2'!BR31</f>
        <v>3.3134977454087858E-3</v>
      </c>
      <c r="AQ27" s="51">
        <f>'LUC-2013-01-08-Run2'!BS31</f>
        <v>3.3371034062457468E-3</v>
      </c>
      <c r="AR27" s="51">
        <f>'LUC-2013-01-08-Run2'!BT31</f>
        <v>3.3607090670827078E-3</v>
      </c>
      <c r="AS27" s="51">
        <f>'LUC-2013-01-08-Run2'!BU31</f>
        <v>3.3843147279196684E-3</v>
      </c>
      <c r="AT27" s="51">
        <f>'LUC-2013-01-08-Run2'!BV31</f>
        <v>3.4079203887566302E-3</v>
      </c>
      <c r="AU27" s="51">
        <f>'LUC-2013-01-08-Run2'!BW31</f>
        <v>3.4315260495935899E-3</v>
      </c>
      <c r="AV27" s="51">
        <f>'LUC-2013-01-08-Run2'!BX31</f>
        <v>3.4551317104305514E-3</v>
      </c>
      <c r="AW27" s="51">
        <f>'LUC-2013-01-08-Run2'!BY31</f>
        <v>3.4787373712675128E-3</v>
      </c>
      <c r="AX27" s="51">
        <f>'LUC-2013-01-08-Run2'!BZ31</f>
        <v>3.5023430321044729E-3</v>
      </c>
      <c r="AY27" s="51">
        <f>'LUC-2013-01-08-Run2'!CA31</f>
        <v>3.5259486929414339E-3</v>
      </c>
      <c r="AZ27" s="51">
        <f>'LUC-2013-01-08-Run2'!CB31</f>
        <v>3.5495543537783945E-3</v>
      </c>
      <c r="BA27" s="51">
        <f>'LUC-2013-01-08-Run2'!CC31</f>
        <v>3.5731600146153551E-3</v>
      </c>
      <c r="BB27" s="51">
        <f>'LUC-2013-01-08-Run2'!CD31</f>
        <v>3.5967656754523165E-3</v>
      </c>
      <c r="BC27" s="51">
        <f>'LUC-2013-01-08-Run2'!CE31</f>
        <v>3.6203713362892771E-3</v>
      </c>
      <c r="BD27" s="51">
        <f>'LUC-2013-01-08-Run2'!CF31</f>
        <v>3.6439769971262381E-3</v>
      </c>
      <c r="BE27" s="51">
        <f>'LUC-2013-01-08-Run2'!CG31</f>
        <v>3.6675826579631995E-3</v>
      </c>
      <c r="BF27" s="51">
        <f>'LUC-2013-01-08-Run2'!CH31</f>
        <v>3.6911883188001609E-3</v>
      </c>
      <c r="BG27" s="51">
        <f>'LUC-2013-01-08-Run2'!CI31</f>
        <v>3.7147939796371206E-3</v>
      </c>
      <c r="BH27" s="51">
        <f>'LUC-2013-01-08-Run2'!CJ31</f>
        <v>3.7383996404740821E-3</v>
      </c>
      <c r="BI27" s="51">
        <f>'LUC-2013-01-08-Run2'!CK31</f>
        <v>3.7620053013110422E-3</v>
      </c>
      <c r="BJ27" s="51">
        <f>'LUC-2013-01-08-Run2'!CL31</f>
        <v>3.7856109621480032E-3</v>
      </c>
      <c r="BK27" s="51">
        <f>'LUC-2013-01-08-Run2'!CM31</f>
        <v>3.8092166229849646E-3</v>
      </c>
      <c r="BM27" s="102"/>
      <c r="BN27" s="53" t="s">
        <v>100</v>
      </c>
      <c r="BO27" s="79">
        <f t="shared" si="16"/>
        <v>2.21991625074704</v>
      </c>
      <c r="BP27" s="79">
        <f t="shared" si="17"/>
        <v>2.5503070279940276</v>
      </c>
      <c r="BQ27" s="79">
        <f t="shared" si="18"/>
        <v>2.8649901895065293</v>
      </c>
      <c r="BR27" s="79">
        <f t="shared" si="19"/>
        <v>3.1010467978761382</v>
      </c>
      <c r="BS27" s="79">
        <f t="shared" si="20"/>
        <v>3.3371034062457468</v>
      </c>
      <c r="BT27" s="79">
        <f t="shared" si="21"/>
        <v>3.5731600146153553</v>
      </c>
      <c r="BU27" s="79">
        <f t="shared" si="22"/>
        <v>3.8092166229849647</v>
      </c>
    </row>
    <row r="28" spans="1:79" x14ac:dyDescent="0.25">
      <c r="A28" s="52" t="s">
        <v>71</v>
      </c>
      <c r="B28" s="50" t="s">
        <v>101</v>
      </c>
      <c r="C28" s="52" t="s">
        <v>107</v>
      </c>
      <c r="D28" s="51">
        <f>'LUC-2013-01-08-Run2'!AF32</f>
        <v>3.2695631189309741E-3</v>
      </c>
      <c r="E28" s="51">
        <f>'LUC-2013-01-08-Run2'!AG32</f>
        <v>3.3190680876783053E-3</v>
      </c>
      <c r="F28" s="51">
        <f>'LUC-2013-01-08-Run2'!AH32</f>
        <v>3.3685730564256351E-3</v>
      </c>
      <c r="G28" s="51">
        <f>'LUC-2013-01-08-Run2'!AI32</f>
        <v>3.4180780251729654E-3</v>
      </c>
      <c r="H28" s="51">
        <f>'LUC-2013-01-08-Run2'!AJ32</f>
        <v>3.4675829939202975E-3</v>
      </c>
      <c r="I28" s="51">
        <f>'LUC-2013-01-08-Run2'!AK32</f>
        <v>3.5170879626676278E-3</v>
      </c>
      <c r="J28" s="51">
        <f>'LUC-2013-01-08-Run2'!AL32</f>
        <v>3.566592931414959E-3</v>
      </c>
      <c r="K28" s="51">
        <f>'LUC-2013-01-08-Run2'!AM32</f>
        <v>3.6160979001622893E-3</v>
      </c>
      <c r="L28" s="51">
        <f>'LUC-2013-01-08-Run2'!AN32</f>
        <v>3.66560286890962E-3</v>
      </c>
      <c r="M28" s="51">
        <f>'LUC-2013-01-08-Run2'!AO32</f>
        <v>3.7151078376569512E-3</v>
      </c>
      <c r="N28" s="51">
        <f>'LUC-2013-01-08-Run2'!AP32</f>
        <v>3.764612806404282E-3</v>
      </c>
      <c r="O28" s="51">
        <f>'LUC-2013-01-08-Run2'!AQ32</f>
        <v>3.8141177751516123E-3</v>
      </c>
      <c r="P28" s="51">
        <f>'LUC-2013-01-08-Run2'!AR32</f>
        <v>3.8636227438989435E-3</v>
      </c>
      <c r="Q28" s="51">
        <f>'LUC-2013-01-08-Run2'!AS32</f>
        <v>3.9131277126462733E-3</v>
      </c>
      <c r="R28" s="51">
        <f>'LUC-2013-01-08-Run2'!AT32</f>
        <v>3.9626326813936045E-3</v>
      </c>
      <c r="S28" s="51">
        <f>'LUC-2013-01-08-Run2'!AU32</f>
        <v>4.0121376501409357E-3</v>
      </c>
      <c r="T28" s="51">
        <f>'LUC-2013-01-08-Run2'!AV32</f>
        <v>4.0409850921853223E-3</v>
      </c>
      <c r="U28" s="51">
        <f>'LUC-2013-01-08-Run2'!AW32</f>
        <v>4.0698325342297097E-3</v>
      </c>
      <c r="V28" s="51">
        <f>'LUC-2013-01-08-Run2'!AX32</f>
        <v>4.0986799762740963E-3</v>
      </c>
      <c r="W28" s="51">
        <f>'LUC-2013-01-08-Run2'!AY32</f>
        <v>4.127527418318482E-3</v>
      </c>
      <c r="X28" s="51">
        <f>'LUC-2013-01-08-Run2'!AZ32</f>
        <v>4.1563748603628704E-3</v>
      </c>
      <c r="Y28" s="51">
        <f>'LUC-2013-01-08-Run2'!BA32</f>
        <v>4.1852223024072561E-3</v>
      </c>
      <c r="Z28" s="51">
        <f>'LUC-2013-01-08-Run2'!BB32</f>
        <v>4.2140697444516435E-3</v>
      </c>
      <c r="AA28" s="51">
        <f>'LUC-2013-01-08-Run2'!BC32</f>
        <v>4.2429171864960301E-3</v>
      </c>
      <c r="AB28" s="51">
        <f>'LUC-2013-01-08-Run2'!BD32</f>
        <v>4.2717646285404158E-3</v>
      </c>
      <c r="AC28" s="51">
        <f>'LUC-2013-01-08-Run2'!BE32</f>
        <v>4.3006120705848042E-3</v>
      </c>
      <c r="AD28" s="51">
        <f>'LUC-2013-01-08-Run2'!BF32</f>
        <v>4.3294595126291899E-3</v>
      </c>
      <c r="AE28" s="51">
        <f>'LUC-2013-01-08-Run2'!BG32</f>
        <v>4.3583069546735782E-3</v>
      </c>
      <c r="AF28" s="51">
        <f>'LUC-2013-01-08-Run2'!BH32</f>
        <v>4.3871543967179639E-3</v>
      </c>
      <c r="AG28" s="51">
        <f>'LUC-2013-01-08-Run2'!BI32</f>
        <v>4.4160018387623514E-3</v>
      </c>
      <c r="AH28" s="51">
        <f>'LUC-2013-01-08-Run2'!BJ32</f>
        <v>4.444849280806738E-3</v>
      </c>
      <c r="AI28" s="51">
        <f>'LUC-2013-01-08-Run2'!BK32</f>
        <v>4.4736967228511245E-3</v>
      </c>
      <c r="AJ28" s="51">
        <f>'LUC-2013-01-08-Run2'!BL32</f>
        <v>4.5025441648955111E-3</v>
      </c>
      <c r="AK28" s="51">
        <f>'LUC-2013-01-08-Run2'!BM32</f>
        <v>4.5313916069398994E-3</v>
      </c>
      <c r="AL28" s="51">
        <f>'LUC-2013-01-08-Run2'!BN32</f>
        <v>4.5602390489842852E-3</v>
      </c>
      <c r="AM28" s="51">
        <f>'LUC-2013-01-08-Run2'!BO32</f>
        <v>4.5890864910286726E-3</v>
      </c>
      <c r="AN28" s="51">
        <f>'LUC-2013-01-08-Run2'!BP32</f>
        <v>4.6179339330730601E-3</v>
      </c>
      <c r="AO28" s="51">
        <f>'LUC-2013-01-08-Run2'!BQ32</f>
        <v>4.6467813751174458E-3</v>
      </c>
      <c r="AP28" s="51">
        <f>'LUC-2013-01-08-Run2'!BR32</f>
        <v>4.6756288171618332E-3</v>
      </c>
      <c r="AQ28" s="51">
        <f>'LUC-2013-01-08-Run2'!BS32</f>
        <v>4.7044762592062198E-3</v>
      </c>
      <c r="AR28" s="51">
        <f>'LUC-2013-01-08-Run2'!BT32</f>
        <v>4.7333237012506073E-3</v>
      </c>
      <c r="AS28" s="51">
        <f>'LUC-2013-01-08-Run2'!BU32</f>
        <v>4.762171143294993E-3</v>
      </c>
      <c r="AT28" s="51">
        <f>'LUC-2013-01-08-Run2'!BV32</f>
        <v>4.7910185853393805E-3</v>
      </c>
      <c r="AU28" s="51">
        <f>'LUC-2013-01-08-Run2'!BW32</f>
        <v>4.8198660273837679E-3</v>
      </c>
      <c r="AV28" s="51">
        <f>'LUC-2013-01-08-Run2'!BX32</f>
        <v>4.8487134694281545E-3</v>
      </c>
      <c r="AW28" s="51">
        <f>'LUC-2013-01-08-Run2'!BY32</f>
        <v>4.8775609114725419E-3</v>
      </c>
      <c r="AX28" s="51">
        <f>'LUC-2013-01-08-Run2'!BZ32</f>
        <v>4.9064083535169277E-3</v>
      </c>
      <c r="AY28" s="51">
        <f>'LUC-2013-01-08-Run2'!CA32</f>
        <v>4.9352557955613151E-3</v>
      </c>
      <c r="AZ28" s="51">
        <f>'LUC-2013-01-08-Run2'!CB32</f>
        <v>4.9641032376057017E-3</v>
      </c>
      <c r="BA28" s="51">
        <f>'LUC-2013-01-08-Run2'!CC32</f>
        <v>4.9929506796500883E-3</v>
      </c>
      <c r="BB28" s="51">
        <f>'LUC-2013-01-08-Run2'!CD32</f>
        <v>5.0217981216944757E-3</v>
      </c>
      <c r="BC28" s="51">
        <f>'LUC-2013-01-08-Run2'!CE32</f>
        <v>5.0506455637388623E-3</v>
      </c>
      <c r="BD28" s="51">
        <f>'LUC-2013-01-08-Run2'!CF32</f>
        <v>5.0794930057832489E-3</v>
      </c>
      <c r="BE28" s="51">
        <f>'LUC-2013-01-08-Run2'!CG32</f>
        <v>5.1083404478276355E-3</v>
      </c>
      <c r="BF28" s="51">
        <f>'LUC-2013-01-08-Run2'!CH32</f>
        <v>5.1371878898720212E-3</v>
      </c>
      <c r="BG28" s="51">
        <f>'LUC-2013-01-08-Run2'!CI32</f>
        <v>5.1660353319164087E-3</v>
      </c>
      <c r="BH28" s="51">
        <f>'LUC-2013-01-08-Run2'!CJ32</f>
        <v>5.1948827739607961E-3</v>
      </c>
      <c r="BI28" s="51">
        <f>'LUC-2013-01-08-Run2'!CK32</f>
        <v>5.2237302160051836E-3</v>
      </c>
      <c r="BJ28" s="51">
        <f>'LUC-2013-01-08-Run2'!CL32</f>
        <v>5.252577658049571E-3</v>
      </c>
      <c r="BK28" s="51">
        <f>'LUC-2013-01-08-Run2'!CM32</f>
        <v>5.2814251000939559E-3</v>
      </c>
      <c r="BM28" s="102"/>
      <c r="BN28" s="53" t="s">
        <v>101</v>
      </c>
      <c r="BO28" s="79">
        <f t="shared" si="16"/>
        <v>3.2695631189309742</v>
      </c>
      <c r="BP28" s="79">
        <f t="shared" si="17"/>
        <v>3.7151078376569511</v>
      </c>
      <c r="BQ28" s="79">
        <f t="shared" si="18"/>
        <v>4.1275274183184818</v>
      </c>
      <c r="BR28" s="79">
        <f t="shared" si="19"/>
        <v>4.4160018387623516</v>
      </c>
      <c r="BS28" s="79">
        <f t="shared" si="20"/>
        <v>4.7044762592062197</v>
      </c>
      <c r="BT28" s="79">
        <f t="shared" si="21"/>
        <v>4.9929506796500887</v>
      </c>
      <c r="BU28" s="79">
        <f t="shared" si="22"/>
        <v>5.2814251000939558</v>
      </c>
      <c r="BW28" s="50" t="s">
        <v>138</v>
      </c>
    </row>
    <row r="29" spans="1:79" x14ac:dyDescent="0.25">
      <c r="A29" s="52" t="s">
        <v>71</v>
      </c>
      <c r="B29" s="50" t="s">
        <v>111</v>
      </c>
      <c r="C29" s="52" t="s">
        <v>107</v>
      </c>
      <c r="D29" s="51">
        <f>'LUC-2013-01-08-Run2'!AF33</f>
        <v>1.4251346260975677E-3</v>
      </c>
      <c r="E29" s="51">
        <f>'LUC-2013-01-08-Run2'!AG33</f>
        <v>1.4394010133432365E-3</v>
      </c>
      <c r="F29" s="51">
        <f>'LUC-2013-01-08-Run2'!AH33</f>
        <v>1.4536674005889065E-3</v>
      </c>
      <c r="G29" s="51">
        <f>'LUC-2013-01-08-Run2'!AI33</f>
        <v>1.4679337878345756E-3</v>
      </c>
      <c r="H29" s="51">
        <f>'LUC-2013-01-08-Run2'!AJ33</f>
        <v>1.4822001750802451E-3</v>
      </c>
      <c r="I29" s="51">
        <f>'LUC-2013-01-08-Run2'!AK33</f>
        <v>1.4964665623259147E-3</v>
      </c>
      <c r="J29" s="51">
        <f>'LUC-2013-01-08-Run2'!AL33</f>
        <v>1.5107329495715842E-3</v>
      </c>
      <c r="K29" s="51">
        <f>'LUC-2013-01-08-Run2'!AM33</f>
        <v>1.5249993368172535E-3</v>
      </c>
      <c r="L29" s="51">
        <f>'LUC-2013-01-08-Run2'!AN33</f>
        <v>1.5392657240629226E-3</v>
      </c>
      <c r="M29" s="51">
        <f>'LUC-2013-01-08-Run2'!AO33</f>
        <v>1.5535321113085924E-3</v>
      </c>
      <c r="N29" s="51">
        <f>'LUC-2013-01-08-Run2'!AP33</f>
        <v>1.5677984985542617E-3</v>
      </c>
      <c r="O29" s="51">
        <f>'LUC-2013-01-08-Run2'!AQ33</f>
        <v>1.5820648857999312E-3</v>
      </c>
      <c r="P29" s="51">
        <f>'LUC-2013-01-08-Run2'!AR33</f>
        <v>1.5963312730456008E-3</v>
      </c>
      <c r="Q29" s="51">
        <f>'LUC-2013-01-08-Run2'!AS33</f>
        <v>1.6105976602912699E-3</v>
      </c>
      <c r="R29" s="51">
        <f>'LUC-2013-01-08-Run2'!AT33</f>
        <v>1.6248640475369394E-3</v>
      </c>
      <c r="S29" s="51">
        <f>'LUC-2013-01-08-Run2'!AU33</f>
        <v>1.6391304347826087E-3</v>
      </c>
      <c r="T29" s="51">
        <f>'LUC-2013-01-08-Run2'!AV33</f>
        <v>1.6512056578914661E-3</v>
      </c>
      <c r="U29" s="51">
        <f>'LUC-2013-01-08-Run2'!AW33</f>
        <v>1.6632808810003231E-3</v>
      </c>
      <c r="V29" s="51">
        <f>'LUC-2013-01-08-Run2'!AX33</f>
        <v>1.6753561041091803E-3</v>
      </c>
      <c r="W29" s="51">
        <f>'LUC-2013-01-08-Run2'!AY33</f>
        <v>1.6874313272180379E-3</v>
      </c>
      <c r="X29" s="51">
        <f>'LUC-2013-01-08-Run2'!AZ33</f>
        <v>1.6995065503268951E-3</v>
      </c>
      <c r="Y29" s="51">
        <f>'LUC-2013-01-08-Run2'!BA33</f>
        <v>1.7115817734357521E-3</v>
      </c>
      <c r="Z29" s="51">
        <f>'LUC-2013-01-08-Run2'!BB33</f>
        <v>1.7236569965446093E-3</v>
      </c>
      <c r="AA29" s="51">
        <f>'LUC-2013-01-08-Run2'!BC33</f>
        <v>1.7357322196534667E-3</v>
      </c>
      <c r="AB29" s="51">
        <f>'LUC-2013-01-08-Run2'!BD33</f>
        <v>1.7478074427623236E-3</v>
      </c>
      <c r="AC29" s="51">
        <f>'LUC-2013-01-08-Run2'!BE33</f>
        <v>1.759882665871181E-3</v>
      </c>
      <c r="AD29" s="51">
        <f>'LUC-2013-01-08-Run2'!BF33</f>
        <v>1.7719578889800382E-3</v>
      </c>
      <c r="AE29" s="51">
        <f>'LUC-2013-01-08-Run2'!BG33</f>
        <v>1.7840331120888959E-3</v>
      </c>
      <c r="AF29" s="51">
        <f>'LUC-2013-01-08-Run2'!BH33</f>
        <v>1.7961083351977531E-3</v>
      </c>
      <c r="AG29" s="51">
        <f>'LUC-2013-01-08-Run2'!BI33</f>
        <v>1.8081835583066094E-3</v>
      </c>
      <c r="AH29" s="51">
        <f>'LUC-2013-01-08-Run2'!BJ33</f>
        <v>1.8202587814154672E-3</v>
      </c>
      <c r="AI29" s="51">
        <f>'LUC-2013-01-08-Run2'!BK33</f>
        <v>1.8323340045243244E-3</v>
      </c>
      <c r="AJ29" s="51">
        <f>'LUC-2013-01-08-Run2'!BL33</f>
        <v>1.844409227633182E-3</v>
      </c>
      <c r="AK29" s="51">
        <f>'LUC-2013-01-08-Run2'!BM33</f>
        <v>1.8564844507420388E-3</v>
      </c>
      <c r="AL29" s="51">
        <f>'LUC-2013-01-08-Run2'!BN33</f>
        <v>1.8685596738508962E-3</v>
      </c>
      <c r="AM29" s="51">
        <f>'LUC-2013-01-08-Run2'!BO33</f>
        <v>1.8806348969597534E-3</v>
      </c>
      <c r="AN29" s="51">
        <f>'LUC-2013-01-08-Run2'!BP33</f>
        <v>1.8927101200686108E-3</v>
      </c>
      <c r="AO29" s="51">
        <f>'LUC-2013-01-08-Run2'!BQ33</f>
        <v>1.9047853431774678E-3</v>
      </c>
      <c r="AP29" s="51">
        <f>'LUC-2013-01-08-Run2'!BR33</f>
        <v>1.9168605662863256E-3</v>
      </c>
      <c r="AQ29" s="51">
        <f>'LUC-2013-01-08-Run2'!BS33</f>
        <v>1.9289357893951824E-3</v>
      </c>
      <c r="AR29" s="51">
        <f>'LUC-2013-01-08-Run2'!BT33</f>
        <v>1.9410110125040402E-3</v>
      </c>
      <c r="AS29" s="51">
        <f>'LUC-2013-01-08-Run2'!BU33</f>
        <v>1.9530862356128972E-3</v>
      </c>
      <c r="AT29" s="51">
        <f>'LUC-2013-01-08-Run2'!BV33</f>
        <v>1.9651614587217541E-3</v>
      </c>
      <c r="AU29" s="51">
        <f>'LUC-2013-01-08-Run2'!BW33</f>
        <v>1.9772366818306113E-3</v>
      </c>
      <c r="AV29" s="51">
        <f>'LUC-2013-01-08-Run2'!BX33</f>
        <v>1.989311904939469E-3</v>
      </c>
      <c r="AW29" s="51">
        <f>'LUC-2013-01-08-Run2'!BY33</f>
        <v>2.0013871280483257E-3</v>
      </c>
      <c r="AX29" s="51">
        <f>'LUC-2013-01-08-Run2'!BZ33</f>
        <v>2.0134623511571829E-3</v>
      </c>
      <c r="AY29" s="51">
        <f>'LUC-2013-01-08-Run2'!CA33</f>
        <v>2.0255375742660405E-3</v>
      </c>
      <c r="AZ29" s="51">
        <f>'LUC-2013-01-08-Run2'!CB33</f>
        <v>2.0376127973748973E-3</v>
      </c>
      <c r="BA29" s="51">
        <f>'LUC-2013-01-08-Run2'!CC33</f>
        <v>2.0496880204837549E-3</v>
      </c>
      <c r="BB29" s="51">
        <f>'LUC-2013-01-08-Run2'!CD33</f>
        <v>2.0617632435926121E-3</v>
      </c>
      <c r="BC29" s="51">
        <f>'LUC-2013-01-08-Run2'!CE33</f>
        <v>2.0738384667014697E-3</v>
      </c>
      <c r="BD29" s="51">
        <f>'LUC-2013-01-08-Run2'!CF33</f>
        <v>2.0859136898103261E-3</v>
      </c>
      <c r="BE29" s="51">
        <f>'LUC-2013-01-08-Run2'!CG33</f>
        <v>2.0979889129191837E-3</v>
      </c>
      <c r="BF29" s="51">
        <f>'LUC-2013-01-08-Run2'!CH33</f>
        <v>2.1100641360280409E-3</v>
      </c>
      <c r="BG29" s="51">
        <f>'LUC-2013-01-08-Run2'!CI33</f>
        <v>2.1221393591368985E-3</v>
      </c>
      <c r="BH29" s="51">
        <f>'LUC-2013-01-08-Run2'!CJ33</f>
        <v>2.1342145822457557E-3</v>
      </c>
      <c r="BI29" s="51">
        <f>'LUC-2013-01-08-Run2'!CK33</f>
        <v>2.1462898053546129E-3</v>
      </c>
      <c r="BJ29" s="51">
        <f>'LUC-2013-01-08-Run2'!CL33</f>
        <v>2.1583650284634701E-3</v>
      </c>
      <c r="BK29" s="51">
        <f>'LUC-2013-01-08-Run2'!CM33</f>
        <v>2.1704402515723277E-3</v>
      </c>
      <c r="BM29" s="102"/>
      <c r="BN29" s="53" t="s">
        <v>111</v>
      </c>
      <c r="BO29" s="79">
        <f t="shared" si="16"/>
        <v>1.4251346260975677</v>
      </c>
      <c r="BP29" s="79">
        <f t="shared" si="17"/>
        <v>1.5535321113085925</v>
      </c>
      <c r="BQ29" s="79">
        <f t="shared" si="18"/>
        <v>1.6874313272180379</v>
      </c>
      <c r="BR29" s="79">
        <f t="shared" si="19"/>
        <v>1.8081835583066095</v>
      </c>
      <c r="BS29" s="79">
        <f t="shared" si="20"/>
        <v>1.9289357893951824</v>
      </c>
      <c r="BT29" s="79">
        <f t="shared" si="21"/>
        <v>2.0496880204837549</v>
      </c>
      <c r="BU29" s="79">
        <f t="shared" si="22"/>
        <v>2.1704402515723276</v>
      </c>
      <c r="BW29" s="50" t="s">
        <v>139</v>
      </c>
    </row>
    <row r="30" spans="1:79" x14ac:dyDescent="0.25">
      <c r="A30" s="52" t="s">
        <v>71</v>
      </c>
      <c r="B30" s="50" t="s">
        <v>102</v>
      </c>
      <c r="C30" s="52" t="s">
        <v>107</v>
      </c>
      <c r="D30" s="51">
        <f>'LUC-2013-01-08-Run2'!AF34</f>
        <v>1.6577549140049134E-3</v>
      </c>
      <c r="E30" s="51">
        <f>'LUC-2013-01-08-Run2'!AG34</f>
        <v>1.6804361179361179E-3</v>
      </c>
      <c r="F30" s="51">
        <f>'LUC-2013-01-08-Run2'!AH34</f>
        <v>1.7031173218673219E-3</v>
      </c>
      <c r="G30" s="51">
        <f>'LUC-2013-01-08-Run2'!AI34</f>
        <v>1.7257985257985258E-3</v>
      </c>
      <c r="H30" s="51">
        <f>'LUC-2013-01-08-Run2'!AJ34</f>
        <v>1.7484797297297294E-3</v>
      </c>
      <c r="I30" s="51">
        <f>'LUC-2013-01-08-Run2'!AK34</f>
        <v>1.7711609336609332E-3</v>
      </c>
      <c r="J30" s="51">
        <f>'LUC-2013-01-08-Run2'!AL34</f>
        <v>1.7938421375921377E-3</v>
      </c>
      <c r="K30" s="51">
        <f>'LUC-2013-01-08-Run2'!AM34</f>
        <v>1.8165233415233415E-3</v>
      </c>
      <c r="L30" s="51">
        <f>'LUC-2013-01-08-Run2'!AN34</f>
        <v>1.8392045454545453E-3</v>
      </c>
      <c r="M30" s="51">
        <f>'LUC-2013-01-08-Run2'!AO34</f>
        <v>1.8618857493857496E-3</v>
      </c>
      <c r="N30" s="51">
        <f>'LUC-2013-01-08-Run2'!AP34</f>
        <v>1.8845669533169532E-3</v>
      </c>
      <c r="O30" s="51">
        <f>'LUC-2013-01-08-Run2'!AQ34</f>
        <v>1.9072481572481575E-3</v>
      </c>
      <c r="P30" s="51">
        <f>'LUC-2013-01-08-Run2'!AR34</f>
        <v>1.9299293611793611E-3</v>
      </c>
      <c r="Q30" s="51">
        <f>'LUC-2013-01-08-Run2'!AS34</f>
        <v>1.9526105651105647E-3</v>
      </c>
      <c r="R30" s="51">
        <f>'LUC-2013-01-08-Run2'!AT34</f>
        <v>1.9752917690417696E-3</v>
      </c>
      <c r="S30" s="51">
        <f>'LUC-2013-01-08-Run2'!AU34</f>
        <v>1.9979729729729728E-3</v>
      </c>
      <c r="T30" s="51">
        <f>'LUC-2013-01-08-Run2'!AV34</f>
        <v>2.0184735872235877E-3</v>
      </c>
      <c r="U30" s="51">
        <f>'LUC-2013-01-08-Run2'!AW34</f>
        <v>2.0389742014742013E-3</v>
      </c>
      <c r="V30" s="51">
        <f>'LUC-2013-01-08-Run2'!AX34</f>
        <v>2.0594748157248153E-3</v>
      </c>
      <c r="W30" s="51">
        <f>'LUC-2013-01-08-Run2'!AY34</f>
        <v>2.0799754299754298E-3</v>
      </c>
      <c r="X30" s="51">
        <f>'LUC-2013-01-08-Run2'!AZ34</f>
        <v>2.1004760442260443E-3</v>
      </c>
      <c r="Y30" s="51">
        <f>'LUC-2013-01-08-Run2'!BA34</f>
        <v>2.1209766584766587E-3</v>
      </c>
      <c r="Z30" s="51">
        <f>'LUC-2013-01-08-Run2'!BB34</f>
        <v>2.1414772727272723E-3</v>
      </c>
      <c r="AA30" s="51">
        <f>'LUC-2013-01-08-Run2'!BC34</f>
        <v>2.1619778869778868E-3</v>
      </c>
      <c r="AB30" s="51">
        <f>'LUC-2013-01-08-Run2'!BD34</f>
        <v>2.1824785012285013E-3</v>
      </c>
      <c r="AC30" s="51">
        <f>'LUC-2013-01-08-Run2'!BE34</f>
        <v>2.2029791154791153E-3</v>
      </c>
      <c r="AD30" s="51">
        <f>'LUC-2013-01-08-Run2'!BF34</f>
        <v>2.2234797297297293E-3</v>
      </c>
      <c r="AE30" s="51">
        <f>'LUC-2013-01-08-Run2'!BG34</f>
        <v>2.2439803439803438E-3</v>
      </c>
      <c r="AF30" s="51">
        <f>'LUC-2013-01-08-Run2'!BH34</f>
        <v>2.2644809582309583E-3</v>
      </c>
      <c r="AG30" s="51">
        <f>'LUC-2013-01-08-Run2'!BI34</f>
        <v>2.2849815724815723E-3</v>
      </c>
      <c r="AH30" s="51">
        <f>'LUC-2013-01-08-Run2'!BJ34</f>
        <v>2.3054821867321868E-3</v>
      </c>
      <c r="AI30" s="51">
        <f>'LUC-2013-01-08-Run2'!BK34</f>
        <v>2.3259828009828008E-3</v>
      </c>
      <c r="AJ30" s="51">
        <f>'LUC-2013-01-08-Run2'!BL34</f>
        <v>2.3464834152334153E-3</v>
      </c>
      <c r="AK30" s="51">
        <f>'LUC-2013-01-08-Run2'!BM34</f>
        <v>2.3669840294840293E-3</v>
      </c>
      <c r="AL30" s="51">
        <f>'LUC-2013-01-08-Run2'!BN34</f>
        <v>2.3874846437346438E-3</v>
      </c>
      <c r="AM30" s="51">
        <f>'LUC-2013-01-08-Run2'!BO34</f>
        <v>2.4079852579852574E-3</v>
      </c>
      <c r="AN30" s="51">
        <f>'LUC-2013-01-08-Run2'!BP34</f>
        <v>2.4284858722358718E-3</v>
      </c>
      <c r="AO30" s="51">
        <f>'LUC-2013-01-08-Run2'!BQ34</f>
        <v>2.4489864864864859E-3</v>
      </c>
      <c r="AP30" s="51">
        <f>'LUC-2013-01-08-Run2'!BR34</f>
        <v>2.4694871007371003E-3</v>
      </c>
      <c r="AQ30" s="51">
        <f>'LUC-2013-01-08-Run2'!BS34</f>
        <v>2.4899877149877148E-3</v>
      </c>
      <c r="AR30" s="51">
        <f>'LUC-2013-01-08-Run2'!BT34</f>
        <v>2.5104883292383293E-3</v>
      </c>
      <c r="AS30" s="51">
        <f>'LUC-2013-01-08-Run2'!BU34</f>
        <v>2.5309889434889433E-3</v>
      </c>
      <c r="AT30" s="51">
        <f>'LUC-2013-01-08-Run2'!BV34</f>
        <v>2.5514895577395573E-3</v>
      </c>
      <c r="AU30" s="51">
        <f>'LUC-2013-01-08-Run2'!BW34</f>
        <v>2.5719901719901722E-3</v>
      </c>
      <c r="AV30" s="51">
        <f>'LUC-2013-01-08-Run2'!BX34</f>
        <v>2.5924907862407863E-3</v>
      </c>
      <c r="AW30" s="51">
        <f>'LUC-2013-01-08-Run2'!BY34</f>
        <v>2.6129914004914007E-3</v>
      </c>
      <c r="AX30" s="51">
        <f>'LUC-2013-01-08-Run2'!BZ34</f>
        <v>2.6334920147420139E-3</v>
      </c>
      <c r="AY30" s="51">
        <f>'LUC-2013-01-08-Run2'!CA34</f>
        <v>2.6539926289926284E-3</v>
      </c>
      <c r="AZ30" s="51">
        <f>'LUC-2013-01-08-Run2'!CB34</f>
        <v>2.6744932432432428E-3</v>
      </c>
      <c r="BA30" s="51">
        <f>'LUC-2013-01-08-Run2'!CC34</f>
        <v>2.6949938574938573E-3</v>
      </c>
      <c r="BB30" s="51">
        <f>'LUC-2013-01-08-Run2'!CD34</f>
        <v>2.7154944717444713E-3</v>
      </c>
      <c r="BC30" s="51">
        <f>'LUC-2013-01-08-Run2'!CE34</f>
        <v>2.7359950859950858E-3</v>
      </c>
      <c r="BD30" s="51">
        <f>'LUC-2013-01-08-Run2'!CF34</f>
        <v>2.7564957002457007E-3</v>
      </c>
      <c r="BE30" s="51">
        <f>'LUC-2013-01-08-Run2'!CG34</f>
        <v>2.7769963144963143E-3</v>
      </c>
      <c r="BF30" s="51">
        <f>'LUC-2013-01-08-Run2'!CH34</f>
        <v>2.7974969287469288E-3</v>
      </c>
      <c r="BG30" s="51">
        <f>'LUC-2013-01-08-Run2'!CI34</f>
        <v>2.8179975429975424E-3</v>
      </c>
      <c r="BH30" s="51">
        <f>'LUC-2013-01-08-Run2'!CJ34</f>
        <v>2.8384981572481573E-3</v>
      </c>
      <c r="BI30" s="51">
        <f>'LUC-2013-01-08-Run2'!CK34</f>
        <v>2.8589987714987713E-3</v>
      </c>
      <c r="BJ30" s="51">
        <f>'LUC-2013-01-08-Run2'!CL34</f>
        <v>2.8794993857493853E-3</v>
      </c>
      <c r="BK30" s="51">
        <f>'LUC-2013-01-08-Run2'!CM34</f>
        <v>2.8999999999999998E-3</v>
      </c>
      <c r="BM30" s="102"/>
      <c r="BN30" s="53" t="s">
        <v>102</v>
      </c>
      <c r="BO30" s="79">
        <f t="shared" si="16"/>
        <v>1.6577549140049135</v>
      </c>
      <c r="BP30" s="79">
        <f t="shared" si="17"/>
        <v>1.8618857493857497</v>
      </c>
      <c r="BQ30" s="79">
        <f t="shared" si="18"/>
        <v>2.0799754299754296</v>
      </c>
      <c r="BR30" s="79">
        <f t="shared" si="19"/>
        <v>2.2849815724815721</v>
      </c>
      <c r="BS30" s="79">
        <f t="shared" si="20"/>
        <v>2.489987714987715</v>
      </c>
      <c r="BT30" s="79">
        <f t="shared" si="21"/>
        <v>2.6949938574938574</v>
      </c>
      <c r="BU30" s="79">
        <f t="shared" si="22"/>
        <v>2.9</v>
      </c>
    </row>
    <row r="31" spans="1:79" x14ac:dyDescent="0.25">
      <c r="A31" s="52" t="s">
        <v>71</v>
      </c>
      <c r="B31" s="50" t="s">
        <v>103</v>
      </c>
      <c r="C31" s="52" t="s">
        <v>107</v>
      </c>
      <c r="D31" s="51">
        <f>'LUC-2013-01-08-Run2'!AF35</f>
        <v>6.1522727272727278E-2</v>
      </c>
      <c r="E31" s="51">
        <f>'LUC-2013-01-08-Run2'!AG35</f>
        <v>6.1954545454545457E-2</v>
      </c>
      <c r="F31" s="51">
        <f>'LUC-2013-01-08-Run2'!AH35</f>
        <v>6.2386363636363643E-2</v>
      </c>
      <c r="G31" s="51">
        <f>'LUC-2013-01-08-Run2'!AI35</f>
        <v>6.2818181818181829E-2</v>
      </c>
      <c r="H31" s="51">
        <f>'LUC-2013-01-08-Run2'!AJ35</f>
        <v>6.3250000000000001E-2</v>
      </c>
      <c r="I31" s="51">
        <f>'LUC-2013-01-08-Run2'!AK35</f>
        <v>6.3681818181818187E-2</v>
      </c>
      <c r="J31" s="51">
        <f>'LUC-2013-01-08-Run2'!AL35</f>
        <v>6.4113636363636373E-2</v>
      </c>
      <c r="K31" s="51">
        <f>'LUC-2013-01-08-Run2'!AM35</f>
        <v>6.4545454545454545E-2</v>
      </c>
      <c r="L31" s="51">
        <f>'LUC-2013-01-08-Run2'!AN35</f>
        <v>6.4977272727272731E-2</v>
      </c>
      <c r="M31" s="51">
        <f>'LUC-2013-01-08-Run2'!AO35</f>
        <v>6.5409090909090917E-2</v>
      </c>
      <c r="N31" s="51">
        <f>'LUC-2013-01-08-Run2'!AP35</f>
        <v>6.5840909090909089E-2</v>
      </c>
      <c r="O31" s="51">
        <f>'LUC-2013-01-08-Run2'!AQ35</f>
        <v>6.6272727272727275E-2</v>
      </c>
      <c r="P31" s="51">
        <f>'LUC-2013-01-08-Run2'!AR35</f>
        <v>6.6704545454545461E-2</v>
      </c>
      <c r="Q31" s="51">
        <f>'LUC-2013-01-08-Run2'!AS35</f>
        <v>6.7136363636363633E-2</v>
      </c>
      <c r="R31" s="51">
        <f>'LUC-2013-01-08-Run2'!AT35</f>
        <v>6.7568181818181819E-2</v>
      </c>
      <c r="S31" s="51">
        <f>'LUC-2013-01-08-Run2'!AU35</f>
        <v>6.8000000000000005E-2</v>
      </c>
      <c r="T31" s="51">
        <f>'LUC-2013-01-08-Run2'!AV35</f>
        <v>6.881818181818182E-2</v>
      </c>
      <c r="U31" s="51">
        <f>'LUC-2013-01-08-Run2'!AW35</f>
        <v>6.9636363636363635E-2</v>
      </c>
      <c r="V31" s="51">
        <f>'LUC-2013-01-08-Run2'!AX35</f>
        <v>7.0454545454545464E-2</v>
      </c>
      <c r="W31" s="51">
        <f>'LUC-2013-01-08-Run2'!AY35</f>
        <v>7.1272727272727279E-2</v>
      </c>
      <c r="X31" s="51">
        <f>'LUC-2013-01-08-Run2'!AZ35</f>
        <v>7.2090909090909094E-2</v>
      </c>
      <c r="Y31" s="51">
        <f>'LUC-2013-01-08-Run2'!BA35</f>
        <v>7.290909090909091E-2</v>
      </c>
      <c r="Z31" s="51">
        <f>'LUC-2013-01-08-Run2'!BB35</f>
        <v>7.3727272727272725E-2</v>
      </c>
      <c r="AA31" s="51">
        <f>'LUC-2013-01-08-Run2'!BC35</f>
        <v>7.4545454545454554E-2</v>
      </c>
      <c r="AB31" s="51">
        <f>'LUC-2013-01-08-Run2'!BD35</f>
        <v>7.5363636363636369E-2</v>
      </c>
      <c r="AC31" s="51">
        <f>'LUC-2013-01-08-Run2'!BE35</f>
        <v>7.6181818181818184E-2</v>
      </c>
      <c r="AD31" s="51">
        <f>'LUC-2013-01-08-Run2'!BF35</f>
        <v>7.6999999999999999E-2</v>
      </c>
      <c r="AE31" s="51">
        <f>'LUC-2013-01-08-Run2'!BG35</f>
        <v>7.7818181818181814E-2</v>
      </c>
      <c r="AF31" s="51">
        <f>'LUC-2013-01-08-Run2'!BH35</f>
        <v>7.8636363636363643E-2</v>
      </c>
      <c r="AG31" s="51">
        <f>'LUC-2013-01-08-Run2'!BI35</f>
        <v>7.9454545454545458E-2</v>
      </c>
      <c r="AH31" s="51">
        <f>'LUC-2013-01-08-Run2'!BJ35</f>
        <v>8.0272727272727273E-2</v>
      </c>
      <c r="AI31" s="51">
        <f>'LUC-2013-01-08-Run2'!BK35</f>
        <v>8.1090909090909088E-2</v>
      </c>
      <c r="AJ31" s="51">
        <f>'LUC-2013-01-08-Run2'!BL35</f>
        <v>8.1909090909090904E-2</v>
      </c>
      <c r="AK31" s="51">
        <f>'LUC-2013-01-08-Run2'!BM35</f>
        <v>8.2727272727272733E-2</v>
      </c>
      <c r="AL31" s="51">
        <f>'LUC-2013-01-08-Run2'!BN35</f>
        <v>8.3545454545454548E-2</v>
      </c>
      <c r="AM31" s="51">
        <f>'LUC-2013-01-08-Run2'!BO35</f>
        <v>8.4363636363636363E-2</v>
      </c>
      <c r="AN31" s="51">
        <f>'LUC-2013-01-08-Run2'!BP35</f>
        <v>8.5181818181818178E-2</v>
      </c>
      <c r="AO31" s="51">
        <f>'LUC-2013-01-08-Run2'!BQ35</f>
        <v>8.5999999999999993E-2</v>
      </c>
      <c r="AP31" s="51">
        <f>'LUC-2013-01-08-Run2'!BR35</f>
        <v>8.6818181818181822E-2</v>
      </c>
      <c r="AQ31" s="51">
        <f>'LUC-2013-01-08-Run2'!BS35</f>
        <v>8.7636363636363637E-2</v>
      </c>
      <c r="AR31" s="51">
        <f>'LUC-2013-01-08-Run2'!BT35</f>
        <v>8.8454545454545452E-2</v>
      </c>
      <c r="AS31" s="51">
        <f>'LUC-2013-01-08-Run2'!BU35</f>
        <v>8.9272727272727267E-2</v>
      </c>
      <c r="AT31" s="51">
        <f>'LUC-2013-01-08-Run2'!BV35</f>
        <v>9.0090909090909083E-2</v>
      </c>
      <c r="AU31" s="51">
        <f>'LUC-2013-01-08-Run2'!BW35</f>
        <v>9.0909090909090912E-2</v>
      </c>
      <c r="AV31" s="51">
        <f>'LUC-2013-01-08-Run2'!BX35</f>
        <v>9.1727272727272727E-2</v>
      </c>
      <c r="AW31" s="51">
        <f>'LUC-2013-01-08-Run2'!BY35</f>
        <v>9.2545454545454542E-2</v>
      </c>
      <c r="AX31" s="51">
        <f>'LUC-2013-01-08-Run2'!BZ35</f>
        <v>9.3363636363636357E-2</v>
      </c>
      <c r="AY31" s="51">
        <f>'LUC-2013-01-08-Run2'!CA35</f>
        <v>9.4181818181818172E-2</v>
      </c>
      <c r="AZ31" s="51">
        <f>'LUC-2013-01-08-Run2'!CB35</f>
        <v>9.5000000000000001E-2</v>
      </c>
      <c r="BA31" s="51">
        <f>'LUC-2013-01-08-Run2'!CC35</f>
        <v>9.5818181818181816E-2</v>
      </c>
      <c r="BB31" s="51">
        <f>'LUC-2013-01-08-Run2'!CD35</f>
        <v>9.6636363636363631E-2</v>
      </c>
      <c r="BC31" s="51">
        <f>'LUC-2013-01-08-Run2'!CE35</f>
        <v>9.7454545454545446E-2</v>
      </c>
      <c r="BD31" s="51">
        <f>'LUC-2013-01-08-Run2'!CF35</f>
        <v>9.8272727272727262E-2</v>
      </c>
      <c r="BE31" s="51">
        <f>'LUC-2013-01-08-Run2'!CG35</f>
        <v>9.9090909090909091E-2</v>
      </c>
      <c r="BF31" s="51">
        <f>'LUC-2013-01-08-Run2'!CH35</f>
        <v>9.9909090909090906E-2</v>
      </c>
      <c r="BG31" s="51">
        <f>'LUC-2013-01-08-Run2'!CI35</f>
        <v>0.10072727272727272</v>
      </c>
      <c r="BH31" s="51">
        <f>'LUC-2013-01-08-Run2'!CJ35</f>
        <v>0.10154545454545455</v>
      </c>
      <c r="BI31" s="51">
        <f>'LUC-2013-01-08-Run2'!CK35</f>
        <v>0.10236363636363635</v>
      </c>
      <c r="BJ31" s="51">
        <f>'LUC-2013-01-08-Run2'!CL35</f>
        <v>0.10318181818181818</v>
      </c>
      <c r="BK31" s="51">
        <f>'LUC-2013-01-08-Run2'!CM35</f>
        <v>0.104</v>
      </c>
      <c r="BM31" s="102"/>
      <c r="BN31" s="53" t="s">
        <v>103</v>
      </c>
      <c r="BO31" s="63">
        <f t="shared" si="16"/>
        <v>61.52272727272728</v>
      </c>
      <c r="BP31" s="63">
        <f t="shared" si="17"/>
        <v>65.409090909090921</v>
      </c>
      <c r="BQ31" s="63">
        <f t="shared" si="18"/>
        <v>71.27272727272728</v>
      </c>
      <c r="BR31" s="63">
        <f t="shared" si="19"/>
        <v>79.454545454545453</v>
      </c>
      <c r="BS31" s="63">
        <f t="shared" si="20"/>
        <v>87.63636363636364</v>
      </c>
      <c r="BT31" s="63">
        <f t="shared" si="21"/>
        <v>95.818181818181813</v>
      </c>
      <c r="BU31" s="63">
        <f t="shared" si="22"/>
        <v>104</v>
      </c>
    </row>
    <row r="32" spans="1:79" x14ac:dyDescent="0.25">
      <c r="A32" s="52" t="s">
        <v>71</v>
      </c>
      <c r="B32" s="50" t="s">
        <v>104</v>
      </c>
      <c r="C32" s="52" t="s">
        <v>107</v>
      </c>
      <c r="D32" s="51">
        <f>'LUC-2013-01-08-Run2'!AF39</f>
        <v>8.6618671127481966E-4</v>
      </c>
      <c r="E32" s="51">
        <f>'LUC-2013-01-08-Run2'!AG39</f>
        <v>8.7332065560907562E-4</v>
      </c>
      <c r="F32" s="51">
        <f>'LUC-2013-01-08-Run2'!AH39</f>
        <v>8.8045459994333169E-4</v>
      </c>
      <c r="G32" s="51">
        <f>'LUC-2013-01-08-Run2'!AI39</f>
        <v>8.8758854427758765E-4</v>
      </c>
      <c r="H32" s="51">
        <f>'LUC-2013-01-08-Run2'!AJ39</f>
        <v>8.9472248861184372E-4</v>
      </c>
      <c r="I32" s="51">
        <f>'LUC-2013-01-08-Run2'!AK39</f>
        <v>9.0185643294609969E-4</v>
      </c>
      <c r="J32" s="51">
        <f>'LUC-2013-01-08-Run2'!AL39</f>
        <v>9.0899037728035576E-4</v>
      </c>
      <c r="K32" s="51">
        <f>'LUC-2013-01-08-Run2'!AM39</f>
        <v>9.1612432161461172E-4</v>
      </c>
      <c r="L32" s="51">
        <f>'LUC-2013-01-08-Run2'!AN39</f>
        <v>9.2325826594886768E-4</v>
      </c>
      <c r="M32" s="51">
        <f>'LUC-2013-01-08-Run2'!AO39</f>
        <v>9.3039221028312375E-4</v>
      </c>
      <c r="N32" s="51">
        <f>'LUC-2013-01-08-Run2'!AP39</f>
        <v>9.3752615461737982E-4</v>
      </c>
      <c r="O32" s="51">
        <f>'LUC-2013-01-08-Run2'!AQ39</f>
        <v>9.4466009895163578E-4</v>
      </c>
      <c r="P32" s="51">
        <f>'LUC-2013-01-08-Run2'!AR39</f>
        <v>9.5179404328589175E-4</v>
      </c>
      <c r="Q32" s="51">
        <f>'LUC-2013-01-08-Run2'!AS39</f>
        <v>9.5892798762014782E-4</v>
      </c>
      <c r="R32" s="51">
        <f>'LUC-2013-01-08-Run2'!AT39</f>
        <v>9.6606193195440389E-4</v>
      </c>
      <c r="S32" s="51">
        <f>'LUC-2013-01-08-Run2'!AU39</f>
        <v>9.7319587628865985E-4</v>
      </c>
      <c r="T32" s="51">
        <f>'LUC-2013-01-08-Run2'!AV39</f>
        <v>9.9072164948453621E-4</v>
      </c>
      <c r="U32" s="51">
        <f>'LUC-2013-01-08-Run2'!AW39</f>
        <v>1.0082474226804125E-3</v>
      </c>
      <c r="V32" s="51">
        <f>'LUC-2013-01-08-Run2'!AX39</f>
        <v>1.0257731958762887E-3</v>
      </c>
      <c r="W32" s="51">
        <f>'LUC-2013-01-08-Run2'!AY39</f>
        <v>1.043298969072165E-3</v>
      </c>
      <c r="X32" s="51">
        <f>'LUC-2013-01-08-Run2'!AZ39</f>
        <v>1.0608247422680412E-3</v>
      </c>
      <c r="Y32" s="51">
        <f>'LUC-2013-01-08-Run2'!BA39</f>
        <v>1.0783505154639175E-3</v>
      </c>
      <c r="Z32" s="51">
        <f>'LUC-2013-01-08-Run2'!BB39</f>
        <v>1.095876288659794E-3</v>
      </c>
      <c r="AA32" s="51">
        <f>'LUC-2013-01-08-Run2'!BC39</f>
        <v>1.1134020618556702E-3</v>
      </c>
      <c r="AB32" s="51">
        <f>'LUC-2013-01-08-Run2'!BD39</f>
        <v>1.1309278350515465E-3</v>
      </c>
      <c r="AC32" s="51">
        <f>'LUC-2013-01-08-Run2'!BE39</f>
        <v>1.1484536082474227E-3</v>
      </c>
      <c r="AD32" s="51">
        <f>'LUC-2013-01-08-Run2'!BF39</f>
        <v>1.165979381443299E-3</v>
      </c>
      <c r="AE32" s="51">
        <f>'LUC-2013-01-08-Run2'!BG39</f>
        <v>1.1835051546391752E-3</v>
      </c>
      <c r="AF32" s="51">
        <f>'LUC-2013-01-08-Run2'!BH39</f>
        <v>1.2010309278350515E-3</v>
      </c>
      <c r="AG32" s="51">
        <f>'LUC-2013-01-08-Run2'!BI39</f>
        <v>1.2185567010309277E-3</v>
      </c>
      <c r="AH32" s="51">
        <f>'LUC-2013-01-08-Run2'!BJ39</f>
        <v>1.236082474226804E-3</v>
      </c>
      <c r="AI32" s="51">
        <f>'LUC-2013-01-08-Run2'!BK39</f>
        <v>1.2536082474226805E-3</v>
      </c>
      <c r="AJ32" s="51">
        <f>'LUC-2013-01-08-Run2'!BL39</f>
        <v>1.2711340206185567E-3</v>
      </c>
      <c r="AK32" s="51">
        <f>'LUC-2013-01-08-Run2'!BM39</f>
        <v>1.288659793814433E-3</v>
      </c>
      <c r="AL32" s="51">
        <f>'LUC-2013-01-08-Run2'!BN39</f>
        <v>1.3061855670103092E-3</v>
      </c>
      <c r="AM32" s="51">
        <f>'LUC-2013-01-08-Run2'!BO39</f>
        <v>1.3237113402061855E-3</v>
      </c>
      <c r="AN32" s="51">
        <f>'LUC-2013-01-08-Run2'!BP39</f>
        <v>1.3412371134020619E-3</v>
      </c>
      <c r="AO32" s="51">
        <f>'LUC-2013-01-08-Run2'!BQ39</f>
        <v>1.3587628865979382E-3</v>
      </c>
      <c r="AP32" s="51">
        <f>'LUC-2013-01-08-Run2'!BR39</f>
        <v>1.3762886597938145E-3</v>
      </c>
      <c r="AQ32" s="51">
        <f>'LUC-2013-01-08-Run2'!BS39</f>
        <v>1.3938144329896907E-3</v>
      </c>
      <c r="AR32" s="51">
        <f>'LUC-2013-01-08-Run2'!BT39</f>
        <v>1.411340206185567E-3</v>
      </c>
      <c r="AS32" s="51">
        <f>'LUC-2013-01-08-Run2'!BU39</f>
        <v>1.4288659793814432E-3</v>
      </c>
      <c r="AT32" s="51">
        <f>'LUC-2013-01-08-Run2'!BV39</f>
        <v>1.4463917525773195E-3</v>
      </c>
      <c r="AU32" s="51">
        <f>'LUC-2013-01-08-Run2'!BW39</f>
        <v>1.4639175257731957E-3</v>
      </c>
      <c r="AV32" s="51">
        <f>'LUC-2013-01-08-Run2'!BX39</f>
        <v>1.481443298969072E-3</v>
      </c>
      <c r="AW32" s="51">
        <f>'LUC-2013-01-08-Run2'!BY39</f>
        <v>1.4989690721649482E-3</v>
      </c>
      <c r="AX32" s="51">
        <f>'LUC-2013-01-08-Run2'!BZ39</f>
        <v>1.5164948453608247E-3</v>
      </c>
      <c r="AY32" s="51">
        <f>'LUC-2013-01-08-Run2'!CA39</f>
        <v>1.534020618556701E-3</v>
      </c>
      <c r="AZ32" s="51">
        <f>'LUC-2013-01-08-Run2'!CB39</f>
        <v>1.5515463917525772E-3</v>
      </c>
      <c r="BA32" s="51">
        <f>'LUC-2013-01-08-Run2'!CC39</f>
        <v>1.5690721649484537E-3</v>
      </c>
      <c r="BB32" s="51">
        <f>'LUC-2013-01-08-Run2'!CD39</f>
        <v>1.5865979381443299E-3</v>
      </c>
      <c r="BC32" s="51">
        <f>'LUC-2013-01-08-Run2'!CE39</f>
        <v>1.6041237113402062E-3</v>
      </c>
      <c r="BD32" s="51">
        <f>'LUC-2013-01-08-Run2'!CF39</f>
        <v>1.6216494845360824E-3</v>
      </c>
      <c r="BE32" s="51">
        <f>'LUC-2013-01-08-Run2'!CG39</f>
        <v>1.6391752577319587E-3</v>
      </c>
      <c r="BF32" s="51">
        <f>'LUC-2013-01-08-Run2'!CH39</f>
        <v>1.656701030927835E-3</v>
      </c>
      <c r="BG32" s="51">
        <f>'LUC-2013-01-08-Run2'!CI39</f>
        <v>1.6742268041237112E-3</v>
      </c>
      <c r="BH32" s="51">
        <f>'LUC-2013-01-08-Run2'!CJ39</f>
        <v>1.6917525773195875E-3</v>
      </c>
      <c r="BI32" s="51">
        <f>'LUC-2013-01-08-Run2'!CK39</f>
        <v>1.7092783505154637E-3</v>
      </c>
      <c r="BJ32" s="51">
        <f>'LUC-2013-01-08-Run2'!CL39</f>
        <v>1.72680412371134E-3</v>
      </c>
      <c r="BK32" s="51">
        <f>'LUC-2013-01-08-Run2'!CM39</f>
        <v>1.7443298969072164E-3</v>
      </c>
      <c r="BM32" s="103"/>
      <c r="BN32" s="54" t="s">
        <v>104</v>
      </c>
      <c r="BO32" s="79">
        <f t="shared" si="16"/>
        <v>0.86618671127481961</v>
      </c>
      <c r="BP32" s="79">
        <f t="shared" si="17"/>
        <v>0.9303922102831238</v>
      </c>
      <c r="BQ32" s="79">
        <f t="shared" si="18"/>
        <v>1.043298969072165</v>
      </c>
      <c r="BR32" s="79">
        <f t="shared" si="19"/>
        <v>1.2185567010309277</v>
      </c>
      <c r="BS32" s="79">
        <f t="shared" si="20"/>
        <v>1.3938144329896907</v>
      </c>
      <c r="BT32" s="79">
        <f t="shared" si="21"/>
        <v>1.5690721649484536</v>
      </c>
      <c r="BU32" s="79">
        <f t="shared" si="22"/>
        <v>1.7443298969072165</v>
      </c>
    </row>
    <row r="33" spans="1:75" x14ac:dyDescent="0.25">
      <c r="BM33" s="106" t="s">
        <v>38</v>
      </c>
      <c r="BN33" s="53" t="s">
        <v>99</v>
      </c>
      <c r="BO33" s="79">
        <f t="shared" ref="BO33:BO39" si="23">D34*1000</f>
        <v>5.0675000000000008</v>
      </c>
      <c r="BP33" s="79">
        <f t="shared" ref="BP33:BP39" si="24">M34*1000</f>
        <v>5.7650000000000015</v>
      </c>
      <c r="BQ33" s="79">
        <f t="shared" ref="BQ33:BQ39" si="25">W34*1000</f>
        <v>6.34</v>
      </c>
      <c r="BR33" s="79">
        <f t="shared" ref="BR33:BR39" si="26">AG34*1000</f>
        <v>6.6150000000000002</v>
      </c>
      <c r="BS33" s="79">
        <f t="shared" ref="BS33:BS39" si="27">AQ34*1000</f>
        <v>6.8900000000000006</v>
      </c>
      <c r="BT33" s="79">
        <f t="shared" ref="BT33:BT39" si="28">BA34*1000</f>
        <v>7.1649999999999991</v>
      </c>
      <c r="BU33" s="79">
        <f t="shared" ref="BU33:BU39" si="29">BK34*1000</f>
        <v>7.4399999999999995</v>
      </c>
    </row>
    <row r="34" spans="1:75" x14ac:dyDescent="0.25">
      <c r="A34" s="52" t="s">
        <v>38</v>
      </c>
      <c r="B34" s="50" t="s">
        <v>99</v>
      </c>
      <c r="C34" s="52" t="s">
        <v>107</v>
      </c>
      <c r="D34" s="51">
        <f>'LUC-2013-01-08-Run2'!AF41</f>
        <v>5.0675000000000008E-3</v>
      </c>
      <c r="E34" s="51">
        <f>'LUC-2013-01-08-Run2'!AG41</f>
        <v>5.1450000000000003E-3</v>
      </c>
      <c r="F34" s="51">
        <f>'LUC-2013-01-08-Run2'!AH41</f>
        <v>5.2225000000000006E-3</v>
      </c>
      <c r="G34" s="51">
        <f>'LUC-2013-01-08-Run2'!AI41</f>
        <v>5.3000000000000009E-3</v>
      </c>
      <c r="H34" s="51">
        <f>'LUC-2013-01-08-Run2'!AJ41</f>
        <v>5.3775000000000003E-3</v>
      </c>
      <c r="I34" s="51">
        <f>'LUC-2013-01-08-Run2'!AK41</f>
        <v>5.4550000000000006E-3</v>
      </c>
      <c r="J34" s="51">
        <f>'LUC-2013-01-08-Run2'!AL41</f>
        <v>5.532500000000001E-3</v>
      </c>
      <c r="K34" s="51">
        <f>'LUC-2013-01-08-Run2'!AM41</f>
        <v>5.6100000000000004E-3</v>
      </c>
      <c r="L34" s="51">
        <f>'LUC-2013-01-08-Run2'!AN41</f>
        <v>5.6874999999999998E-3</v>
      </c>
      <c r="M34" s="51">
        <f>'LUC-2013-01-08-Run2'!AO41</f>
        <v>5.765000000000001E-3</v>
      </c>
      <c r="N34" s="51">
        <f>'LUC-2013-01-08-Run2'!AP41</f>
        <v>5.8425000000000005E-3</v>
      </c>
      <c r="O34" s="51">
        <f>'LUC-2013-01-08-Run2'!AQ41</f>
        <v>5.9199999999999999E-3</v>
      </c>
      <c r="P34" s="51">
        <f>'LUC-2013-01-08-Run2'!AR41</f>
        <v>5.9975000000000011E-3</v>
      </c>
      <c r="Q34" s="51">
        <f>'LUC-2013-01-08-Run2'!AS41</f>
        <v>6.0750000000000005E-3</v>
      </c>
      <c r="R34" s="51">
        <f>'LUC-2013-01-08-Run2'!AT41</f>
        <v>6.1525E-3</v>
      </c>
      <c r="S34" s="51">
        <f>'LUC-2013-01-08-Run2'!AU41</f>
        <v>6.2300000000000003E-3</v>
      </c>
      <c r="T34" s="51">
        <f>'LUC-2013-01-08-Run2'!AV41</f>
        <v>6.2575E-3</v>
      </c>
      <c r="U34" s="51">
        <f>'LUC-2013-01-08-Run2'!AW41</f>
        <v>6.2850000000000007E-3</v>
      </c>
      <c r="V34" s="51">
        <f>'LUC-2013-01-08-Run2'!AX41</f>
        <v>6.3125000000000004E-3</v>
      </c>
      <c r="W34" s="51">
        <f>'LUC-2013-01-08-Run2'!AY41</f>
        <v>6.3400000000000001E-3</v>
      </c>
      <c r="X34" s="51">
        <f>'LUC-2013-01-08-Run2'!AZ41</f>
        <v>6.3674999999999999E-3</v>
      </c>
      <c r="Y34" s="51">
        <f>'LUC-2013-01-08-Run2'!BA41</f>
        <v>6.3950000000000005E-3</v>
      </c>
      <c r="Z34" s="51">
        <f>'LUC-2013-01-08-Run2'!BB41</f>
        <v>6.4225000000000003E-3</v>
      </c>
      <c r="AA34" s="51">
        <f>'LUC-2013-01-08-Run2'!BC41</f>
        <v>6.45E-3</v>
      </c>
      <c r="AB34" s="51">
        <f>'LUC-2013-01-08-Run2'!BD41</f>
        <v>6.4774999999999998E-3</v>
      </c>
      <c r="AC34" s="51">
        <f>'LUC-2013-01-08-Run2'!BE41</f>
        <v>6.5050000000000004E-3</v>
      </c>
      <c r="AD34" s="51">
        <f>'LUC-2013-01-08-Run2'!BF41</f>
        <v>6.5325000000000001E-3</v>
      </c>
      <c r="AE34" s="51">
        <f>'LUC-2013-01-08-Run2'!BG41</f>
        <v>6.5599999999999999E-3</v>
      </c>
      <c r="AF34" s="51">
        <f>'LUC-2013-01-08-Run2'!BH41</f>
        <v>6.5875000000000005E-3</v>
      </c>
      <c r="AG34" s="51">
        <f>'LUC-2013-01-08-Run2'!BI41</f>
        <v>6.6150000000000002E-3</v>
      </c>
      <c r="AH34" s="51">
        <f>'LUC-2013-01-08-Run2'!BJ41</f>
        <v>6.6425E-3</v>
      </c>
      <c r="AI34" s="51">
        <f>'LUC-2013-01-08-Run2'!BK41</f>
        <v>6.6699999999999997E-3</v>
      </c>
      <c r="AJ34" s="51">
        <f>'LUC-2013-01-08-Run2'!BL41</f>
        <v>6.6975000000000003E-3</v>
      </c>
      <c r="AK34" s="51">
        <f>'LUC-2013-01-08-Run2'!BM41</f>
        <v>6.7250000000000001E-3</v>
      </c>
      <c r="AL34" s="51">
        <f>'LUC-2013-01-08-Run2'!BN41</f>
        <v>6.7524999999999998E-3</v>
      </c>
      <c r="AM34" s="51">
        <f>'LUC-2013-01-08-Run2'!BO41</f>
        <v>6.7799999999999996E-3</v>
      </c>
      <c r="AN34" s="51">
        <f>'LUC-2013-01-08-Run2'!BP41</f>
        <v>6.8075000000000002E-3</v>
      </c>
      <c r="AO34" s="51">
        <f>'LUC-2013-01-08-Run2'!BQ41</f>
        <v>6.8349999999999999E-3</v>
      </c>
      <c r="AP34" s="51">
        <f>'LUC-2013-01-08-Run2'!BR41</f>
        <v>6.8624999999999997E-3</v>
      </c>
      <c r="AQ34" s="51">
        <f>'LUC-2013-01-08-Run2'!BS41</f>
        <v>6.8900000000000003E-3</v>
      </c>
      <c r="AR34" s="51">
        <f>'LUC-2013-01-08-Run2'!BT41</f>
        <v>6.9175E-3</v>
      </c>
      <c r="AS34" s="51">
        <f>'LUC-2013-01-08-Run2'!BU41</f>
        <v>6.9449999999999998E-3</v>
      </c>
      <c r="AT34" s="51">
        <f>'LUC-2013-01-08-Run2'!BV41</f>
        <v>6.9724999999999995E-3</v>
      </c>
      <c r="AU34" s="51">
        <f>'LUC-2013-01-08-Run2'!BW41</f>
        <v>7.0000000000000001E-3</v>
      </c>
      <c r="AV34" s="51">
        <f>'LUC-2013-01-08-Run2'!BX41</f>
        <v>7.0274999999999999E-3</v>
      </c>
      <c r="AW34" s="51">
        <f>'LUC-2013-01-08-Run2'!BY41</f>
        <v>7.0549999999999996E-3</v>
      </c>
      <c r="AX34" s="51">
        <f>'LUC-2013-01-08-Run2'!BZ41</f>
        <v>7.0825000000000003E-3</v>
      </c>
      <c r="AY34" s="51">
        <f>'LUC-2013-01-08-Run2'!CA41</f>
        <v>7.11E-3</v>
      </c>
      <c r="AZ34" s="51">
        <f>'LUC-2013-01-08-Run2'!CB41</f>
        <v>7.1374999999999997E-3</v>
      </c>
      <c r="BA34" s="51">
        <f>'LUC-2013-01-08-Run2'!CC41</f>
        <v>7.1649999999999995E-3</v>
      </c>
      <c r="BB34" s="51">
        <f>'LUC-2013-01-08-Run2'!CD41</f>
        <v>7.1925000000000001E-3</v>
      </c>
      <c r="BC34" s="51">
        <f>'LUC-2013-01-08-Run2'!CE41</f>
        <v>7.2199999999999999E-3</v>
      </c>
      <c r="BD34" s="51">
        <f>'LUC-2013-01-08-Run2'!CF41</f>
        <v>7.2474999999999996E-3</v>
      </c>
      <c r="BE34" s="51">
        <f>'LUC-2013-01-08-Run2'!CG41</f>
        <v>7.2750000000000002E-3</v>
      </c>
      <c r="BF34" s="51">
        <f>'LUC-2013-01-08-Run2'!CH41</f>
        <v>7.3025E-3</v>
      </c>
      <c r="BG34" s="51">
        <f>'LUC-2013-01-08-Run2'!CI41</f>
        <v>7.3299999999999997E-3</v>
      </c>
      <c r="BH34" s="51">
        <f>'LUC-2013-01-08-Run2'!CJ41</f>
        <v>7.3574999999999995E-3</v>
      </c>
      <c r="BI34" s="51">
        <f>'LUC-2013-01-08-Run2'!CK41</f>
        <v>7.3849999999999992E-3</v>
      </c>
      <c r="BJ34" s="51">
        <f>'LUC-2013-01-08-Run2'!CL41</f>
        <v>7.4124999999999998E-3</v>
      </c>
      <c r="BK34" s="51">
        <f>'LUC-2013-01-08-Run2'!CM41</f>
        <v>7.4399999999999996E-3</v>
      </c>
      <c r="BM34" s="106"/>
      <c r="BN34" s="53" t="s">
        <v>100</v>
      </c>
      <c r="BO34" s="79">
        <f t="shared" si="23"/>
        <v>2.3129545454545455</v>
      </c>
      <c r="BP34" s="79">
        <f t="shared" si="24"/>
        <v>2.5931818181818183</v>
      </c>
      <c r="BQ34" s="79">
        <f t="shared" si="25"/>
        <v>2.8572727272727274</v>
      </c>
      <c r="BR34" s="79">
        <f t="shared" si="26"/>
        <v>3.0504545454545458</v>
      </c>
      <c r="BS34" s="79">
        <f t="shared" si="27"/>
        <v>3.2436363636363641</v>
      </c>
      <c r="BT34" s="79">
        <f t="shared" si="28"/>
        <v>3.436818181818182</v>
      </c>
      <c r="BU34" s="79">
        <f t="shared" si="29"/>
        <v>3.63</v>
      </c>
    </row>
    <row r="35" spans="1:75" x14ac:dyDescent="0.25">
      <c r="A35" s="52" t="s">
        <v>38</v>
      </c>
      <c r="B35" s="50" t="s">
        <v>100</v>
      </c>
      <c r="C35" s="52" t="s">
        <v>107</v>
      </c>
      <c r="D35" s="51">
        <f>'LUC-2013-01-08-Run2'!AF42</f>
        <v>2.3129545454545456E-3</v>
      </c>
      <c r="E35" s="51">
        <f>'LUC-2013-01-08-Run2'!AG42</f>
        <v>2.3440909090909094E-3</v>
      </c>
      <c r="F35" s="51">
        <f>'LUC-2013-01-08-Run2'!AH42</f>
        <v>2.3752272727272728E-3</v>
      </c>
      <c r="G35" s="51">
        <f>'LUC-2013-01-08-Run2'!AI42</f>
        <v>2.4063636363636366E-3</v>
      </c>
      <c r="H35" s="51">
        <f>'LUC-2013-01-08-Run2'!AJ42</f>
        <v>2.4375000000000004E-3</v>
      </c>
      <c r="I35" s="51">
        <f>'LUC-2013-01-08-Run2'!AK42</f>
        <v>2.4686363636363638E-3</v>
      </c>
      <c r="J35" s="51">
        <f>'LUC-2013-01-08-Run2'!AL42</f>
        <v>2.4997727272727276E-3</v>
      </c>
      <c r="K35" s="51">
        <f>'LUC-2013-01-08-Run2'!AM42</f>
        <v>2.5309090909090915E-3</v>
      </c>
      <c r="L35" s="51">
        <f>'LUC-2013-01-08-Run2'!AN42</f>
        <v>2.5620454545454549E-3</v>
      </c>
      <c r="M35" s="51">
        <f>'LUC-2013-01-08-Run2'!AO42</f>
        <v>2.5931818181818183E-3</v>
      </c>
      <c r="N35" s="51">
        <f>'LUC-2013-01-08-Run2'!AP42</f>
        <v>2.6243181818181821E-3</v>
      </c>
      <c r="O35" s="51">
        <f>'LUC-2013-01-08-Run2'!AQ42</f>
        <v>2.6554545454545459E-3</v>
      </c>
      <c r="P35" s="51">
        <f>'LUC-2013-01-08-Run2'!AR42</f>
        <v>2.6865909090909093E-3</v>
      </c>
      <c r="Q35" s="51">
        <f>'LUC-2013-01-08-Run2'!AS42</f>
        <v>2.7177272727272731E-3</v>
      </c>
      <c r="R35" s="51">
        <f>'LUC-2013-01-08-Run2'!AT42</f>
        <v>2.748863636363637E-3</v>
      </c>
      <c r="S35" s="51">
        <f>'LUC-2013-01-08-Run2'!AU42</f>
        <v>2.7800000000000004E-3</v>
      </c>
      <c r="T35" s="51">
        <f>'LUC-2013-01-08-Run2'!AV42</f>
        <v>2.7993181818181823E-3</v>
      </c>
      <c r="U35" s="51">
        <f>'LUC-2013-01-08-Run2'!AW42</f>
        <v>2.8186363636363639E-3</v>
      </c>
      <c r="V35" s="51">
        <f>'LUC-2013-01-08-Run2'!AX42</f>
        <v>2.8379545454545459E-3</v>
      </c>
      <c r="W35" s="51">
        <f>'LUC-2013-01-08-Run2'!AY42</f>
        <v>2.8572727272727274E-3</v>
      </c>
      <c r="X35" s="51">
        <f>'LUC-2013-01-08-Run2'!AZ42</f>
        <v>2.8765909090909094E-3</v>
      </c>
      <c r="Y35" s="51">
        <f>'LUC-2013-01-08-Run2'!BA42</f>
        <v>2.8959090909090913E-3</v>
      </c>
      <c r="Z35" s="51">
        <f>'LUC-2013-01-08-Run2'!BB42</f>
        <v>2.9152272727272729E-3</v>
      </c>
      <c r="AA35" s="51">
        <f>'LUC-2013-01-08-Run2'!BC42</f>
        <v>2.9345454545454549E-3</v>
      </c>
      <c r="AB35" s="51">
        <f>'LUC-2013-01-08-Run2'!BD42</f>
        <v>2.9538636363636368E-3</v>
      </c>
      <c r="AC35" s="51">
        <f>'LUC-2013-01-08-Run2'!BE42</f>
        <v>2.9731818181818184E-3</v>
      </c>
      <c r="AD35" s="51">
        <f>'LUC-2013-01-08-Run2'!BF42</f>
        <v>2.9925000000000004E-3</v>
      </c>
      <c r="AE35" s="51">
        <f>'LUC-2013-01-08-Run2'!BG42</f>
        <v>3.0118181818181819E-3</v>
      </c>
      <c r="AF35" s="51">
        <f>'LUC-2013-01-08-Run2'!BH42</f>
        <v>3.0311363636363639E-3</v>
      </c>
      <c r="AG35" s="51">
        <f>'LUC-2013-01-08-Run2'!BI42</f>
        <v>3.0504545454545459E-3</v>
      </c>
      <c r="AH35" s="51">
        <f>'LUC-2013-01-08-Run2'!BJ42</f>
        <v>3.0697727272727274E-3</v>
      </c>
      <c r="AI35" s="51">
        <f>'LUC-2013-01-08-Run2'!BK42</f>
        <v>3.0890909090909094E-3</v>
      </c>
      <c r="AJ35" s="51">
        <f>'LUC-2013-01-08-Run2'!BL42</f>
        <v>3.1084090909090914E-3</v>
      </c>
      <c r="AK35" s="51">
        <f>'LUC-2013-01-08-Run2'!BM42</f>
        <v>3.1277272727272729E-3</v>
      </c>
      <c r="AL35" s="51">
        <f>'LUC-2013-01-08-Run2'!BN42</f>
        <v>3.1470454545454549E-3</v>
      </c>
      <c r="AM35" s="51">
        <f>'LUC-2013-01-08-Run2'!BO42</f>
        <v>3.1663636363636364E-3</v>
      </c>
      <c r="AN35" s="51">
        <f>'LUC-2013-01-08-Run2'!BP42</f>
        <v>3.1856818181818184E-3</v>
      </c>
      <c r="AO35" s="51">
        <f>'LUC-2013-01-08-Run2'!BQ42</f>
        <v>3.2050000000000004E-3</v>
      </c>
      <c r="AP35" s="51">
        <f>'LUC-2013-01-08-Run2'!BR42</f>
        <v>3.2243181818181819E-3</v>
      </c>
      <c r="AQ35" s="51">
        <f>'LUC-2013-01-08-Run2'!BS42</f>
        <v>3.2436363636363639E-3</v>
      </c>
      <c r="AR35" s="51">
        <f>'LUC-2013-01-08-Run2'!BT42</f>
        <v>3.2629545454545454E-3</v>
      </c>
      <c r="AS35" s="51">
        <f>'LUC-2013-01-08-Run2'!BU42</f>
        <v>3.2822727272727274E-3</v>
      </c>
      <c r="AT35" s="51">
        <f>'LUC-2013-01-08-Run2'!BV42</f>
        <v>3.3015909090909094E-3</v>
      </c>
      <c r="AU35" s="51">
        <f>'LUC-2013-01-08-Run2'!BW42</f>
        <v>3.3209090909090909E-3</v>
      </c>
      <c r="AV35" s="51">
        <f>'LUC-2013-01-08-Run2'!BX42</f>
        <v>3.3402272727272729E-3</v>
      </c>
      <c r="AW35" s="51">
        <f>'LUC-2013-01-08-Run2'!BY42</f>
        <v>3.3595454545454545E-3</v>
      </c>
      <c r="AX35" s="51">
        <f>'LUC-2013-01-08-Run2'!BZ42</f>
        <v>3.3788636363636364E-3</v>
      </c>
      <c r="AY35" s="51">
        <f>'LUC-2013-01-08-Run2'!CA42</f>
        <v>3.3981818181818184E-3</v>
      </c>
      <c r="AZ35" s="51">
        <f>'LUC-2013-01-08-Run2'!CB42</f>
        <v>3.4175E-3</v>
      </c>
      <c r="BA35" s="51">
        <f>'LUC-2013-01-08-Run2'!CC42</f>
        <v>3.4368181818181819E-3</v>
      </c>
      <c r="BB35" s="51">
        <f>'LUC-2013-01-08-Run2'!CD42</f>
        <v>3.4561363636363635E-3</v>
      </c>
      <c r="BC35" s="51">
        <f>'LUC-2013-01-08-Run2'!CE42</f>
        <v>3.4754545454545455E-3</v>
      </c>
      <c r="BD35" s="51">
        <f>'LUC-2013-01-08-Run2'!CF42</f>
        <v>3.4947727272727274E-3</v>
      </c>
      <c r="BE35" s="51">
        <f>'LUC-2013-01-08-Run2'!CG42</f>
        <v>3.5140909090909094E-3</v>
      </c>
      <c r="BF35" s="51">
        <f>'LUC-2013-01-08-Run2'!CH42</f>
        <v>3.533409090909091E-3</v>
      </c>
      <c r="BG35" s="51">
        <f>'LUC-2013-01-08-Run2'!CI42</f>
        <v>3.5527272727272729E-3</v>
      </c>
      <c r="BH35" s="51">
        <f>'LUC-2013-01-08-Run2'!CJ42</f>
        <v>3.5720454545454545E-3</v>
      </c>
      <c r="BI35" s="51">
        <f>'LUC-2013-01-08-Run2'!CK42</f>
        <v>3.5913636363636365E-3</v>
      </c>
      <c r="BJ35" s="51">
        <f>'LUC-2013-01-08-Run2'!CL42</f>
        <v>3.6106818181818184E-3</v>
      </c>
      <c r="BK35" s="51">
        <f>'LUC-2013-01-08-Run2'!CM42</f>
        <v>3.63E-3</v>
      </c>
      <c r="BM35" s="106"/>
      <c r="BN35" s="53" t="s">
        <v>101</v>
      </c>
      <c r="BO35" s="79">
        <f t="shared" si="23"/>
        <v>3.4209090909090913</v>
      </c>
      <c r="BP35" s="79">
        <f t="shared" si="24"/>
        <v>3.8463636363636371</v>
      </c>
      <c r="BQ35" s="79">
        <f t="shared" si="25"/>
        <v>4.2418181818181822</v>
      </c>
      <c r="BR35" s="79">
        <f t="shared" si="26"/>
        <v>4.5213636363636365</v>
      </c>
      <c r="BS35" s="79">
        <f t="shared" si="27"/>
        <v>4.8009090909090917</v>
      </c>
      <c r="BT35" s="79">
        <f t="shared" si="28"/>
        <v>5.080454545454546</v>
      </c>
      <c r="BU35" s="79">
        <f t="shared" si="29"/>
        <v>5.36</v>
      </c>
    </row>
    <row r="36" spans="1:75" x14ac:dyDescent="0.25">
      <c r="A36" s="52" t="s">
        <v>38</v>
      </c>
      <c r="B36" s="50" t="s">
        <v>101</v>
      </c>
      <c r="C36" s="52" t="s">
        <v>107</v>
      </c>
      <c r="D36" s="51">
        <f>'LUC-2013-01-08-Run2'!AF43</f>
        <v>3.4209090909090912E-3</v>
      </c>
      <c r="E36" s="51">
        <f>'LUC-2013-01-08-Run2'!AG43</f>
        <v>3.4681818181818186E-3</v>
      </c>
      <c r="F36" s="51">
        <f>'LUC-2013-01-08-Run2'!AH43</f>
        <v>3.5154545454545456E-3</v>
      </c>
      <c r="G36" s="51">
        <f>'LUC-2013-01-08-Run2'!AI43</f>
        <v>3.562727272727273E-3</v>
      </c>
      <c r="H36" s="51">
        <f>'LUC-2013-01-08-Run2'!AJ43</f>
        <v>3.6100000000000004E-3</v>
      </c>
      <c r="I36" s="51">
        <f>'LUC-2013-01-08-Run2'!AK43</f>
        <v>3.6572727272727278E-3</v>
      </c>
      <c r="J36" s="51">
        <f>'LUC-2013-01-08-Run2'!AL43</f>
        <v>3.7045454545454552E-3</v>
      </c>
      <c r="K36" s="51">
        <f>'LUC-2013-01-08-Run2'!AM43</f>
        <v>3.7518181818181826E-3</v>
      </c>
      <c r="L36" s="51">
        <f>'LUC-2013-01-08-Run2'!AN43</f>
        <v>3.7990909090909099E-3</v>
      </c>
      <c r="M36" s="51">
        <f>'LUC-2013-01-08-Run2'!AO43</f>
        <v>3.8463636363636369E-3</v>
      </c>
      <c r="N36" s="51">
        <f>'LUC-2013-01-08-Run2'!AP43</f>
        <v>3.8936363636363643E-3</v>
      </c>
      <c r="O36" s="51">
        <f>'LUC-2013-01-08-Run2'!AQ43</f>
        <v>3.9409090909090913E-3</v>
      </c>
      <c r="P36" s="51">
        <f>'LUC-2013-01-08-Run2'!AR43</f>
        <v>3.9881818181818187E-3</v>
      </c>
      <c r="Q36" s="51">
        <f>'LUC-2013-01-08-Run2'!AS43</f>
        <v>4.0354545454545461E-3</v>
      </c>
      <c r="R36" s="51">
        <f>'LUC-2013-01-08-Run2'!AT43</f>
        <v>4.0827272727272735E-3</v>
      </c>
      <c r="S36" s="51">
        <f>'LUC-2013-01-08-Run2'!AU43</f>
        <v>4.1300000000000009E-3</v>
      </c>
      <c r="T36" s="51">
        <f>'LUC-2013-01-08-Run2'!AV43</f>
        <v>4.1579545454545463E-3</v>
      </c>
      <c r="U36" s="51">
        <f>'LUC-2013-01-08-Run2'!AW43</f>
        <v>4.1859090909090917E-3</v>
      </c>
      <c r="V36" s="51">
        <f>'LUC-2013-01-08-Run2'!AX43</f>
        <v>4.2138636363636371E-3</v>
      </c>
      <c r="W36" s="51">
        <f>'LUC-2013-01-08-Run2'!AY43</f>
        <v>4.2418181818181825E-3</v>
      </c>
      <c r="X36" s="51">
        <f>'LUC-2013-01-08-Run2'!AZ43</f>
        <v>4.269772727272728E-3</v>
      </c>
      <c r="Y36" s="51">
        <f>'LUC-2013-01-08-Run2'!BA43</f>
        <v>4.2977272727272734E-3</v>
      </c>
      <c r="Z36" s="51">
        <f>'LUC-2013-01-08-Run2'!BB43</f>
        <v>4.3256818181818188E-3</v>
      </c>
      <c r="AA36" s="51">
        <f>'LUC-2013-01-08-Run2'!BC43</f>
        <v>4.3536363636363642E-3</v>
      </c>
      <c r="AB36" s="51">
        <f>'LUC-2013-01-08-Run2'!BD43</f>
        <v>4.3815909090909096E-3</v>
      </c>
      <c r="AC36" s="51">
        <f>'LUC-2013-01-08-Run2'!BE43</f>
        <v>4.4095454545454551E-3</v>
      </c>
      <c r="AD36" s="51">
        <f>'LUC-2013-01-08-Run2'!BF43</f>
        <v>4.4375000000000005E-3</v>
      </c>
      <c r="AE36" s="51">
        <f>'LUC-2013-01-08-Run2'!BG43</f>
        <v>4.4654545454545459E-3</v>
      </c>
      <c r="AF36" s="51">
        <f>'LUC-2013-01-08-Run2'!BH43</f>
        <v>4.4934090909090913E-3</v>
      </c>
      <c r="AG36" s="51">
        <f>'LUC-2013-01-08-Run2'!BI43</f>
        <v>4.5213636363636367E-3</v>
      </c>
      <c r="AH36" s="51">
        <f>'LUC-2013-01-08-Run2'!BJ43</f>
        <v>4.5493181818181821E-3</v>
      </c>
      <c r="AI36" s="51">
        <f>'LUC-2013-01-08-Run2'!BK43</f>
        <v>4.5772727272727276E-3</v>
      </c>
      <c r="AJ36" s="51">
        <f>'LUC-2013-01-08-Run2'!BL43</f>
        <v>4.605227272727273E-3</v>
      </c>
      <c r="AK36" s="51">
        <f>'LUC-2013-01-08-Run2'!BM43</f>
        <v>4.6331818181818184E-3</v>
      </c>
      <c r="AL36" s="51">
        <f>'LUC-2013-01-08-Run2'!BN43</f>
        <v>4.6611363636363638E-3</v>
      </c>
      <c r="AM36" s="51">
        <f>'LUC-2013-01-08-Run2'!BO43</f>
        <v>4.6890909090909101E-3</v>
      </c>
      <c r="AN36" s="51">
        <f>'LUC-2013-01-08-Run2'!BP43</f>
        <v>4.7170454545454547E-3</v>
      </c>
      <c r="AO36" s="51">
        <f>'LUC-2013-01-08-Run2'!BQ43</f>
        <v>4.745000000000001E-3</v>
      </c>
      <c r="AP36" s="51">
        <f>'LUC-2013-01-08-Run2'!BR43</f>
        <v>4.7729545454545455E-3</v>
      </c>
      <c r="AQ36" s="51">
        <f>'LUC-2013-01-08-Run2'!BS43</f>
        <v>4.8009090909090918E-3</v>
      </c>
      <c r="AR36" s="51">
        <f>'LUC-2013-01-08-Run2'!BT43</f>
        <v>4.8288636363636372E-3</v>
      </c>
      <c r="AS36" s="51">
        <f>'LUC-2013-01-08-Run2'!BU43</f>
        <v>4.8568181818181826E-3</v>
      </c>
      <c r="AT36" s="51">
        <f>'LUC-2013-01-08-Run2'!BV43</f>
        <v>4.8847727272727281E-3</v>
      </c>
      <c r="AU36" s="51">
        <f>'LUC-2013-01-08-Run2'!BW43</f>
        <v>4.9127272727272735E-3</v>
      </c>
      <c r="AV36" s="51">
        <f>'LUC-2013-01-08-Run2'!BX43</f>
        <v>4.9406818181818189E-3</v>
      </c>
      <c r="AW36" s="51">
        <f>'LUC-2013-01-08-Run2'!BY43</f>
        <v>4.9686363636363643E-3</v>
      </c>
      <c r="AX36" s="51">
        <f>'LUC-2013-01-08-Run2'!BZ43</f>
        <v>4.9965909090909097E-3</v>
      </c>
      <c r="AY36" s="51">
        <f>'LUC-2013-01-08-Run2'!CA43</f>
        <v>5.0245454545454551E-3</v>
      </c>
      <c r="AZ36" s="51">
        <f>'LUC-2013-01-08-Run2'!CB43</f>
        <v>5.0525000000000006E-3</v>
      </c>
      <c r="BA36" s="51">
        <f>'LUC-2013-01-08-Run2'!CC43</f>
        <v>5.080454545454546E-3</v>
      </c>
      <c r="BB36" s="51">
        <f>'LUC-2013-01-08-Run2'!CD43</f>
        <v>5.1084090909090914E-3</v>
      </c>
      <c r="BC36" s="51">
        <f>'LUC-2013-01-08-Run2'!CE43</f>
        <v>5.1363636363636368E-3</v>
      </c>
      <c r="BD36" s="51">
        <f>'LUC-2013-01-08-Run2'!CF43</f>
        <v>5.1643181818181822E-3</v>
      </c>
      <c r="BE36" s="51">
        <f>'LUC-2013-01-08-Run2'!CG43</f>
        <v>5.1922727272727277E-3</v>
      </c>
      <c r="BF36" s="51">
        <f>'LUC-2013-01-08-Run2'!CH43</f>
        <v>5.2202272727272731E-3</v>
      </c>
      <c r="BG36" s="51">
        <f>'LUC-2013-01-08-Run2'!CI43</f>
        <v>5.2481818181818185E-3</v>
      </c>
      <c r="BH36" s="51">
        <f>'LUC-2013-01-08-Run2'!CJ43</f>
        <v>5.2761363636363639E-3</v>
      </c>
      <c r="BI36" s="51">
        <f>'LUC-2013-01-08-Run2'!CK43</f>
        <v>5.3040909090909093E-3</v>
      </c>
      <c r="BJ36" s="51">
        <f>'LUC-2013-01-08-Run2'!CL43</f>
        <v>5.3320454545454548E-3</v>
      </c>
      <c r="BK36" s="51">
        <f>'LUC-2013-01-08-Run2'!CM43</f>
        <v>5.3600000000000002E-3</v>
      </c>
      <c r="BM36" s="106"/>
      <c r="BN36" s="53" t="s">
        <v>111</v>
      </c>
      <c r="BO36" s="79">
        <f t="shared" si="23"/>
        <v>1.4251346260975675</v>
      </c>
      <c r="BP36" s="79">
        <f t="shared" si="24"/>
        <v>1.5535321113085923</v>
      </c>
      <c r="BQ36" s="79">
        <f t="shared" si="25"/>
        <v>1.6874313272180377</v>
      </c>
      <c r="BR36" s="79">
        <f t="shared" si="26"/>
        <v>1.8081835583066099</v>
      </c>
      <c r="BS36" s="79">
        <f t="shared" si="27"/>
        <v>1.9289357893951826</v>
      </c>
      <c r="BT36" s="79">
        <f t="shared" si="28"/>
        <v>2.0496880204837549</v>
      </c>
      <c r="BU36" s="79">
        <f t="shared" si="29"/>
        <v>2.1704402515723271</v>
      </c>
    </row>
    <row r="37" spans="1:75" x14ac:dyDescent="0.25">
      <c r="A37" s="52" t="s">
        <v>38</v>
      </c>
      <c r="B37" s="50" t="s">
        <v>111</v>
      </c>
      <c r="C37" s="52" t="s">
        <v>107</v>
      </c>
      <c r="D37" s="51">
        <f>'LUC-2013-01-08-Run2'!AF44</f>
        <v>1.4251346260975674E-3</v>
      </c>
      <c r="E37" s="51">
        <f>'LUC-2013-01-08-Run2'!AG44</f>
        <v>1.4394010133432368E-3</v>
      </c>
      <c r="F37" s="51">
        <f>'LUC-2013-01-08-Run2'!AH44</f>
        <v>1.4536674005889063E-3</v>
      </c>
      <c r="G37" s="51">
        <f>'LUC-2013-01-08-Run2'!AI44</f>
        <v>1.4679337878345756E-3</v>
      </c>
      <c r="H37" s="51">
        <f>'LUC-2013-01-08-Run2'!AJ44</f>
        <v>1.4822001750802451E-3</v>
      </c>
      <c r="I37" s="51">
        <f>'LUC-2013-01-08-Run2'!AK44</f>
        <v>1.4964665623259145E-3</v>
      </c>
      <c r="J37" s="51">
        <f>'LUC-2013-01-08-Run2'!AL44</f>
        <v>1.510732949571584E-3</v>
      </c>
      <c r="K37" s="51">
        <f>'LUC-2013-01-08-Run2'!AM44</f>
        <v>1.5249993368172533E-3</v>
      </c>
      <c r="L37" s="51">
        <f>'LUC-2013-01-08-Run2'!AN44</f>
        <v>1.5392657240629226E-3</v>
      </c>
      <c r="M37" s="51">
        <f>'LUC-2013-01-08-Run2'!AO44</f>
        <v>1.5535321113085922E-3</v>
      </c>
      <c r="N37" s="51">
        <f>'LUC-2013-01-08-Run2'!AP44</f>
        <v>1.5677984985542617E-3</v>
      </c>
      <c r="O37" s="51">
        <f>'LUC-2013-01-08-Run2'!AQ44</f>
        <v>1.582064885799931E-3</v>
      </c>
      <c r="P37" s="51">
        <f>'LUC-2013-01-08-Run2'!AR44</f>
        <v>1.5963312730456003E-3</v>
      </c>
      <c r="Q37" s="51">
        <f>'LUC-2013-01-08-Run2'!AS44</f>
        <v>1.6105976602912699E-3</v>
      </c>
      <c r="R37" s="51">
        <f>'LUC-2013-01-08-Run2'!AT44</f>
        <v>1.6248640475369394E-3</v>
      </c>
      <c r="S37" s="51">
        <f>'LUC-2013-01-08-Run2'!AU44</f>
        <v>1.6391304347826087E-3</v>
      </c>
      <c r="T37" s="51">
        <f>'LUC-2013-01-08-Run2'!AV44</f>
        <v>1.6512056578914659E-3</v>
      </c>
      <c r="U37" s="51">
        <f>'LUC-2013-01-08-Run2'!AW44</f>
        <v>1.6632808810003231E-3</v>
      </c>
      <c r="V37" s="51">
        <f>'LUC-2013-01-08-Run2'!AX44</f>
        <v>1.6753561041091805E-3</v>
      </c>
      <c r="W37" s="51">
        <f>'LUC-2013-01-08-Run2'!AY44</f>
        <v>1.6874313272180377E-3</v>
      </c>
      <c r="X37" s="51">
        <f>'LUC-2013-01-08-Run2'!AZ44</f>
        <v>1.6995065503268949E-3</v>
      </c>
      <c r="Y37" s="51">
        <f>'LUC-2013-01-08-Run2'!BA44</f>
        <v>1.7115817734357521E-3</v>
      </c>
      <c r="Z37" s="51">
        <f>'LUC-2013-01-08-Run2'!BB44</f>
        <v>1.7236569965446095E-3</v>
      </c>
      <c r="AA37" s="51">
        <f>'LUC-2013-01-08-Run2'!BC44</f>
        <v>1.7357322196534667E-3</v>
      </c>
      <c r="AB37" s="51">
        <f>'LUC-2013-01-08-Run2'!BD44</f>
        <v>1.7478074427623239E-3</v>
      </c>
      <c r="AC37" s="51">
        <f>'LUC-2013-01-08-Run2'!BE44</f>
        <v>1.759882665871181E-3</v>
      </c>
      <c r="AD37" s="51">
        <f>'LUC-2013-01-08-Run2'!BF44</f>
        <v>1.7719578889800382E-3</v>
      </c>
      <c r="AE37" s="51">
        <f>'LUC-2013-01-08-Run2'!BG44</f>
        <v>1.7840331120888956E-3</v>
      </c>
      <c r="AF37" s="51">
        <f>'LUC-2013-01-08-Run2'!BH44</f>
        <v>1.7961083351977528E-3</v>
      </c>
      <c r="AG37" s="51">
        <f>'LUC-2013-01-08-Run2'!BI44</f>
        <v>1.80818355830661E-3</v>
      </c>
      <c r="AH37" s="51">
        <f>'LUC-2013-01-08-Run2'!BJ44</f>
        <v>1.8202587814154672E-3</v>
      </c>
      <c r="AI37" s="51">
        <f>'LUC-2013-01-08-Run2'!BK44</f>
        <v>1.8323340045243246E-3</v>
      </c>
      <c r="AJ37" s="51">
        <f>'LUC-2013-01-08-Run2'!BL44</f>
        <v>1.8444092276331818E-3</v>
      </c>
      <c r="AK37" s="51">
        <f>'LUC-2013-01-08-Run2'!BM44</f>
        <v>1.856484450742039E-3</v>
      </c>
      <c r="AL37" s="51">
        <f>'LUC-2013-01-08-Run2'!BN44</f>
        <v>1.8685596738508962E-3</v>
      </c>
      <c r="AM37" s="51">
        <f>'LUC-2013-01-08-Run2'!BO44</f>
        <v>1.8806348969597534E-3</v>
      </c>
      <c r="AN37" s="51">
        <f>'LUC-2013-01-08-Run2'!BP44</f>
        <v>1.8927101200686108E-3</v>
      </c>
      <c r="AO37" s="51">
        <f>'LUC-2013-01-08-Run2'!BQ44</f>
        <v>1.904785343177468E-3</v>
      </c>
      <c r="AP37" s="51">
        <f>'LUC-2013-01-08-Run2'!BR44</f>
        <v>1.9168605662863252E-3</v>
      </c>
      <c r="AQ37" s="51">
        <f>'LUC-2013-01-08-Run2'!BS44</f>
        <v>1.9289357893951826E-3</v>
      </c>
      <c r="AR37" s="51">
        <f>'LUC-2013-01-08-Run2'!BT44</f>
        <v>1.9410110125040398E-3</v>
      </c>
      <c r="AS37" s="51">
        <f>'LUC-2013-01-08-Run2'!BU44</f>
        <v>1.953086235612897E-3</v>
      </c>
      <c r="AT37" s="51">
        <f>'LUC-2013-01-08-Run2'!BV44</f>
        <v>1.9651614587217541E-3</v>
      </c>
      <c r="AU37" s="51">
        <f>'LUC-2013-01-08-Run2'!BW44</f>
        <v>1.9772366818306113E-3</v>
      </c>
      <c r="AV37" s="51">
        <f>'LUC-2013-01-08-Run2'!BX44</f>
        <v>1.9893119049394685E-3</v>
      </c>
      <c r="AW37" s="51">
        <f>'LUC-2013-01-08-Run2'!BY44</f>
        <v>2.0013871280483257E-3</v>
      </c>
      <c r="AX37" s="51">
        <f>'LUC-2013-01-08-Run2'!BZ44</f>
        <v>2.0134623511571829E-3</v>
      </c>
      <c r="AY37" s="51">
        <f>'LUC-2013-01-08-Run2'!CA44</f>
        <v>2.0255375742660405E-3</v>
      </c>
      <c r="AZ37" s="51">
        <f>'LUC-2013-01-08-Run2'!CB44</f>
        <v>2.0376127973748977E-3</v>
      </c>
      <c r="BA37" s="51">
        <f>'LUC-2013-01-08-Run2'!CC44</f>
        <v>2.0496880204837549E-3</v>
      </c>
      <c r="BB37" s="51">
        <f>'LUC-2013-01-08-Run2'!CD44</f>
        <v>2.0617632435926121E-3</v>
      </c>
      <c r="BC37" s="51">
        <f>'LUC-2013-01-08-Run2'!CE44</f>
        <v>2.0738384667014693E-3</v>
      </c>
      <c r="BD37" s="51">
        <f>'LUC-2013-01-08-Run2'!CF44</f>
        <v>2.0859136898103265E-3</v>
      </c>
      <c r="BE37" s="51">
        <f>'LUC-2013-01-08-Run2'!CG44</f>
        <v>2.0979889129191837E-3</v>
      </c>
      <c r="BF37" s="51">
        <f>'LUC-2013-01-08-Run2'!CH44</f>
        <v>2.1100641360280409E-3</v>
      </c>
      <c r="BG37" s="51">
        <f>'LUC-2013-01-08-Run2'!CI44</f>
        <v>2.1221393591368985E-3</v>
      </c>
      <c r="BH37" s="51">
        <f>'LUC-2013-01-08-Run2'!CJ44</f>
        <v>2.1342145822457557E-3</v>
      </c>
      <c r="BI37" s="51">
        <f>'LUC-2013-01-08-Run2'!CK44</f>
        <v>2.1462898053546129E-3</v>
      </c>
      <c r="BJ37" s="51">
        <f>'LUC-2013-01-08-Run2'!CL44</f>
        <v>2.1583650284634701E-3</v>
      </c>
      <c r="BK37" s="51">
        <f>'LUC-2013-01-08-Run2'!CM44</f>
        <v>2.1704402515723272E-3</v>
      </c>
      <c r="BM37" s="106"/>
      <c r="BN37" s="53" t="s">
        <v>102</v>
      </c>
      <c r="BO37" s="79">
        <f t="shared" si="23"/>
        <v>1.6577549140049139</v>
      </c>
      <c r="BP37" s="79">
        <f t="shared" si="24"/>
        <v>1.8618857493857495</v>
      </c>
      <c r="BQ37" s="79">
        <f t="shared" si="25"/>
        <v>2.0799754299754296</v>
      </c>
      <c r="BR37" s="79">
        <f t="shared" si="26"/>
        <v>2.2849815724815721</v>
      </c>
      <c r="BS37" s="79">
        <f t="shared" si="27"/>
        <v>2.489987714987715</v>
      </c>
      <c r="BT37" s="79">
        <f t="shared" si="28"/>
        <v>2.6949938574938574</v>
      </c>
      <c r="BU37" s="79">
        <f t="shared" si="29"/>
        <v>2.9</v>
      </c>
    </row>
    <row r="38" spans="1:75" x14ac:dyDescent="0.25">
      <c r="A38" s="52" t="s">
        <v>38</v>
      </c>
      <c r="B38" s="50" t="s">
        <v>102</v>
      </c>
      <c r="C38" s="52" t="s">
        <v>107</v>
      </c>
      <c r="D38" s="51">
        <f>'LUC-2013-01-08-Run2'!AF45</f>
        <v>1.6577549140049139E-3</v>
      </c>
      <c r="E38" s="51">
        <f>'LUC-2013-01-08-Run2'!AG45</f>
        <v>1.6804361179361179E-3</v>
      </c>
      <c r="F38" s="51">
        <f>'LUC-2013-01-08-Run2'!AH45</f>
        <v>1.7031173218673219E-3</v>
      </c>
      <c r="G38" s="51">
        <f>'LUC-2013-01-08-Run2'!AI45</f>
        <v>1.7257985257985258E-3</v>
      </c>
      <c r="H38" s="51">
        <f>'LUC-2013-01-08-Run2'!AJ45</f>
        <v>1.7484797297297296E-3</v>
      </c>
      <c r="I38" s="51">
        <f>'LUC-2013-01-08-Run2'!AK45</f>
        <v>1.7711609336609336E-3</v>
      </c>
      <c r="J38" s="51">
        <f>'LUC-2013-01-08-Run2'!AL45</f>
        <v>1.7938421375921377E-3</v>
      </c>
      <c r="K38" s="51">
        <f>'LUC-2013-01-08-Run2'!AM45</f>
        <v>1.8165233415233415E-3</v>
      </c>
      <c r="L38" s="51">
        <f>'LUC-2013-01-08-Run2'!AN45</f>
        <v>1.8392045454545453E-3</v>
      </c>
      <c r="M38" s="51">
        <f>'LUC-2013-01-08-Run2'!AO45</f>
        <v>1.8618857493857494E-3</v>
      </c>
      <c r="N38" s="51">
        <f>'LUC-2013-01-08-Run2'!AP45</f>
        <v>1.8845669533169532E-3</v>
      </c>
      <c r="O38" s="51">
        <f>'LUC-2013-01-08-Run2'!AQ45</f>
        <v>1.907248157248157E-3</v>
      </c>
      <c r="P38" s="51">
        <f>'LUC-2013-01-08-Run2'!AR45</f>
        <v>1.9299293611793611E-3</v>
      </c>
      <c r="Q38" s="51">
        <f>'LUC-2013-01-08-Run2'!AS45</f>
        <v>1.9526105651105651E-3</v>
      </c>
      <c r="R38" s="51">
        <f>'LUC-2013-01-08-Run2'!AT45</f>
        <v>1.9752917690417692E-3</v>
      </c>
      <c r="S38" s="51">
        <f>'LUC-2013-01-08-Run2'!AU45</f>
        <v>1.9979729729729728E-3</v>
      </c>
      <c r="T38" s="51">
        <f>'LUC-2013-01-08-Run2'!AV45</f>
        <v>2.0184735872235873E-3</v>
      </c>
      <c r="U38" s="51">
        <f>'LUC-2013-01-08-Run2'!AW45</f>
        <v>2.0389742014742013E-3</v>
      </c>
      <c r="V38" s="51">
        <f>'LUC-2013-01-08-Run2'!AX45</f>
        <v>2.0594748157248153E-3</v>
      </c>
      <c r="W38" s="51">
        <f>'LUC-2013-01-08-Run2'!AY45</f>
        <v>2.0799754299754298E-3</v>
      </c>
      <c r="X38" s="51">
        <f>'LUC-2013-01-08-Run2'!AZ45</f>
        <v>2.1004760442260443E-3</v>
      </c>
      <c r="Y38" s="51">
        <f>'LUC-2013-01-08-Run2'!BA45</f>
        <v>2.1209766584766583E-3</v>
      </c>
      <c r="Z38" s="51">
        <f>'LUC-2013-01-08-Run2'!BB45</f>
        <v>2.1414772727272723E-3</v>
      </c>
      <c r="AA38" s="51">
        <f>'LUC-2013-01-08-Run2'!BC45</f>
        <v>2.1619778869778868E-3</v>
      </c>
      <c r="AB38" s="51">
        <f>'LUC-2013-01-08-Run2'!BD45</f>
        <v>2.1824785012285013E-3</v>
      </c>
      <c r="AC38" s="51">
        <f>'LUC-2013-01-08-Run2'!BE45</f>
        <v>2.2029791154791153E-3</v>
      </c>
      <c r="AD38" s="51">
        <f>'LUC-2013-01-08-Run2'!BF45</f>
        <v>2.2234797297297293E-3</v>
      </c>
      <c r="AE38" s="51">
        <f>'LUC-2013-01-08-Run2'!BG45</f>
        <v>2.2439803439803438E-3</v>
      </c>
      <c r="AF38" s="51">
        <f>'LUC-2013-01-08-Run2'!BH45</f>
        <v>2.2644809582309583E-3</v>
      </c>
      <c r="AG38" s="51">
        <f>'LUC-2013-01-08-Run2'!BI45</f>
        <v>2.2849815724815723E-3</v>
      </c>
      <c r="AH38" s="51">
        <f>'LUC-2013-01-08-Run2'!BJ45</f>
        <v>2.3054821867321863E-3</v>
      </c>
      <c r="AI38" s="51">
        <f>'LUC-2013-01-08-Run2'!BK45</f>
        <v>2.3259828009828008E-3</v>
      </c>
      <c r="AJ38" s="51">
        <f>'LUC-2013-01-08-Run2'!BL45</f>
        <v>2.3464834152334153E-3</v>
      </c>
      <c r="AK38" s="51">
        <f>'LUC-2013-01-08-Run2'!BM45</f>
        <v>2.3669840294840293E-3</v>
      </c>
      <c r="AL38" s="51">
        <f>'LUC-2013-01-08-Run2'!BN45</f>
        <v>2.3874846437346433E-3</v>
      </c>
      <c r="AM38" s="51">
        <f>'LUC-2013-01-08-Run2'!BO45</f>
        <v>2.4079852579852578E-3</v>
      </c>
      <c r="AN38" s="51">
        <f>'LUC-2013-01-08-Run2'!BP45</f>
        <v>2.4284858722358723E-3</v>
      </c>
      <c r="AO38" s="51">
        <f>'LUC-2013-01-08-Run2'!BQ45</f>
        <v>2.4489864864864863E-3</v>
      </c>
      <c r="AP38" s="51">
        <f>'LUC-2013-01-08-Run2'!BR45</f>
        <v>2.4694871007371003E-3</v>
      </c>
      <c r="AQ38" s="51">
        <f>'LUC-2013-01-08-Run2'!BS45</f>
        <v>2.4899877149877148E-3</v>
      </c>
      <c r="AR38" s="51">
        <f>'LUC-2013-01-08-Run2'!BT45</f>
        <v>2.5104883292383293E-3</v>
      </c>
      <c r="AS38" s="51">
        <f>'LUC-2013-01-08-Run2'!BU45</f>
        <v>2.5309889434889433E-3</v>
      </c>
      <c r="AT38" s="51">
        <f>'LUC-2013-01-08-Run2'!BV45</f>
        <v>2.5514895577395573E-3</v>
      </c>
      <c r="AU38" s="51">
        <f>'LUC-2013-01-08-Run2'!BW45</f>
        <v>2.5719901719901718E-3</v>
      </c>
      <c r="AV38" s="51">
        <f>'LUC-2013-01-08-Run2'!BX45</f>
        <v>2.5924907862407863E-3</v>
      </c>
      <c r="AW38" s="51">
        <f>'LUC-2013-01-08-Run2'!BY45</f>
        <v>2.6129914004914003E-3</v>
      </c>
      <c r="AX38" s="51">
        <f>'LUC-2013-01-08-Run2'!BZ45</f>
        <v>2.6334920147420143E-3</v>
      </c>
      <c r="AY38" s="51">
        <f>'LUC-2013-01-08-Run2'!CA45</f>
        <v>2.6539926289926288E-3</v>
      </c>
      <c r="AZ38" s="51">
        <f>'LUC-2013-01-08-Run2'!CB45</f>
        <v>2.6744932432432433E-3</v>
      </c>
      <c r="BA38" s="51">
        <f>'LUC-2013-01-08-Run2'!CC45</f>
        <v>2.6949938574938573E-3</v>
      </c>
      <c r="BB38" s="51">
        <f>'LUC-2013-01-08-Run2'!CD45</f>
        <v>2.7154944717444713E-3</v>
      </c>
      <c r="BC38" s="51">
        <f>'LUC-2013-01-08-Run2'!CE45</f>
        <v>2.7359950859950858E-3</v>
      </c>
      <c r="BD38" s="51">
        <f>'LUC-2013-01-08-Run2'!CF45</f>
        <v>2.7564957002457003E-3</v>
      </c>
      <c r="BE38" s="51">
        <f>'LUC-2013-01-08-Run2'!CG45</f>
        <v>2.7769963144963143E-3</v>
      </c>
      <c r="BF38" s="51">
        <f>'LUC-2013-01-08-Run2'!CH45</f>
        <v>2.7974969287469283E-3</v>
      </c>
      <c r="BG38" s="51">
        <f>'LUC-2013-01-08-Run2'!CI45</f>
        <v>2.8179975429975428E-3</v>
      </c>
      <c r="BH38" s="51">
        <f>'LUC-2013-01-08-Run2'!CJ45</f>
        <v>2.8384981572481573E-3</v>
      </c>
      <c r="BI38" s="51">
        <f>'LUC-2013-01-08-Run2'!CK45</f>
        <v>2.8589987714987713E-3</v>
      </c>
      <c r="BJ38" s="51">
        <f>'LUC-2013-01-08-Run2'!CL45</f>
        <v>2.8794993857493853E-3</v>
      </c>
      <c r="BK38" s="51">
        <f>'LUC-2013-01-08-Run2'!CM45</f>
        <v>2.8999999999999998E-3</v>
      </c>
      <c r="BM38" s="106"/>
      <c r="BN38" s="53" t="s">
        <v>103</v>
      </c>
      <c r="BO38" s="63">
        <f t="shared" si="23"/>
        <v>61.52272727272728</v>
      </c>
      <c r="BP38" s="63">
        <f t="shared" si="24"/>
        <v>65.409090909090921</v>
      </c>
      <c r="BQ38" s="63">
        <f t="shared" si="25"/>
        <v>71.27272727272728</v>
      </c>
      <c r="BR38" s="63">
        <f t="shared" si="26"/>
        <v>79.454545454545453</v>
      </c>
      <c r="BS38" s="63">
        <f t="shared" si="27"/>
        <v>87.63636363636364</v>
      </c>
      <c r="BT38" s="63">
        <f t="shared" si="28"/>
        <v>95.818181818181813</v>
      </c>
      <c r="BU38" s="63">
        <f t="shared" si="29"/>
        <v>104</v>
      </c>
    </row>
    <row r="39" spans="1:75" x14ac:dyDescent="0.25">
      <c r="A39" s="52" t="s">
        <v>38</v>
      </c>
      <c r="B39" s="50" t="s">
        <v>103</v>
      </c>
      <c r="C39" s="52" t="s">
        <v>107</v>
      </c>
      <c r="D39" s="51">
        <f>'LUC-2013-01-08-Run2'!AF46</f>
        <v>6.1522727272727278E-2</v>
      </c>
      <c r="E39" s="51">
        <f>'LUC-2013-01-08-Run2'!AG46</f>
        <v>6.1954545454545457E-2</v>
      </c>
      <c r="F39" s="51">
        <f>'LUC-2013-01-08-Run2'!AH46</f>
        <v>6.2386363636363643E-2</v>
      </c>
      <c r="G39" s="51">
        <f>'LUC-2013-01-08-Run2'!AI46</f>
        <v>6.2818181818181829E-2</v>
      </c>
      <c r="H39" s="51">
        <f>'LUC-2013-01-08-Run2'!AJ46</f>
        <v>6.3250000000000001E-2</v>
      </c>
      <c r="I39" s="51">
        <f>'LUC-2013-01-08-Run2'!AK46</f>
        <v>6.3681818181818187E-2</v>
      </c>
      <c r="J39" s="51">
        <f>'LUC-2013-01-08-Run2'!AL46</f>
        <v>6.4113636363636373E-2</v>
      </c>
      <c r="K39" s="51">
        <f>'LUC-2013-01-08-Run2'!AM46</f>
        <v>6.4545454545454545E-2</v>
      </c>
      <c r="L39" s="51">
        <f>'LUC-2013-01-08-Run2'!AN46</f>
        <v>6.4977272727272731E-2</v>
      </c>
      <c r="M39" s="51">
        <f>'LUC-2013-01-08-Run2'!AO46</f>
        <v>6.5409090909090917E-2</v>
      </c>
      <c r="N39" s="51">
        <f>'LUC-2013-01-08-Run2'!AP46</f>
        <v>6.5840909090909089E-2</v>
      </c>
      <c r="O39" s="51">
        <f>'LUC-2013-01-08-Run2'!AQ46</f>
        <v>6.6272727272727275E-2</v>
      </c>
      <c r="P39" s="51">
        <f>'LUC-2013-01-08-Run2'!AR46</f>
        <v>6.6704545454545461E-2</v>
      </c>
      <c r="Q39" s="51">
        <f>'LUC-2013-01-08-Run2'!AS46</f>
        <v>6.7136363636363633E-2</v>
      </c>
      <c r="R39" s="51">
        <f>'LUC-2013-01-08-Run2'!AT46</f>
        <v>6.7568181818181819E-2</v>
      </c>
      <c r="S39" s="51">
        <f>'LUC-2013-01-08-Run2'!AU46</f>
        <v>6.8000000000000005E-2</v>
      </c>
      <c r="T39" s="51">
        <f>'LUC-2013-01-08-Run2'!AV46</f>
        <v>6.881818181818182E-2</v>
      </c>
      <c r="U39" s="51">
        <f>'LUC-2013-01-08-Run2'!AW46</f>
        <v>6.9636363636363635E-2</v>
      </c>
      <c r="V39" s="51">
        <f>'LUC-2013-01-08-Run2'!AX46</f>
        <v>7.0454545454545464E-2</v>
      </c>
      <c r="W39" s="51">
        <f>'LUC-2013-01-08-Run2'!AY46</f>
        <v>7.1272727272727279E-2</v>
      </c>
      <c r="X39" s="51">
        <f>'LUC-2013-01-08-Run2'!AZ46</f>
        <v>7.2090909090909094E-2</v>
      </c>
      <c r="Y39" s="51">
        <f>'LUC-2013-01-08-Run2'!BA46</f>
        <v>7.290909090909091E-2</v>
      </c>
      <c r="Z39" s="51">
        <f>'LUC-2013-01-08-Run2'!BB46</f>
        <v>7.3727272727272725E-2</v>
      </c>
      <c r="AA39" s="51">
        <f>'LUC-2013-01-08-Run2'!BC46</f>
        <v>7.4545454545454554E-2</v>
      </c>
      <c r="AB39" s="51">
        <f>'LUC-2013-01-08-Run2'!BD46</f>
        <v>7.5363636363636369E-2</v>
      </c>
      <c r="AC39" s="51">
        <f>'LUC-2013-01-08-Run2'!BE46</f>
        <v>7.6181818181818184E-2</v>
      </c>
      <c r="AD39" s="51">
        <f>'LUC-2013-01-08-Run2'!BF46</f>
        <v>7.6999999999999999E-2</v>
      </c>
      <c r="AE39" s="51">
        <f>'LUC-2013-01-08-Run2'!BG46</f>
        <v>7.7818181818181814E-2</v>
      </c>
      <c r="AF39" s="51">
        <f>'LUC-2013-01-08-Run2'!BH46</f>
        <v>7.8636363636363643E-2</v>
      </c>
      <c r="AG39" s="51">
        <f>'LUC-2013-01-08-Run2'!BI46</f>
        <v>7.9454545454545458E-2</v>
      </c>
      <c r="AH39" s="51">
        <f>'LUC-2013-01-08-Run2'!BJ46</f>
        <v>8.0272727272727273E-2</v>
      </c>
      <c r="AI39" s="51">
        <f>'LUC-2013-01-08-Run2'!BK46</f>
        <v>8.1090909090909088E-2</v>
      </c>
      <c r="AJ39" s="51">
        <f>'LUC-2013-01-08-Run2'!BL46</f>
        <v>8.1909090909090904E-2</v>
      </c>
      <c r="AK39" s="51">
        <f>'LUC-2013-01-08-Run2'!BM46</f>
        <v>8.2727272727272733E-2</v>
      </c>
      <c r="AL39" s="51">
        <f>'LUC-2013-01-08-Run2'!BN46</f>
        <v>8.3545454545454548E-2</v>
      </c>
      <c r="AM39" s="51">
        <f>'LUC-2013-01-08-Run2'!BO46</f>
        <v>8.4363636363636363E-2</v>
      </c>
      <c r="AN39" s="51">
        <f>'LUC-2013-01-08-Run2'!BP46</f>
        <v>8.5181818181818178E-2</v>
      </c>
      <c r="AO39" s="51">
        <f>'LUC-2013-01-08-Run2'!BQ46</f>
        <v>8.5999999999999993E-2</v>
      </c>
      <c r="AP39" s="51">
        <f>'LUC-2013-01-08-Run2'!BR46</f>
        <v>8.6818181818181822E-2</v>
      </c>
      <c r="AQ39" s="51">
        <f>'LUC-2013-01-08-Run2'!BS46</f>
        <v>8.7636363636363637E-2</v>
      </c>
      <c r="AR39" s="51">
        <f>'LUC-2013-01-08-Run2'!BT46</f>
        <v>8.8454545454545452E-2</v>
      </c>
      <c r="AS39" s="51">
        <f>'LUC-2013-01-08-Run2'!BU46</f>
        <v>8.9272727272727267E-2</v>
      </c>
      <c r="AT39" s="51">
        <f>'LUC-2013-01-08-Run2'!BV46</f>
        <v>9.0090909090909083E-2</v>
      </c>
      <c r="AU39" s="51">
        <f>'LUC-2013-01-08-Run2'!BW46</f>
        <v>9.0909090909090912E-2</v>
      </c>
      <c r="AV39" s="51">
        <f>'LUC-2013-01-08-Run2'!BX46</f>
        <v>9.1727272727272727E-2</v>
      </c>
      <c r="AW39" s="51">
        <f>'LUC-2013-01-08-Run2'!BY46</f>
        <v>9.2545454545454542E-2</v>
      </c>
      <c r="AX39" s="51">
        <f>'LUC-2013-01-08-Run2'!BZ46</f>
        <v>9.3363636363636357E-2</v>
      </c>
      <c r="AY39" s="51">
        <f>'LUC-2013-01-08-Run2'!CA46</f>
        <v>9.4181818181818172E-2</v>
      </c>
      <c r="AZ39" s="51">
        <f>'LUC-2013-01-08-Run2'!CB46</f>
        <v>9.5000000000000001E-2</v>
      </c>
      <c r="BA39" s="51">
        <f>'LUC-2013-01-08-Run2'!CC46</f>
        <v>9.5818181818181816E-2</v>
      </c>
      <c r="BB39" s="51">
        <f>'LUC-2013-01-08-Run2'!CD46</f>
        <v>9.6636363636363631E-2</v>
      </c>
      <c r="BC39" s="51">
        <f>'LUC-2013-01-08-Run2'!CE46</f>
        <v>9.7454545454545446E-2</v>
      </c>
      <c r="BD39" s="51">
        <f>'LUC-2013-01-08-Run2'!CF46</f>
        <v>9.8272727272727262E-2</v>
      </c>
      <c r="BE39" s="51">
        <f>'LUC-2013-01-08-Run2'!CG46</f>
        <v>9.9090909090909091E-2</v>
      </c>
      <c r="BF39" s="51">
        <f>'LUC-2013-01-08-Run2'!CH46</f>
        <v>9.9909090909090906E-2</v>
      </c>
      <c r="BG39" s="51">
        <f>'LUC-2013-01-08-Run2'!CI46</f>
        <v>0.10072727272727272</v>
      </c>
      <c r="BH39" s="51">
        <f>'LUC-2013-01-08-Run2'!CJ46</f>
        <v>0.10154545454545455</v>
      </c>
      <c r="BI39" s="51">
        <f>'LUC-2013-01-08-Run2'!CK46</f>
        <v>0.10236363636363635</v>
      </c>
      <c r="BJ39" s="51">
        <f>'LUC-2013-01-08-Run2'!CL46</f>
        <v>0.10318181818181818</v>
      </c>
      <c r="BK39" s="51">
        <f>'LUC-2013-01-08-Run2'!CM46</f>
        <v>0.104</v>
      </c>
      <c r="BM39" s="107"/>
      <c r="BN39" s="54" t="s">
        <v>104</v>
      </c>
      <c r="BO39" s="80">
        <f t="shared" si="23"/>
        <v>0.86618671127481961</v>
      </c>
      <c r="BP39" s="80">
        <f t="shared" si="24"/>
        <v>0.9303922102831238</v>
      </c>
      <c r="BQ39" s="80">
        <f t="shared" si="25"/>
        <v>1.043298969072165</v>
      </c>
      <c r="BR39" s="80">
        <f t="shared" si="26"/>
        <v>1.2185567010309277</v>
      </c>
      <c r="BS39" s="80">
        <f t="shared" si="27"/>
        <v>1.3938144329896907</v>
      </c>
      <c r="BT39" s="80">
        <f t="shared" si="28"/>
        <v>1.5690721649484536</v>
      </c>
      <c r="BU39" s="80">
        <f t="shared" si="29"/>
        <v>1.7443298969072165</v>
      </c>
    </row>
    <row r="40" spans="1:75" x14ac:dyDescent="0.25">
      <c r="A40" s="52" t="s">
        <v>38</v>
      </c>
      <c r="B40" s="50" t="s">
        <v>104</v>
      </c>
      <c r="C40" s="52" t="s">
        <v>107</v>
      </c>
      <c r="D40" s="51">
        <f>'LUC-2013-01-08-Run2'!AF50</f>
        <v>8.6618671127481966E-4</v>
      </c>
      <c r="E40" s="51">
        <f>'LUC-2013-01-08-Run2'!AG50</f>
        <v>8.7332065560907562E-4</v>
      </c>
      <c r="F40" s="51">
        <f>'LUC-2013-01-08-Run2'!AH50</f>
        <v>8.8045459994333169E-4</v>
      </c>
      <c r="G40" s="51">
        <f>'LUC-2013-01-08-Run2'!AI50</f>
        <v>8.8758854427758765E-4</v>
      </c>
      <c r="H40" s="51">
        <f>'LUC-2013-01-08-Run2'!AJ50</f>
        <v>8.9472248861184372E-4</v>
      </c>
      <c r="I40" s="51">
        <f>'LUC-2013-01-08-Run2'!AK50</f>
        <v>9.0185643294609969E-4</v>
      </c>
      <c r="J40" s="51">
        <f>'LUC-2013-01-08-Run2'!AL50</f>
        <v>9.0899037728035576E-4</v>
      </c>
      <c r="K40" s="51">
        <f>'LUC-2013-01-08-Run2'!AM50</f>
        <v>9.1612432161461172E-4</v>
      </c>
      <c r="L40" s="51">
        <f>'LUC-2013-01-08-Run2'!AN50</f>
        <v>9.2325826594886768E-4</v>
      </c>
      <c r="M40" s="51">
        <f>'LUC-2013-01-08-Run2'!AO50</f>
        <v>9.3039221028312375E-4</v>
      </c>
      <c r="N40" s="51">
        <f>'LUC-2013-01-08-Run2'!AP50</f>
        <v>9.3752615461737982E-4</v>
      </c>
      <c r="O40" s="51">
        <f>'LUC-2013-01-08-Run2'!AQ50</f>
        <v>9.4466009895163578E-4</v>
      </c>
      <c r="P40" s="51">
        <f>'LUC-2013-01-08-Run2'!AR50</f>
        <v>9.5179404328589175E-4</v>
      </c>
      <c r="Q40" s="51">
        <f>'LUC-2013-01-08-Run2'!AS50</f>
        <v>9.5892798762014782E-4</v>
      </c>
      <c r="R40" s="51">
        <f>'LUC-2013-01-08-Run2'!AT50</f>
        <v>9.6606193195440389E-4</v>
      </c>
      <c r="S40" s="51">
        <f>'LUC-2013-01-08-Run2'!AU50</f>
        <v>9.7319587628865985E-4</v>
      </c>
      <c r="T40" s="51">
        <f>'LUC-2013-01-08-Run2'!AV50</f>
        <v>9.9072164948453621E-4</v>
      </c>
      <c r="U40" s="51">
        <f>'LUC-2013-01-08-Run2'!AW50</f>
        <v>1.0082474226804125E-3</v>
      </c>
      <c r="V40" s="51">
        <f>'LUC-2013-01-08-Run2'!AX50</f>
        <v>1.0257731958762887E-3</v>
      </c>
      <c r="W40" s="51">
        <f>'LUC-2013-01-08-Run2'!AY50</f>
        <v>1.043298969072165E-3</v>
      </c>
      <c r="X40" s="51">
        <f>'LUC-2013-01-08-Run2'!AZ50</f>
        <v>1.0608247422680412E-3</v>
      </c>
      <c r="Y40" s="51">
        <f>'LUC-2013-01-08-Run2'!BA50</f>
        <v>1.0783505154639175E-3</v>
      </c>
      <c r="Z40" s="51">
        <f>'LUC-2013-01-08-Run2'!BB50</f>
        <v>1.095876288659794E-3</v>
      </c>
      <c r="AA40" s="51">
        <f>'LUC-2013-01-08-Run2'!BC50</f>
        <v>1.1134020618556702E-3</v>
      </c>
      <c r="AB40" s="51">
        <f>'LUC-2013-01-08-Run2'!BD50</f>
        <v>1.1309278350515465E-3</v>
      </c>
      <c r="AC40" s="51">
        <f>'LUC-2013-01-08-Run2'!BE50</f>
        <v>1.1484536082474227E-3</v>
      </c>
      <c r="AD40" s="51">
        <f>'LUC-2013-01-08-Run2'!BF50</f>
        <v>1.165979381443299E-3</v>
      </c>
      <c r="AE40" s="51">
        <f>'LUC-2013-01-08-Run2'!BG50</f>
        <v>1.1835051546391752E-3</v>
      </c>
      <c r="AF40" s="51">
        <f>'LUC-2013-01-08-Run2'!BH50</f>
        <v>1.2010309278350515E-3</v>
      </c>
      <c r="AG40" s="51">
        <f>'LUC-2013-01-08-Run2'!BI50</f>
        <v>1.2185567010309277E-3</v>
      </c>
      <c r="AH40" s="51">
        <f>'LUC-2013-01-08-Run2'!BJ50</f>
        <v>1.236082474226804E-3</v>
      </c>
      <c r="AI40" s="51">
        <f>'LUC-2013-01-08-Run2'!BK50</f>
        <v>1.2536082474226805E-3</v>
      </c>
      <c r="AJ40" s="51">
        <f>'LUC-2013-01-08-Run2'!BL50</f>
        <v>1.2711340206185567E-3</v>
      </c>
      <c r="AK40" s="51">
        <f>'LUC-2013-01-08-Run2'!BM50</f>
        <v>1.288659793814433E-3</v>
      </c>
      <c r="AL40" s="51">
        <f>'LUC-2013-01-08-Run2'!BN50</f>
        <v>1.3061855670103092E-3</v>
      </c>
      <c r="AM40" s="51">
        <f>'LUC-2013-01-08-Run2'!BO50</f>
        <v>1.3237113402061855E-3</v>
      </c>
      <c r="AN40" s="51">
        <f>'LUC-2013-01-08-Run2'!BP50</f>
        <v>1.3412371134020619E-3</v>
      </c>
      <c r="AO40" s="51">
        <f>'LUC-2013-01-08-Run2'!BQ50</f>
        <v>1.3587628865979382E-3</v>
      </c>
      <c r="AP40" s="51">
        <f>'LUC-2013-01-08-Run2'!BR50</f>
        <v>1.3762886597938145E-3</v>
      </c>
      <c r="AQ40" s="51">
        <f>'LUC-2013-01-08-Run2'!BS50</f>
        <v>1.3938144329896907E-3</v>
      </c>
      <c r="AR40" s="51">
        <f>'LUC-2013-01-08-Run2'!BT50</f>
        <v>1.411340206185567E-3</v>
      </c>
      <c r="AS40" s="51">
        <f>'LUC-2013-01-08-Run2'!BU50</f>
        <v>1.4288659793814432E-3</v>
      </c>
      <c r="AT40" s="51">
        <f>'LUC-2013-01-08-Run2'!BV50</f>
        <v>1.4463917525773195E-3</v>
      </c>
      <c r="AU40" s="51">
        <f>'LUC-2013-01-08-Run2'!BW50</f>
        <v>1.4639175257731957E-3</v>
      </c>
      <c r="AV40" s="51">
        <f>'LUC-2013-01-08-Run2'!BX50</f>
        <v>1.481443298969072E-3</v>
      </c>
      <c r="AW40" s="51">
        <f>'LUC-2013-01-08-Run2'!BY50</f>
        <v>1.4989690721649482E-3</v>
      </c>
      <c r="AX40" s="51">
        <f>'LUC-2013-01-08-Run2'!BZ50</f>
        <v>1.5164948453608247E-3</v>
      </c>
      <c r="AY40" s="51">
        <f>'LUC-2013-01-08-Run2'!CA50</f>
        <v>1.534020618556701E-3</v>
      </c>
      <c r="AZ40" s="51">
        <f>'LUC-2013-01-08-Run2'!CB50</f>
        <v>1.5515463917525772E-3</v>
      </c>
      <c r="BA40" s="51">
        <f>'LUC-2013-01-08-Run2'!CC50</f>
        <v>1.5690721649484537E-3</v>
      </c>
      <c r="BB40" s="51">
        <f>'LUC-2013-01-08-Run2'!CD50</f>
        <v>1.5865979381443299E-3</v>
      </c>
      <c r="BC40" s="51">
        <f>'LUC-2013-01-08-Run2'!CE50</f>
        <v>1.6041237113402062E-3</v>
      </c>
      <c r="BD40" s="51">
        <f>'LUC-2013-01-08-Run2'!CF50</f>
        <v>1.6216494845360824E-3</v>
      </c>
      <c r="BE40" s="51">
        <f>'LUC-2013-01-08-Run2'!CG50</f>
        <v>1.6391752577319587E-3</v>
      </c>
      <c r="BF40" s="51">
        <f>'LUC-2013-01-08-Run2'!CH50</f>
        <v>1.656701030927835E-3</v>
      </c>
      <c r="BG40" s="51">
        <f>'LUC-2013-01-08-Run2'!CI50</f>
        <v>1.6742268041237112E-3</v>
      </c>
      <c r="BH40" s="51">
        <f>'LUC-2013-01-08-Run2'!CJ50</f>
        <v>1.6917525773195875E-3</v>
      </c>
      <c r="BI40" s="51">
        <f>'LUC-2013-01-08-Run2'!CK50</f>
        <v>1.7092783505154637E-3</v>
      </c>
      <c r="BJ40" s="51">
        <f>'LUC-2013-01-08-Run2'!CL50</f>
        <v>1.72680412371134E-3</v>
      </c>
      <c r="BK40" s="51">
        <f>'LUC-2013-01-08-Run2'!CM50</f>
        <v>1.7443298969072164E-3</v>
      </c>
      <c r="BN40" s="52" t="s">
        <v>113</v>
      </c>
      <c r="BO40" s="47"/>
      <c r="BP40" s="47"/>
      <c r="BQ40" s="47"/>
      <c r="BR40" s="47"/>
      <c r="BS40" s="47"/>
      <c r="BT40" s="47"/>
      <c r="BU40" s="47"/>
    </row>
    <row r="41" spans="1:75" x14ac:dyDescent="0.25">
      <c r="BM41" s="57" t="s">
        <v>93</v>
      </c>
      <c r="BN41" s="57" t="s">
        <v>94</v>
      </c>
      <c r="BO41" s="57">
        <v>1991</v>
      </c>
      <c r="BP41" s="57">
        <v>2000</v>
      </c>
      <c r="BQ41" s="57">
        <v>2010</v>
      </c>
      <c r="BR41" s="57">
        <v>2020</v>
      </c>
      <c r="BS41" s="57">
        <v>2030</v>
      </c>
      <c r="BT41" s="57">
        <v>2040</v>
      </c>
      <c r="BU41" s="57">
        <v>2050</v>
      </c>
    </row>
    <row r="42" spans="1:75" x14ac:dyDescent="0.25">
      <c r="A42" s="50" t="s">
        <v>38</v>
      </c>
      <c r="B42" s="50" t="s">
        <v>105</v>
      </c>
      <c r="C42" s="50" t="s">
        <v>108</v>
      </c>
      <c r="D42" s="50">
        <f>'WAO Scenario Ag'!AF13</f>
        <v>264298.13384870189</v>
      </c>
      <c r="E42" s="50">
        <f>'WAO Scenario Ag'!AG13</f>
        <v>520633.93324715138</v>
      </c>
      <c r="F42" s="50">
        <f>'WAO Scenario Ag'!AH13</f>
        <v>769361.87263473251</v>
      </c>
      <c r="G42" s="50">
        <f>'WAO Scenario Ag'!AI13</f>
        <v>1010815.693040224</v>
      </c>
      <c r="H42" s="50">
        <f>'WAO Scenario Ag'!AJ13</f>
        <v>1245309.8961211501</v>
      </c>
      <c r="I42" s="50">
        <f>'WAO Scenario Ag'!AK13</f>
        <v>1473141.1108468894</v>
      </c>
      <c r="J42" s="50">
        <f>'WAO Scenario Ag'!AL13</f>
        <v>1694589.3453137057</v>
      </c>
      <c r="K42" s="50">
        <f>'WAO Scenario Ag'!AM13</f>
        <v>1909919.13479971</v>
      </c>
      <c r="L42" s="50">
        <f>'WAO Scenario Ag'!AN13</f>
        <v>2119380.5959568662</v>
      </c>
      <c r="M42" s="50">
        <f>'WAO Scenario Ag'!AO13</f>
        <v>2323210.3959727613</v>
      </c>
      <c r="N42" s="50">
        <f>'WAO Scenario Ag'!AP13</f>
        <v>2501128.3875601627</v>
      </c>
      <c r="O42" s="50">
        <f>'WAO Scenario Ag'!AQ13</f>
        <v>2992716.5447963728</v>
      </c>
      <c r="P42" s="50">
        <f>'WAO Scenario Ag'!AR13</f>
        <v>3870875.3137433636</v>
      </c>
      <c r="Q42" s="50">
        <f>'WAO Scenario Ag'!AS13</f>
        <v>4626359.6083531128</v>
      </c>
      <c r="R42" s="50">
        <f>'WAO Scenario Ag'!AT13</f>
        <v>5253285.8776954524</v>
      </c>
      <c r="S42" s="50">
        <f>'WAO Scenario Ag'!AU13</f>
        <v>6490042.973514053</v>
      </c>
      <c r="T42" s="50">
        <f>'WAO Scenario Ag'!AV13</f>
        <v>8626704.6787839495</v>
      </c>
      <c r="U42" s="50">
        <f>'WAO Scenario Ag'!AW13</f>
        <v>12139091.505161144</v>
      </c>
      <c r="V42" s="50">
        <f>'WAO Scenario Ag'!AX13</f>
        <v>13126471.001578134</v>
      </c>
      <c r="W42" s="50">
        <f>'WAO Scenario Ag'!AY13</f>
        <v>14105284.902994657</v>
      </c>
      <c r="X42" s="50">
        <f>'WAO Scenario Ag'!AZ13</f>
        <v>15075644.188851245</v>
      </c>
      <c r="Y42" s="50">
        <f>'WAO Scenario Ag'!BA13</f>
        <v>16037657.929637915</v>
      </c>
      <c r="Z42" s="50">
        <f>'WAO Scenario Ag'!BB13</f>
        <v>16991433.327763122</v>
      </c>
      <c r="AA42" s="50">
        <f>'WAO Scenario Ag'!BC13</f>
        <v>17937075.757377177</v>
      </c>
      <c r="AB42" s="50">
        <f>'WAO Scenario Ag'!BD13</f>
        <v>18874688.803181317</v>
      </c>
      <c r="AC42" s="50">
        <f>'WAO Scenario Ag'!BE13</f>
        <v>19804374.298252288</v>
      </c>
      <c r="AD42" s="50">
        <f>'WAO Scenario Ag'!BF13</f>
        <v>20726232.360911638</v>
      </c>
      <c r="AE42" s="50">
        <f>'WAO Scenario Ag'!BG13</f>
        <v>21640361.430667602</v>
      </c>
      <c r="AF42" s="50">
        <f>'WAO Scenario Ag'!BH13</f>
        <v>22546858.967190493</v>
      </c>
      <c r="AG42" s="50">
        <f>'WAO Scenario Ag'!BI13</f>
        <v>22453126.749261886</v>
      </c>
      <c r="AH42" s="50">
        <f>'WAO Scenario Ag'!BJ13</f>
        <v>22360170.635508824</v>
      </c>
      <c r="AI42" s="50">
        <f>'WAO Scenario Ag'!BK13</f>
        <v>22267981.026441887</v>
      </c>
      <c r="AJ42" s="50">
        <f>'WAO Scenario Ag'!BL13</f>
        <v>22176548.480234023</v>
      </c>
      <c r="AK42" s="50">
        <f>'WAO Scenario Ag'!BM13</f>
        <v>22085863.709497008</v>
      </c>
      <c r="AL42" s="50">
        <f>'WAO Scenario Ag'!BN13</f>
        <v>21995917.578136601</v>
      </c>
      <c r="AM42" s="50">
        <f>'WAO Scenario Ag'!BO13</f>
        <v>21906701.098284278</v>
      </c>
      <c r="AN42" s="50">
        <f>'WAO Scenario Ag'!BP13</f>
        <v>21818205.427303322</v>
      </c>
      <c r="AO42" s="50">
        <f>'WAO Scenario Ag'!BQ13</f>
        <v>21730421.86486721</v>
      </c>
      <c r="AP42" s="50">
        <f>'WAO Scenario Ag'!BR13</f>
        <v>21643341.85010818</v>
      </c>
      <c r="AQ42" s="50">
        <f>'WAO Scenario Ag'!BS13</f>
        <v>21556956.95883416</v>
      </c>
      <c r="AR42" s="50">
        <f>'WAO Scenario Ag'!BT13</f>
        <v>21471258.900812052</v>
      </c>
      <c r="AS42" s="50">
        <f>'WAO Scenario Ag'!BU13</f>
        <v>21386239.517115533</v>
      </c>
      <c r="AT42" s="50">
        <f>'WAO Scenario Ag'!BV13</f>
        <v>21301890.777535658</v>
      </c>
      <c r="AU42" s="50">
        <f>'WAO Scenario Ag'!BW13</f>
        <v>21218204.778052483</v>
      </c>
      <c r="AV42" s="50">
        <f>'WAO Scenario Ag'!BX13</f>
        <v>21135173.738366045</v>
      </c>
      <c r="AW42" s="50">
        <f>'WAO Scenario Ag'!BY13</f>
        <v>21052789.999485102</v>
      </c>
      <c r="AX42" s="50">
        <f>'WAO Scenario Ag'!BZ13</f>
        <v>20971046.021372028</v>
      </c>
      <c r="AY42" s="50">
        <f>'WAO Scenario Ag'!CA13</f>
        <v>20889934.380642388</v>
      </c>
      <c r="AZ42" s="50">
        <f>'WAO Scenario Ag'!CB13</f>
        <v>20809447.768317673</v>
      </c>
      <c r="BA42" s="50">
        <f>'WAO Scenario Ag'!CC13</f>
        <v>20729578.987629782</v>
      </c>
      <c r="BB42" s="50">
        <f>'WAO Scenario Ag'!CD13</f>
        <v>20650320.951875895</v>
      </c>
      <c r="BC42" s="50">
        <f>'WAO Scenario Ag'!CE13</f>
        <v>20571666.682322353</v>
      </c>
      <c r="BD42" s="50">
        <f>'WAO Scenario Ag'!CF13</f>
        <v>20493609.306156244</v>
      </c>
      <c r="BE42" s="50">
        <f>'WAO Scenario Ag'!CG13</f>
        <v>20416142.054483488</v>
      </c>
      <c r="BF42" s="50">
        <f>'WAO Scenario Ag'!CH13</f>
        <v>20339258.260372117</v>
      </c>
      <c r="BG42" s="50">
        <f>'WAO Scenario Ag'!CI13</f>
        <v>20262951.356939618</v>
      </c>
      <c r="BH42" s="50">
        <f>'WAO Scenario Ag'!CJ13</f>
        <v>20187214.875483166</v>
      </c>
      <c r="BI42" s="50">
        <f>'WAO Scenario Ag'!CK13</f>
        <v>20112042.443651643</v>
      </c>
      <c r="BJ42" s="50">
        <f>'WAO Scenario Ag'!CL13</f>
        <v>20037427.783658333</v>
      </c>
      <c r="BK42" s="50">
        <f>'WAO Scenario Ag'!CM13</f>
        <v>19963364.71053325</v>
      </c>
      <c r="BM42" s="101" t="s">
        <v>38</v>
      </c>
      <c r="BN42" s="55" t="s">
        <v>105</v>
      </c>
      <c r="BO42" s="76">
        <f>D42/1000000</f>
        <v>0.26429813384870188</v>
      </c>
      <c r="BP42" s="75">
        <f>M42/1000000</f>
        <v>2.3232103959727612</v>
      </c>
      <c r="BQ42" s="60">
        <f>W42/1000000</f>
        <v>14.105284902994656</v>
      </c>
      <c r="BR42" s="60">
        <f>AG42/1000000</f>
        <v>22.453126749261887</v>
      </c>
      <c r="BS42" s="60">
        <f>AQ42/1000000</f>
        <v>21.55695695883416</v>
      </c>
      <c r="BT42" s="60">
        <f>BA42/1000000</f>
        <v>20.729578987629782</v>
      </c>
      <c r="BU42" s="60">
        <f>BK42/1000000</f>
        <v>19.963364710533249</v>
      </c>
    </row>
    <row r="43" spans="1:75" x14ac:dyDescent="0.25">
      <c r="A43" s="50" t="s">
        <v>38</v>
      </c>
      <c r="B43" s="50" t="s">
        <v>106</v>
      </c>
      <c r="C43" s="50" t="s">
        <v>108</v>
      </c>
      <c r="D43" s="50">
        <f>'WAO Scenario Ag'!AF14</f>
        <v>0</v>
      </c>
      <c r="E43" s="50">
        <f>'WAO Scenario Ag'!AG14</f>
        <v>0</v>
      </c>
      <c r="F43" s="50">
        <f>'WAO Scenario Ag'!AH14</f>
        <v>0</v>
      </c>
      <c r="G43" s="50">
        <f>'WAO Scenario Ag'!AI14</f>
        <v>0</v>
      </c>
      <c r="H43" s="50">
        <f>'WAO Scenario Ag'!AJ14</f>
        <v>0</v>
      </c>
      <c r="I43" s="50">
        <f>'WAO Scenario Ag'!AK14</f>
        <v>0</v>
      </c>
      <c r="J43" s="50">
        <f>'WAO Scenario Ag'!AL14</f>
        <v>0</v>
      </c>
      <c r="K43" s="50">
        <f>'WAO Scenario Ag'!AM14</f>
        <v>0</v>
      </c>
      <c r="L43" s="50">
        <f>'WAO Scenario Ag'!AN14</f>
        <v>0</v>
      </c>
      <c r="M43" s="50">
        <f>'WAO Scenario Ag'!AO14</f>
        <v>0</v>
      </c>
      <c r="N43" s="50">
        <f>'WAO Scenario Ag'!AP14</f>
        <v>26902.341993431211</v>
      </c>
      <c r="O43" s="50">
        <f>'WAO Scenario Ag'!AQ14</f>
        <v>32526.606109635377</v>
      </c>
      <c r="P43" s="50">
        <f>'WAO Scenario Ag'!AR14</f>
        <v>43564.042547470432</v>
      </c>
      <c r="Q43" s="50">
        <f>'WAO Scenario Ag'!AS14</f>
        <v>84536.761375307266</v>
      </c>
      <c r="R43" s="50">
        <f>'WAO Scenario Ag'!AT14</f>
        <v>271911.14066607878</v>
      </c>
      <c r="S43" s="50">
        <f>'WAO Scenario Ag'!AU14</f>
        <v>741604.83511076646</v>
      </c>
      <c r="T43" s="50">
        <f>'WAO Scenario Ag'!AV14</f>
        <v>1435703.7325092244</v>
      </c>
      <c r="U43" s="50">
        <f>'WAO Scenario Ag'!AW14</f>
        <v>1777556.8524855981</v>
      </c>
      <c r="V43" s="50">
        <f>'WAO Scenario Ag'!AX14</f>
        <v>1863278.5505074349</v>
      </c>
      <c r="W43" s="50">
        <f>'WAO Scenario Ag'!AY14</f>
        <v>1947310.4713917852</v>
      </c>
      <c r="X43" s="50">
        <f>'WAO Scenario Ag'!AZ14</f>
        <v>2029702.0917361467</v>
      </c>
      <c r="Y43" s="50">
        <f>'WAO Scenario Ag'!BA14</f>
        <v>2110500.9752444732</v>
      </c>
      <c r="Z43" s="50">
        <f>'WAO Scenario Ag'!BB14</f>
        <v>2189752.8642889517</v>
      </c>
      <c r="AA43" s="50">
        <f>'WAO Scenario Ag'!BC14</f>
        <v>2267501.7662624517</v>
      </c>
      <c r="AB43" s="50">
        <f>'WAO Scenario Ag'!BD14</f>
        <v>2343790.0350641971</v>
      </c>
      <c r="AC43" s="50">
        <f>'WAO Scenario Ag'!BE14</f>
        <v>2418658.4480356607</v>
      </c>
      <c r="AD43" s="50">
        <f>'WAO Scenario Ag'!BF14</f>
        <v>2492146.2786403401</v>
      </c>
      <c r="AE43" s="50">
        <f>'WAO Scenario Ag'!BG14</f>
        <v>2564291.3651595972</v>
      </c>
      <c r="AF43" s="50">
        <f>'WAO Scenario Ag'!BH14</f>
        <v>2635128.1051006331</v>
      </c>
      <c r="AG43" s="50">
        <f>'WAO Scenario Ag'!BI14</f>
        <v>2611486.0130005423</v>
      </c>
      <c r="AH43" s="50">
        <f>'WAO Scenario Ag'!BJ14</f>
        <v>2588264.3773351274</v>
      </c>
      <c r="AI43" s="50">
        <f>'WAO Scenario Ag'!BK14</f>
        <v>2565452.080719721</v>
      </c>
      <c r="AJ43" s="50">
        <f>'WAO Scenario Ag'!BL14</f>
        <v>2543038.3942884281</v>
      </c>
      <c r="AK43" s="50">
        <f>'WAO Scenario Ag'!BM14</f>
        <v>2521012.960869187</v>
      </c>
      <c r="AL43" s="50">
        <f>'WAO Scenario Ag'!BN14</f>
        <v>2499365.7790256487</v>
      </c>
      <c r="AM43" s="50">
        <f>'WAO Scenario Ag'!BO14</f>
        <v>2478087.1879142313</v>
      </c>
      <c r="AN43" s="50">
        <f>'WAO Scenario Ag'!BP14</f>
        <v>2457167.8529081573</v>
      </c>
      <c r="AO43" s="50">
        <f>'WAO Scenario Ag'!BQ14</f>
        <v>2436598.751943558</v>
      </c>
      <c r="AP43" s="50">
        <f>'WAO Scenario Ag'!BR14</f>
        <v>2416371.1625456568</v>
      </c>
      <c r="AQ43" s="50">
        <f>'WAO Scenario Ag'!BS14</f>
        <v>2396476.6494958596</v>
      </c>
      <c r="AR43" s="50">
        <f>'WAO Scenario Ag'!BT14</f>
        <v>2376907.0531031038</v>
      </c>
      <c r="AS43" s="50">
        <f>'WAO Scenario Ag'!BU14</f>
        <v>2357654.4780452056</v>
      </c>
      <c r="AT43" s="50">
        <f>'WAO Scenario Ag'!BV14</f>
        <v>2338711.2827481581</v>
      </c>
      <c r="AU43" s="50">
        <f>'WAO Scenario Ag'!BW14</f>
        <v>2320070.0692733484</v>
      </c>
      <c r="AV43" s="50">
        <f>'WAO Scenario Ag'!BX14</f>
        <v>2301723.6736845965</v>
      </c>
      <c r="AW43" s="50">
        <f>'WAO Scenario Ag'!BY14</f>
        <v>2283665.1568686436</v>
      </c>
      <c r="AX43" s="50">
        <f>'WAO Scenario Ag'!BZ14</f>
        <v>2265887.795784404</v>
      </c>
      <c r="AY43" s="50">
        <f>'WAO Scenario Ag'!CA14</f>
        <v>2248385.0751177748</v>
      </c>
      <c r="AZ43" s="50">
        <f>'WAO Scenario Ag'!CB14</f>
        <v>2231150.6793202613</v>
      </c>
      <c r="BA43" s="50">
        <f>'WAO Scenario Ag'!CC14</f>
        <v>2214178.4850109671</v>
      </c>
      <c r="BB43" s="50">
        <f>'WAO Scenario Ag'!CD14</f>
        <v>2197462.5537227481</v>
      </c>
      <c r="BC43" s="50">
        <f>'WAO Scenario Ag'!CE14</f>
        <v>2180997.1249744887</v>
      </c>
      <c r="BD43" s="50">
        <f>'WAO Scenario Ag'!CF14</f>
        <v>2164776.6096525108</v>
      </c>
      <c r="BE43" s="50">
        <f>'WAO Scenario Ag'!CG14</f>
        <v>2148795.5836851476</v>
      </c>
      <c r="BF43" s="50">
        <f>'WAO Scenario Ag'!CH14</f>
        <v>2133048.7819954366</v>
      </c>
      <c r="BG43" s="50">
        <f>'WAO Scenario Ag'!CI14</f>
        <v>2117531.0927177821</v>
      </c>
      <c r="BH43" s="50">
        <f>'WAO Scenario Ag'!CJ14</f>
        <v>2102237.5516652218</v>
      </c>
      <c r="BI43" s="50">
        <f>'WAO Scenario Ag'!CK14</f>
        <v>2087163.3370347449</v>
      </c>
      <c r="BJ43" s="50">
        <f>'WAO Scenario Ag'!CL14</f>
        <v>2072303.7643387644</v>
      </c>
      <c r="BK43" s="50">
        <f>'WAO Scenario Ag'!CM14</f>
        <v>2057654.2815515902</v>
      </c>
      <c r="BM43" s="102"/>
      <c r="BN43" s="53" t="s">
        <v>106</v>
      </c>
      <c r="BO43" s="61">
        <f t="shared" ref="BO43:BO45" si="30">D43/1000000</f>
        <v>0</v>
      </c>
      <c r="BP43" s="61">
        <f>M43/1000000</f>
        <v>0</v>
      </c>
      <c r="BQ43" s="73">
        <f>W43/1000000</f>
        <v>1.9473104713917853</v>
      </c>
      <c r="BR43" s="73">
        <f>AG43/1000000</f>
        <v>2.6114860130005422</v>
      </c>
      <c r="BS43" s="73">
        <f>AQ43/1000000</f>
        <v>2.3964766494958596</v>
      </c>
      <c r="BT43" s="73">
        <f>BA43/1000000</f>
        <v>2.2141784850109669</v>
      </c>
      <c r="BU43" s="73">
        <f>BK43/1000000</f>
        <v>2.0576542815515904</v>
      </c>
    </row>
    <row r="44" spans="1:75" x14ac:dyDescent="0.25">
      <c r="A44" s="50" t="s">
        <v>71</v>
      </c>
      <c r="B44" s="50" t="s">
        <v>105</v>
      </c>
      <c r="C44" s="50" t="s">
        <v>108</v>
      </c>
      <c r="D44" s="50">
        <f>SUM('WAO Scenario Ag'!AF15:AF19)</f>
        <v>639160.18152283935</v>
      </c>
      <c r="E44" s="50">
        <f>SUM('WAO Scenario Ag'!AG15:AG19)</f>
        <v>1260334.4766563233</v>
      </c>
      <c r="F44" s="50">
        <f>SUM('WAO Scenario Ag'!AH15:AH19)</f>
        <v>1864320.3504968507</v>
      </c>
      <c r="G44" s="50">
        <f>SUM('WAO Scenario Ag'!AI15:AI19)</f>
        <v>2451866.8720739367</v>
      </c>
      <c r="H44" s="50">
        <f>SUM('WAO Scenario Ag'!AJ15:AJ19)</f>
        <v>3023678.4294577935</v>
      </c>
      <c r="I44" s="50">
        <f>SUM('WAO Scenario Ag'!AK15:AK19)</f>
        <v>3580418.101937185</v>
      </c>
      <c r="J44" s="50">
        <f>SUM('WAO Scenario Ag'!AL15:AL19)</f>
        <v>4122710.7260433994</v>
      </c>
      <c r="K44" s="50">
        <f>SUM('WAO Scenario Ag'!AM15:AM19)</f>
        <v>4651145.68772492</v>
      </c>
      <c r="L44" s="50">
        <f>SUM('WAO Scenario Ag'!AN15:AN19)</f>
        <v>5166279.4691113401</v>
      </c>
      <c r="M44" s="50">
        <f>SUM('WAO Scenario Ag'!AO15:AO19)</f>
        <v>5668637.9749544468</v>
      </c>
      <c r="N44" s="50">
        <f>SUM('WAO Scenario Ag'!AP15:AP19)</f>
        <v>5980546.2373877177</v>
      </c>
      <c r="O44" s="50">
        <f>SUM('WAO Scenario Ag'!AQ15:AQ19)</f>
        <v>6638800.9409040771</v>
      </c>
      <c r="P44" s="50">
        <f>SUM('WAO Scenario Ag'!AR15:AR19)</f>
        <v>7484130.7807543855</v>
      </c>
      <c r="Q44" s="50">
        <f>SUM('WAO Scenario Ag'!AS15:AS19)</f>
        <v>7034455.9229356954</v>
      </c>
      <c r="R44" s="50">
        <f>SUM('WAO Scenario Ag'!AT15:AT19)</f>
        <v>7903645.5993537521</v>
      </c>
      <c r="S44" s="50">
        <f>SUM('WAO Scenario Ag'!AU15:AU19)</f>
        <v>9197553.4458393417</v>
      </c>
      <c r="T44" s="50">
        <f>SUM('WAO Scenario Ag'!AV15:AV19)</f>
        <v>11066979.968464991</v>
      </c>
      <c r="U44" s="50">
        <f>SUM('WAO Scenario Ag'!AW15:AW19)</f>
        <v>14573348.882268846</v>
      </c>
      <c r="V44" s="50">
        <f>SUM('WAO Scenario Ag'!AX15:AX19)</f>
        <v>16480635.482583547</v>
      </c>
      <c r="W44" s="50">
        <f>SUM('WAO Scenario Ag'!AY15:AY19)</f>
        <v>18357374.759719029</v>
      </c>
      <c r="X44" s="50">
        <f>SUM('WAO Scenario Ag'!AZ15:AZ19)</f>
        <v>20204308.984758273</v>
      </c>
      <c r="Y44" s="50">
        <f>SUM('WAO Scenario Ag'!BA15:BA19)</f>
        <v>22022156.215674914</v>
      </c>
      <c r="Z44" s="50">
        <f>SUM('WAO Scenario Ag'!BB15:BB19)</f>
        <v>23811611.293651588</v>
      </c>
      <c r="AA44" s="50">
        <f>SUM('WAO Scenario Ag'!BC15:BC19)</f>
        <v>25573346.789631065</v>
      </c>
      <c r="AB44" s="50">
        <f>SUM('WAO Scenario Ag'!BD15:BD19)</f>
        <v>27308013.904040743</v>
      </c>
      <c r="AC44" s="50">
        <f>SUM('WAO Scenario Ag'!BE15:BE19)</f>
        <v>29016243.322429951</v>
      </c>
      <c r="AD44" s="50">
        <f>SUM('WAO Scenario Ag'!BF15:BF19)</f>
        <v>30698646.029573184</v>
      </c>
      <c r="AE44" s="50">
        <f>SUM('WAO Scenario Ag'!BG15:BG19)</f>
        <v>32355814.084421281</v>
      </c>
      <c r="AF44" s="50">
        <f>SUM('WAO Scenario Ag'!BH15:BH19)</f>
        <v>33988318.638258822</v>
      </c>
      <c r="AG44" s="50">
        <f>SUM('WAO Scenario Ag'!BI15:BI19)</f>
        <v>33736168.163949437</v>
      </c>
      <c r="AH44" s="50">
        <f>SUM('WAO Scenario Ag'!BJ15:BJ19)</f>
        <v>33487803.494097676</v>
      </c>
      <c r="AI44" s="50">
        <f>SUM('WAO Scenario Ag'!BK15:BK19)</f>
        <v>33243138.864732359</v>
      </c>
      <c r="AJ44" s="50">
        <f>SUM('WAO Scenario Ag'!BL15:BL19)</f>
        <v>33002091.122473001</v>
      </c>
      <c r="AK44" s="50">
        <f>SUM('WAO Scenario Ag'!BM15:BM19)</f>
        <v>32764579.624238435</v>
      </c>
      <c r="AL44" s="50">
        <f>SUM('WAO Scenario Ag'!BN15:BN19)</f>
        <v>32530526.141632184</v>
      </c>
      <c r="AM44" s="50">
        <f>SUM('WAO Scenario Ag'!BO15:BO19)</f>
        <v>32299854.76974697</v>
      </c>
      <c r="AN44" s="50">
        <f>SUM('WAO Scenario Ag'!BP15:BP19)</f>
        <v>32072491.840146884</v>
      </c>
      <c r="AO44" s="50">
        <f>SUM('WAO Scenario Ag'!BQ15:BQ19)</f>
        <v>31848365.837801337</v>
      </c>
      <c r="AP44" s="50">
        <f>SUM('WAO Scenario Ag'!BR15:BR19)</f>
        <v>31627407.321758781</v>
      </c>
      <c r="AQ44" s="50">
        <f>SUM('WAO Scenario Ag'!BS15:BS19)</f>
        <v>31409548.849361558</v>
      </c>
      <c r="AR44" s="50">
        <f>SUM('WAO Scenario Ag'!BT15:BT19)</f>
        <v>31194724.90381537</v>
      </c>
      <c r="AS44" s="50">
        <f>SUM('WAO Scenario Ag'!BU15:BU19)</f>
        <v>30982871.824938159</v>
      </c>
      <c r="AT44" s="50">
        <f>SUM('WAO Scenario Ag'!BV15:BV19)</f>
        <v>30773927.742923949</v>
      </c>
      <c r="AU44" s="50">
        <f>SUM('WAO Scenario Ag'!BW15:BW19)</f>
        <v>30567832.51496686</v>
      </c>
      <c r="AV44" s="50">
        <f>SUM('WAO Scenario Ag'!BX15:BX19)</f>
        <v>30364527.664599743</v>
      </c>
      <c r="AW44" s="50">
        <f>SUM('WAO Scenario Ag'!BY15:BY19)</f>
        <v>30163956.323610522</v>
      </c>
      <c r="AX44" s="50">
        <f>SUM('WAO Scenario Ag'!BZ15:BZ19)</f>
        <v>29966063.176407252</v>
      </c>
      <c r="AY44" s="50">
        <f>SUM('WAO Scenario Ag'!CA15:CA19)</f>
        <v>29770794.406710178</v>
      </c>
      <c r="AZ44" s="50">
        <f>SUM('WAO Scenario Ag'!CB15:CB19)</f>
        <v>29578097.64645654</v>
      </c>
      <c r="BA44" s="50">
        <f>SUM('WAO Scenario Ag'!CC15:CC19)</f>
        <v>29387921.926809732</v>
      </c>
      <c r="BB44" s="50">
        <f>SUM('WAO Scenario Ag'!CD15:CD19)</f>
        <v>29200217.631171055</v>
      </c>
      <c r="BC44" s="50">
        <f>SUM('WAO Scenario Ag'!CE15:CE19)</f>
        <v>29014936.450097706</v>
      </c>
      <c r="BD44" s="50">
        <f>SUM('WAO Scenario Ag'!CF15:CF19)</f>
        <v>28832031.338036075</v>
      </c>
      <c r="BE44" s="50">
        <f>SUM('WAO Scenario Ag'!CG15:CG19)</f>
        <v>28651456.471784424</v>
      </c>
      <c r="BF44" s="50">
        <f>SUM('WAO Scenario Ag'!CH15:CH19)</f>
        <v>28473167.210603755</v>
      </c>
      <c r="BG44" s="50">
        <f>SUM('WAO Scenario Ag'!CI15:CI19)</f>
        <v>28297120.057899848</v>
      </c>
      <c r="BH44" s="50">
        <f>SUM('WAO Scenario Ag'!CJ15:CJ19)</f>
        <v>28123272.624404017</v>
      </c>
      <c r="BI44" s="50">
        <f>SUM('WAO Scenario Ag'!CK15:CK19)</f>
        <v>27951583.592783477</v>
      </c>
      <c r="BJ44" s="50">
        <f>SUM('WAO Scenario Ag'!CL15:CL19)</f>
        <v>27782012.683616344</v>
      </c>
      <c r="BK44" s="50">
        <f>SUM('WAO Scenario Ag'!CM15:CM19)</f>
        <v>27614520.622669324</v>
      </c>
      <c r="BM44" s="102" t="s">
        <v>71</v>
      </c>
      <c r="BN44" s="53" t="s">
        <v>105</v>
      </c>
      <c r="BO44" s="78">
        <f t="shared" si="30"/>
        <v>0.63916018152283938</v>
      </c>
      <c r="BP44" s="73">
        <f>M44/1000000</f>
        <v>5.6686379749544464</v>
      </c>
      <c r="BQ44" s="61">
        <f>W44/1000000</f>
        <v>18.357374759719029</v>
      </c>
      <c r="BR44" s="61">
        <f>AG44/1000000</f>
        <v>33.736168163949436</v>
      </c>
      <c r="BS44" s="61">
        <f>AQ44/1000000</f>
        <v>31.409548849361556</v>
      </c>
      <c r="BT44" s="61">
        <f>BA44/1000000</f>
        <v>29.387921926809732</v>
      </c>
      <c r="BU44" s="61">
        <f>BK44/1000000</f>
        <v>27.614520622669325</v>
      </c>
    </row>
    <row r="45" spans="1:75" x14ac:dyDescent="0.25">
      <c r="A45" s="50" t="s">
        <v>71</v>
      </c>
      <c r="B45" s="50" t="s">
        <v>106</v>
      </c>
      <c r="C45" s="50" t="s">
        <v>108</v>
      </c>
      <c r="D45" s="50">
        <f>'WAO Scenario Ag'!AF20</f>
        <v>138599.56472198345</v>
      </c>
      <c r="E45" s="50">
        <f>'WAO Scenario Ag'!AG20</f>
        <v>273457.71379753767</v>
      </c>
      <c r="F45" s="50">
        <f>'WAO Scenario Ag'!AH20</f>
        <v>404723.92573324346</v>
      </c>
      <c r="G45" s="50">
        <f>'WAO Scenario Ag'!AI20</f>
        <v>532539.82098634238</v>
      </c>
      <c r="H45" s="50">
        <f>'WAO Scenario Ag'!AJ20</f>
        <v>657039.67163612996</v>
      </c>
      <c r="I45" s="50">
        <f>'WAO Scenario Ag'!AK20</f>
        <v>778350.87189472397</v>
      </c>
      <c r="J45" s="50">
        <f>'WAO Scenario Ag'!AL20</f>
        <v>896594.37292321946</v>
      </c>
      <c r="K45" s="50">
        <f>'WAO Scenario Ag'!AM20</f>
        <v>1011885.0850730242</v>
      </c>
      <c r="L45" s="50">
        <f>'WAO Scenario Ag'!AN20</f>
        <v>1124332.2503643718</v>
      </c>
      <c r="M45" s="50">
        <f>'WAO Scenario Ag'!AO20</f>
        <v>1234039.7877399891</v>
      </c>
      <c r="N45" s="50">
        <f>'WAO Scenario Ag'!AP20</f>
        <v>1527995.2742244024</v>
      </c>
      <c r="O45" s="50">
        <f>'WAO Scenario Ag'!AQ20</f>
        <v>1967130.5156948098</v>
      </c>
      <c r="P45" s="50">
        <f>'WAO Scenario Ag'!AR20</f>
        <v>2598021.0199561203</v>
      </c>
      <c r="Q45" s="50">
        <f>'WAO Scenario Ag'!AS20</f>
        <v>3251413.8990502795</v>
      </c>
      <c r="R45" s="50">
        <f>'WAO Scenario Ag'!AT20</f>
        <v>4998965.2574780276</v>
      </c>
      <c r="S45" s="50">
        <f>'WAO Scenario Ag'!AU20</f>
        <v>8192818.5498469528</v>
      </c>
      <c r="T45" s="50">
        <f>'WAO Scenario Ag'!AV20</f>
        <v>10999483.226062525</v>
      </c>
      <c r="U45" s="50">
        <f>'WAO Scenario Ag'!AW20</f>
        <v>16417552.904479241</v>
      </c>
      <c r="V45" s="50">
        <f>'WAO Scenario Ag'!AX20</f>
        <v>19071444.584975265</v>
      </c>
      <c r="W45" s="50">
        <f>'WAO Scenario Ag'!AY20</f>
        <v>21673021.79211675</v>
      </c>
      <c r="X45" s="50">
        <f>'WAO Scenario Ag'!AZ20</f>
        <v>24223816.291296955</v>
      </c>
      <c r="Y45" s="50">
        <f>'WAO Scenario Ag'!BA20</f>
        <v>26725300.625887387</v>
      </c>
      <c r="Z45" s="50">
        <f>'WAO Scenario Ag'!BB20</f>
        <v>29178890.951934762</v>
      </c>
      <c r="AA45" s="50">
        <f>'WAO Scenario Ag'!BC20</f>
        <v>31585949.711580537</v>
      </c>
      <c r="AB45" s="50">
        <f>'WAO Scenario Ag'!BD20</f>
        <v>33947788.155807592</v>
      </c>
      <c r="AC45" s="50">
        <f>'WAO Scenario Ag'!BE20</f>
        <v>36265668.726328865</v>
      </c>
      <c r="AD45" s="50">
        <f>'WAO Scenario Ag'!BF20</f>
        <v>38540807.305709042</v>
      </c>
      <c r="AE45" s="50">
        <f>'WAO Scenario Ag'!BG20</f>
        <v>40774375.344146028</v>
      </c>
      <c r="AF45" s="50">
        <f>'WAO Scenario Ag'!BH20</f>
        <v>42967496.11918278</v>
      </c>
      <c r="AG45" s="50">
        <f>'WAO Scenario Ag'!BI20</f>
        <v>42581996.264889657</v>
      </c>
      <c r="AH45" s="50">
        <f>'WAO Scenario Ag'!BJ20</f>
        <v>42203352.229177132</v>
      </c>
      <c r="AI45" s="50">
        <f>'WAO Scenario Ag'!BK20</f>
        <v>41831382.735779516</v>
      </c>
      <c r="AJ45" s="50">
        <f>'WAO Scenario Ag'!BL20</f>
        <v>41465912.84348508</v>
      </c>
      <c r="AK45" s="50">
        <f>'WAO Scenario Ag'!BM20</f>
        <v>41106773.671794437</v>
      </c>
      <c r="AL45" s="50">
        <f>'WAO Scenario Ag'!BN20</f>
        <v>40753802.140712865</v>
      </c>
      <c r="AM45" s="50">
        <f>'WAO Scenario Ag'!BO20</f>
        <v>40406840.723834582</v>
      </c>
      <c r="AN45" s="50">
        <f>'WAO Scenario Ag'!BP20</f>
        <v>40065737.213933289</v>
      </c>
      <c r="AO45" s="50">
        <f>'WAO Scenario Ag'!BQ20</f>
        <v>39730344.500326388</v>
      </c>
      <c r="AP45" s="50">
        <f>'WAO Scenario Ag'!BR20</f>
        <v>39400520.3573284</v>
      </c>
      <c r="AQ45" s="50">
        <f>'WAO Scenario Ag'!BS20</f>
        <v>39076127.243154719</v>
      </c>
      <c r="AR45" s="50">
        <f>'WAO Scenario Ag'!BT20</f>
        <v>38757032.108678281</v>
      </c>
      <c r="AS45" s="50">
        <f>'WAO Scenario Ag'!BU20</f>
        <v>38443106.215480417</v>
      </c>
      <c r="AT45" s="50">
        <f>'WAO Scenario Ag'!BV20</f>
        <v>38134224.962673269</v>
      </c>
      <c r="AU45" s="50">
        <f>'WAO Scenario Ag'!BW20</f>
        <v>37830267.722004265</v>
      </c>
      <c r="AV45" s="50">
        <f>'WAO Scenario Ag'!BX20</f>
        <v>37531117.680784315</v>
      </c>
      <c r="AW45" s="50">
        <f>'WAO Scenario Ag'!BY20</f>
        <v>37236661.692209892</v>
      </c>
      <c r="AX45" s="50">
        <f>'WAO Scenario Ag'!BZ20</f>
        <v>36946790.132676281</v>
      </c>
      <c r="AY45" s="50">
        <f>'WAO Scenario Ag'!CA20</f>
        <v>36661396.765703775</v>
      </c>
      <c r="AZ45" s="50">
        <f>'WAO Scenario Ag'!CB20</f>
        <v>36380378.612122275</v>
      </c>
      <c r="BA45" s="50">
        <f>'WAO Scenario Ag'!CC20</f>
        <v>36103635.826180644</v>
      </c>
      <c r="BB45" s="50">
        <f>'WAO Scenario Ag'!CD20</f>
        <v>35831071.577268109</v>
      </c>
      <c r="BC45" s="50">
        <f>'WAO Scenario Ag'!CE20</f>
        <v>35562591.936953053</v>
      </c>
      <c r="BD45" s="50">
        <f>'WAO Scenario Ag'!CF20</f>
        <v>35298105.771062598</v>
      </c>
      <c r="BE45" s="50">
        <f>'WAO Scenario Ag'!CG20</f>
        <v>35037524.63654238</v>
      </c>
      <c r="BF45" s="50">
        <f>'WAO Scenario Ag'!CH20</f>
        <v>34780762.682851195</v>
      </c>
      <c r="BG45" s="50">
        <f>'WAO Scenario Ag'!CI20</f>
        <v>34527736.557659894</v>
      </c>
      <c r="BH45" s="50">
        <f>'WAO Scenario Ag'!CJ20</f>
        <v>34278365.316636555</v>
      </c>
      <c r="BI45" s="50">
        <f>'WAO Scenario Ag'!CK20</f>
        <v>34032570.337113149</v>
      </c>
      <c r="BJ45" s="50">
        <f>'WAO Scenario Ag'!CL20</f>
        <v>33790275.235439949</v>
      </c>
      <c r="BK45" s="50">
        <f>'WAO Scenario Ag'!CM20</f>
        <v>33551405.787845522</v>
      </c>
      <c r="BM45" s="103"/>
      <c r="BN45" s="54" t="s">
        <v>106</v>
      </c>
      <c r="BO45" s="77">
        <f t="shared" si="30"/>
        <v>0.13859956472198345</v>
      </c>
      <c r="BP45" s="74">
        <f>M45/1000000</f>
        <v>1.2340397877399891</v>
      </c>
      <c r="BQ45" s="62">
        <f>W45/1000000</f>
        <v>21.673021792116749</v>
      </c>
      <c r="BR45" s="62">
        <f>AG45/1000000</f>
        <v>42.581996264889661</v>
      </c>
      <c r="BS45" s="62">
        <f>AQ45/1000000</f>
        <v>39.076127243154723</v>
      </c>
      <c r="BT45" s="62">
        <f>BA45/1000000</f>
        <v>36.103635826180643</v>
      </c>
      <c r="BU45" s="62">
        <f>BK45/1000000</f>
        <v>33.551405787845525</v>
      </c>
      <c r="BV45" s="95">
        <f>SUM(BU42:BU45)</f>
        <v>83.18694540259969</v>
      </c>
      <c r="BW45" s="95"/>
    </row>
    <row r="46" spans="1:75" x14ac:dyDescent="0.25">
      <c r="BN46" s="50" t="s">
        <v>110</v>
      </c>
    </row>
    <row r="47" spans="1:75" x14ac:dyDescent="0.25">
      <c r="A47" s="50" t="s">
        <v>38</v>
      </c>
      <c r="B47" s="50" t="s">
        <v>105</v>
      </c>
      <c r="C47" s="50" t="s">
        <v>109</v>
      </c>
      <c r="D47" s="50">
        <f>D52*$D$65</f>
        <v>20945863829.462044</v>
      </c>
      <c r="E47" s="50">
        <f t="shared" ref="E47:BK47" si="31">E52*$D$65</f>
        <v>41891727658.924088</v>
      </c>
      <c r="F47" s="50">
        <f t="shared" si="31"/>
        <v>62837591488.386124</v>
      </c>
      <c r="G47" s="50">
        <f t="shared" si="31"/>
        <v>83783455317.848175</v>
      </c>
      <c r="H47" s="50">
        <f t="shared" si="31"/>
        <v>104729319147.31021</v>
      </c>
      <c r="I47" s="50">
        <f t="shared" si="31"/>
        <v>125675182976.77226</v>
      </c>
      <c r="J47" s="50">
        <f t="shared" si="31"/>
        <v>146621046806.23428</v>
      </c>
      <c r="K47" s="50">
        <f t="shared" si="31"/>
        <v>167566910635.69635</v>
      </c>
      <c r="L47" s="50">
        <f t="shared" si="31"/>
        <v>188512774465.15839</v>
      </c>
      <c r="M47" s="50">
        <f t="shared" si="31"/>
        <v>209458638294.62042</v>
      </c>
      <c r="N47" s="50">
        <f t="shared" si="31"/>
        <v>228531004354.98901</v>
      </c>
      <c r="O47" s="50">
        <f t="shared" si="31"/>
        <v>277075236804.16864</v>
      </c>
      <c r="P47" s="50">
        <f t="shared" si="31"/>
        <v>363069578260.54443</v>
      </c>
      <c r="Q47" s="50">
        <f t="shared" si="31"/>
        <v>439537659874.07227</v>
      </c>
      <c r="R47" s="50">
        <f t="shared" si="31"/>
        <v>505467316536.44946</v>
      </c>
      <c r="S47" s="50">
        <f t="shared" si="31"/>
        <v>632333281993.57776</v>
      </c>
      <c r="T47" s="50">
        <f t="shared" si="31"/>
        <v>844221116548.12439</v>
      </c>
      <c r="U47" s="50">
        <f t="shared" si="31"/>
        <v>1193169600000.0002</v>
      </c>
      <c r="V47" s="50">
        <f t="shared" si="31"/>
        <v>1295865975600.0002</v>
      </c>
      <c r="W47" s="50">
        <f t="shared" si="31"/>
        <v>1398562351200.0002</v>
      </c>
      <c r="X47" s="50">
        <f t="shared" si="31"/>
        <v>1501258726800.0002</v>
      </c>
      <c r="Y47" s="50">
        <f t="shared" si="31"/>
        <v>1603955102400.0002</v>
      </c>
      <c r="Z47" s="50">
        <f t="shared" si="31"/>
        <v>1706651478000.0002</v>
      </c>
      <c r="AA47" s="50">
        <f t="shared" si="31"/>
        <v>1809347853599.9998</v>
      </c>
      <c r="AB47" s="50">
        <f t="shared" si="31"/>
        <v>1912044229199.9998</v>
      </c>
      <c r="AC47" s="50">
        <f t="shared" si="31"/>
        <v>2014740604799.9998</v>
      </c>
      <c r="AD47" s="50">
        <f t="shared" si="31"/>
        <v>2117436980399.9998</v>
      </c>
      <c r="AE47" s="50">
        <f t="shared" si="31"/>
        <v>2220133356000</v>
      </c>
      <c r="AF47" s="50">
        <f t="shared" si="31"/>
        <v>2322829800000</v>
      </c>
      <c r="AG47" s="50">
        <f t="shared" si="31"/>
        <v>2322829800000</v>
      </c>
      <c r="AH47" s="50">
        <f t="shared" si="31"/>
        <v>2322829800000</v>
      </c>
      <c r="AI47" s="50">
        <f t="shared" si="31"/>
        <v>2322829800000</v>
      </c>
      <c r="AJ47" s="50">
        <f t="shared" si="31"/>
        <v>2322829800000</v>
      </c>
      <c r="AK47" s="50">
        <f t="shared" si="31"/>
        <v>2322829800000</v>
      </c>
      <c r="AL47" s="50">
        <f t="shared" si="31"/>
        <v>2322829800000</v>
      </c>
      <c r="AM47" s="50">
        <f t="shared" si="31"/>
        <v>2322829800000</v>
      </c>
      <c r="AN47" s="50">
        <f t="shared" si="31"/>
        <v>2322829800000</v>
      </c>
      <c r="AO47" s="50">
        <f t="shared" si="31"/>
        <v>2322829800000</v>
      </c>
      <c r="AP47" s="50">
        <f t="shared" si="31"/>
        <v>2322829800000</v>
      </c>
      <c r="AQ47" s="50">
        <f t="shared" si="31"/>
        <v>2322829800000</v>
      </c>
      <c r="AR47" s="50">
        <f t="shared" si="31"/>
        <v>2322829800000</v>
      </c>
      <c r="AS47" s="50">
        <f t="shared" si="31"/>
        <v>2322829800000</v>
      </c>
      <c r="AT47" s="50">
        <f t="shared" si="31"/>
        <v>2322829800000</v>
      </c>
      <c r="AU47" s="50">
        <f t="shared" si="31"/>
        <v>2322829800000</v>
      </c>
      <c r="AV47" s="50">
        <f t="shared" si="31"/>
        <v>2322829800000</v>
      </c>
      <c r="AW47" s="50">
        <f t="shared" si="31"/>
        <v>2322829800000</v>
      </c>
      <c r="AX47" s="50">
        <f t="shared" si="31"/>
        <v>2322829800000</v>
      </c>
      <c r="AY47" s="50">
        <f t="shared" si="31"/>
        <v>2322829800000</v>
      </c>
      <c r="AZ47" s="50">
        <f t="shared" si="31"/>
        <v>2322829800000</v>
      </c>
      <c r="BA47" s="50">
        <f t="shared" si="31"/>
        <v>2322829800000</v>
      </c>
      <c r="BB47" s="50">
        <f t="shared" si="31"/>
        <v>2322829800000</v>
      </c>
      <c r="BC47" s="50">
        <f t="shared" si="31"/>
        <v>2322829800000</v>
      </c>
      <c r="BD47" s="50">
        <f t="shared" si="31"/>
        <v>2322829800000</v>
      </c>
      <c r="BE47" s="50">
        <f t="shared" si="31"/>
        <v>2322829800000</v>
      </c>
      <c r="BF47" s="50">
        <f t="shared" si="31"/>
        <v>2322829800000</v>
      </c>
      <c r="BG47" s="50">
        <f t="shared" si="31"/>
        <v>2322829800000</v>
      </c>
      <c r="BH47" s="50">
        <f t="shared" si="31"/>
        <v>2322829800000</v>
      </c>
      <c r="BI47" s="50">
        <f t="shared" si="31"/>
        <v>2322829800000</v>
      </c>
      <c r="BJ47" s="50">
        <f t="shared" si="31"/>
        <v>2322829800000</v>
      </c>
      <c r="BK47" s="50">
        <f t="shared" si="31"/>
        <v>2322829800000</v>
      </c>
      <c r="BM47" s="57" t="s">
        <v>93</v>
      </c>
      <c r="BN47" s="57" t="s">
        <v>94</v>
      </c>
      <c r="BO47" s="57">
        <v>1991</v>
      </c>
      <c r="BP47" s="57">
        <v>2000</v>
      </c>
      <c r="BQ47" s="57">
        <v>2010</v>
      </c>
      <c r="BR47" s="57">
        <v>2020</v>
      </c>
      <c r="BS47" s="57">
        <v>2030</v>
      </c>
      <c r="BT47" s="57">
        <v>2040</v>
      </c>
      <c r="BU47" s="57">
        <v>2050</v>
      </c>
    </row>
    <row r="48" spans="1:75" x14ac:dyDescent="0.25">
      <c r="A48" s="50" t="s">
        <v>38</v>
      </c>
      <c r="B48" s="50" t="s">
        <v>106</v>
      </c>
      <c r="C48" s="50" t="s">
        <v>109</v>
      </c>
      <c r="D48" s="50">
        <f>D53*$D$66</f>
        <v>0</v>
      </c>
      <c r="E48" s="50">
        <f t="shared" ref="E48:BK48" si="32">E53*$D$66</f>
        <v>0</v>
      </c>
      <c r="F48" s="50">
        <f t="shared" si="32"/>
        <v>0</v>
      </c>
      <c r="G48" s="50">
        <f t="shared" si="32"/>
        <v>0</v>
      </c>
      <c r="H48" s="50">
        <f t="shared" si="32"/>
        <v>0</v>
      </c>
      <c r="I48" s="50">
        <f t="shared" si="32"/>
        <v>0</v>
      </c>
      <c r="J48" s="50">
        <f t="shared" si="32"/>
        <v>0</v>
      </c>
      <c r="K48" s="50">
        <f t="shared" si="32"/>
        <v>0</v>
      </c>
      <c r="L48" s="50">
        <f t="shared" si="32"/>
        <v>0</v>
      </c>
      <c r="M48" s="50">
        <f t="shared" si="32"/>
        <v>0</v>
      </c>
      <c r="N48" s="50">
        <f t="shared" si="32"/>
        <v>1209973112.2397101</v>
      </c>
      <c r="O48" s="50">
        <f t="shared" si="32"/>
        <v>1480539550.5759602</v>
      </c>
      <c r="P48" s="50">
        <f t="shared" si="32"/>
        <v>2006520706.7016301</v>
      </c>
      <c r="Q48" s="50">
        <f t="shared" si="32"/>
        <v>3939447342.1758003</v>
      </c>
      <c r="R48" s="50">
        <f t="shared" si="32"/>
        <v>12818355582.618181</v>
      </c>
      <c r="S48" s="50">
        <f t="shared" si="32"/>
        <v>35361951224.794533</v>
      </c>
      <c r="T48" s="50">
        <f t="shared" si="32"/>
        <v>69161110701.758881</v>
      </c>
      <c r="U48" s="50">
        <f t="shared" si="32"/>
        <v>86498700000</v>
      </c>
      <c r="V48" s="50">
        <f t="shared" si="32"/>
        <v>91581682900</v>
      </c>
      <c r="W48" s="50">
        <f t="shared" si="32"/>
        <v>96664665800.000015</v>
      </c>
      <c r="X48" s="50">
        <f t="shared" si="32"/>
        <v>101747648700.00003</v>
      </c>
      <c r="Y48" s="50">
        <f t="shared" si="32"/>
        <v>106830631600.00002</v>
      </c>
      <c r="Z48" s="50">
        <f t="shared" si="32"/>
        <v>111913614500.00002</v>
      </c>
      <c r="AA48" s="50">
        <f t="shared" si="32"/>
        <v>116996597400.00005</v>
      </c>
      <c r="AB48" s="50">
        <f t="shared" si="32"/>
        <v>122079580300.00003</v>
      </c>
      <c r="AC48" s="50">
        <f t="shared" si="32"/>
        <v>127162563200.00003</v>
      </c>
      <c r="AD48" s="50">
        <f t="shared" si="32"/>
        <v>132245546100.00006</v>
      </c>
      <c r="AE48" s="50">
        <f t="shared" si="32"/>
        <v>137328529000.00005</v>
      </c>
      <c r="AF48" s="50">
        <f t="shared" si="32"/>
        <v>142411400000</v>
      </c>
      <c r="AG48" s="50">
        <f t="shared" si="32"/>
        <v>142411400000</v>
      </c>
      <c r="AH48" s="50">
        <f t="shared" si="32"/>
        <v>142411400000</v>
      </c>
      <c r="AI48" s="50">
        <f t="shared" si="32"/>
        <v>142411400000</v>
      </c>
      <c r="AJ48" s="50">
        <f t="shared" si="32"/>
        <v>142411400000</v>
      </c>
      <c r="AK48" s="50">
        <f t="shared" si="32"/>
        <v>142411400000</v>
      </c>
      <c r="AL48" s="50">
        <f t="shared" si="32"/>
        <v>142411400000</v>
      </c>
      <c r="AM48" s="50">
        <f t="shared" si="32"/>
        <v>142411400000</v>
      </c>
      <c r="AN48" s="50">
        <f t="shared" si="32"/>
        <v>142411400000</v>
      </c>
      <c r="AO48" s="50">
        <f t="shared" si="32"/>
        <v>142411400000</v>
      </c>
      <c r="AP48" s="50">
        <f t="shared" si="32"/>
        <v>142411400000</v>
      </c>
      <c r="AQ48" s="50">
        <f t="shared" si="32"/>
        <v>142411400000</v>
      </c>
      <c r="AR48" s="50">
        <f t="shared" si="32"/>
        <v>142411400000</v>
      </c>
      <c r="AS48" s="50">
        <f t="shared" si="32"/>
        <v>142411400000</v>
      </c>
      <c r="AT48" s="50">
        <f t="shared" si="32"/>
        <v>142411400000</v>
      </c>
      <c r="AU48" s="50">
        <f t="shared" si="32"/>
        <v>142411400000</v>
      </c>
      <c r="AV48" s="50">
        <f t="shared" si="32"/>
        <v>142411400000</v>
      </c>
      <c r="AW48" s="50">
        <f t="shared" si="32"/>
        <v>142411400000</v>
      </c>
      <c r="AX48" s="50">
        <f t="shared" si="32"/>
        <v>142411400000</v>
      </c>
      <c r="AY48" s="50">
        <f t="shared" si="32"/>
        <v>142411400000</v>
      </c>
      <c r="AZ48" s="50">
        <f t="shared" si="32"/>
        <v>142411400000</v>
      </c>
      <c r="BA48" s="50">
        <f t="shared" si="32"/>
        <v>142411400000</v>
      </c>
      <c r="BB48" s="50">
        <f t="shared" si="32"/>
        <v>142411400000</v>
      </c>
      <c r="BC48" s="50">
        <f t="shared" si="32"/>
        <v>142411400000</v>
      </c>
      <c r="BD48" s="50">
        <f t="shared" si="32"/>
        <v>142411400000</v>
      </c>
      <c r="BE48" s="50">
        <f t="shared" si="32"/>
        <v>142411400000</v>
      </c>
      <c r="BF48" s="50">
        <f t="shared" si="32"/>
        <v>142411400000</v>
      </c>
      <c r="BG48" s="50">
        <f t="shared" si="32"/>
        <v>142411400000</v>
      </c>
      <c r="BH48" s="50">
        <f t="shared" si="32"/>
        <v>142411400000</v>
      </c>
      <c r="BI48" s="50">
        <f t="shared" si="32"/>
        <v>142411400000</v>
      </c>
      <c r="BJ48" s="50">
        <f t="shared" si="32"/>
        <v>142411400000</v>
      </c>
      <c r="BK48" s="50">
        <f t="shared" si="32"/>
        <v>142411400000</v>
      </c>
      <c r="BM48" s="101" t="s">
        <v>38</v>
      </c>
      <c r="BN48" s="55" t="s">
        <v>105</v>
      </c>
      <c r="BO48" s="66">
        <f>D47/1000000000000</f>
        <v>2.0945863829462043E-2</v>
      </c>
      <c r="BP48" s="66">
        <f>M47/1000000000000</f>
        <v>0.20945863829462041</v>
      </c>
      <c r="BQ48" s="67">
        <f>W47/1000000000000</f>
        <v>1.3985623512000003</v>
      </c>
      <c r="BR48" s="67">
        <f>AG47/1000000000000</f>
        <v>2.3228298000000001</v>
      </c>
      <c r="BS48" s="67">
        <f>AQ47/1000000000000</f>
        <v>2.3228298000000001</v>
      </c>
      <c r="BT48" s="67">
        <f>BA47/1000000000000</f>
        <v>2.3228298000000001</v>
      </c>
      <c r="BU48" s="67">
        <f>BK47/1000000000000</f>
        <v>2.3228298000000001</v>
      </c>
    </row>
    <row r="49" spans="1:75" x14ac:dyDescent="0.25">
      <c r="A49" s="50" t="s">
        <v>71</v>
      </c>
      <c r="B49" s="50" t="s">
        <v>105</v>
      </c>
      <c r="C49" s="50" t="s">
        <v>109</v>
      </c>
      <c r="D49" s="50">
        <f>D54*$D$65</f>
        <v>38467632636.660408</v>
      </c>
      <c r="E49" s="50">
        <f t="shared" ref="E49:BK49" si="33">E54*$D$65</f>
        <v>76935265273.320816</v>
      </c>
      <c r="F49" s="50">
        <f t="shared" si="33"/>
        <v>115402897909.9812</v>
      </c>
      <c r="G49" s="50">
        <f t="shared" si="33"/>
        <v>153870530546.64163</v>
      </c>
      <c r="H49" s="50">
        <f t="shared" si="33"/>
        <v>192338163183.30203</v>
      </c>
      <c r="I49" s="50">
        <f t="shared" si="33"/>
        <v>230805795819.9624</v>
      </c>
      <c r="J49" s="50">
        <f t="shared" si="33"/>
        <v>269273428456.62283</v>
      </c>
      <c r="K49" s="50">
        <f t="shared" si="33"/>
        <v>307741061093.28326</v>
      </c>
      <c r="L49" s="50">
        <f t="shared" si="33"/>
        <v>346208693729.94366</v>
      </c>
      <c r="M49" s="50">
        <f t="shared" si="33"/>
        <v>384676326366.60406</v>
      </c>
      <c r="N49" s="50">
        <f t="shared" si="33"/>
        <v>413014964761.60956</v>
      </c>
      <c r="O49" s="50">
        <f t="shared" si="33"/>
        <v>473042309596.35553</v>
      </c>
      <c r="P49" s="50">
        <f t="shared" si="33"/>
        <v>560404066267.67346</v>
      </c>
      <c r="Q49" s="50">
        <f t="shared" si="33"/>
        <v>574487053735.35046</v>
      </c>
      <c r="R49" s="50">
        <f t="shared" si="33"/>
        <v>655601171659.73401</v>
      </c>
      <c r="S49" s="50">
        <f t="shared" si="33"/>
        <v>788161062010.43115</v>
      </c>
      <c r="T49" s="50">
        <f t="shared" si="33"/>
        <v>990135632416.01428</v>
      </c>
      <c r="U49" s="50">
        <f t="shared" si="33"/>
        <v>1346419800000.0002</v>
      </c>
      <c r="V49" s="50">
        <f t="shared" si="33"/>
        <v>1506727648800.0002</v>
      </c>
      <c r="W49" s="50">
        <f t="shared" si="33"/>
        <v>1667035497600.0002</v>
      </c>
      <c r="X49" s="50">
        <f t="shared" si="33"/>
        <v>1827343346400.0002</v>
      </c>
      <c r="Y49" s="50">
        <f t="shared" si="33"/>
        <v>1987651195200.0002</v>
      </c>
      <c r="Z49" s="50">
        <f t="shared" si="33"/>
        <v>2147959044000.0005</v>
      </c>
      <c r="AA49" s="50">
        <f t="shared" si="33"/>
        <v>2308266892800.0005</v>
      </c>
      <c r="AB49" s="50">
        <f t="shared" si="33"/>
        <v>2468574741600.001</v>
      </c>
      <c r="AC49" s="50">
        <f t="shared" si="33"/>
        <v>2628882590400.001</v>
      </c>
      <c r="AD49" s="50">
        <f t="shared" si="33"/>
        <v>2789190439200.001</v>
      </c>
      <c r="AE49" s="50">
        <f t="shared" si="33"/>
        <v>2949498288000.001</v>
      </c>
      <c r="AF49" s="50">
        <f t="shared" si="33"/>
        <v>3109806000000</v>
      </c>
      <c r="AG49" s="50">
        <f t="shared" si="33"/>
        <v>3109806000000</v>
      </c>
      <c r="AH49" s="50">
        <f t="shared" si="33"/>
        <v>3109806000000</v>
      </c>
      <c r="AI49" s="50">
        <f t="shared" si="33"/>
        <v>3109806000000</v>
      </c>
      <c r="AJ49" s="50">
        <f t="shared" si="33"/>
        <v>3109806000000</v>
      </c>
      <c r="AK49" s="50">
        <f t="shared" si="33"/>
        <v>3109806000000</v>
      </c>
      <c r="AL49" s="50">
        <f t="shared" si="33"/>
        <v>3109806000000</v>
      </c>
      <c r="AM49" s="50">
        <f t="shared" si="33"/>
        <v>3109806000000</v>
      </c>
      <c r="AN49" s="50">
        <f t="shared" si="33"/>
        <v>3109806000000</v>
      </c>
      <c r="AO49" s="50">
        <f t="shared" si="33"/>
        <v>3109806000000</v>
      </c>
      <c r="AP49" s="50">
        <f t="shared" si="33"/>
        <v>3109806000000</v>
      </c>
      <c r="AQ49" s="50">
        <f t="shared" si="33"/>
        <v>3109806000000</v>
      </c>
      <c r="AR49" s="50">
        <f t="shared" si="33"/>
        <v>3109806000000</v>
      </c>
      <c r="AS49" s="50">
        <f t="shared" si="33"/>
        <v>3109806000000</v>
      </c>
      <c r="AT49" s="50">
        <f t="shared" si="33"/>
        <v>3109806000000</v>
      </c>
      <c r="AU49" s="50">
        <f t="shared" si="33"/>
        <v>3109806000000</v>
      </c>
      <c r="AV49" s="50">
        <f t="shared" si="33"/>
        <v>3109806000000</v>
      </c>
      <c r="AW49" s="50">
        <f t="shared" si="33"/>
        <v>3109806000000</v>
      </c>
      <c r="AX49" s="50">
        <f t="shared" si="33"/>
        <v>3109806000000</v>
      </c>
      <c r="AY49" s="50">
        <f t="shared" si="33"/>
        <v>3109806000000</v>
      </c>
      <c r="AZ49" s="50">
        <f t="shared" si="33"/>
        <v>3109806000000</v>
      </c>
      <c r="BA49" s="50">
        <f t="shared" si="33"/>
        <v>3109806000000</v>
      </c>
      <c r="BB49" s="50">
        <f t="shared" si="33"/>
        <v>3109806000000</v>
      </c>
      <c r="BC49" s="50">
        <f t="shared" si="33"/>
        <v>3109806000000</v>
      </c>
      <c r="BD49" s="50">
        <f t="shared" si="33"/>
        <v>3109806000000</v>
      </c>
      <c r="BE49" s="50">
        <f t="shared" si="33"/>
        <v>3109806000000</v>
      </c>
      <c r="BF49" s="50">
        <f t="shared" si="33"/>
        <v>3109806000000</v>
      </c>
      <c r="BG49" s="50">
        <f t="shared" si="33"/>
        <v>3109806000000</v>
      </c>
      <c r="BH49" s="50">
        <f t="shared" si="33"/>
        <v>3109806000000</v>
      </c>
      <c r="BI49" s="50">
        <f t="shared" si="33"/>
        <v>3109806000000</v>
      </c>
      <c r="BJ49" s="50">
        <f t="shared" si="33"/>
        <v>3109806000000</v>
      </c>
      <c r="BK49" s="50">
        <f t="shared" si="33"/>
        <v>3109806000000</v>
      </c>
      <c r="BM49" s="102"/>
      <c r="BN49" s="53" t="s">
        <v>106</v>
      </c>
      <c r="BO49" s="69">
        <f>D48/1000000000000</f>
        <v>0</v>
      </c>
      <c r="BP49" s="69">
        <f>M48/1000000000000</f>
        <v>0</v>
      </c>
      <c r="BQ49" s="69">
        <f>W48/1000000000000</f>
        <v>9.6664665800000021E-2</v>
      </c>
      <c r="BR49" s="69">
        <f>AG48/1000000000000</f>
        <v>0.14241139999999999</v>
      </c>
      <c r="BS49" s="69">
        <f>AQ48/1000000000000</f>
        <v>0.14241139999999999</v>
      </c>
      <c r="BT49" s="69">
        <f>BA48/1000000000000</f>
        <v>0.14241139999999999</v>
      </c>
      <c r="BU49" s="69">
        <f>BK48/1000000000000</f>
        <v>0.14241139999999999</v>
      </c>
    </row>
    <row r="50" spans="1:75" x14ac:dyDescent="0.25">
      <c r="A50" s="50" t="s">
        <v>71</v>
      </c>
      <c r="B50" s="50" t="s">
        <v>106</v>
      </c>
      <c r="C50" s="50" t="s">
        <v>109</v>
      </c>
      <c r="D50" s="50">
        <f>D55*$D$66</f>
        <v>3290087890.1688004</v>
      </c>
      <c r="E50" s="50">
        <f t="shared" ref="E50:BK50" si="34">E55*$D$66</f>
        <v>6580175780.3376007</v>
      </c>
      <c r="F50" s="50">
        <f t="shared" si="34"/>
        <v>9870263670.506403</v>
      </c>
      <c r="G50" s="50">
        <f t="shared" si="34"/>
        <v>13160351560.675201</v>
      </c>
      <c r="H50" s="50">
        <f t="shared" si="34"/>
        <v>16450439450.844002</v>
      </c>
      <c r="I50" s="50">
        <f t="shared" si="34"/>
        <v>19740527341.012802</v>
      </c>
      <c r="J50" s="50">
        <f t="shared" si="34"/>
        <v>23030615231.181599</v>
      </c>
      <c r="K50" s="50">
        <f t="shared" si="34"/>
        <v>26320703121.350399</v>
      </c>
      <c r="L50" s="50">
        <f t="shared" si="34"/>
        <v>29610791011.519199</v>
      </c>
      <c r="M50" s="50">
        <f t="shared" si="34"/>
        <v>32900878901.688004</v>
      </c>
      <c r="N50" s="50">
        <f t="shared" si="34"/>
        <v>41234325202.444504</v>
      </c>
      <c r="O50" s="50">
        <f t="shared" si="34"/>
        <v>53723671996.045807</v>
      </c>
      <c r="P50" s="50">
        <f t="shared" si="34"/>
        <v>71797510076.907303</v>
      </c>
      <c r="Q50" s="50">
        <f t="shared" si="34"/>
        <v>90910323280.980011</v>
      </c>
      <c r="R50" s="50">
        <f t="shared" si="34"/>
        <v>141395856143.01758</v>
      </c>
      <c r="S50" s="50">
        <f t="shared" si="34"/>
        <v>234394952327.95343</v>
      </c>
      <c r="T50" s="50">
        <f t="shared" si="34"/>
        <v>317922058639.61383</v>
      </c>
      <c r="U50" s="50">
        <f t="shared" si="34"/>
        <v>479342300000</v>
      </c>
      <c r="V50" s="50">
        <f t="shared" si="34"/>
        <v>562426371500</v>
      </c>
      <c r="W50" s="50">
        <f t="shared" si="34"/>
        <v>645510443000</v>
      </c>
      <c r="X50" s="50">
        <f t="shared" si="34"/>
        <v>728594514499.99988</v>
      </c>
      <c r="Y50" s="50">
        <f t="shared" si="34"/>
        <v>811678586000</v>
      </c>
      <c r="Z50" s="50">
        <f t="shared" si="34"/>
        <v>894762657500</v>
      </c>
      <c r="AA50" s="50">
        <f t="shared" si="34"/>
        <v>977846729000.00024</v>
      </c>
      <c r="AB50" s="50">
        <f t="shared" si="34"/>
        <v>1060930800500.0002</v>
      </c>
      <c r="AC50" s="50">
        <f t="shared" si="34"/>
        <v>1144014872000.0002</v>
      </c>
      <c r="AD50" s="50">
        <f t="shared" si="34"/>
        <v>1227098943500.0002</v>
      </c>
      <c r="AE50" s="50">
        <f t="shared" si="34"/>
        <v>1310183015000.0002</v>
      </c>
      <c r="AF50" s="50">
        <f t="shared" si="34"/>
        <v>1393266900000.0002</v>
      </c>
      <c r="AG50" s="50">
        <f t="shared" si="34"/>
        <v>1393266900000.0002</v>
      </c>
      <c r="AH50" s="50">
        <f t="shared" si="34"/>
        <v>1393266900000.0002</v>
      </c>
      <c r="AI50" s="50">
        <f t="shared" si="34"/>
        <v>1393266900000.0002</v>
      </c>
      <c r="AJ50" s="50">
        <f t="shared" si="34"/>
        <v>1393266900000.0002</v>
      </c>
      <c r="AK50" s="50">
        <f t="shared" si="34"/>
        <v>1393266900000.0002</v>
      </c>
      <c r="AL50" s="50">
        <f t="shared" si="34"/>
        <v>1393266900000.0002</v>
      </c>
      <c r="AM50" s="50">
        <f t="shared" si="34"/>
        <v>1393266900000.0002</v>
      </c>
      <c r="AN50" s="50">
        <f t="shared" si="34"/>
        <v>1393266900000.0002</v>
      </c>
      <c r="AO50" s="50">
        <f t="shared" si="34"/>
        <v>1393266900000.0002</v>
      </c>
      <c r="AP50" s="50">
        <f t="shared" si="34"/>
        <v>1393266900000.0002</v>
      </c>
      <c r="AQ50" s="50">
        <f t="shared" si="34"/>
        <v>1393266900000.0002</v>
      </c>
      <c r="AR50" s="50">
        <f t="shared" si="34"/>
        <v>1393266900000.0002</v>
      </c>
      <c r="AS50" s="50">
        <f t="shared" si="34"/>
        <v>1393266900000.0002</v>
      </c>
      <c r="AT50" s="50">
        <f t="shared" si="34"/>
        <v>1393266900000.0002</v>
      </c>
      <c r="AU50" s="50">
        <f t="shared" si="34"/>
        <v>1393266900000.0002</v>
      </c>
      <c r="AV50" s="50">
        <f t="shared" si="34"/>
        <v>1393266900000.0002</v>
      </c>
      <c r="AW50" s="50">
        <f t="shared" si="34"/>
        <v>1393266900000.0002</v>
      </c>
      <c r="AX50" s="50">
        <f t="shared" si="34"/>
        <v>1393266900000.0002</v>
      </c>
      <c r="AY50" s="50">
        <f t="shared" si="34"/>
        <v>1393266900000.0002</v>
      </c>
      <c r="AZ50" s="50">
        <f t="shared" si="34"/>
        <v>1393266900000.0002</v>
      </c>
      <c r="BA50" s="50">
        <f t="shared" si="34"/>
        <v>1393266900000.0002</v>
      </c>
      <c r="BB50" s="50">
        <f t="shared" si="34"/>
        <v>1393266900000.0002</v>
      </c>
      <c r="BC50" s="50">
        <f t="shared" si="34"/>
        <v>1393266900000.0002</v>
      </c>
      <c r="BD50" s="50">
        <f t="shared" si="34"/>
        <v>1393266900000.0002</v>
      </c>
      <c r="BE50" s="50">
        <f t="shared" si="34"/>
        <v>1393266900000.0002</v>
      </c>
      <c r="BF50" s="50">
        <f t="shared" si="34"/>
        <v>1393266900000.0002</v>
      </c>
      <c r="BG50" s="50">
        <f t="shared" si="34"/>
        <v>1393266900000.0002</v>
      </c>
      <c r="BH50" s="50">
        <f t="shared" si="34"/>
        <v>1393266900000.0002</v>
      </c>
      <c r="BI50" s="50">
        <f t="shared" si="34"/>
        <v>1393266900000.0002</v>
      </c>
      <c r="BJ50" s="50">
        <f t="shared" si="34"/>
        <v>1393266900000.0002</v>
      </c>
      <c r="BK50" s="50">
        <f t="shared" si="34"/>
        <v>1393266900000.0002</v>
      </c>
      <c r="BM50" s="102" t="s">
        <v>71</v>
      </c>
      <c r="BN50" s="53" t="s">
        <v>105</v>
      </c>
      <c r="BO50" s="69">
        <f>D49/1000000000000</f>
        <v>3.8467632636660407E-2</v>
      </c>
      <c r="BP50" s="69">
        <f>M49/1000000000000</f>
        <v>0.38467632636660404</v>
      </c>
      <c r="BQ50" s="70">
        <f>W49/1000000000000</f>
        <v>1.6670354976000001</v>
      </c>
      <c r="BR50" s="70">
        <f>AG49/1000000000000</f>
        <v>3.1098059999999998</v>
      </c>
      <c r="BS50" s="70">
        <f>AQ49/1000000000000</f>
        <v>3.1098059999999998</v>
      </c>
      <c r="BT50" s="70">
        <f>BA49/1000000000000</f>
        <v>3.1098059999999998</v>
      </c>
      <c r="BU50" s="70">
        <f>BK49/1000000000000</f>
        <v>3.1098059999999998</v>
      </c>
    </row>
    <row r="51" spans="1:75" x14ac:dyDescent="0.25">
      <c r="BM51" s="103"/>
      <c r="BN51" s="54" t="s">
        <v>106</v>
      </c>
      <c r="BO51" s="71">
        <f>D50/1000000000000</f>
        <v>3.2900878901688003E-3</v>
      </c>
      <c r="BP51" s="71">
        <f>M50/1000000000000</f>
        <v>3.2900878901688003E-2</v>
      </c>
      <c r="BQ51" s="71">
        <f>W50/1000000000000</f>
        <v>0.64551044300000004</v>
      </c>
      <c r="BR51" s="72">
        <f>AG50/1000000000000</f>
        <v>1.3932669000000002</v>
      </c>
      <c r="BS51" s="72">
        <f>AQ50/1000000000000</f>
        <v>1.3932669000000002</v>
      </c>
      <c r="BT51" s="72">
        <f>BA50/1000000000000</f>
        <v>1.3932669000000002</v>
      </c>
      <c r="BU51" s="72">
        <f>BK50/1000000000000</f>
        <v>1.3932669000000002</v>
      </c>
      <c r="BV51" s="95">
        <f>SUM(BU48:BU51)</f>
        <v>6.9683141000000006</v>
      </c>
      <c r="BW51" s="95"/>
    </row>
    <row r="52" spans="1:75" x14ac:dyDescent="0.25">
      <c r="A52" s="50" t="s">
        <v>38</v>
      </c>
      <c r="B52" s="50" t="s">
        <v>105</v>
      </c>
      <c r="C52" s="50" t="s">
        <v>114</v>
      </c>
      <c r="D52" s="50">
        <f>'Sce 3 Table'!D52</f>
        <v>161792820</v>
      </c>
      <c r="E52" s="50">
        <f>'Sce 3 Table'!E52</f>
        <v>323585640</v>
      </c>
      <c r="F52" s="50">
        <f>'Sce 3 Table'!F52</f>
        <v>485378460</v>
      </c>
      <c r="G52" s="50">
        <f>'Sce 3 Table'!G52</f>
        <v>647171280</v>
      </c>
      <c r="H52" s="50">
        <f>'Sce 3 Table'!H52</f>
        <v>808964100</v>
      </c>
      <c r="I52" s="50">
        <f>'Sce 3 Table'!I52</f>
        <v>970756920.00000012</v>
      </c>
      <c r="J52" s="50">
        <f>'Sce 3 Table'!J52</f>
        <v>1132549740</v>
      </c>
      <c r="K52" s="50">
        <f>'Sce 3 Table'!K52</f>
        <v>1294342560</v>
      </c>
      <c r="L52" s="50">
        <f>'Sce 3 Table'!L52</f>
        <v>1456135380</v>
      </c>
      <c r="M52" s="50">
        <f>'Sce 3 Table'!M52</f>
        <v>1617928200</v>
      </c>
      <c r="N52" s="50">
        <f>'Sce 3 Table'!N52</f>
        <v>1765249500</v>
      </c>
      <c r="O52" s="50">
        <f>'Sce 3 Table'!O52</f>
        <v>2140221300</v>
      </c>
      <c r="P52" s="50">
        <f>'Sce 3 Table'!P52</f>
        <v>2804470200</v>
      </c>
      <c r="Q52" s="50">
        <f>'Sce 3 Table'!Q52</f>
        <v>3395135100</v>
      </c>
      <c r="R52" s="50">
        <f>'Sce 3 Table'!R52</f>
        <v>3904397700</v>
      </c>
      <c r="S52" s="50">
        <f>'Sce 3 Table'!S52</f>
        <v>4884352620</v>
      </c>
      <c r="T52" s="50">
        <f>'Sce 3 Table'!T52</f>
        <v>6521044740</v>
      </c>
      <c r="U52" s="50">
        <f>U57*1000000/$D$64</f>
        <v>9216438906.2215195</v>
      </c>
      <c r="V52" s="50">
        <f t="shared" ref="V52:BK52" si="35">V57*1000000/$D$64</f>
        <v>10009699873.989872</v>
      </c>
      <c r="W52" s="50">
        <f t="shared" si="35"/>
        <v>10802960841.758224</v>
      </c>
      <c r="X52" s="50">
        <f t="shared" si="35"/>
        <v>11596221809.526577</v>
      </c>
      <c r="Y52" s="50">
        <f t="shared" si="35"/>
        <v>12389482777.29493</v>
      </c>
      <c r="Z52" s="50">
        <f t="shared" si="35"/>
        <v>13182743745.063282</v>
      </c>
      <c r="AA52" s="50">
        <f t="shared" si="35"/>
        <v>13976004712.831633</v>
      </c>
      <c r="AB52" s="50">
        <f t="shared" si="35"/>
        <v>14769265680.599985</v>
      </c>
      <c r="AC52" s="50">
        <f t="shared" si="35"/>
        <v>15562526648.368338</v>
      </c>
      <c r="AD52" s="50">
        <f t="shared" si="35"/>
        <v>16355787616.13669</v>
      </c>
      <c r="AE52" s="50">
        <f t="shared" si="35"/>
        <v>17149048583.905043</v>
      </c>
      <c r="AF52" s="50">
        <f t="shared" si="35"/>
        <v>17942310080.01775</v>
      </c>
      <c r="AG52" s="50">
        <f t="shared" si="35"/>
        <v>17942310080.01775</v>
      </c>
      <c r="AH52" s="50">
        <f t="shared" si="35"/>
        <v>17942310080.01775</v>
      </c>
      <c r="AI52" s="50">
        <f t="shared" si="35"/>
        <v>17942310080.01775</v>
      </c>
      <c r="AJ52" s="50">
        <f t="shared" si="35"/>
        <v>17942310080.01775</v>
      </c>
      <c r="AK52" s="50">
        <f t="shared" si="35"/>
        <v>17942310080.01775</v>
      </c>
      <c r="AL52" s="50">
        <f t="shared" si="35"/>
        <v>17942310080.01775</v>
      </c>
      <c r="AM52" s="50">
        <f t="shared" si="35"/>
        <v>17942310080.01775</v>
      </c>
      <c r="AN52" s="50">
        <f t="shared" si="35"/>
        <v>17942310080.01775</v>
      </c>
      <c r="AO52" s="50">
        <f t="shared" si="35"/>
        <v>17942310080.01775</v>
      </c>
      <c r="AP52" s="50">
        <f t="shared" si="35"/>
        <v>17942310080.01775</v>
      </c>
      <c r="AQ52" s="50">
        <f t="shared" si="35"/>
        <v>17942310080.01775</v>
      </c>
      <c r="AR52" s="50">
        <f t="shared" si="35"/>
        <v>17942310080.01775</v>
      </c>
      <c r="AS52" s="50">
        <f t="shared" si="35"/>
        <v>17942310080.01775</v>
      </c>
      <c r="AT52" s="50">
        <f t="shared" si="35"/>
        <v>17942310080.01775</v>
      </c>
      <c r="AU52" s="50">
        <f t="shared" si="35"/>
        <v>17942310080.01775</v>
      </c>
      <c r="AV52" s="50">
        <f t="shared" si="35"/>
        <v>17942310080.01775</v>
      </c>
      <c r="AW52" s="50">
        <f t="shared" si="35"/>
        <v>17942310080.01775</v>
      </c>
      <c r="AX52" s="50">
        <f t="shared" si="35"/>
        <v>17942310080.01775</v>
      </c>
      <c r="AY52" s="50">
        <f t="shared" si="35"/>
        <v>17942310080.01775</v>
      </c>
      <c r="AZ52" s="50">
        <f t="shared" si="35"/>
        <v>17942310080.01775</v>
      </c>
      <c r="BA52" s="50">
        <f t="shared" si="35"/>
        <v>17942310080.01775</v>
      </c>
      <c r="BB52" s="50">
        <f t="shared" si="35"/>
        <v>17942310080.01775</v>
      </c>
      <c r="BC52" s="50">
        <f t="shared" si="35"/>
        <v>17942310080.01775</v>
      </c>
      <c r="BD52" s="50">
        <f t="shared" si="35"/>
        <v>17942310080.01775</v>
      </c>
      <c r="BE52" s="50">
        <f t="shared" si="35"/>
        <v>17942310080.01775</v>
      </c>
      <c r="BF52" s="50">
        <f t="shared" si="35"/>
        <v>17942310080.01775</v>
      </c>
      <c r="BG52" s="50">
        <f t="shared" si="35"/>
        <v>17942310080.01775</v>
      </c>
      <c r="BH52" s="50">
        <f t="shared" si="35"/>
        <v>17942310080.01775</v>
      </c>
      <c r="BI52" s="50">
        <f t="shared" si="35"/>
        <v>17942310080.01775</v>
      </c>
      <c r="BJ52" s="50">
        <f t="shared" si="35"/>
        <v>17942310080.01775</v>
      </c>
      <c r="BK52" s="50">
        <f t="shared" si="35"/>
        <v>17942310080.01775</v>
      </c>
      <c r="BM52" s="65" t="s">
        <v>120</v>
      </c>
    </row>
    <row r="53" spans="1:75" x14ac:dyDescent="0.25">
      <c r="A53" s="50" t="s">
        <v>38</v>
      </c>
      <c r="B53" s="50" t="s">
        <v>106</v>
      </c>
      <c r="C53" s="50" t="s">
        <v>114</v>
      </c>
      <c r="D53" s="50">
        <f>'Sce 3 Table'!D53</f>
        <v>0</v>
      </c>
      <c r="E53" s="50">
        <f>'Sce 3 Table'!E53</f>
        <v>0</v>
      </c>
      <c r="F53" s="50">
        <f>'Sce 3 Table'!F53</f>
        <v>0</v>
      </c>
      <c r="G53" s="50">
        <f>'Sce 3 Table'!G53</f>
        <v>0</v>
      </c>
      <c r="H53" s="50">
        <f>'Sce 3 Table'!H53</f>
        <v>0</v>
      </c>
      <c r="I53" s="50">
        <f>'Sce 3 Table'!I53</f>
        <v>0</v>
      </c>
      <c r="J53" s="50">
        <f>'Sce 3 Table'!J53</f>
        <v>0</v>
      </c>
      <c r="K53" s="50">
        <f>'Sce 3 Table'!K53</f>
        <v>0</v>
      </c>
      <c r="L53" s="50">
        <f>'Sce 3 Table'!L53</f>
        <v>0</v>
      </c>
      <c r="M53" s="50">
        <f>'Sce 3 Table'!M53</f>
        <v>0</v>
      </c>
      <c r="N53" s="50">
        <f>'Sce 3 Table'!N53</f>
        <v>8569470</v>
      </c>
      <c r="O53" s="50">
        <f>'Sce 3 Table'!O53</f>
        <v>10485720</v>
      </c>
      <c r="P53" s="50">
        <f>'Sce 3 Table'!P53</f>
        <v>14210910</v>
      </c>
      <c r="Q53" s="50">
        <f>'Sce 3 Table'!Q53</f>
        <v>27900600</v>
      </c>
      <c r="R53" s="50">
        <f>'Sce 3 Table'!R53</f>
        <v>90784260</v>
      </c>
      <c r="S53" s="50">
        <f>'Sce 3 Table'!S53</f>
        <v>250446210</v>
      </c>
      <c r="T53" s="50">
        <f>'Sce 3 Table'!T53</f>
        <v>489824160</v>
      </c>
      <c r="U53" s="50">
        <f t="shared" ref="U53:BK53" si="36">U58*1000000/$D$64</f>
        <v>612615278.13367641</v>
      </c>
      <c r="V53" s="50">
        <f t="shared" si="36"/>
        <v>648614813.1906451</v>
      </c>
      <c r="W53" s="50">
        <f t="shared" si="36"/>
        <v>684614348.24761391</v>
      </c>
      <c r="X53" s="50">
        <f t="shared" si="36"/>
        <v>720613883.30458272</v>
      </c>
      <c r="Y53" s="50">
        <f t="shared" si="36"/>
        <v>756613418.3615514</v>
      </c>
      <c r="Z53" s="50">
        <f t="shared" si="36"/>
        <v>792612953.41852009</v>
      </c>
      <c r="AA53" s="50">
        <f t="shared" si="36"/>
        <v>828612488.47548902</v>
      </c>
      <c r="AB53" s="50">
        <f t="shared" si="36"/>
        <v>864612023.53245771</v>
      </c>
      <c r="AC53" s="50">
        <f t="shared" si="36"/>
        <v>900611558.5894264</v>
      </c>
      <c r="AD53" s="50">
        <f t="shared" si="36"/>
        <v>936611093.64639533</v>
      </c>
      <c r="AE53" s="50">
        <f t="shared" si="36"/>
        <v>972610628.70336401</v>
      </c>
      <c r="AF53" s="50">
        <f t="shared" si="36"/>
        <v>1008609371.2438018</v>
      </c>
      <c r="AG53" s="50">
        <f t="shared" si="36"/>
        <v>1008609371.2438018</v>
      </c>
      <c r="AH53" s="50">
        <f t="shared" si="36"/>
        <v>1008609371.2438018</v>
      </c>
      <c r="AI53" s="50">
        <f t="shared" si="36"/>
        <v>1008609371.2438018</v>
      </c>
      <c r="AJ53" s="50">
        <f t="shared" si="36"/>
        <v>1008609371.2438018</v>
      </c>
      <c r="AK53" s="50">
        <f t="shared" si="36"/>
        <v>1008609371.2438018</v>
      </c>
      <c r="AL53" s="50">
        <f t="shared" si="36"/>
        <v>1008609371.2438018</v>
      </c>
      <c r="AM53" s="50">
        <f t="shared" si="36"/>
        <v>1008609371.2438018</v>
      </c>
      <c r="AN53" s="50">
        <f t="shared" si="36"/>
        <v>1008609371.2438018</v>
      </c>
      <c r="AO53" s="50">
        <f t="shared" si="36"/>
        <v>1008609371.2438018</v>
      </c>
      <c r="AP53" s="50">
        <f t="shared" si="36"/>
        <v>1008609371.2438018</v>
      </c>
      <c r="AQ53" s="50">
        <f t="shared" si="36"/>
        <v>1008609371.2438018</v>
      </c>
      <c r="AR53" s="50">
        <f t="shared" si="36"/>
        <v>1008609371.2438018</v>
      </c>
      <c r="AS53" s="50">
        <f t="shared" si="36"/>
        <v>1008609371.2438018</v>
      </c>
      <c r="AT53" s="50">
        <f t="shared" si="36"/>
        <v>1008609371.2438018</v>
      </c>
      <c r="AU53" s="50">
        <f t="shared" si="36"/>
        <v>1008609371.2438018</v>
      </c>
      <c r="AV53" s="50">
        <f t="shared" si="36"/>
        <v>1008609371.2438018</v>
      </c>
      <c r="AW53" s="50">
        <f t="shared" si="36"/>
        <v>1008609371.2438018</v>
      </c>
      <c r="AX53" s="50">
        <f t="shared" si="36"/>
        <v>1008609371.2438018</v>
      </c>
      <c r="AY53" s="50">
        <f t="shared" si="36"/>
        <v>1008609371.2438018</v>
      </c>
      <c r="AZ53" s="50">
        <f t="shared" si="36"/>
        <v>1008609371.2438018</v>
      </c>
      <c r="BA53" s="50">
        <f t="shared" si="36"/>
        <v>1008609371.2438018</v>
      </c>
      <c r="BB53" s="50">
        <f t="shared" si="36"/>
        <v>1008609371.2438018</v>
      </c>
      <c r="BC53" s="50">
        <f t="shared" si="36"/>
        <v>1008609371.2438018</v>
      </c>
      <c r="BD53" s="50">
        <f t="shared" si="36"/>
        <v>1008609371.2438018</v>
      </c>
      <c r="BE53" s="50">
        <f t="shared" si="36"/>
        <v>1008609371.2438018</v>
      </c>
      <c r="BF53" s="50">
        <f t="shared" si="36"/>
        <v>1008609371.2438018</v>
      </c>
      <c r="BG53" s="50">
        <f t="shared" si="36"/>
        <v>1008609371.2438018</v>
      </c>
      <c r="BH53" s="50">
        <f t="shared" si="36"/>
        <v>1008609371.2438018</v>
      </c>
      <c r="BI53" s="50">
        <f t="shared" si="36"/>
        <v>1008609371.2438018</v>
      </c>
      <c r="BJ53" s="50">
        <f t="shared" si="36"/>
        <v>1008609371.2438018</v>
      </c>
      <c r="BK53" s="50">
        <f t="shared" si="36"/>
        <v>1008609371.2438018</v>
      </c>
    </row>
    <row r="54" spans="1:75" x14ac:dyDescent="0.25">
      <c r="A54" s="50" t="s">
        <v>71</v>
      </c>
      <c r="B54" s="50" t="s">
        <v>105</v>
      </c>
      <c r="C54" s="50" t="s">
        <v>114</v>
      </c>
      <c r="D54" s="50">
        <f>'Sce 3 Table'!D54</f>
        <v>297136791</v>
      </c>
      <c r="E54" s="50">
        <f>'Sce 3 Table'!E54</f>
        <v>594273582</v>
      </c>
      <c r="F54" s="50">
        <f>'Sce 3 Table'!F54</f>
        <v>891410372.99999988</v>
      </c>
      <c r="G54" s="50">
        <f>'Sce 3 Table'!G54</f>
        <v>1188547164</v>
      </c>
      <c r="H54" s="50">
        <f>'Sce 3 Table'!H54</f>
        <v>1485683955</v>
      </c>
      <c r="I54" s="50">
        <f>'Sce 3 Table'!I54</f>
        <v>1782820745.9999998</v>
      </c>
      <c r="J54" s="50">
        <f>'Sce 3 Table'!J54</f>
        <v>2079957537</v>
      </c>
      <c r="K54" s="50">
        <f>'Sce 3 Table'!K54</f>
        <v>2377094328</v>
      </c>
      <c r="L54" s="50">
        <f>'Sce 3 Table'!L54</f>
        <v>2674231119</v>
      </c>
      <c r="M54" s="50">
        <f>'Sce 3 Table'!M54</f>
        <v>2971367910</v>
      </c>
      <c r="N54" s="50">
        <f>'Sce 3 Table'!N54</f>
        <v>3190264979.9999995</v>
      </c>
      <c r="O54" s="50">
        <f>'Sce 3 Table'!O54</f>
        <v>3653936159.9999995</v>
      </c>
      <c r="P54" s="50">
        <f>'Sce 3 Table'!P54</f>
        <v>4328747430</v>
      </c>
      <c r="Q54" s="50">
        <f>'Sce 3 Table'!Q54</f>
        <v>4437529110</v>
      </c>
      <c r="R54" s="50">
        <f>'Sce 3 Table'!R54</f>
        <v>5064081540</v>
      </c>
      <c r="S54" s="50">
        <f>'Sce 3 Table'!S54</f>
        <v>6088018230</v>
      </c>
      <c r="T54" s="50">
        <f>'Sce 3 Table'!T54</f>
        <v>7648137000.000001</v>
      </c>
      <c r="U54" s="50">
        <f t="shared" ref="U54:BK54" si="37">U59*1000000/$D$64</f>
        <v>10400194430.722168</v>
      </c>
      <c r="V54" s="50">
        <f t="shared" si="37"/>
        <v>11638465582.327938</v>
      </c>
      <c r="W54" s="50">
        <f t="shared" si="37"/>
        <v>12876736733.933708</v>
      </c>
      <c r="X54" s="50">
        <f t="shared" si="37"/>
        <v>14115007885.53948</v>
      </c>
      <c r="Y54" s="50">
        <f t="shared" si="37"/>
        <v>15353279037.14525</v>
      </c>
      <c r="Z54" s="50">
        <f t="shared" si="37"/>
        <v>16591550188.751022</v>
      </c>
      <c r="AA54" s="50">
        <f t="shared" si="37"/>
        <v>17829821340.356792</v>
      </c>
      <c r="AB54" s="50">
        <f t="shared" si="37"/>
        <v>19068092491.962566</v>
      </c>
      <c r="AC54" s="50">
        <f t="shared" si="37"/>
        <v>20306363643.568336</v>
      </c>
      <c r="AD54" s="50">
        <f t="shared" si="37"/>
        <v>21544634795.174107</v>
      </c>
      <c r="AE54" s="50">
        <f t="shared" si="37"/>
        <v>22782905946.779877</v>
      </c>
      <c r="AF54" s="50">
        <f t="shared" si="37"/>
        <v>24021176041.696934</v>
      </c>
      <c r="AG54" s="50">
        <f t="shared" si="37"/>
        <v>24021176041.696934</v>
      </c>
      <c r="AH54" s="50">
        <f t="shared" si="37"/>
        <v>24021176041.696934</v>
      </c>
      <c r="AI54" s="50">
        <f t="shared" si="37"/>
        <v>24021176041.696934</v>
      </c>
      <c r="AJ54" s="50">
        <f t="shared" si="37"/>
        <v>24021176041.696934</v>
      </c>
      <c r="AK54" s="50">
        <f t="shared" si="37"/>
        <v>24021176041.696934</v>
      </c>
      <c r="AL54" s="50">
        <f t="shared" si="37"/>
        <v>24021176041.696934</v>
      </c>
      <c r="AM54" s="50">
        <f t="shared" si="37"/>
        <v>24021176041.696934</v>
      </c>
      <c r="AN54" s="50">
        <f t="shared" si="37"/>
        <v>24021176041.696934</v>
      </c>
      <c r="AO54" s="50">
        <f t="shared" si="37"/>
        <v>24021176041.696934</v>
      </c>
      <c r="AP54" s="50">
        <f t="shared" si="37"/>
        <v>24021176041.696934</v>
      </c>
      <c r="AQ54" s="50">
        <f t="shared" si="37"/>
        <v>24021176041.696934</v>
      </c>
      <c r="AR54" s="50">
        <f t="shared" si="37"/>
        <v>24021176041.696934</v>
      </c>
      <c r="AS54" s="50">
        <f t="shared" si="37"/>
        <v>24021176041.696934</v>
      </c>
      <c r="AT54" s="50">
        <f t="shared" si="37"/>
        <v>24021176041.696934</v>
      </c>
      <c r="AU54" s="50">
        <f t="shared" si="37"/>
        <v>24021176041.696934</v>
      </c>
      <c r="AV54" s="50">
        <f t="shared" si="37"/>
        <v>24021176041.696934</v>
      </c>
      <c r="AW54" s="50">
        <f t="shared" si="37"/>
        <v>24021176041.696934</v>
      </c>
      <c r="AX54" s="50">
        <f t="shared" si="37"/>
        <v>24021176041.696934</v>
      </c>
      <c r="AY54" s="50">
        <f t="shared" si="37"/>
        <v>24021176041.696934</v>
      </c>
      <c r="AZ54" s="50">
        <f t="shared" si="37"/>
        <v>24021176041.696934</v>
      </c>
      <c r="BA54" s="50">
        <f t="shared" si="37"/>
        <v>24021176041.696934</v>
      </c>
      <c r="BB54" s="50">
        <f t="shared" si="37"/>
        <v>24021176041.696934</v>
      </c>
      <c r="BC54" s="50">
        <f t="shared" si="37"/>
        <v>24021176041.696934</v>
      </c>
      <c r="BD54" s="50">
        <f t="shared" si="37"/>
        <v>24021176041.696934</v>
      </c>
      <c r="BE54" s="50">
        <f t="shared" si="37"/>
        <v>24021176041.696934</v>
      </c>
      <c r="BF54" s="50">
        <f t="shared" si="37"/>
        <v>24021176041.696934</v>
      </c>
      <c r="BG54" s="50">
        <f t="shared" si="37"/>
        <v>24021176041.696934</v>
      </c>
      <c r="BH54" s="50">
        <f t="shared" si="37"/>
        <v>24021176041.696934</v>
      </c>
      <c r="BI54" s="50">
        <f t="shared" si="37"/>
        <v>24021176041.696934</v>
      </c>
      <c r="BJ54" s="50">
        <f t="shared" si="37"/>
        <v>24021176041.696934</v>
      </c>
      <c r="BK54" s="50">
        <f t="shared" si="37"/>
        <v>24021176041.696934</v>
      </c>
    </row>
    <row r="55" spans="1:75" x14ac:dyDescent="0.25">
      <c r="A55" s="50" t="s">
        <v>71</v>
      </c>
      <c r="B55" s="50" t="s">
        <v>106</v>
      </c>
      <c r="C55" s="50" t="s">
        <v>114</v>
      </c>
      <c r="D55" s="50">
        <f>'Sce 3 Table'!D55</f>
        <v>23301600</v>
      </c>
      <c r="E55" s="50">
        <f>'Sce 3 Table'!E55</f>
        <v>46603200</v>
      </c>
      <c r="F55" s="50">
        <f>'Sce 3 Table'!F55</f>
        <v>69904800.000000015</v>
      </c>
      <c r="G55" s="50">
        <f>'Sce 3 Table'!G55</f>
        <v>93206400</v>
      </c>
      <c r="H55" s="50">
        <f>'Sce 3 Table'!H55</f>
        <v>116508000</v>
      </c>
      <c r="I55" s="50">
        <f>'Sce 3 Table'!I55</f>
        <v>139809600</v>
      </c>
      <c r="J55" s="50">
        <f>'Sce 3 Table'!J55</f>
        <v>163111199.99999997</v>
      </c>
      <c r="K55" s="50">
        <f>'Sce 3 Table'!K55</f>
        <v>186412799.99999997</v>
      </c>
      <c r="L55" s="50">
        <f>'Sce 3 Table'!L55</f>
        <v>209714399.99999997</v>
      </c>
      <c r="M55" s="50">
        <f>'Sce 3 Table'!M55</f>
        <v>233016000</v>
      </c>
      <c r="N55" s="50">
        <f>'Sce 3 Table'!N55</f>
        <v>292036500</v>
      </c>
      <c r="O55" s="50">
        <f>'Sce 3 Table'!O55</f>
        <v>380490600</v>
      </c>
      <c r="P55" s="50">
        <f>'Sce 3 Table'!P55</f>
        <v>508496100</v>
      </c>
      <c r="Q55" s="50">
        <f>'Sce 3 Table'!Q55</f>
        <v>643860000</v>
      </c>
      <c r="R55" s="50">
        <f>'Sce 3 Table'!R55</f>
        <v>1001416920</v>
      </c>
      <c r="S55" s="50">
        <f>'Sce 3 Table'!S55</f>
        <v>1660070370</v>
      </c>
      <c r="T55" s="50">
        <f>'Sce 3 Table'!T55</f>
        <v>2251639740</v>
      </c>
      <c r="U55" s="50">
        <f t="shared" ref="U55:BK55" si="38">U60*1000000/$D$64</f>
        <v>3394876644.8020158</v>
      </c>
      <c r="V55" s="50">
        <f t="shared" si="38"/>
        <v>3983308281.0052276</v>
      </c>
      <c r="W55" s="50">
        <f t="shared" si="38"/>
        <v>4571739917.2084398</v>
      </c>
      <c r="X55" s="50">
        <f t="shared" si="38"/>
        <v>5160171553.4116507</v>
      </c>
      <c r="Y55" s="50">
        <f t="shared" si="38"/>
        <v>5748603189.6148634</v>
      </c>
      <c r="Z55" s="50">
        <f t="shared" si="38"/>
        <v>6337034825.8180752</v>
      </c>
      <c r="AA55" s="50">
        <f t="shared" si="38"/>
        <v>6925466462.0212879</v>
      </c>
      <c r="AB55" s="50">
        <f t="shared" si="38"/>
        <v>7513898098.2244997</v>
      </c>
      <c r="AC55" s="50">
        <f t="shared" si="38"/>
        <v>8102329734.4277124</v>
      </c>
      <c r="AD55" s="50">
        <f t="shared" si="38"/>
        <v>8690761370.6309242</v>
      </c>
      <c r="AE55" s="50">
        <f t="shared" si="38"/>
        <v>9279193006.8341351</v>
      </c>
      <c r="AF55" s="50">
        <f t="shared" si="38"/>
        <v>9867623322.1764622</v>
      </c>
      <c r="AG55" s="50">
        <f t="shared" si="38"/>
        <v>9867623322.1764622</v>
      </c>
      <c r="AH55" s="50">
        <f t="shared" si="38"/>
        <v>9867623322.1764622</v>
      </c>
      <c r="AI55" s="50">
        <f t="shared" si="38"/>
        <v>9867623322.1764622</v>
      </c>
      <c r="AJ55" s="50">
        <f t="shared" si="38"/>
        <v>9867623322.1764622</v>
      </c>
      <c r="AK55" s="50">
        <f t="shared" si="38"/>
        <v>9867623322.1764622</v>
      </c>
      <c r="AL55" s="50">
        <f t="shared" si="38"/>
        <v>9867623322.1764622</v>
      </c>
      <c r="AM55" s="50">
        <f t="shared" si="38"/>
        <v>9867623322.1764622</v>
      </c>
      <c r="AN55" s="50">
        <f t="shared" si="38"/>
        <v>9867623322.1764622</v>
      </c>
      <c r="AO55" s="50">
        <f t="shared" si="38"/>
        <v>9867623322.1764622</v>
      </c>
      <c r="AP55" s="50">
        <f t="shared" si="38"/>
        <v>9867623322.1764622</v>
      </c>
      <c r="AQ55" s="50">
        <f t="shared" si="38"/>
        <v>9867623322.1764622</v>
      </c>
      <c r="AR55" s="50">
        <f t="shared" si="38"/>
        <v>9867623322.1764622</v>
      </c>
      <c r="AS55" s="50">
        <f t="shared" si="38"/>
        <v>9867623322.1764622</v>
      </c>
      <c r="AT55" s="50">
        <f t="shared" si="38"/>
        <v>9867623322.1764622</v>
      </c>
      <c r="AU55" s="50">
        <f t="shared" si="38"/>
        <v>9867623322.1764622</v>
      </c>
      <c r="AV55" s="50">
        <f t="shared" si="38"/>
        <v>9867623322.1764622</v>
      </c>
      <c r="AW55" s="50">
        <f t="shared" si="38"/>
        <v>9867623322.1764622</v>
      </c>
      <c r="AX55" s="50">
        <f t="shared" si="38"/>
        <v>9867623322.1764622</v>
      </c>
      <c r="AY55" s="50">
        <f t="shared" si="38"/>
        <v>9867623322.1764622</v>
      </c>
      <c r="AZ55" s="50">
        <f t="shared" si="38"/>
        <v>9867623322.1764622</v>
      </c>
      <c r="BA55" s="50">
        <f t="shared" si="38"/>
        <v>9867623322.1764622</v>
      </c>
      <c r="BB55" s="50">
        <f t="shared" si="38"/>
        <v>9867623322.1764622</v>
      </c>
      <c r="BC55" s="50">
        <f t="shared" si="38"/>
        <v>9867623322.1764622</v>
      </c>
      <c r="BD55" s="50">
        <f t="shared" si="38"/>
        <v>9867623322.1764622</v>
      </c>
      <c r="BE55" s="50">
        <f t="shared" si="38"/>
        <v>9867623322.1764622</v>
      </c>
      <c r="BF55" s="50">
        <f t="shared" si="38"/>
        <v>9867623322.1764622</v>
      </c>
      <c r="BG55" s="50">
        <f t="shared" si="38"/>
        <v>9867623322.1764622</v>
      </c>
      <c r="BH55" s="50">
        <f t="shared" si="38"/>
        <v>9867623322.1764622</v>
      </c>
      <c r="BI55" s="50">
        <f t="shared" si="38"/>
        <v>9867623322.1764622</v>
      </c>
      <c r="BJ55" s="50">
        <f t="shared" si="38"/>
        <v>9867623322.1764622</v>
      </c>
      <c r="BK55" s="50">
        <f t="shared" si="38"/>
        <v>9867623322.1764622</v>
      </c>
    </row>
    <row r="57" spans="1:75" x14ac:dyDescent="0.25">
      <c r="A57" s="50" t="s">
        <v>38</v>
      </c>
      <c r="B57" s="50" t="s">
        <v>105</v>
      </c>
      <c r="C57" s="50" t="s">
        <v>132</v>
      </c>
      <c r="U57" s="50">
        <v>34888</v>
      </c>
      <c r="V57" s="50">
        <v>37890.817999999999</v>
      </c>
      <c r="W57" s="50">
        <v>40893.635999999999</v>
      </c>
      <c r="X57" s="50">
        <v>43896.453999999998</v>
      </c>
      <c r="Y57" s="50">
        <v>46899.271999999997</v>
      </c>
      <c r="Z57" s="50">
        <v>49902.09</v>
      </c>
      <c r="AA57" s="50">
        <v>52904.907999999996</v>
      </c>
      <c r="AB57" s="50">
        <v>55907.725999999995</v>
      </c>
      <c r="AC57" s="50">
        <v>58910.543999999994</v>
      </c>
      <c r="AD57" s="50">
        <v>61913.361999999994</v>
      </c>
      <c r="AE57" s="50">
        <v>64916.179999999993</v>
      </c>
      <c r="AF57" s="50">
        <v>67919</v>
      </c>
      <c r="AG57" s="50">
        <v>67919</v>
      </c>
      <c r="AH57" s="50">
        <v>67919</v>
      </c>
      <c r="AI57" s="50">
        <v>67919</v>
      </c>
      <c r="AJ57" s="50">
        <v>67919</v>
      </c>
      <c r="AK57" s="50">
        <v>67919</v>
      </c>
      <c r="AL57" s="50">
        <v>67919</v>
      </c>
      <c r="AM57" s="50">
        <v>67919</v>
      </c>
      <c r="AN57" s="50">
        <v>67919</v>
      </c>
      <c r="AO57" s="50">
        <v>67919</v>
      </c>
      <c r="AP57" s="50">
        <v>67919</v>
      </c>
      <c r="AQ57" s="50">
        <v>67919</v>
      </c>
      <c r="AR57" s="50">
        <v>67919</v>
      </c>
      <c r="AS57" s="50">
        <v>67919</v>
      </c>
      <c r="AT57" s="50">
        <v>67919</v>
      </c>
      <c r="AU57" s="50">
        <v>67919</v>
      </c>
      <c r="AV57" s="50">
        <v>67919</v>
      </c>
      <c r="AW57" s="50">
        <v>67919</v>
      </c>
      <c r="AX57" s="50">
        <v>67919</v>
      </c>
      <c r="AY57" s="50">
        <v>67919</v>
      </c>
      <c r="AZ57" s="50">
        <v>67919</v>
      </c>
      <c r="BA57" s="50">
        <v>67919</v>
      </c>
      <c r="BB57" s="50">
        <v>67919</v>
      </c>
      <c r="BC57" s="50">
        <v>67919</v>
      </c>
      <c r="BD57" s="50">
        <v>67919</v>
      </c>
      <c r="BE57" s="50">
        <v>67919</v>
      </c>
      <c r="BF57" s="50">
        <v>67919</v>
      </c>
      <c r="BG57" s="50">
        <v>67919</v>
      </c>
      <c r="BH57" s="50">
        <v>67919</v>
      </c>
      <c r="BI57" s="50">
        <v>67919</v>
      </c>
      <c r="BJ57" s="50">
        <v>67919</v>
      </c>
      <c r="BK57" s="50">
        <v>67919</v>
      </c>
    </row>
    <row r="58" spans="1:75" x14ac:dyDescent="0.25">
      <c r="A58" s="50" t="s">
        <v>38</v>
      </c>
      <c r="B58" s="50" t="s">
        <v>106</v>
      </c>
      <c r="C58" s="50" t="s">
        <v>132</v>
      </c>
      <c r="U58" s="50">
        <v>2319</v>
      </c>
      <c r="V58" s="50">
        <v>2455.2730000000001</v>
      </c>
      <c r="W58" s="50">
        <v>2591.5460000000003</v>
      </c>
      <c r="X58" s="50">
        <v>2727.8190000000004</v>
      </c>
      <c r="Y58" s="50">
        <v>2864.0920000000006</v>
      </c>
      <c r="Z58" s="50">
        <v>3000.3650000000007</v>
      </c>
      <c r="AA58" s="50">
        <v>3136.6380000000008</v>
      </c>
      <c r="AB58" s="50">
        <v>3272.911000000001</v>
      </c>
      <c r="AC58" s="50">
        <v>3409.1840000000011</v>
      </c>
      <c r="AD58" s="50">
        <v>3545.4570000000012</v>
      </c>
      <c r="AE58" s="50">
        <v>3681.7300000000014</v>
      </c>
      <c r="AF58" s="50">
        <v>3818</v>
      </c>
      <c r="AG58" s="50">
        <v>3818</v>
      </c>
      <c r="AH58" s="50">
        <v>3818</v>
      </c>
      <c r="AI58" s="50">
        <v>3818</v>
      </c>
      <c r="AJ58" s="50">
        <v>3818</v>
      </c>
      <c r="AK58" s="50">
        <v>3818</v>
      </c>
      <c r="AL58" s="50">
        <v>3818</v>
      </c>
      <c r="AM58" s="50">
        <v>3818</v>
      </c>
      <c r="AN58" s="50">
        <v>3818</v>
      </c>
      <c r="AO58" s="50">
        <v>3818</v>
      </c>
      <c r="AP58" s="50">
        <v>3818</v>
      </c>
      <c r="AQ58" s="50">
        <v>3818</v>
      </c>
      <c r="AR58" s="50">
        <v>3818</v>
      </c>
      <c r="AS58" s="50">
        <v>3818</v>
      </c>
      <c r="AT58" s="50">
        <v>3818</v>
      </c>
      <c r="AU58" s="50">
        <v>3818</v>
      </c>
      <c r="AV58" s="50">
        <v>3818</v>
      </c>
      <c r="AW58" s="50">
        <v>3818</v>
      </c>
      <c r="AX58" s="50">
        <v>3818</v>
      </c>
      <c r="AY58" s="50">
        <v>3818</v>
      </c>
      <c r="AZ58" s="50">
        <v>3818</v>
      </c>
      <c r="BA58" s="50">
        <v>3818</v>
      </c>
      <c r="BB58" s="50">
        <v>3818</v>
      </c>
      <c r="BC58" s="50">
        <v>3818</v>
      </c>
      <c r="BD58" s="50">
        <v>3818</v>
      </c>
      <c r="BE58" s="50">
        <v>3818</v>
      </c>
      <c r="BF58" s="50">
        <v>3818</v>
      </c>
      <c r="BG58" s="50">
        <v>3818</v>
      </c>
      <c r="BH58" s="50">
        <v>3818</v>
      </c>
      <c r="BI58" s="50">
        <v>3818</v>
      </c>
      <c r="BJ58" s="50">
        <v>3818</v>
      </c>
      <c r="BK58" s="50">
        <v>3818</v>
      </c>
    </row>
    <row r="59" spans="1:75" x14ac:dyDescent="0.25">
      <c r="A59" s="50" t="s">
        <v>71</v>
      </c>
      <c r="B59" s="50" t="s">
        <v>105</v>
      </c>
      <c r="C59" s="50" t="s">
        <v>132</v>
      </c>
      <c r="U59" s="50">
        <v>39369</v>
      </c>
      <c r="V59" s="50">
        <v>44056.364000000001</v>
      </c>
      <c r="W59" s="50">
        <v>48743.728000000003</v>
      </c>
      <c r="X59" s="50">
        <v>53431.092000000004</v>
      </c>
      <c r="Y59" s="50">
        <v>58118.456000000006</v>
      </c>
      <c r="Z59" s="50">
        <v>62805.820000000007</v>
      </c>
      <c r="AA59" s="50">
        <v>67493.184000000008</v>
      </c>
      <c r="AB59" s="50">
        <v>72180.54800000001</v>
      </c>
      <c r="AC59" s="50">
        <v>76867.912000000011</v>
      </c>
      <c r="AD59" s="50">
        <v>81555.276000000013</v>
      </c>
      <c r="AE59" s="50">
        <v>86242.640000000014</v>
      </c>
      <c r="AF59" s="50">
        <v>90930</v>
      </c>
      <c r="AG59" s="50">
        <v>90930</v>
      </c>
      <c r="AH59" s="50">
        <v>90930</v>
      </c>
      <c r="AI59" s="50">
        <v>90930</v>
      </c>
      <c r="AJ59" s="50">
        <v>90930</v>
      </c>
      <c r="AK59" s="50">
        <v>90930</v>
      </c>
      <c r="AL59" s="50">
        <v>90930</v>
      </c>
      <c r="AM59" s="50">
        <v>90930</v>
      </c>
      <c r="AN59" s="50">
        <v>90930</v>
      </c>
      <c r="AO59" s="50">
        <v>90930</v>
      </c>
      <c r="AP59" s="50">
        <v>90930</v>
      </c>
      <c r="AQ59" s="50">
        <v>90930</v>
      </c>
      <c r="AR59" s="50">
        <v>90930</v>
      </c>
      <c r="AS59" s="50">
        <v>90930</v>
      </c>
      <c r="AT59" s="50">
        <v>90930</v>
      </c>
      <c r="AU59" s="50">
        <v>90930</v>
      </c>
      <c r="AV59" s="50">
        <v>90930</v>
      </c>
      <c r="AW59" s="50">
        <v>90930</v>
      </c>
      <c r="AX59" s="50">
        <v>90930</v>
      </c>
      <c r="AY59" s="50">
        <v>90930</v>
      </c>
      <c r="AZ59" s="50">
        <v>90930</v>
      </c>
      <c r="BA59" s="50">
        <v>90930</v>
      </c>
      <c r="BB59" s="50">
        <v>90930</v>
      </c>
      <c r="BC59" s="50">
        <v>90930</v>
      </c>
      <c r="BD59" s="50">
        <v>90930</v>
      </c>
      <c r="BE59" s="50">
        <v>90930</v>
      </c>
      <c r="BF59" s="50">
        <v>90930</v>
      </c>
      <c r="BG59" s="50">
        <v>90930</v>
      </c>
      <c r="BH59" s="50">
        <v>90930</v>
      </c>
      <c r="BI59" s="50">
        <v>90930</v>
      </c>
      <c r="BJ59" s="50">
        <v>90930</v>
      </c>
      <c r="BK59" s="50">
        <v>90930</v>
      </c>
    </row>
    <row r="60" spans="1:75" x14ac:dyDescent="0.25">
      <c r="A60" s="50" t="s">
        <v>71</v>
      </c>
      <c r="B60" s="50" t="s">
        <v>106</v>
      </c>
      <c r="C60" s="50" t="s">
        <v>132</v>
      </c>
      <c r="U60" s="50">
        <v>12851</v>
      </c>
      <c r="V60" s="50">
        <v>15078.455</v>
      </c>
      <c r="W60" s="50">
        <v>17305.91</v>
      </c>
      <c r="X60" s="50">
        <v>19533.364999999998</v>
      </c>
      <c r="Y60" s="50">
        <v>21760.82</v>
      </c>
      <c r="Z60" s="50">
        <v>23988.275000000001</v>
      </c>
      <c r="AA60" s="50">
        <v>26215.730000000003</v>
      </c>
      <c r="AB60" s="50">
        <v>28443.185000000005</v>
      </c>
      <c r="AC60" s="50">
        <v>30670.640000000007</v>
      </c>
      <c r="AD60" s="50">
        <v>32898.095000000008</v>
      </c>
      <c r="AE60" s="50">
        <v>35125.55000000001</v>
      </c>
      <c r="AF60" s="50">
        <v>37353</v>
      </c>
      <c r="AG60" s="50">
        <v>37353</v>
      </c>
      <c r="AH60" s="50">
        <v>37353</v>
      </c>
      <c r="AI60" s="50">
        <v>37353</v>
      </c>
      <c r="AJ60" s="50">
        <v>37353</v>
      </c>
      <c r="AK60" s="50">
        <v>37353</v>
      </c>
      <c r="AL60" s="50">
        <v>37353</v>
      </c>
      <c r="AM60" s="50">
        <v>37353</v>
      </c>
      <c r="AN60" s="50">
        <v>37353</v>
      </c>
      <c r="AO60" s="50">
        <v>37353</v>
      </c>
      <c r="AP60" s="50">
        <v>37353</v>
      </c>
      <c r="AQ60" s="50">
        <v>37353</v>
      </c>
      <c r="AR60" s="50">
        <v>37353</v>
      </c>
      <c r="AS60" s="50">
        <v>37353</v>
      </c>
      <c r="AT60" s="50">
        <v>37353</v>
      </c>
      <c r="AU60" s="50">
        <v>37353</v>
      </c>
      <c r="AV60" s="50">
        <v>37353</v>
      </c>
      <c r="AW60" s="50">
        <v>37353</v>
      </c>
      <c r="AX60" s="50">
        <v>37353</v>
      </c>
      <c r="AY60" s="50">
        <v>37353</v>
      </c>
      <c r="AZ60" s="50">
        <v>37353</v>
      </c>
      <c r="BA60" s="50">
        <v>37353</v>
      </c>
      <c r="BB60" s="50">
        <v>37353</v>
      </c>
      <c r="BC60" s="50">
        <v>37353</v>
      </c>
      <c r="BD60" s="50">
        <v>37353</v>
      </c>
      <c r="BE60" s="50">
        <v>37353</v>
      </c>
      <c r="BF60" s="50">
        <v>37353</v>
      </c>
      <c r="BG60" s="50">
        <v>37353</v>
      </c>
      <c r="BH60" s="50">
        <v>37353</v>
      </c>
      <c r="BI60" s="50">
        <v>37353</v>
      </c>
      <c r="BJ60" s="50">
        <v>37353</v>
      </c>
      <c r="BK60" s="50">
        <v>37353</v>
      </c>
    </row>
    <row r="62" spans="1:75" x14ac:dyDescent="0.25">
      <c r="D62" s="50">
        <v>34.200000000000003</v>
      </c>
      <c r="E62" s="50" t="s">
        <v>115</v>
      </c>
      <c r="F62" s="50" t="s">
        <v>116</v>
      </c>
    </row>
    <row r="63" spans="1:75" x14ac:dyDescent="0.25">
      <c r="D63" s="50">
        <v>37.299999999999997</v>
      </c>
      <c r="E63" s="50" t="s">
        <v>115</v>
      </c>
      <c r="F63" s="50" t="s">
        <v>117</v>
      </c>
    </row>
    <row r="64" spans="1:75" x14ac:dyDescent="0.25">
      <c r="D64" s="50">
        <v>3.7854100000000002</v>
      </c>
      <c r="E64" s="50" t="s">
        <v>118</v>
      </c>
    </row>
    <row r="65" spans="4:6" x14ac:dyDescent="0.25">
      <c r="D65" s="50">
        <f>D62*D64</f>
        <v>129.46102200000001</v>
      </c>
      <c r="E65" s="50" t="s">
        <v>119</v>
      </c>
      <c r="F65" s="50" t="s">
        <v>116</v>
      </c>
    </row>
    <row r="66" spans="4:6" x14ac:dyDescent="0.25">
      <c r="D66" s="50">
        <f>D63*D64</f>
        <v>141.19579300000001</v>
      </c>
      <c r="E66" s="50" t="s">
        <v>119</v>
      </c>
      <c r="F66" s="50" t="s">
        <v>117</v>
      </c>
    </row>
    <row r="67" spans="4:6" x14ac:dyDescent="0.25">
      <c r="D67" s="50">
        <v>24</v>
      </c>
      <c r="E67" s="50" t="s">
        <v>115</v>
      </c>
      <c r="F67" s="50" t="s">
        <v>105</v>
      </c>
    </row>
    <row r="68" spans="4:6" x14ac:dyDescent="0.25">
      <c r="D68" s="50">
        <v>33</v>
      </c>
      <c r="E68" s="50" t="s">
        <v>115</v>
      </c>
      <c r="F68" s="50" t="s">
        <v>131</v>
      </c>
    </row>
    <row r="69" spans="4:6" x14ac:dyDescent="0.25">
      <c r="D69" s="50">
        <f>D64*D67</f>
        <v>90.84984</v>
      </c>
      <c r="E69" s="50" t="s">
        <v>119</v>
      </c>
      <c r="F69" s="50" t="s">
        <v>105</v>
      </c>
    </row>
    <row r="70" spans="4:6" x14ac:dyDescent="0.25">
      <c r="D70" s="50">
        <f>D64*D68</f>
        <v>124.91853</v>
      </c>
      <c r="E70" s="50" t="s">
        <v>119</v>
      </c>
      <c r="F70" s="50" t="s">
        <v>131</v>
      </c>
    </row>
  </sheetData>
  <mergeCells count="8">
    <mergeCell ref="BM44:BM45"/>
    <mergeCell ref="BM48:BM49"/>
    <mergeCell ref="BM50:BM51"/>
    <mergeCell ref="BM2:BM12"/>
    <mergeCell ref="BM13:BM23"/>
    <mergeCell ref="BM26:BM32"/>
    <mergeCell ref="BM33:BM39"/>
    <mergeCell ref="BM42:BM4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W66"/>
  <sheetViews>
    <sheetView topLeftCell="AX1" workbookViewId="0">
      <selection activeCell="BM41" sqref="BM41:BU45"/>
    </sheetView>
  </sheetViews>
  <sheetFormatPr defaultRowHeight="15" x14ac:dyDescent="0.25"/>
  <cols>
    <col min="1" max="1" width="8.42578125" style="50" bestFit="1" customWidth="1"/>
    <col min="2" max="2" width="26.140625" style="50" bestFit="1" customWidth="1"/>
    <col min="3" max="3" width="15.7109375" style="50" bestFit="1" customWidth="1"/>
    <col min="4" max="4" width="12" style="50" bestFit="1" customWidth="1"/>
    <col min="5" max="63" width="9.140625" style="50"/>
    <col min="64" max="64" width="10" style="50" bestFit="1" customWidth="1"/>
    <col min="65" max="65" width="8.42578125" style="50" bestFit="1" customWidth="1"/>
    <col min="66" max="66" width="26.140625" style="50" bestFit="1" customWidth="1"/>
    <col min="67" max="73" width="5" style="50" bestFit="1" customWidth="1"/>
    <col min="74" max="16384" width="9.140625" style="50"/>
  </cols>
  <sheetData>
    <row r="1" spans="1:73" x14ac:dyDescent="0.25">
      <c r="A1" s="50" t="s">
        <v>93</v>
      </c>
      <c r="B1" s="50" t="s">
        <v>94</v>
      </c>
      <c r="C1" s="50" t="s">
        <v>73</v>
      </c>
      <c r="D1" s="50">
        <v>1991</v>
      </c>
      <c r="E1" s="50">
        <v>1992</v>
      </c>
      <c r="F1" s="50">
        <v>1993</v>
      </c>
      <c r="G1" s="50">
        <v>1994</v>
      </c>
      <c r="H1" s="50">
        <v>1995</v>
      </c>
      <c r="I1" s="50">
        <v>1996</v>
      </c>
      <c r="J1" s="50">
        <v>1997</v>
      </c>
      <c r="K1" s="50">
        <v>1998</v>
      </c>
      <c r="L1" s="50">
        <v>1999</v>
      </c>
      <c r="M1" s="50">
        <v>2000</v>
      </c>
      <c r="N1" s="50">
        <v>2001</v>
      </c>
      <c r="O1" s="50">
        <v>2002</v>
      </c>
      <c r="P1" s="50">
        <v>2003</v>
      </c>
      <c r="Q1" s="50">
        <v>2004</v>
      </c>
      <c r="R1" s="50">
        <v>2005</v>
      </c>
      <c r="S1" s="50">
        <v>2006</v>
      </c>
      <c r="T1" s="50">
        <v>2007</v>
      </c>
      <c r="U1" s="50">
        <v>2008</v>
      </c>
      <c r="V1" s="50">
        <v>2009</v>
      </c>
      <c r="W1" s="50">
        <v>2010</v>
      </c>
      <c r="X1" s="50">
        <v>2011</v>
      </c>
      <c r="Y1" s="50">
        <v>2012</v>
      </c>
      <c r="Z1" s="50">
        <v>2013</v>
      </c>
      <c r="AA1" s="50">
        <v>2014</v>
      </c>
      <c r="AB1" s="50">
        <v>2015</v>
      </c>
      <c r="AC1" s="50">
        <v>2016</v>
      </c>
      <c r="AD1" s="50">
        <v>2017</v>
      </c>
      <c r="AE1" s="50">
        <v>2018</v>
      </c>
      <c r="AF1" s="50">
        <v>2019</v>
      </c>
      <c r="AG1" s="50">
        <v>2020</v>
      </c>
      <c r="AH1" s="50">
        <v>2021</v>
      </c>
      <c r="AI1" s="50">
        <v>2022</v>
      </c>
      <c r="AJ1" s="50">
        <v>2023</v>
      </c>
      <c r="AK1" s="50">
        <v>2024</v>
      </c>
      <c r="AL1" s="50">
        <v>2025</v>
      </c>
      <c r="AM1" s="50">
        <v>2026</v>
      </c>
      <c r="AN1" s="50">
        <v>2027</v>
      </c>
      <c r="AO1" s="50">
        <v>2028</v>
      </c>
      <c r="AP1" s="50">
        <v>2029</v>
      </c>
      <c r="AQ1" s="50">
        <v>2030</v>
      </c>
      <c r="AR1" s="50">
        <v>2031</v>
      </c>
      <c r="AS1" s="50">
        <v>2032</v>
      </c>
      <c r="AT1" s="50">
        <v>2033</v>
      </c>
      <c r="AU1" s="50">
        <v>2034</v>
      </c>
      <c r="AV1" s="50">
        <v>2035</v>
      </c>
      <c r="AW1" s="50">
        <v>2036</v>
      </c>
      <c r="AX1" s="50">
        <v>2037</v>
      </c>
      <c r="AY1" s="50">
        <v>2038</v>
      </c>
      <c r="AZ1" s="50">
        <v>2039</v>
      </c>
      <c r="BA1" s="50">
        <v>2040</v>
      </c>
      <c r="BB1" s="50">
        <v>2041</v>
      </c>
      <c r="BC1" s="50">
        <v>2042</v>
      </c>
      <c r="BD1" s="50">
        <v>2043</v>
      </c>
      <c r="BE1" s="50">
        <v>2044</v>
      </c>
      <c r="BF1" s="50">
        <v>2045</v>
      </c>
      <c r="BG1" s="50">
        <v>2046</v>
      </c>
      <c r="BH1" s="50">
        <v>2047</v>
      </c>
      <c r="BI1" s="50">
        <v>2048</v>
      </c>
      <c r="BJ1" s="50">
        <v>2049</v>
      </c>
      <c r="BK1" s="50">
        <v>2050</v>
      </c>
      <c r="BM1" s="56" t="s">
        <v>93</v>
      </c>
      <c r="BN1" s="56" t="s">
        <v>94</v>
      </c>
      <c r="BO1" s="56">
        <v>1991</v>
      </c>
      <c r="BP1" s="56">
        <v>2000</v>
      </c>
      <c r="BQ1" s="56">
        <v>2010</v>
      </c>
      <c r="BR1" s="56">
        <v>2020</v>
      </c>
      <c r="BS1" s="56">
        <v>2030</v>
      </c>
      <c r="BT1" s="56">
        <v>2040</v>
      </c>
      <c r="BU1" s="56">
        <v>2050</v>
      </c>
    </row>
    <row r="2" spans="1:73" x14ac:dyDescent="0.25">
      <c r="A2" s="50" t="s">
        <v>71</v>
      </c>
      <c r="B2" s="50" t="s">
        <v>96</v>
      </c>
      <c r="C2" s="50" t="s">
        <v>92</v>
      </c>
      <c r="D2" s="51">
        <f>'LUC-2013-01-08-Run3'!AF2</f>
        <v>1.0508415631190336E-5</v>
      </c>
      <c r="E2" s="51">
        <f>'LUC-2013-01-08-Run3'!AG2</f>
        <v>1.0527618537027347E-5</v>
      </c>
      <c r="F2" s="51">
        <f>'LUC-2013-01-08-Run3'!AH2</f>
        <v>1.0524144816427411E-5</v>
      </c>
      <c r="G2" s="51">
        <f>'LUC-2013-01-08-Run3'!AI2</f>
        <v>1.0522462802637258E-5</v>
      </c>
      <c r="H2" s="51">
        <f>'LUC-2013-01-08-Run3'!AJ2</f>
        <v>1.05226809524005E-5</v>
      </c>
      <c r="I2" s="51">
        <f>'LUC-2013-01-08-Run3'!AK2</f>
        <v>1.0524797835739828E-5</v>
      </c>
      <c r="J2" s="51">
        <f>'LUC-2013-01-08-Run3'!AL2</f>
        <v>1.0528848568531622E-5</v>
      </c>
      <c r="K2" s="51">
        <f>'LUC-2013-01-08-Run3'!AM2</f>
        <v>1.0535257891350468E-5</v>
      </c>
      <c r="L2" s="51">
        <f>'LUC-2013-01-08-Run3'!AN2</f>
        <v>1.0544407835154982E-5</v>
      </c>
      <c r="M2" s="51">
        <f>'LUC-2013-01-08-Run3'!AO2</f>
        <v>1.0556611219831291E-5</v>
      </c>
      <c r="N2" s="51">
        <f>'LUC-2013-01-08-Run3'!AP2</f>
        <v>1.0571844928448045E-5</v>
      </c>
      <c r="O2" s="51">
        <f>'LUC-2013-01-08-Run3'!AQ2</f>
        <v>1.0589980349233616E-5</v>
      </c>
      <c r="P2" s="51">
        <f>'LUC-2013-01-08-Run3'!AR2</f>
        <v>1.0610719107102551E-5</v>
      </c>
      <c r="Q2" s="51">
        <f>'LUC-2013-01-08-Run3'!AS2</f>
        <v>1.0633798162037924E-5</v>
      </c>
      <c r="R2" s="51">
        <f>'LUC-2013-01-08-Run3'!AT2</f>
        <v>1.0658934712118934E-5</v>
      </c>
      <c r="S2" s="51">
        <f>'LUC-2013-01-08-Run3'!AU2</f>
        <v>1.0686103454816139E-5</v>
      </c>
      <c r="T2" s="51">
        <f>'LUC-2013-01-08-Run3'!AV2</f>
        <v>1.0706788216627059E-5</v>
      </c>
      <c r="U2" s="51">
        <f>'LUC-2013-01-08-Run3'!AW2</f>
        <v>1.0728456082251589E-5</v>
      </c>
      <c r="V2" s="51">
        <f>'LUC-2013-01-08-Run3'!AX2</f>
        <v>1.0751065831749288E-5</v>
      </c>
      <c r="W2" s="51">
        <f>'LUC-2013-01-08-Run3'!AY2</f>
        <v>1.0774563840598372E-5</v>
      </c>
      <c r="X2" s="51">
        <f>'LUC-2013-01-08-Run3'!AZ2</f>
        <v>1.0798960435799681E-5</v>
      </c>
      <c r="Y2" s="51">
        <f>'LUC-2013-01-08-Run3'!BA2</f>
        <v>1.0824295861764934E-5</v>
      </c>
      <c r="Z2" s="51">
        <f>'LUC-2013-01-08-Run3'!BB2</f>
        <v>1.0850592739258354E-5</v>
      </c>
      <c r="AA2" s="51">
        <f>'LUC-2013-01-08-Run3'!BC2</f>
        <v>1.087794097409725E-5</v>
      </c>
      <c r="AB2" s="51">
        <f>'LUC-2013-01-08-Run3'!BD2</f>
        <v>1.0906365789103285E-5</v>
      </c>
      <c r="AC2" s="51">
        <f>'LUC-2013-01-08-Run3'!BE2</f>
        <v>1.0935892652571851E-5</v>
      </c>
      <c r="AD2" s="51">
        <f>'LUC-2013-01-08-Run3'!BF2</f>
        <v>1.0966502632073501E-5</v>
      </c>
      <c r="AE2" s="51">
        <f>'LUC-2013-01-08-Run3'!BG2</f>
        <v>1.0998165758669703E-5</v>
      </c>
      <c r="AF2" s="51">
        <f>'LUC-2013-01-08-Run3'!BH2</f>
        <v>1.1030890589946637E-5</v>
      </c>
      <c r="AG2" s="51">
        <f>'LUC-2013-01-08-Run3'!BI2</f>
        <v>1.1064614208349465E-5</v>
      </c>
      <c r="AH2" s="51">
        <f>'LUC-2013-01-08-Run3'!BJ2</f>
        <v>1.1099352516874274E-5</v>
      </c>
      <c r="AI2" s="51">
        <f>'LUC-2013-01-08-Run3'!BK2</f>
        <v>1.1135071273339653E-5</v>
      </c>
      <c r="AJ2" s="51">
        <f>'LUC-2013-01-08-Run3'!BL2</f>
        <v>1.1171768757387381E-5</v>
      </c>
      <c r="AK2" s="51">
        <f>'LUC-2013-01-08-Run3'!BM2</f>
        <v>1.1209435882853366E-5</v>
      </c>
      <c r="AL2" s="51">
        <f>'LUC-2013-01-08-Run3'!BN2</f>
        <v>1.1248082102841903E-5</v>
      </c>
      <c r="AM2" s="51">
        <f>'LUC-2013-01-08-Run3'!BO2</f>
        <v>1.1287650747779458E-5</v>
      </c>
      <c r="AN2" s="51">
        <f>'LUC-2013-01-08-Run3'!BP2</f>
        <v>1.1328155361841512E-5</v>
      </c>
      <c r="AO2" s="51">
        <f>'LUC-2013-01-08-Run3'!BQ2</f>
        <v>1.1369577202897563E-5</v>
      </c>
      <c r="AP2" s="51">
        <f>'LUC-2013-01-08-Run3'!BR2</f>
        <v>1.14119698203685E-5</v>
      </c>
      <c r="AQ2" s="51">
        <f>'LUC-2013-01-08-Run3'!BS2</f>
        <v>1.1455315468409502E-5</v>
      </c>
      <c r="AR2" s="51">
        <f>'LUC-2013-01-08-Run3'!BT2</f>
        <v>1.149961791242872E-5</v>
      </c>
      <c r="AS2" s="51">
        <f>'LUC-2013-01-08-Run3'!BU2</f>
        <v>1.1544883091286491E-5</v>
      </c>
      <c r="AT2" s="51">
        <f>'LUC-2013-01-08-Run3'!BV2</f>
        <v>1.1591014547387159E-5</v>
      </c>
      <c r="AU2" s="51">
        <f>'LUC-2013-01-08-Run3'!BW2</f>
        <v>1.1637937189213889E-5</v>
      </c>
      <c r="AV2" s="51">
        <f>'LUC-2013-01-08-Run3'!BX2</f>
        <v>1.1685595032168294E-5</v>
      </c>
      <c r="AW2" s="51">
        <f>'LUC-2013-01-08-Run3'!BY2</f>
        <v>1.1733977016655489E-5</v>
      </c>
      <c r="AX2" s="51">
        <f>'LUC-2013-01-08-Run3'!BZ2</f>
        <v>1.1783073058060966E-5</v>
      </c>
      <c r="AY2" s="51">
        <f>'LUC-2013-01-08-Run3'!CA2</f>
        <v>1.1832927264751691E-5</v>
      </c>
      <c r="AZ2" s="51">
        <f>'LUC-2013-01-08-Run3'!CB2</f>
        <v>1.1883595175689448E-5</v>
      </c>
      <c r="BA2" s="51">
        <f>'LUC-2013-01-08-Run3'!CC2</f>
        <v>1.1935118009080345E-5</v>
      </c>
      <c r="BB2" s="51">
        <f>'LUC-2013-01-08-Run3'!CD2</f>
        <v>1.1987488987436226E-5</v>
      </c>
      <c r="BC2" s="51">
        <f>'LUC-2013-01-08-Run3'!CE2</f>
        <v>1.204072754074284E-5</v>
      </c>
      <c r="BD2" s="51">
        <f>'LUC-2013-01-08-Run3'!CF2</f>
        <v>1.2094807145257598E-5</v>
      </c>
      <c r="BE2" s="51">
        <f>'LUC-2013-01-08-Run3'!CG2</f>
        <v>1.2149716763064159E-5</v>
      </c>
      <c r="BF2" s="51">
        <f>'LUC-2013-01-08-Run3'!CH2</f>
        <v>1.2205477055080803E-5</v>
      </c>
      <c r="BG2" s="51">
        <f>'LUC-2013-01-08-Run3'!CI2</f>
        <v>1.2262068474249293E-5</v>
      </c>
      <c r="BH2" s="51">
        <f>'LUC-2013-01-08-Run3'!CJ2</f>
        <v>1.2319520822137554E-5</v>
      </c>
      <c r="BI2" s="51">
        <f>'LUC-2013-01-08-Run3'!CK2</f>
        <v>1.237786806722634E-5</v>
      </c>
      <c r="BJ2" s="51">
        <f>'LUC-2013-01-08-Run3'!CL2</f>
        <v>1.2437151013296541E-5</v>
      </c>
      <c r="BK2" s="51">
        <f>'LUC-2013-01-08-Run3'!CM2</f>
        <v>1.2497422526767769E-5</v>
      </c>
      <c r="BM2" s="104" t="s">
        <v>71</v>
      </c>
      <c r="BN2" s="50" t="s">
        <v>96</v>
      </c>
      <c r="BO2" s="64">
        <f>D2*1000000</f>
        <v>10.508415631190337</v>
      </c>
      <c r="BP2" s="64">
        <f t="shared" ref="BP2:BP12" si="0">M2*1000000</f>
        <v>10.556611219831291</v>
      </c>
      <c r="BQ2" s="64">
        <f t="shared" ref="BQ2:BQ12" si="1">W2*1000000</f>
        <v>10.774563840598372</v>
      </c>
      <c r="BR2" s="64">
        <f t="shared" ref="BR2:BR12" si="2">AG2*1000000</f>
        <v>11.064614208349465</v>
      </c>
      <c r="BS2" s="64">
        <f t="shared" ref="BS2:BS12" si="3">AQ2*1000000</f>
        <v>11.455315468409502</v>
      </c>
      <c r="BT2" s="64">
        <f t="shared" ref="BT2:BT12" si="4">BA2*1000000</f>
        <v>11.935118009080345</v>
      </c>
      <c r="BU2" s="64">
        <f t="shared" ref="BU2:BU12" si="5">BK2*1000000</f>
        <v>12.497422526767769</v>
      </c>
    </row>
    <row r="3" spans="1:73" x14ac:dyDescent="0.25">
      <c r="A3" s="50" t="s">
        <v>71</v>
      </c>
      <c r="B3" s="50" t="s">
        <v>97</v>
      </c>
      <c r="C3" s="50" t="s">
        <v>92</v>
      </c>
      <c r="D3" s="51">
        <f>'LUC-2013-01-08-Run3'!AF3</f>
        <v>7.0000430409191978E-5</v>
      </c>
      <c r="E3" s="51">
        <f>'LUC-2013-01-08-Run3'!AG3</f>
        <v>7.0630961246729871E-5</v>
      </c>
      <c r="F3" s="51">
        <f>'LUC-2013-01-08-Run3'!AH3</f>
        <v>7.1066274150239037E-5</v>
      </c>
      <c r="G3" s="51">
        <f>'LUC-2013-01-08-Run3'!AI3</f>
        <v>7.150778011594632E-5</v>
      </c>
      <c r="H3" s="51">
        <f>'LUC-2013-01-08-Run3'!AJ3</f>
        <v>7.1952944698856812E-5</v>
      </c>
      <c r="I3" s="51">
        <f>'LUC-2013-01-08-Run3'!AK3</f>
        <v>7.2400861735737981E-5</v>
      </c>
      <c r="J3" s="51">
        <f>'LUC-2013-01-08-Run3'!AL3</f>
        <v>7.285284622485931E-5</v>
      </c>
      <c r="K3" s="51">
        <f>'LUC-2013-01-08-Run3'!AM3</f>
        <v>7.3313273932656012E-5</v>
      </c>
      <c r="L3" s="51">
        <f>'LUC-2013-01-08-Run3'!AN3</f>
        <v>7.3787111123243884E-5</v>
      </c>
      <c r="M3" s="51">
        <f>'LUC-2013-01-08-Run3'!AO3</f>
        <v>7.4277957562576602E-5</v>
      </c>
      <c r="N3" s="51">
        <f>'LUC-2013-01-08-Run3'!AP3</f>
        <v>7.478586235260993E-5</v>
      </c>
      <c r="O3" s="51">
        <f>'LUC-2013-01-08-Run3'!AQ3</f>
        <v>7.5308758342790844E-5</v>
      </c>
      <c r="P3" s="51">
        <f>'LUC-2013-01-08-Run3'!AR3</f>
        <v>7.5842609785929511E-5</v>
      </c>
      <c r="Q3" s="51">
        <f>'LUC-2013-01-08-Run3'!AS3</f>
        <v>7.6383079700261544E-5</v>
      </c>
      <c r="R3" s="51">
        <f>'LUC-2013-01-08-Run3'!AT3</f>
        <v>7.6926134271035562E-5</v>
      </c>
      <c r="S3" s="51">
        <f>'LUC-2013-01-08-Run3'!AU3</f>
        <v>7.74708096795645E-5</v>
      </c>
      <c r="T3" s="51">
        <f>'LUC-2013-01-08-Run3'!AV3</f>
        <v>7.7835708482740454E-5</v>
      </c>
      <c r="U3" s="51">
        <f>'LUC-2013-01-08-Run3'!AW3</f>
        <v>7.8201471463656532E-5</v>
      </c>
      <c r="V3" s="51">
        <f>'LUC-2013-01-08-Run3'!AX3</f>
        <v>7.8567368679820893E-5</v>
      </c>
      <c r="W3" s="51">
        <f>'LUC-2013-01-08-Run3'!AY3</f>
        <v>7.8932911450597094E-5</v>
      </c>
      <c r="X3" s="51">
        <f>'LUC-2013-01-08-Run3'!AZ3</f>
        <v>7.9297852098800776E-5</v>
      </c>
      <c r="Y3" s="51">
        <f>'LUC-2013-01-08-Run3'!BA3</f>
        <v>7.9662257933066125E-5</v>
      </c>
      <c r="Z3" s="51">
        <f>'LUC-2013-01-08-Run3'!BB3</f>
        <v>8.0026718781396811E-5</v>
      </c>
      <c r="AA3" s="51">
        <f>'LUC-2013-01-08-Run3'!BC3</f>
        <v>8.0392479033655488E-5</v>
      </c>
      <c r="AB3" s="51">
        <f>'LUC-2013-01-08-Run3'!BD3</f>
        <v>8.0760241330582992E-5</v>
      </c>
      <c r="AC3" s="51">
        <f>'LUC-2013-01-08-Run3'!BE3</f>
        <v>8.1130206649503354E-5</v>
      </c>
      <c r="AD3" s="51">
        <f>'LUC-2013-01-08-Run3'!BF3</f>
        <v>8.1502220208843951E-5</v>
      </c>
      <c r="AE3" s="51">
        <f>'LUC-2013-01-08-Run3'!BG3</f>
        <v>8.1876586623157236E-5</v>
      </c>
      <c r="AF3" s="51">
        <f>'LUC-2013-01-08-Run3'!BH3</f>
        <v>8.2253773652320511E-5</v>
      </c>
      <c r="AG3" s="51">
        <f>'LUC-2013-01-08-Run3'!BI3</f>
        <v>8.2633805686775901E-5</v>
      </c>
      <c r="AH3" s="51">
        <f>'LUC-2013-01-08-Run3'!BJ3</f>
        <v>8.3016912391095407E-5</v>
      </c>
      <c r="AI3" s="51">
        <f>'LUC-2013-01-08-Run3'!BK3</f>
        <v>8.3402934492782065E-5</v>
      </c>
      <c r="AJ3" s="51">
        <f>'LUC-2013-01-08-Run3'!BL3</f>
        <v>8.379154793872499E-5</v>
      </c>
      <c r="AK3" s="51">
        <f>'LUC-2013-01-08-Run3'!BM3</f>
        <v>8.4182322844702172E-5</v>
      </c>
      <c r="AL3" s="51">
        <f>'LUC-2013-01-08-Run3'!BN3</f>
        <v>8.4575119602724896E-5</v>
      </c>
      <c r="AM3" s="51">
        <f>'LUC-2013-01-08-Run3'!BO3</f>
        <v>8.4969477988109616E-5</v>
      </c>
      <c r="AN3" s="51">
        <f>'LUC-2013-01-08-Run3'!BP3</f>
        <v>8.5365604263626746E-5</v>
      </c>
      <c r="AO3" s="51">
        <f>'LUC-2013-01-08-Run3'!BQ3</f>
        <v>8.5763088438758648E-5</v>
      </c>
      <c r="AP3" s="51">
        <f>'LUC-2013-01-08-Run3'!BR3</f>
        <v>8.6162014741530959E-5</v>
      </c>
      <c r="AQ3" s="51">
        <f>'LUC-2013-01-08-Run3'!BS3</f>
        <v>8.6562046837841089E-5</v>
      </c>
      <c r="AR3" s="51">
        <f>'LUC-2013-01-08-Run3'!BT3</f>
        <v>8.6909831975358727E-5</v>
      </c>
      <c r="AS3" s="51">
        <f>'LUC-2013-01-08-Run3'!BU3</f>
        <v>8.7260257869877498E-5</v>
      </c>
      <c r="AT3" s="51">
        <f>'LUC-2013-01-08-Run3'!BV3</f>
        <v>8.7612980013969039E-5</v>
      </c>
      <c r="AU3" s="51">
        <f>'LUC-2013-01-08-Run3'!BW3</f>
        <v>8.7968210364206207E-5</v>
      </c>
      <c r="AV3" s="51">
        <f>'LUC-2013-01-08-Run3'!BX3</f>
        <v>8.8325924179781699E-5</v>
      </c>
      <c r="AW3" s="51">
        <f>'LUC-2013-01-08-Run3'!BY3</f>
        <v>8.8686259003845197E-5</v>
      </c>
      <c r="AX3" s="51">
        <f>'LUC-2013-01-08-Run3'!BZ3</f>
        <v>8.9048882229405665E-5</v>
      </c>
      <c r="AY3" s="51">
        <f>'LUC-2013-01-08-Run3'!CA3</f>
        <v>8.9414053805702252E-5</v>
      </c>
      <c r="AZ3" s="51">
        <f>'LUC-2013-01-08-Run3'!CB3</f>
        <v>8.9781752363607951E-5</v>
      </c>
      <c r="BA3" s="51">
        <f>'LUC-2013-01-08-Run3'!CC3</f>
        <v>9.0152000277690048E-5</v>
      </c>
      <c r="BB3" s="51">
        <f>'LUC-2013-01-08-Run3'!CD3</f>
        <v>9.0524660714826535E-5</v>
      </c>
      <c r="BC3" s="51">
        <f>'LUC-2013-01-08-Run3'!CE3</f>
        <v>9.0899780625042673E-5</v>
      </c>
      <c r="BD3" s="51">
        <f>'LUC-2013-01-08-Run3'!CF3</f>
        <v>9.1277330608923702E-5</v>
      </c>
      <c r="BE3" s="51">
        <f>'LUC-2013-01-08-Run3'!CG3</f>
        <v>9.1657233421723404E-5</v>
      </c>
      <c r="BF3" s="51">
        <f>'LUC-2013-01-08-Run3'!CH3</f>
        <v>9.2039602584603042E-5</v>
      </c>
      <c r="BG3" s="51">
        <f>'LUC-2013-01-08-Run3'!CI3</f>
        <v>9.242432100084031E-5</v>
      </c>
      <c r="BH3" s="51">
        <f>'LUC-2013-01-08-Run3'!CJ3</f>
        <v>9.2811362732216811E-5</v>
      </c>
      <c r="BI3" s="51">
        <f>'LUC-2013-01-08-Run3'!CK3</f>
        <v>9.3200498186654245E-5</v>
      </c>
      <c r="BJ3" s="51">
        <f>'LUC-2013-01-08-Run3'!CL3</f>
        <v>9.3591909887886761E-5</v>
      </c>
      <c r="BK3" s="51">
        <f>'LUC-2013-01-08-Run3'!CM3</f>
        <v>9.3985309441606062E-5</v>
      </c>
      <c r="BM3" s="105"/>
      <c r="BN3" s="50" t="s">
        <v>97</v>
      </c>
      <c r="BO3" s="64">
        <f t="shared" ref="BO3:BO12" si="6">D3*1000000</f>
        <v>70.000430409191978</v>
      </c>
      <c r="BP3" s="64">
        <f t="shared" si="0"/>
        <v>74.277957562576603</v>
      </c>
      <c r="BQ3" s="64">
        <f t="shared" si="1"/>
        <v>78.932911450597089</v>
      </c>
      <c r="BR3" s="64">
        <f t="shared" si="2"/>
        <v>82.633805686775901</v>
      </c>
      <c r="BS3" s="64">
        <f t="shared" si="3"/>
        <v>86.562046837841095</v>
      </c>
      <c r="BT3" s="64">
        <f t="shared" si="4"/>
        <v>90.15200027769005</v>
      </c>
      <c r="BU3" s="64">
        <f t="shared" si="5"/>
        <v>93.985309441606063</v>
      </c>
    </row>
    <row r="4" spans="1:73" x14ac:dyDescent="0.25">
      <c r="A4" s="50" t="s">
        <v>71</v>
      </c>
      <c r="B4" s="50" t="s">
        <v>95</v>
      </c>
      <c r="C4" s="50" t="s">
        <v>92</v>
      </c>
      <c r="D4" s="51">
        <f>'LUC-2013-01-08-Run3'!AF4</f>
        <v>1.3228986578653787E-5</v>
      </c>
      <c r="E4" s="51">
        <f>'LUC-2013-01-08-Run3'!AG4</f>
        <v>1.3351004035312167E-5</v>
      </c>
      <c r="F4" s="51">
        <f>'LUC-2013-01-08-Run3'!AH4</f>
        <v>1.3448210690384045E-5</v>
      </c>
      <c r="G4" s="51">
        <f>'LUC-2013-01-08-Run3'!AI4</f>
        <v>1.3548882358160103E-5</v>
      </c>
      <c r="H4" s="51">
        <f>'LUC-2013-01-08-Run3'!AJ4</f>
        <v>1.365327018224468E-5</v>
      </c>
      <c r="I4" s="51">
        <f>'LUC-2013-01-08-Run3'!AK4</f>
        <v>1.3761500883312822E-5</v>
      </c>
      <c r="J4" s="51">
        <f>'LUC-2013-01-08-Run3'!AL4</f>
        <v>1.387370090955609E-5</v>
      </c>
      <c r="K4" s="51">
        <f>'LUC-2013-01-08-Run3'!AM4</f>
        <v>1.3990474699641369E-5</v>
      </c>
      <c r="L4" s="51">
        <f>'LUC-2013-01-08-Run3'!AN4</f>
        <v>1.4112378817260886E-5</v>
      </c>
      <c r="M4" s="51">
        <f>'LUC-2013-01-08-Run3'!AO4</f>
        <v>1.4239928335395459E-5</v>
      </c>
      <c r="N4" s="51">
        <f>'LUC-2013-01-08-Run3'!AP4</f>
        <v>1.4373258842965937E-5</v>
      </c>
      <c r="O4" s="51">
        <f>'LUC-2013-01-08-Run3'!AQ4</f>
        <v>1.4512396972370334E-5</v>
      </c>
      <c r="P4" s="51">
        <f>'LUC-2013-01-08-Run3'!AR4</f>
        <v>1.4657165111117269E-5</v>
      </c>
      <c r="Q4" s="51">
        <f>'LUC-2013-01-08-Run3'!AS4</f>
        <v>1.4807426681632889E-5</v>
      </c>
      <c r="R4" s="51">
        <f>'LUC-2013-01-08-Run3'!AT4</f>
        <v>1.4962997035753534E-5</v>
      </c>
      <c r="S4" s="51">
        <f>'LUC-2013-01-08-Run3'!AU4</f>
        <v>1.5124019551113483E-5</v>
      </c>
      <c r="T4" s="51">
        <f>'LUC-2013-01-08-Run3'!AV4</f>
        <v>1.5129679469184749E-5</v>
      </c>
      <c r="U4" s="51">
        <f>'LUC-2013-01-08-Run3'!AW4</f>
        <v>1.5136668183505505E-5</v>
      </c>
      <c r="V4" s="51">
        <f>'LUC-2013-01-08-Run3'!AX4</f>
        <v>1.5144948109290246E-5</v>
      </c>
      <c r="W4" s="51">
        <f>'LUC-2013-01-08-Run3'!AY4</f>
        <v>1.5154462024834499E-5</v>
      </c>
      <c r="X4" s="51">
        <f>'LUC-2013-01-08-Run3'!AZ4</f>
        <v>1.5165243320731007E-5</v>
      </c>
      <c r="Y4" s="51">
        <f>'LUC-2013-01-08-Run3'!BA4</f>
        <v>1.5177362977126023E-5</v>
      </c>
      <c r="Z4" s="51">
        <f>'LUC-2013-01-08-Run3'!BB4</f>
        <v>1.5190865046527137E-5</v>
      </c>
      <c r="AA4" s="51">
        <f>'LUC-2013-01-08-Run3'!BC4</f>
        <v>1.5205885679193845E-5</v>
      </c>
      <c r="AB4" s="51">
        <f>'LUC-2013-01-08-Run3'!BD4</f>
        <v>1.5222476092568192E-5</v>
      </c>
      <c r="AC4" s="51">
        <f>'LUC-2013-01-08-Run3'!BE4</f>
        <v>1.5240690367872361E-5</v>
      </c>
      <c r="AD4" s="51">
        <f>'LUC-2013-01-08-Run3'!BF4</f>
        <v>1.5260525310550297E-5</v>
      </c>
      <c r="AE4" s="51">
        <f>'LUC-2013-01-08-Run3'!BG4</f>
        <v>1.5281970137911179E-5</v>
      </c>
      <c r="AF4" s="51">
        <f>'LUC-2013-01-08-Run3'!BH4</f>
        <v>1.5305072604409572E-5</v>
      </c>
      <c r="AG4" s="51">
        <f>'LUC-2013-01-08-Run3'!BI4</f>
        <v>1.5329779965360515E-5</v>
      </c>
      <c r="AH4" s="51">
        <f>'LUC-2013-01-08-Run3'!BJ4</f>
        <v>1.5356153846789519E-5</v>
      </c>
      <c r="AI4" s="51">
        <f>'LUC-2013-01-08-Run3'!BK4</f>
        <v>1.5384179273723803E-5</v>
      </c>
      <c r="AJ4" s="51">
        <f>'LUC-2013-01-08-Run3'!BL4</f>
        <v>1.5413889957734609E-5</v>
      </c>
      <c r="AK4" s="51">
        <f>'LUC-2013-01-08-Run3'!BM4</f>
        <v>1.5445306992464522E-5</v>
      </c>
      <c r="AL4" s="51">
        <f>'LUC-2013-01-08-Run3'!BN4</f>
        <v>1.5478482896908194E-5</v>
      </c>
      <c r="AM4" s="51">
        <f>'LUC-2013-01-08-Run3'!BO4</f>
        <v>1.5513378357914852E-5</v>
      </c>
      <c r="AN4" s="51">
        <f>'LUC-2013-01-08-Run3'!BP4</f>
        <v>1.555004767317005E-5</v>
      </c>
      <c r="AO4" s="51">
        <f>'LUC-2013-01-08-Run3'!BQ4</f>
        <v>1.5588500151053576E-5</v>
      </c>
      <c r="AP4" s="51">
        <f>'LUC-2013-01-08-Run3'!BR4</f>
        <v>1.5628829986834069E-5</v>
      </c>
      <c r="AQ4" s="51">
        <f>'LUC-2013-01-08-Run3'!BS4</f>
        <v>1.567104412217074E-5</v>
      </c>
      <c r="AR4" s="51">
        <f>'LUC-2013-01-08-Run3'!BT4</f>
        <v>1.5715175740897283E-5</v>
      </c>
      <c r="AS4" s="51">
        <f>'LUC-2013-01-08-Run3'!BU4</f>
        <v>1.576127411843068E-5</v>
      </c>
      <c r="AT4" s="51">
        <f>'LUC-2013-01-08-Run3'!BV4</f>
        <v>1.5809239413469278E-5</v>
      </c>
      <c r="AU4" s="51">
        <f>'LUC-2013-01-08-Run3'!BW4</f>
        <v>1.5859003238648446E-5</v>
      </c>
      <c r="AV4" s="51">
        <f>'LUC-2013-01-08-Run3'!BX4</f>
        <v>1.5910525374817119E-5</v>
      </c>
      <c r="AW4" s="51">
        <f>'LUC-2013-01-08-Run3'!BY4</f>
        <v>1.5963826475578374E-5</v>
      </c>
      <c r="AX4" s="51">
        <f>'LUC-2013-01-08-Run3'!BZ4</f>
        <v>1.6018932390953672E-5</v>
      </c>
      <c r="AY4" s="51">
        <f>'LUC-2013-01-08-Run3'!CA4</f>
        <v>1.6075946092514357E-5</v>
      </c>
      <c r="AZ4" s="51">
        <f>'LUC-2013-01-08-Run3'!CB4</f>
        <v>1.6134996204646558E-5</v>
      </c>
      <c r="BA4" s="51">
        <f>'LUC-2013-01-08-Run3'!CC4</f>
        <v>1.619617700250283E-5</v>
      </c>
      <c r="BB4" s="51">
        <f>'LUC-2013-01-08-Run3'!CD4</f>
        <v>1.6259530794417312E-5</v>
      </c>
      <c r="BC4" s="51">
        <f>'LUC-2013-01-08-Run3'!CE4</f>
        <v>1.6325137705062302E-5</v>
      </c>
      <c r="BD4" s="51">
        <f>'LUC-2013-01-08-Run3'!CF4</f>
        <v>1.6393003462244631E-5</v>
      </c>
      <c r="BE4" s="51">
        <f>'LUC-2013-01-08-Run3'!CG4</f>
        <v>1.646317079761857E-5</v>
      </c>
      <c r="BF4" s="51">
        <f>'LUC-2013-01-08-Run3'!CH4</f>
        <v>1.6535713142124513E-5</v>
      </c>
      <c r="BG4" s="51">
        <f>'LUC-2013-01-08-Run3'!CI4</f>
        <v>1.6610675973681363E-5</v>
      </c>
      <c r="BH4" s="51">
        <f>'LUC-2013-01-08-Run3'!CJ4</f>
        <v>1.6688154385214631E-5</v>
      </c>
      <c r="BI4" s="51">
        <f>'LUC-2013-01-08-Run3'!CK4</f>
        <v>1.6768272358873779E-5</v>
      </c>
      <c r="BJ4" s="51">
        <f>'LUC-2013-01-08-Run3'!CL4</f>
        <v>1.6851146193557374E-5</v>
      </c>
      <c r="BK4" s="51">
        <f>'LUC-2013-01-08-Run3'!CM4</f>
        <v>1.6936941244662474E-5</v>
      </c>
      <c r="BM4" s="105"/>
      <c r="BN4" s="50" t="s">
        <v>95</v>
      </c>
      <c r="BO4" s="64">
        <f t="shared" si="6"/>
        <v>13.228986578653787</v>
      </c>
      <c r="BP4" s="64">
        <f t="shared" si="0"/>
        <v>14.23992833539546</v>
      </c>
      <c r="BQ4" s="64">
        <f t="shared" si="1"/>
        <v>15.154462024834499</v>
      </c>
      <c r="BR4" s="64">
        <f t="shared" si="2"/>
        <v>15.329779965360515</v>
      </c>
      <c r="BS4" s="64">
        <f t="shared" si="3"/>
        <v>15.671044122170739</v>
      </c>
      <c r="BT4" s="64">
        <f t="shared" si="4"/>
        <v>16.196177002502829</v>
      </c>
      <c r="BU4" s="64">
        <f t="shared" si="5"/>
        <v>16.936941244662474</v>
      </c>
    </row>
    <row r="5" spans="1:73" x14ac:dyDescent="0.25">
      <c r="A5" s="50" t="s">
        <v>71</v>
      </c>
      <c r="B5" s="50" t="s">
        <v>98</v>
      </c>
      <c r="C5" s="50" t="s">
        <v>92</v>
      </c>
      <c r="D5" s="51">
        <f>'LUC-2013-01-08-Run3'!AF5</f>
        <v>7.0121002027183778E-6</v>
      </c>
      <c r="E5" s="51">
        <f>'LUC-2013-01-08-Run3'!AG5</f>
        <v>7.2210894119728063E-6</v>
      </c>
      <c r="F5" s="51">
        <f>'LUC-2013-01-08-Run3'!AH5</f>
        <v>7.4202145751621905E-6</v>
      </c>
      <c r="G5" s="51">
        <f>'LUC-2013-01-08-Run3'!AI5</f>
        <v>7.6288203120131999E-6</v>
      </c>
      <c r="H5" s="51">
        <f>'LUC-2013-01-08-Run3'!AJ5</f>
        <v>7.8474396653895003E-6</v>
      </c>
      <c r="I5" s="51">
        <f>'LUC-2013-01-08-Run3'!AK5</f>
        <v>8.0765895476182639E-6</v>
      </c>
      <c r="J5" s="51">
        <f>'LUC-2013-01-08-Run3'!AL5</f>
        <v>8.3168765465417997E-6</v>
      </c>
      <c r="K5" s="51">
        <f>'LUC-2013-01-08-Run3'!AM5</f>
        <v>8.569263350893212E-6</v>
      </c>
      <c r="L5" s="51">
        <f>'LUC-2013-01-08-Run3'!AN5</f>
        <v>8.8347261253526665E-6</v>
      </c>
      <c r="M5" s="51">
        <f>'LUC-2013-01-08-Run3'!AO5</f>
        <v>9.11421427809247E-6</v>
      </c>
      <c r="N5" s="51">
        <f>'LUC-2013-01-08-Run3'!AP5</f>
        <v>9.4084016592827995E-6</v>
      </c>
      <c r="O5" s="51">
        <f>'LUC-2013-01-08-Run3'!AQ5</f>
        <v>9.7178946223932155E-6</v>
      </c>
      <c r="P5" s="51">
        <f>'LUC-2013-01-08-Run3'!AR5</f>
        <v>1.0043173749519153E-5</v>
      </c>
      <c r="Q5" s="51">
        <f>'LUC-2013-01-08-Run3'!AS5</f>
        <v>1.0384788452865011E-5</v>
      </c>
      <c r="R5" s="51">
        <f>'LUC-2013-01-08-Run3'!AT5</f>
        <v>1.0743308883754397E-5</v>
      </c>
      <c r="S5" s="51">
        <f>'LUC-2013-01-08-Run3'!AU5</f>
        <v>1.1119589377810111E-5</v>
      </c>
      <c r="T5" s="51">
        <f>'LUC-2013-01-08-Run3'!AV5</f>
        <v>1.1213796586475904E-5</v>
      </c>
      <c r="U5" s="51">
        <f>'LUC-2013-01-08-Run3'!AW5</f>
        <v>1.1310063229022583E-5</v>
      </c>
      <c r="V5" s="51">
        <f>'LUC-2013-01-08-Run3'!AX5</f>
        <v>1.1408394646721938E-5</v>
      </c>
      <c r="W5" s="51">
        <f>'LUC-2013-01-08-Run3'!AY5</f>
        <v>1.1508780806381498E-5</v>
      </c>
      <c r="X5" s="51">
        <f>'LUC-2013-01-08-Run3'!AZ5</f>
        <v>1.1611279737027922E-5</v>
      </c>
      <c r="Y5" s="51">
        <f>'LUC-2013-01-08-Run3'!BA5</f>
        <v>1.1715979237498833E-5</v>
      </c>
      <c r="Z5" s="51">
        <f>'LUC-2013-01-08-Run3'!BB5</f>
        <v>1.1822947929307411E-5</v>
      </c>
      <c r="AA5" s="51">
        <f>'LUC-2013-01-08-Run3'!BC5</f>
        <v>1.1932326332599029E-5</v>
      </c>
      <c r="AB5" s="51">
        <f>'LUC-2013-01-08-Run3'!BD5</f>
        <v>1.2044191881680218E-5</v>
      </c>
      <c r="AC5" s="51">
        <f>'LUC-2013-01-08-Run3'!BE5</f>
        <v>1.2158625474257043E-5</v>
      </c>
      <c r="AD5" s="51">
        <f>'LUC-2013-01-08-Run3'!BF5</f>
        <v>1.2275663650896177E-5</v>
      </c>
      <c r="AE5" s="51">
        <f>'LUC-2013-01-08-Run3'!BG5</f>
        <v>1.2395333374645749E-5</v>
      </c>
      <c r="AF5" s="51">
        <f>'LUC-2013-01-08-Run3'!BH5</f>
        <v>1.2517706778337661E-5</v>
      </c>
      <c r="AG5" s="51">
        <f>'LUC-2013-01-08-Run3'!BI5</f>
        <v>1.2642778251082926E-5</v>
      </c>
      <c r="AH5" s="51">
        <f>'LUC-2013-01-08-Run3'!BJ5</f>
        <v>1.2770631328073203E-5</v>
      </c>
      <c r="AI5" s="51">
        <f>'LUC-2013-01-08-Run3'!BK5</f>
        <v>1.2901293894719471E-5</v>
      </c>
      <c r="AJ5" s="51">
        <f>'LUC-2013-01-08-Run3'!BL5</f>
        <v>1.3034830919942682E-5</v>
      </c>
      <c r="AK5" s="51">
        <f>'LUC-2013-01-08-Run3'!BM5</f>
        <v>1.3171300126526274E-5</v>
      </c>
      <c r="AL5" s="51">
        <f>'LUC-2013-01-08-Run3'!BN5</f>
        <v>1.3310782826788613E-5</v>
      </c>
      <c r="AM5" s="51">
        <f>'LUC-2013-01-08-Run3'!BO5</f>
        <v>1.3453288136796965E-5</v>
      </c>
      <c r="AN5" s="51">
        <f>'LUC-2013-01-08-Run3'!BP5</f>
        <v>1.3598902811408791E-5</v>
      </c>
      <c r="AO5" s="51">
        <f>'LUC-2013-01-08-Run3'!BQ5</f>
        <v>1.3747680101340874E-5</v>
      </c>
      <c r="AP5" s="51">
        <f>'LUC-2013-01-08-Run3'!BR5</f>
        <v>1.3899750761434954E-5</v>
      </c>
      <c r="AQ5" s="51">
        <f>'LUC-2013-01-08-Run3'!BS5</f>
        <v>1.4055169790404232E-5</v>
      </c>
      <c r="AR5" s="51">
        <f>'LUC-2013-01-08-Run3'!BT5</f>
        <v>1.4214018533221651E-5</v>
      </c>
      <c r="AS5" s="51">
        <f>'LUC-2013-01-08-Run3'!BU5</f>
        <v>1.4376384341841042E-5</v>
      </c>
      <c r="AT5" s="51">
        <f>'LUC-2013-01-08-Run3'!BV5</f>
        <v>1.454223838780701E-5</v>
      </c>
      <c r="AU5" s="51">
        <f>'LUC-2013-01-08-Run3'!BW5</f>
        <v>1.4711573778200049E-5</v>
      </c>
      <c r="AV5" s="51">
        <f>'LUC-2013-01-08-Run3'!BX5</f>
        <v>1.4884409820544955E-5</v>
      </c>
      <c r="AW5" s="51">
        <f>'LUC-2013-01-08-Run3'!BY5</f>
        <v>1.5060817919501827E-5</v>
      </c>
      <c r="AX5" s="51">
        <f>'LUC-2013-01-08-Run3'!BZ5</f>
        <v>1.5240874558207107E-5</v>
      </c>
      <c r="AY5" s="51">
        <f>'LUC-2013-01-08-Run3'!CA5</f>
        <v>1.5424723193414205E-5</v>
      </c>
      <c r="AZ5" s="51">
        <f>'LUC-2013-01-08-Run3'!CB5</f>
        <v>1.5612527123797715E-5</v>
      </c>
      <c r="BA5" s="51">
        <f>'LUC-2013-01-08-Run3'!CC5</f>
        <v>1.5804430627085273E-5</v>
      </c>
      <c r="BB5" s="51">
        <f>'LUC-2013-01-08-Run3'!CD5</f>
        <v>1.6000527546420064E-5</v>
      </c>
      <c r="BC5" s="51">
        <f>'LUC-2013-01-08-Run3'!CE5</f>
        <v>1.6200948175775143E-5</v>
      </c>
      <c r="BD5" s="51">
        <f>'LUC-2013-01-08-Run3'!CF5</f>
        <v>1.6405763465364506E-5</v>
      </c>
      <c r="BE5" s="51">
        <f>'LUC-2013-01-08-Run3'!CG5</f>
        <v>1.6615072156938698E-5</v>
      </c>
      <c r="BF5" s="51">
        <f>'LUC-2013-01-08-Run3'!CH5</f>
        <v>1.6829007697501241E-5</v>
      </c>
      <c r="BG5" s="51">
        <f>'LUC-2013-01-08-Run3'!CI5</f>
        <v>1.7047670489944911E-5</v>
      </c>
      <c r="BH5" s="51">
        <f>'LUC-2013-01-08-Run3'!CJ5</f>
        <v>1.7271213764054107E-5</v>
      </c>
      <c r="BI5" s="51">
        <f>'LUC-2013-01-08-Run3'!CK5</f>
        <v>1.7499810138009306E-5</v>
      </c>
      <c r="BJ5" s="51">
        <f>'LUC-2013-01-08-Run3'!CL5</f>
        <v>1.7733635779794166E-5</v>
      </c>
      <c r="BK5" s="51">
        <f>'LUC-2013-01-08-Run3'!CM5</f>
        <v>1.7972898028142205E-5</v>
      </c>
      <c r="BM5" s="105"/>
      <c r="BN5" s="50" t="s">
        <v>98</v>
      </c>
      <c r="BO5" s="82">
        <f t="shared" si="6"/>
        <v>7.0121002027183774</v>
      </c>
      <c r="BP5" s="82">
        <f t="shared" si="0"/>
        <v>9.1142142780924704</v>
      </c>
      <c r="BQ5" s="64">
        <f t="shared" si="1"/>
        <v>11.508780806381498</v>
      </c>
      <c r="BR5" s="64">
        <f t="shared" si="2"/>
        <v>12.642778251082925</v>
      </c>
      <c r="BS5" s="64">
        <f t="shared" si="3"/>
        <v>14.055169790404232</v>
      </c>
      <c r="BT5" s="64">
        <f t="shared" si="4"/>
        <v>15.804430627085273</v>
      </c>
      <c r="BU5" s="64">
        <f t="shared" si="5"/>
        <v>17.972898028142204</v>
      </c>
    </row>
    <row r="6" spans="1:73" x14ac:dyDescent="0.25">
      <c r="A6" s="50" t="s">
        <v>71</v>
      </c>
      <c r="B6" s="50" t="s">
        <v>99</v>
      </c>
      <c r="C6" s="50" t="s">
        <v>92</v>
      </c>
      <c r="D6" s="51">
        <f>'LUC-2013-01-08-Run3'!AF7</f>
        <v>3.6843336955314182E-5</v>
      </c>
      <c r="E6" s="51">
        <f>'LUC-2013-01-08-Run3'!AG7</f>
        <v>3.6790336088918271E-5</v>
      </c>
      <c r="F6" s="51">
        <f>'LUC-2013-01-08-Run3'!AH7</f>
        <v>3.6735360620641035E-5</v>
      </c>
      <c r="G6" s="51">
        <f>'LUC-2013-01-08-Run3'!AI7</f>
        <v>3.667954216924579E-5</v>
      </c>
      <c r="H6" s="51">
        <f>'LUC-2013-01-08-Run3'!AJ7</f>
        <v>3.6623172446285202E-5</v>
      </c>
      <c r="I6" s="51">
        <f>'LUC-2013-01-08-Run3'!AK7</f>
        <v>3.6566333390967918E-5</v>
      </c>
      <c r="J6" s="51">
        <f>'LUC-2013-01-08-Run3'!AL7</f>
        <v>3.6509049093726465E-5</v>
      </c>
      <c r="K6" s="51">
        <f>'LUC-2013-01-08-Run3'!AM7</f>
        <v>3.6451465927738483E-5</v>
      </c>
      <c r="L6" s="51">
        <f>'LUC-2013-01-08-Run3'!AN7</f>
        <v>3.6393772236650164E-5</v>
      </c>
      <c r="M6" s="51">
        <f>'LUC-2013-01-08-Run3'!AO7</f>
        <v>3.6336058437465606E-5</v>
      </c>
      <c r="N6" s="51">
        <f>'LUC-2013-01-08-Run3'!AP7</f>
        <v>3.6278480991528786E-5</v>
      </c>
      <c r="O6" s="51">
        <f>'LUC-2013-01-08-Run3'!AQ7</f>
        <v>3.6221086104825362E-5</v>
      </c>
      <c r="P6" s="51">
        <f>'LUC-2013-01-08-Run3'!AR7</f>
        <v>3.6163908142653389E-5</v>
      </c>
      <c r="Q6" s="51">
        <f>'LUC-2013-01-08-Run3'!AS7</f>
        <v>3.6106967137093158E-5</v>
      </c>
      <c r="R6" s="51">
        <f>'LUC-2013-01-08-Run3'!AT7</f>
        <v>3.6050252332744931E-5</v>
      </c>
      <c r="S6" s="51">
        <f>'LUC-2013-01-08-Run3'!AU7</f>
        <v>3.5993815782955002E-5</v>
      </c>
      <c r="T6" s="51">
        <f>'LUC-2013-01-08-Run3'!AV7</f>
        <v>3.6240761422145941E-5</v>
      </c>
      <c r="U6" s="51">
        <f>'LUC-2013-01-08-Run3'!AW7</f>
        <v>3.6488319224976524E-5</v>
      </c>
      <c r="V6" s="51">
        <f>'LUC-2013-01-08-Run3'!AX7</f>
        <v>3.6736401572061515E-5</v>
      </c>
      <c r="W6" s="51">
        <f>'LUC-2013-01-08-Run3'!AY7</f>
        <v>3.6984942058821465E-5</v>
      </c>
      <c r="X6" s="51">
        <f>'LUC-2013-01-08-Run3'!AZ7</f>
        <v>3.7233916194726742E-5</v>
      </c>
      <c r="Y6" s="51">
        <f>'LUC-2013-01-08-Run3'!BA7</f>
        <v>3.7483340931640341E-5</v>
      </c>
      <c r="Z6" s="51">
        <f>'LUC-2013-01-08-Run3'!BB7</f>
        <v>3.7733264583550239E-5</v>
      </c>
      <c r="AA6" s="51">
        <f>'LUC-2013-01-08-Run3'!BC7</f>
        <v>3.7983771721610727E-5</v>
      </c>
      <c r="AB6" s="51">
        <f>'LUC-2013-01-08-Run3'!BD7</f>
        <v>3.8234915476011561E-5</v>
      </c>
      <c r="AC6" s="51">
        <f>'LUC-2013-01-08-Run3'!BE7</f>
        <v>3.8486709306004642E-5</v>
      </c>
      <c r="AD6" s="51">
        <f>'LUC-2013-01-08-Run3'!BF7</f>
        <v>3.8739112982091046E-5</v>
      </c>
      <c r="AE6" s="51">
        <f>'LUC-2013-01-08-Run3'!BG7</f>
        <v>3.8992095716647596E-5</v>
      </c>
      <c r="AF6" s="51">
        <f>'LUC-2013-01-08-Run3'!BH7</f>
        <v>3.924562373175183E-5</v>
      </c>
      <c r="AG6" s="51">
        <f>'LUC-2013-01-08-Run3'!BI7</f>
        <v>3.9499678545098855E-5</v>
      </c>
      <c r="AH6" s="51">
        <f>'LUC-2013-01-08-Run3'!BJ7</f>
        <v>3.9754240321908044E-5</v>
      </c>
      <c r="AI6" s="51">
        <f>'LUC-2013-01-08-Run3'!BK7</f>
        <v>4.000932417248637E-5</v>
      </c>
      <c r="AJ6" s="51">
        <f>'LUC-2013-01-08-Run3'!BL7</f>
        <v>4.026490274229546E-5</v>
      </c>
      <c r="AK6" s="51">
        <f>'LUC-2013-01-08-Run3'!BM7</f>
        <v>4.0520979757742613E-5</v>
      </c>
      <c r="AL6" s="51">
        <f>'LUC-2013-01-08-Run3'!BN7</f>
        <v>4.077753345059938E-5</v>
      </c>
      <c r="AM6" s="51">
        <f>'LUC-2013-01-08-Run3'!BO7</f>
        <v>4.103455970645964E-5</v>
      </c>
      <c r="AN6" s="51">
        <f>'LUC-2013-01-08-Run3'!BP7</f>
        <v>4.1292070796830004E-5</v>
      </c>
      <c r="AO6" s="51">
        <f>'LUC-2013-01-08-Run3'!BQ7</f>
        <v>4.1550084585070373E-5</v>
      </c>
      <c r="AP6" s="51">
        <f>'LUC-2013-01-08-Run3'!BR7</f>
        <v>4.1808652143139597E-5</v>
      </c>
      <c r="AQ6" s="51">
        <f>'LUC-2013-01-08-Run3'!BS7</f>
        <v>4.2067777718082665E-5</v>
      </c>
      <c r="AR6" s="51">
        <f>'LUC-2013-01-08-Run3'!BT7</f>
        <v>4.205732655042336E-5</v>
      </c>
      <c r="AS6" s="51">
        <f>'LUC-2013-01-08-Run3'!BU7</f>
        <v>4.20475698536695E-5</v>
      </c>
      <c r="AT6" s="51">
        <f>'LUC-2013-01-08-Run3'!BV7</f>
        <v>4.2038515839406725E-5</v>
      </c>
      <c r="AU6" s="51">
        <f>'LUC-2013-01-08-Run3'!BW7</f>
        <v>4.2030165165065959E-5</v>
      </c>
      <c r="AV6" s="51">
        <f>'LUC-2013-01-08-Run3'!BX7</f>
        <v>4.2022517883421977E-5</v>
      </c>
      <c r="AW6" s="51">
        <f>'LUC-2013-01-08-Run3'!BY7</f>
        <v>4.2015578646874784E-5</v>
      </c>
      <c r="AX6" s="51">
        <f>'LUC-2013-01-08-Run3'!BZ7</f>
        <v>4.2009349904398449E-5</v>
      </c>
      <c r="AY6" s="51">
        <f>'LUC-2013-01-08-Run3'!CA7</f>
        <v>4.2003839410619271E-5</v>
      </c>
      <c r="AZ6" s="51">
        <f>'LUC-2013-01-08-Run3'!CB7</f>
        <v>4.1999035700128213E-5</v>
      </c>
      <c r="BA6" s="51">
        <f>'LUC-2013-01-08-Run3'!CC7</f>
        <v>4.1994954482370675E-5</v>
      </c>
      <c r="BB6" s="51">
        <f>'LUC-2013-01-08-Run3'!CD7</f>
        <v>4.1991583571040976E-5</v>
      </c>
      <c r="BC6" s="51">
        <f>'LUC-2013-01-08-Run3'!CE7</f>
        <v>4.198892315455593E-5</v>
      </c>
      <c r="BD6" s="51">
        <f>'LUC-2013-01-08-Run3'!CF7</f>
        <v>4.1986974316149639E-5</v>
      </c>
      <c r="BE6" s="51">
        <f>'LUC-2013-01-08-Run3'!CG7</f>
        <v>4.1985724723765034E-5</v>
      </c>
      <c r="BF6" s="51">
        <f>'LUC-2013-01-08-Run3'!CH7</f>
        <v>4.1985181176711097E-5</v>
      </c>
      <c r="BG6" s="51">
        <f>'LUC-2013-01-08-Run3'!CI7</f>
        <v>4.1985334042555348E-5</v>
      </c>
      <c r="BH6" s="51">
        <f>'LUC-2013-01-08-Run3'!CJ7</f>
        <v>4.1986179969974803E-5</v>
      </c>
      <c r="BI6" s="51">
        <f>'LUC-2013-01-08-Run3'!CK7</f>
        <v>4.1987715798084247E-5</v>
      </c>
      <c r="BJ6" s="51">
        <f>'LUC-2013-01-08-Run3'!CL7</f>
        <v>4.1989957362986156E-5</v>
      </c>
      <c r="BK6" s="51">
        <f>'LUC-2013-01-08-Run3'!CM7</f>
        <v>4.1992888143846221E-5</v>
      </c>
      <c r="BM6" s="105"/>
      <c r="BN6" s="50" t="s">
        <v>99</v>
      </c>
      <c r="BO6" s="64">
        <f t="shared" si="6"/>
        <v>36.843336955314179</v>
      </c>
      <c r="BP6" s="64">
        <f t="shared" si="0"/>
        <v>36.33605843746561</v>
      </c>
      <c r="BQ6" s="64">
        <f t="shared" si="1"/>
        <v>36.984942058821467</v>
      </c>
      <c r="BR6" s="64">
        <f t="shared" si="2"/>
        <v>39.499678545098853</v>
      </c>
      <c r="BS6" s="64">
        <f t="shared" si="3"/>
        <v>42.067777718082667</v>
      </c>
      <c r="BT6" s="64">
        <f t="shared" si="4"/>
        <v>41.994954482370673</v>
      </c>
      <c r="BU6" s="64">
        <f t="shared" si="5"/>
        <v>41.992888143846223</v>
      </c>
    </row>
    <row r="7" spans="1:73" x14ac:dyDescent="0.25">
      <c r="A7" s="50" t="s">
        <v>71</v>
      </c>
      <c r="B7" s="50" t="s">
        <v>100</v>
      </c>
      <c r="C7" s="50" t="s">
        <v>92</v>
      </c>
      <c r="D7" s="51">
        <f>'LUC-2013-01-08-Run3'!AF8</f>
        <v>5.2769166477933858E-5</v>
      </c>
      <c r="E7" s="51">
        <f>'LUC-2013-01-08-Run3'!AG8</f>
        <v>5.2693255559611984E-5</v>
      </c>
      <c r="F7" s="51">
        <f>'LUC-2013-01-08-Run3'!AH8</f>
        <v>5.2614516501821335E-5</v>
      </c>
      <c r="G7" s="51">
        <f>'LUC-2013-01-08-Run3'!AI8</f>
        <v>5.25345700746617E-5</v>
      </c>
      <c r="H7" s="51">
        <f>'LUC-2013-01-08-Run3'!AJ8</f>
        <v>5.2453834084356881E-5</v>
      </c>
      <c r="I7" s="51">
        <f>'LUC-2013-01-08-Run3'!AK8</f>
        <v>5.2372425888999203E-5</v>
      </c>
      <c r="J7" s="51">
        <f>'LUC-2013-01-08-Run3'!AL8</f>
        <v>5.2290379992305006E-5</v>
      </c>
      <c r="K7" s="51">
        <f>'LUC-2013-01-08-Run3'!AM8</f>
        <v>5.2207906038438337E-5</v>
      </c>
      <c r="L7" s="51">
        <f>'LUC-2013-01-08-Run3'!AN8</f>
        <v>5.2125273784105413E-5</v>
      </c>
      <c r="M7" s="51">
        <f>'LUC-2013-01-08-Run3'!AO8</f>
        <v>5.204261272978946E-5</v>
      </c>
      <c r="N7" s="51">
        <f>'LUC-2013-01-08-Run3'!AP8</f>
        <v>5.1960146968512207E-5</v>
      </c>
      <c r="O7" s="51">
        <f>'LUC-2013-01-08-Run3'!AQ8</f>
        <v>5.187794267916924E-5</v>
      </c>
      <c r="P7" s="51">
        <f>'LUC-2013-01-08-Run3'!AR8</f>
        <v>5.1796049081735804E-5</v>
      </c>
      <c r="Q7" s="51">
        <f>'LUC-2013-01-08-Run3'!AS8</f>
        <v>5.1714494867320529E-5</v>
      </c>
      <c r="R7" s="51">
        <f>'LUC-2013-01-08-Run3'!AT8</f>
        <v>5.1633264631415317E-5</v>
      </c>
      <c r="S7" s="51">
        <f>'LUC-2013-01-08-Run3'!AU8</f>
        <v>5.1552432927845249E-5</v>
      </c>
      <c r="T7" s="51">
        <f>'LUC-2013-01-08-Run3'!AV8</f>
        <v>5.1426673049312509E-5</v>
      </c>
      <c r="U7" s="51">
        <f>'LUC-2013-01-08-Run3'!AW8</f>
        <v>5.1301940254642099E-5</v>
      </c>
      <c r="V7" s="51">
        <f>'LUC-2013-01-08-Run3'!AX8</f>
        <v>5.1178110902497184E-5</v>
      </c>
      <c r="W7" s="51">
        <f>'LUC-2013-01-08-Run3'!AY8</f>
        <v>5.105509507926116E-5</v>
      </c>
      <c r="X7" s="51">
        <f>'LUC-2013-01-08-Run3'!AZ8</f>
        <v>5.0932863792962064E-5</v>
      </c>
      <c r="Y7" s="51">
        <f>'LUC-2013-01-08-Run3'!BA8</f>
        <v>5.0811445390446209E-5</v>
      </c>
      <c r="Z7" s="51">
        <f>'LUC-2013-01-08-Run3'!BB8</f>
        <v>5.0690909576079458E-5</v>
      </c>
      <c r="AA7" s="51">
        <f>'LUC-2013-01-08-Run3'!BC8</f>
        <v>5.0571372672563091E-5</v>
      </c>
      <c r="AB7" s="51">
        <f>'LUC-2013-01-08-Run3'!BD8</f>
        <v>5.0452904928954989E-5</v>
      </c>
      <c r="AC7" s="51">
        <f>'LUC-2013-01-08-Run3'!BE8</f>
        <v>5.0335521782884781E-5</v>
      </c>
      <c r="AD7" s="51">
        <f>'LUC-2013-01-08-Run3'!BF8</f>
        <v>5.0219168035245482E-5</v>
      </c>
      <c r="AE7" s="51">
        <f>'LUC-2013-01-08-Run3'!BG8</f>
        <v>5.0103801412425793E-5</v>
      </c>
      <c r="AF7" s="51">
        <f>'LUC-2013-01-08-Run3'!BH8</f>
        <v>4.9989377866887931E-5</v>
      </c>
      <c r="AG7" s="51">
        <f>'LUC-2013-01-08-Run3'!BI8</f>
        <v>4.9875873697931907E-5</v>
      </c>
      <c r="AH7" s="51">
        <f>'LUC-2013-01-08-Run3'!BJ8</f>
        <v>4.9763264739644714E-5</v>
      </c>
      <c r="AI7" s="51">
        <f>'LUC-2013-01-08-Run3'!BK8</f>
        <v>4.9651571402519582E-5</v>
      </c>
      <c r="AJ7" s="51">
        <f>'LUC-2013-01-08-Run3'!BL8</f>
        <v>4.9540760809332245E-5</v>
      </c>
      <c r="AK7" s="51">
        <f>'LUC-2013-01-08-Run3'!BM8</f>
        <v>4.9430839326372468E-5</v>
      </c>
      <c r="AL7" s="51">
        <f>'LUC-2013-01-08-Run3'!BN8</f>
        <v>4.9321782578794245E-5</v>
      </c>
      <c r="AM7" s="51">
        <f>'LUC-2013-01-08-Run3'!BO8</f>
        <v>4.921358818595785E-5</v>
      </c>
      <c r="AN7" s="51">
        <f>'LUC-2013-01-08-Run3'!BP8</f>
        <v>4.9106274165759208E-5</v>
      </c>
      <c r="AO7" s="51">
        <f>'LUC-2013-01-08-Run3'!BQ8</f>
        <v>4.8999864266282466E-5</v>
      </c>
      <c r="AP7" s="51">
        <f>'LUC-2013-01-08-Run3'!BR8</f>
        <v>4.8894420639971825E-5</v>
      </c>
      <c r="AQ7" s="51">
        <f>'LUC-2013-01-08-Run3'!BS8</f>
        <v>4.878994838437421E-5</v>
      </c>
      <c r="AR7" s="51">
        <f>'LUC-2013-01-08-Run3'!BT8</f>
        <v>4.8777827184769348E-5</v>
      </c>
      <c r="AS7" s="51">
        <f>'LUC-2013-01-08-Run3'!BU8</f>
        <v>4.8766511428224931E-5</v>
      </c>
      <c r="AT7" s="51">
        <f>'LUC-2013-01-08-Run3'!BV8</f>
        <v>4.8756010638487174E-5</v>
      </c>
      <c r="AU7" s="51">
        <f>'LUC-2013-01-08-Run3'!BW8</f>
        <v>4.8746325578040402E-5</v>
      </c>
      <c r="AV7" s="51">
        <f>'LUC-2013-01-08-Run3'!BX8</f>
        <v>4.8737456308092499E-5</v>
      </c>
      <c r="AW7" s="51">
        <f>'LUC-2013-01-08-Run3'!BY8</f>
        <v>4.872940822446818E-5</v>
      </c>
      <c r="AX7" s="51">
        <f>'LUC-2013-01-08-Run3'!BZ8</f>
        <v>4.8722184167472422E-5</v>
      </c>
      <c r="AY7" s="51">
        <f>'LUC-2013-01-08-Run3'!CA8</f>
        <v>4.8715793130872858E-5</v>
      </c>
      <c r="AZ7" s="51">
        <f>'LUC-2013-01-08-Run3'!CB8</f>
        <v>4.8710221817159014E-5</v>
      </c>
      <c r="BA7" s="51">
        <f>'LUC-2013-01-08-Run3'!CC8</f>
        <v>4.8705488446048469E-5</v>
      </c>
      <c r="BB7" s="51">
        <f>'LUC-2013-01-08-Run3'!CD8</f>
        <v>4.8701578883939272E-5</v>
      </c>
      <c r="BC7" s="51">
        <f>'LUC-2013-01-08-Run3'!CE8</f>
        <v>4.8698493349356099E-5</v>
      </c>
      <c r="BD7" s="51">
        <f>'LUC-2013-01-08-Run3'!CF8</f>
        <v>4.8696233098627154E-5</v>
      </c>
      <c r="BE7" s="51">
        <f>'LUC-2013-01-08-Run3'!CG8</f>
        <v>4.8694783829108917E-5</v>
      </c>
      <c r="BF7" s="51">
        <f>'LUC-2013-01-08-Run3'!CH8</f>
        <v>4.8694153426597895E-5</v>
      </c>
      <c r="BG7" s="51">
        <f>'LUC-2013-01-08-Run3'!CI8</f>
        <v>4.8694330719458511E-5</v>
      </c>
      <c r="BH7" s="51">
        <f>'LUC-2013-01-08-Run3'!CJ8</f>
        <v>4.8695311820847057E-5</v>
      </c>
      <c r="BI7" s="51">
        <f>'LUC-2013-01-08-Run3'!CK8</f>
        <v>4.8697093064788418E-5</v>
      </c>
      <c r="BJ7" s="51">
        <f>'LUC-2013-01-08-Run3'!CL8</f>
        <v>4.8699692817896317E-5</v>
      </c>
      <c r="BK7" s="51">
        <f>'LUC-2013-01-08-Run3'!CM8</f>
        <v>4.870309191940927E-5</v>
      </c>
      <c r="BM7" s="105"/>
      <c r="BN7" s="53" t="s">
        <v>100</v>
      </c>
      <c r="BO7" s="61">
        <f t="shared" si="6"/>
        <v>52.769166477933858</v>
      </c>
      <c r="BP7" s="61">
        <f t="shared" si="0"/>
        <v>52.042612729789461</v>
      </c>
      <c r="BQ7" s="61">
        <f t="shared" si="1"/>
        <v>51.055095079261157</v>
      </c>
      <c r="BR7" s="61">
        <f t="shared" si="2"/>
        <v>49.875873697931908</v>
      </c>
      <c r="BS7" s="61">
        <f t="shared" si="3"/>
        <v>48.789948384374213</v>
      </c>
      <c r="BT7" s="61">
        <f t="shared" si="4"/>
        <v>48.70548844604847</v>
      </c>
      <c r="BU7" s="61">
        <f t="shared" si="5"/>
        <v>48.703091919409268</v>
      </c>
    </row>
    <row r="8" spans="1:73" x14ac:dyDescent="0.25">
      <c r="A8" s="50" t="s">
        <v>71</v>
      </c>
      <c r="B8" s="50" t="s">
        <v>101</v>
      </c>
      <c r="C8" s="50" t="s">
        <v>92</v>
      </c>
      <c r="D8" s="51">
        <f>'LUC-2013-01-08-Run3'!AF9</f>
        <v>3.755643379961059E-5</v>
      </c>
      <c r="E8" s="51">
        <f>'LUC-2013-01-08-Run3'!AG9</f>
        <v>3.7502407109994121E-5</v>
      </c>
      <c r="F8" s="51">
        <f>'LUC-2013-01-08-Run3'!AH9</f>
        <v>3.7446367600395375E-5</v>
      </c>
      <c r="G8" s="51">
        <f>'LUC-2013-01-08-Run3'!AI9</f>
        <v>3.7389468791876361E-5</v>
      </c>
      <c r="H8" s="51">
        <f>'LUC-2013-01-08-Run3'!AJ9</f>
        <v>3.7332008042019762E-5</v>
      </c>
      <c r="I8" s="51">
        <f>'LUC-2013-01-08-Run3'!AK9</f>
        <v>3.7274068875954395E-5</v>
      </c>
      <c r="J8" s="51">
        <f>'LUC-2013-01-08-Run3'!AL9</f>
        <v>3.7215675850379237E-5</v>
      </c>
      <c r="K8" s="51">
        <f>'LUC-2013-01-08-Run3'!AM9</f>
        <v>3.7156978171501163E-5</v>
      </c>
      <c r="L8" s="51">
        <f>'LUC-2013-01-08-Run3'!AN9</f>
        <v>3.7098167828327268E-5</v>
      </c>
      <c r="M8" s="51">
        <f>'LUC-2013-01-08-Run3'!AO9</f>
        <v>3.7039336987868168E-5</v>
      </c>
      <c r="N8" s="51">
        <f>'LUC-2013-01-08-Run3'!AP9</f>
        <v>3.6980645139751931E-5</v>
      </c>
      <c r="O8" s="51">
        <f>'LUC-2013-01-08-Run3'!AQ9</f>
        <v>3.692213938427361E-5</v>
      </c>
      <c r="P8" s="51">
        <f>'LUC-2013-01-08-Run3'!AR9</f>
        <v>3.6863854751866036E-5</v>
      </c>
      <c r="Q8" s="51">
        <f>'LUC-2013-01-08-Run3'!AS9</f>
        <v>3.6805811662327231E-5</v>
      </c>
      <c r="R8" s="51">
        <f>'LUC-2013-01-08-Run3'!AT9</f>
        <v>3.6747999152088383E-5</v>
      </c>
      <c r="S8" s="51">
        <f>'LUC-2013-01-08-Run3'!AU9</f>
        <v>3.6690470281979947E-5</v>
      </c>
      <c r="T8" s="51">
        <f>'LUC-2013-01-08-Run3'!AV9</f>
        <v>3.6554387193524668E-5</v>
      </c>
      <c r="U8" s="51">
        <f>'LUC-2013-01-08-Run3'!AW9</f>
        <v>3.6419049694988411E-5</v>
      </c>
      <c r="V8" s="51">
        <f>'LUC-2013-01-08-Run3'!AX9</f>
        <v>3.6284369969327323E-5</v>
      </c>
      <c r="W8" s="51">
        <f>'LUC-2013-01-08-Run3'!AY9</f>
        <v>3.6150284528647284E-5</v>
      </c>
      <c r="X8" s="51">
        <f>'LUC-2013-01-08-Run3'!AZ9</f>
        <v>3.6016773330156356E-5</v>
      </c>
      <c r="Y8" s="51">
        <f>'LUC-2013-01-08-Run3'!BA9</f>
        <v>3.5883856943783344E-5</v>
      </c>
      <c r="Z8" s="51">
        <f>'LUC-2013-01-08-Run3'!BB9</f>
        <v>3.5751585028125387E-5</v>
      </c>
      <c r="AA8" s="51">
        <f>'LUC-2013-01-08-Run3'!BC9</f>
        <v>3.5620039904606293E-5</v>
      </c>
      <c r="AB8" s="51">
        <f>'LUC-2013-01-08-Run3'!BD9</f>
        <v>3.5489271002261883E-5</v>
      </c>
      <c r="AC8" s="51">
        <f>'LUC-2013-01-08-Run3'!BE9</f>
        <v>3.5359288935229114E-5</v>
      </c>
      <c r="AD8" s="51">
        <f>'LUC-2013-01-08-Run3'!BF9</f>
        <v>3.5230054652750892E-5</v>
      </c>
      <c r="AE8" s="51">
        <f>'LUC-2013-01-08-Run3'!BG9</f>
        <v>3.510153824522978E-5</v>
      </c>
      <c r="AF8" s="51">
        <f>'LUC-2013-01-08-Run3'!BH9</f>
        <v>3.497370878428771E-5</v>
      </c>
      <c r="AG8" s="51">
        <f>'LUC-2013-01-08-Run3'!BI9</f>
        <v>3.4846549671034063E-5</v>
      </c>
      <c r="AH8" s="51">
        <f>'LUC-2013-01-08-Run3'!BJ9</f>
        <v>3.4720044118473136E-5</v>
      </c>
      <c r="AI8" s="51">
        <f>'LUC-2013-01-08-Run3'!BK9</f>
        <v>3.4594206533365417E-5</v>
      </c>
      <c r="AJ8" s="51">
        <f>'LUC-2013-01-08-Run3'!BL9</f>
        <v>3.4469014128796276E-5</v>
      </c>
      <c r="AK8" s="51">
        <f>'LUC-2013-01-08-Run3'!BM9</f>
        <v>3.434447153570656E-5</v>
      </c>
      <c r="AL8" s="51">
        <f>'LUC-2013-01-08-Run3'!BN9</f>
        <v>3.4220562067128782E-5</v>
      </c>
      <c r="AM8" s="51">
        <f>'LUC-2013-01-08-Run3'!BO9</f>
        <v>3.4097284369947345E-5</v>
      </c>
      <c r="AN8" s="51">
        <f>'LUC-2013-01-08-Run3'!BP9</f>
        <v>3.3974651310643246E-5</v>
      </c>
      <c r="AO8" s="51">
        <f>'LUC-2013-01-08-Run3'!BQ9</f>
        <v>3.3852679612556282E-5</v>
      </c>
      <c r="AP8" s="51">
        <f>'LUC-2013-01-08-Run3'!BR9</f>
        <v>3.3731412442074227E-5</v>
      </c>
      <c r="AQ8" s="51">
        <f>'LUC-2013-01-08-Run3'!BS9</f>
        <v>3.3610853331457794E-5</v>
      </c>
      <c r="AR8" s="51">
        <f>'LUC-2013-01-08-Run3'!BT9</f>
        <v>3.3602503171729998E-5</v>
      </c>
      <c r="AS8" s="51">
        <f>'LUC-2013-01-08-Run3'!BU9</f>
        <v>3.359470787277717E-5</v>
      </c>
      <c r="AT8" s="51">
        <f>'LUC-2013-01-08-Run3'!BV9</f>
        <v>3.3587473995402277E-5</v>
      </c>
      <c r="AU8" s="51">
        <f>'LUC-2013-01-08-Run3'!BW9</f>
        <v>3.3580802064872276E-5</v>
      </c>
      <c r="AV8" s="51">
        <f>'LUC-2013-01-08-Run3'!BX9</f>
        <v>3.3574692123352602E-5</v>
      </c>
      <c r="AW8" s="51">
        <f>'LUC-2013-01-08-Run3'!BY9</f>
        <v>3.3569147887966958E-5</v>
      </c>
      <c r="AX8" s="51">
        <f>'LUC-2013-01-08-Run3'!BZ9</f>
        <v>3.3564171315369903E-5</v>
      </c>
      <c r="AY8" s="51">
        <f>'LUC-2013-01-08-Run3'!CA9</f>
        <v>3.3559768601267973E-5</v>
      </c>
      <c r="AZ8" s="51">
        <f>'LUC-2013-01-08-Run3'!CB9</f>
        <v>3.3555930585153986E-5</v>
      </c>
      <c r="BA8" s="51">
        <f>'LUC-2013-01-08-Run3'!CC9</f>
        <v>3.3552669818388946E-5</v>
      </c>
      <c r="BB8" s="51">
        <f>'LUC-2013-01-08-Run3'!CD9</f>
        <v>3.3549976564491491E-5</v>
      </c>
      <c r="BC8" s="51">
        <f>'LUC-2013-01-08-Run3'!CE9</f>
        <v>3.3547850974000863E-5</v>
      </c>
      <c r="BD8" s="51">
        <f>'LUC-2013-01-08-Run3'!CF9</f>
        <v>3.3546293912387592E-5</v>
      </c>
      <c r="BE8" s="51">
        <f>'LUC-2013-01-08-Run3'!CG9</f>
        <v>3.3545295526719481E-5</v>
      </c>
      <c r="BF8" s="51">
        <f>'LUC-2013-01-08-Run3'!CH9</f>
        <v>3.3544861249434111E-5</v>
      </c>
      <c r="BG8" s="51">
        <f>'LUC-2013-01-08-Run3'!CI9</f>
        <v>3.354498338451587E-5</v>
      </c>
      <c r="BH8" s="51">
        <f>'LUC-2013-01-08-Run3'!CJ9</f>
        <v>3.3545659254361305E-5</v>
      </c>
      <c r="BI8" s="51">
        <f>'LUC-2013-01-08-Run3'!CK9</f>
        <v>3.3546886333520914E-5</v>
      </c>
      <c r="BJ8" s="51">
        <f>'LUC-2013-01-08-Run3'!CL9</f>
        <v>3.3548677274550791E-5</v>
      </c>
      <c r="BK8" s="51">
        <f>'LUC-2013-01-08-Run3'!CM9</f>
        <v>3.3551018877815263E-5</v>
      </c>
      <c r="BM8" s="105"/>
      <c r="BN8" s="53" t="s">
        <v>101</v>
      </c>
      <c r="BO8" s="61">
        <f t="shared" si="6"/>
        <v>37.556433799610588</v>
      </c>
      <c r="BP8" s="61">
        <f t="shared" si="0"/>
        <v>37.039336987868168</v>
      </c>
      <c r="BQ8" s="61">
        <f t="shared" si="1"/>
        <v>36.150284528647283</v>
      </c>
      <c r="BR8" s="61">
        <f t="shared" si="2"/>
        <v>34.846549671034062</v>
      </c>
      <c r="BS8" s="61">
        <f t="shared" si="3"/>
        <v>33.610853331457797</v>
      </c>
      <c r="BT8" s="61">
        <f t="shared" si="4"/>
        <v>33.552669818388949</v>
      </c>
      <c r="BU8" s="61">
        <f t="shared" si="5"/>
        <v>33.551018877815267</v>
      </c>
    </row>
    <row r="9" spans="1:73" x14ac:dyDescent="0.25">
      <c r="A9" s="50" t="s">
        <v>71</v>
      </c>
      <c r="B9" s="50" t="s">
        <v>111</v>
      </c>
      <c r="C9" s="50" t="s">
        <v>92</v>
      </c>
      <c r="D9" s="51">
        <f>'LUC-2013-01-08-Run3'!AF10</f>
        <v>3.2802454837634565E-5</v>
      </c>
      <c r="E9" s="51">
        <f>'LUC-2013-01-08-Run3'!AG10</f>
        <v>3.2755266969488529E-5</v>
      </c>
      <c r="F9" s="51">
        <f>'LUC-2013-01-08-Run3'!AH10</f>
        <v>3.2706321068699752E-5</v>
      </c>
      <c r="G9" s="51">
        <f>'LUC-2013-01-08-Run3'!AI10</f>
        <v>3.2656624641005933E-5</v>
      </c>
      <c r="H9" s="51">
        <f>'LUC-2013-01-08-Run3'!AJ10</f>
        <v>3.260643740378941E-5</v>
      </c>
      <c r="I9" s="51">
        <f>'LUC-2013-01-08-Run3'!AK10</f>
        <v>3.2555832309377881E-5</v>
      </c>
      <c r="J9" s="51">
        <f>'LUC-2013-01-08-Run3'!AL10</f>
        <v>3.2504830806027448E-5</v>
      </c>
      <c r="K9" s="51">
        <f>'LUC-2013-01-08-Run3'!AM10</f>
        <v>3.2453563213083297E-5</v>
      </c>
      <c r="L9" s="51">
        <f>'LUC-2013-01-08-Run3'!AN10</f>
        <v>3.2402197217146604E-5</v>
      </c>
      <c r="M9" s="51">
        <f>'LUC-2013-01-08-Run3'!AO10</f>
        <v>3.2350813318517766E-5</v>
      </c>
      <c r="N9" s="51">
        <f>'LUC-2013-01-08-Run3'!AP10</f>
        <v>3.2299550818264349E-5</v>
      </c>
      <c r="O9" s="51">
        <f>'LUC-2013-01-08-Run3'!AQ10</f>
        <v>3.2248450854618708E-5</v>
      </c>
      <c r="P9" s="51">
        <f>'LUC-2013-01-08-Run3'!AR10</f>
        <v>3.2197544023781722E-5</v>
      </c>
      <c r="Q9" s="51">
        <f>'LUC-2013-01-08-Run3'!AS10</f>
        <v>3.2146848160766819E-5</v>
      </c>
      <c r="R9" s="51">
        <f>'LUC-2013-01-08-Run3'!AT10</f>
        <v>3.2096353689798707E-5</v>
      </c>
      <c r="S9" s="51">
        <f>'LUC-2013-01-08-Run3'!AU10</f>
        <v>3.2046106955147048E-5</v>
      </c>
      <c r="T9" s="51">
        <f>'LUC-2013-01-08-Run3'!AV10</f>
        <v>3.2141497387667968E-5</v>
      </c>
      <c r="U9" s="51">
        <f>'LUC-2013-01-08-Run3'!AW10</f>
        <v>3.2237471864924206E-5</v>
      </c>
      <c r="V9" s="51">
        <f>'LUC-2013-01-08-Run3'!AX10</f>
        <v>3.2333952858260567E-5</v>
      </c>
      <c r="W9" s="51">
        <f>'LUC-2013-01-08-Run3'!AY10</f>
        <v>3.2430882594832423E-5</v>
      </c>
      <c r="X9" s="51">
        <f>'LUC-2013-01-08-Run3'!AZ10</f>
        <v>3.252824084985104E-5</v>
      </c>
      <c r="Y9" s="51">
        <f>'LUC-2013-01-08-Run3'!BA10</f>
        <v>3.2626043771889077E-5</v>
      </c>
      <c r="Z9" s="51">
        <f>'LUC-2013-01-08-Run3'!BB10</f>
        <v>3.2724334507413949E-5</v>
      </c>
      <c r="AA9" s="51">
        <f>'LUC-2013-01-08-Run3'!BC10</f>
        <v>3.2823187104594656E-5</v>
      </c>
      <c r="AB9" s="51">
        <f>'LUC-2013-01-08-Run3'!BD10</f>
        <v>3.2922647348466289E-5</v>
      </c>
      <c r="AC9" s="51">
        <f>'LUC-2013-01-08-Run3'!BE10</f>
        <v>3.3022726225326942E-5</v>
      </c>
      <c r="AD9" s="51">
        <f>'LUC-2013-01-08-Run3'!BF10</f>
        <v>3.3123388546184533E-5</v>
      </c>
      <c r="AE9" s="51">
        <f>'LUC-2013-01-08-Run3'!BG10</f>
        <v>3.322460737319037E-5</v>
      </c>
      <c r="AF9" s="51">
        <f>'LUC-2013-01-08-Run3'!BH10</f>
        <v>3.3326353757518896E-5</v>
      </c>
      <c r="AG9" s="51">
        <f>'LUC-2013-01-08-Run3'!BI10</f>
        <v>3.3428611963271228E-5</v>
      </c>
      <c r="AH9" s="51">
        <f>'LUC-2013-01-08-Run3'!BJ10</f>
        <v>3.3531365432526505E-5</v>
      </c>
      <c r="AI9" s="51">
        <f>'LUC-2013-01-08-Run3'!BK10</f>
        <v>3.3634627298655102E-5</v>
      </c>
      <c r="AJ9" s="51">
        <f>'LUC-2013-01-08-Run3'!BL10</f>
        <v>3.3738374843246775E-5</v>
      </c>
      <c r="AK9" s="51">
        <f>'LUC-2013-01-08-Run3'!BM10</f>
        <v>3.3842611651175989E-5</v>
      </c>
      <c r="AL9" s="51">
        <f>'LUC-2013-01-08-Run3'!BN10</f>
        <v>3.3947320107804405E-5</v>
      </c>
      <c r="AM9" s="51">
        <f>'LUC-2013-01-08-Run3'!BO10</f>
        <v>3.4052497461805553E-5</v>
      </c>
      <c r="AN9" s="51">
        <f>'LUC-2013-01-08-Run3'!BP10</f>
        <v>3.4158154753509541E-5</v>
      </c>
      <c r="AO9" s="51">
        <f>'LUC-2013-01-08-Run3'!BQ10</f>
        <v>3.4264307410199167E-5</v>
      </c>
      <c r="AP9" s="51">
        <f>'LUC-2013-01-08-Run3'!BR10</f>
        <v>3.4370998047757487E-5</v>
      </c>
      <c r="AQ9" s="51">
        <f>'LUC-2013-01-08-Run3'!BS10</f>
        <v>3.4478230191624447E-5</v>
      </c>
      <c r="AR9" s="51">
        <f>'LUC-2013-01-08-Run3'!BT10</f>
        <v>3.4469664543903668E-5</v>
      </c>
      <c r="AS9" s="51">
        <f>'LUC-2013-01-08-Run3'!BU10</f>
        <v>3.4461668075945619E-5</v>
      </c>
      <c r="AT9" s="51">
        <f>'LUC-2013-01-08-Run3'!BV10</f>
        <v>3.4454247517864263E-5</v>
      </c>
      <c r="AU9" s="51">
        <f>'LUC-2013-01-08-Run3'!BW10</f>
        <v>3.4447403408481883E-5</v>
      </c>
      <c r="AV9" s="51">
        <f>'LUC-2013-01-08-Run3'!BX10</f>
        <v>3.4441135791052025E-5</v>
      </c>
      <c r="AW9" s="51">
        <f>'LUC-2013-01-08-Run3'!BY10</f>
        <v>3.4435448478624177E-5</v>
      </c>
      <c r="AX9" s="51">
        <f>'LUC-2013-01-08-Run3'!BZ10</f>
        <v>3.4430343478347179E-5</v>
      </c>
      <c r="AY9" s="51">
        <f>'LUC-2013-01-08-Run3'!CA10</f>
        <v>3.4425827145816816E-5</v>
      </c>
      <c r="AZ9" s="51">
        <f>'LUC-2013-01-08-Run3'!CB10</f>
        <v>3.4421890084125702E-5</v>
      </c>
      <c r="BA9" s="51">
        <f>'LUC-2013-01-08-Run3'!CC10</f>
        <v>3.4418545168540914E-5</v>
      </c>
      <c r="BB9" s="51">
        <f>'LUC-2013-01-08-Run3'!CD10</f>
        <v>3.4415782411317079E-5</v>
      </c>
      <c r="BC9" s="51">
        <f>'LUC-2013-01-08-Run3'!CE10</f>
        <v>3.4413601966878305E-5</v>
      </c>
      <c r="BD9" s="51">
        <f>'LUC-2013-01-08-Run3'!CF10</f>
        <v>3.4412004723029851E-5</v>
      </c>
      <c r="BE9" s="51">
        <f>'LUC-2013-01-08-Run3'!CG10</f>
        <v>3.4410980572570303E-5</v>
      </c>
      <c r="BF9" s="51">
        <f>'LUC-2013-01-08-Run3'!CH10</f>
        <v>3.4410535088129198E-5</v>
      </c>
      <c r="BG9" s="51">
        <f>'LUC-2013-01-08-Run3'!CI10</f>
        <v>3.4410660375084007E-5</v>
      </c>
      <c r="BH9" s="51">
        <f>'LUC-2013-01-08-Run3'!CJ10</f>
        <v>3.441135368673192E-5</v>
      </c>
      <c r="BI9" s="51">
        <f>'LUC-2013-01-08-Run3'!CK10</f>
        <v>3.4412612432450478E-5</v>
      </c>
      <c r="BJ9" s="51">
        <f>'LUC-2013-01-08-Run3'!CL10</f>
        <v>3.4414449591313397E-5</v>
      </c>
      <c r="BK9" s="51">
        <f>'LUC-2013-01-08-Run3'!CM10</f>
        <v>3.4416851623049204E-5</v>
      </c>
      <c r="BM9" s="105"/>
      <c r="BN9" s="53" t="s">
        <v>111</v>
      </c>
      <c r="BO9" s="61">
        <f t="shared" si="6"/>
        <v>32.802454837634563</v>
      </c>
      <c r="BP9" s="61">
        <f t="shared" si="0"/>
        <v>32.350813318517766</v>
      </c>
      <c r="BQ9" s="61">
        <f t="shared" si="1"/>
        <v>32.430882594832426</v>
      </c>
      <c r="BR9" s="61">
        <f t="shared" si="2"/>
        <v>33.42861196327123</v>
      </c>
      <c r="BS9" s="61">
        <f t="shared" si="3"/>
        <v>34.478230191624448</v>
      </c>
      <c r="BT9" s="61">
        <f t="shared" si="4"/>
        <v>34.418545168540916</v>
      </c>
      <c r="BU9" s="61">
        <f t="shared" si="5"/>
        <v>34.416851623049205</v>
      </c>
    </row>
    <row r="10" spans="1:73" x14ac:dyDescent="0.25">
      <c r="A10" s="50" t="s">
        <v>71</v>
      </c>
      <c r="B10" s="50" t="s">
        <v>102</v>
      </c>
      <c r="C10" s="50" t="s">
        <v>92</v>
      </c>
      <c r="D10" s="51">
        <f>'LUC-2013-01-08-Run3'!AF11</f>
        <v>9.854236723099179E-6</v>
      </c>
      <c r="E10" s="51">
        <f>'LUC-2013-01-08-Run3'!AG11</f>
        <v>9.9823313516283816E-6</v>
      </c>
      <c r="F10" s="51">
        <f>'LUC-2013-01-08-Run3'!AH11</f>
        <v>1.0100376622903003E-5</v>
      </c>
      <c r="G10" s="51">
        <f>'LUC-2013-01-08-Run3'!AI11</f>
        <v>1.0217954371032664E-5</v>
      </c>
      <c r="H10" s="51">
        <f>'LUC-2013-01-08-Run3'!AJ11</f>
        <v>1.0335036222756833E-5</v>
      </c>
      <c r="I10" s="51">
        <f>'LUC-2013-01-08-Run3'!AK11</f>
        <v>1.0451609591361124E-5</v>
      </c>
      <c r="J10" s="51">
        <f>'LUC-2013-01-08-Run3'!AL11</f>
        <v>1.0567721275233579E-5</v>
      </c>
      <c r="K10" s="51">
        <f>'LUC-2013-01-08-Run3'!AM11</f>
        <v>1.0683584645201572E-5</v>
      </c>
      <c r="L10" s="51">
        <f>'LUC-2013-01-08-Run3'!AN11</f>
        <v>1.0799445063931594E-5</v>
      </c>
      <c r="M10" s="51">
        <f>'LUC-2013-01-08-Run3'!AO11</f>
        <v>1.0915504194081234E-5</v>
      </c>
      <c r="N10" s="51">
        <f>'LUC-2013-01-08-Run3'!AP11</f>
        <v>1.1031807456688384E-5</v>
      </c>
      <c r="O10" s="51">
        <f>'LUC-2013-01-08-Run3'!AQ11</f>
        <v>1.1148309525294568E-5</v>
      </c>
      <c r="P10" s="51">
        <f>'LUC-2013-01-08-Run3'!AR11</f>
        <v>1.1264870100794226E-5</v>
      </c>
      <c r="Q10" s="51">
        <f>'LUC-2013-01-08-Run3'!AS11</f>
        <v>1.1381328286422772E-5</v>
      </c>
      <c r="R10" s="51">
        <f>'LUC-2013-01-08-Run3'!AT11</f>
        <v>1.1497512483415883E-5</v>
      </c>
      <c r="S10" s="51">
        <f>'LUC-2013-01-08-Run3'!AU11</f>
        <v>1.1613397424679677E-5</v>
      </c>
      <c r="T10" s="51">
        <f>'LUC-2013-01-08-Run3'!AV11</f>
        <v>1.1713798570050842E-5</v>
      </c>
      <c r="U10" s="51">
        <f>'LUC-2013-01-08-Run3'!AW11</f>
        <v>1.1814470296277969E-5</v>
      </c>
      <c r="V10" s="51">
        <f>'LUC-2013-01-08-Run3'!AX11</f>
        <v>1.191534638981658E-5</v>
      </c>
      <c r="W10" s="51">
        <f>'LUC-2013-01-08-Run3'!AY11</f>
        <v>1.2016381020005536E-5</v>
      </c>
      <c r="X10" s="51">
        <f>'LUC-2013-01-08-Run3'!AZ11</f>
        <v>1.2117558271218646E-5</v>
      </c>
      <c r="Y10" s="51">
        <f>'LUC-2013-01-08-Run3'!BA11</f>
        <v>1.2218890985596653E-5</v>
      </c>
      <c r="Z10" s="51">
        <f>'LUC-2013-01-08-Run3'!BB11</f>
        <v>1.2320406157975561E-5</v>
      </c>
      <c r="AA10" s="51">
        <f>'LUC-2013-01-08-Run3'!BC11</f>
        <v>1.2422163359147807E-5</v>
      </c>
      <c r="AB10" s="51">
        <f>'LUC-2013-01-08-Run3'!BD11</f>
        <v>1.2524187390788021E-5</v>
      </c>
      <c r="AC10" s="51">
        <f>'LUC-2013-01-08-Run3'!BE11</f>
        <v>1.2626483878628047E-5</v>
      </c>
      <c r="AD10" s="51">
        <f>'LUC-2013-01-08-Run3'!BF11</f>
        <v>1.2729030779148932E-5</v>
      </c>
      <c r="AE10" s="51">
        <f>'LUC-2013-01-08-Run3'!BG11</f>
        <v>1.2831824775562305E-5</v>
      </c>
      <c r="AF10" s="51">
        <f>'LUC-2013-01-08-Run3'!BH11</f>
        <v>1.293486824139877E-5</v>
      </c>
      <c r="AG10" s="51">
        <f>'LUC-2013-01-08-Run3'!BI11</f>
        <v>1.3038141931290572E-5</v>
      </c>
      <c r="AH10" s="51">
        <f>'LUC-2013-01-08-Run3'!BJ11</f>
        <v>1.3141646057248452E-5</v>
      </c>
      <c r="AI10" s="51">
        <f>'LUC-2013-01-08-Run3'!BK11</f>
        <v>1.324536198402301E-5</v>
      </c>
      <c r="AJ10" s="51">
        <f>'LUC-2013-01-08-Run3'!BL11</f>
        <v>1.3349273223858244E-5</v>
      </c>
      <c r="AK10" s="51">
        <f>'LUC-2013-01-08-Run3'!BM11</f>
        <v>1.3453362055576217E-5</v>
      </c>
      <c r="AL10" s="51">
        <f>'LUC-2013-01-08-Run3'!BN11</f>
        <v>1.3557618363085972E-5</v>
      </c>
      <c r="AM10" s="51">
        <f>'LUC-2013-01-08-Run3'!BO11</f>
        <v>1.3662013491165603E-5</v>
      </c>
      <c r="AN10" s="51">
        <f>'LUC-2013-01-08-Run3'!BP11</f>
        <v>1.3766547886425956E-5</v>
      </c>
      <c r="AO10" s="51">
        <f>'LUC-2013-01-08-Run3'!BQ11</f>
        <v>1.3871201491620626E-5</v>
      </c>
      <c r="AP10" s="51">
        <f>'LUC-2013-01-08-Run3'!BR11</f>
        <v>1.3975979456877814E-5</v>
      </c>
      <c r="AQ10" s="51">
        <f>'LUC-2013-01-08-Run3'!BS11</f>
        <v>1.408086503385868E-5</v>
      </c>
      <c r="AR10" s="51">
        <f>'LUC-2013-01-08-Run3'!BT11</f>
        <v>1.4176705987784486E-5</v>
      </c>
      <c r="AS10" s="51">
        <f>'LUC-2013-01-08-Run3'!BU11</f>
        <v>1.4272897661288029E-5</v>
      </c>
      <c r="AT10" s="51">
        <f>'LUC-2013-01-08-Run3'!BV11</f>
        <v>1.4369405170972683E-5</v>
      </c>
      <c r="AU10" s="51">
        <f>'LUC-2013-01-08-Run3'!BW11</f>
        <v>1.4466221110106797E-5</v>
      </c>
      <c r="AV10" s="51">
        <f>'LUC-2013-01-08-Run3'!BX11</f>
        <v>1.4563333182956466E-5</v>
      </c>
      <c r="AW10" s="51">
        <f>'LUC-2013-01-08-Run3'!BY11</f>
        <v>1.4660743453509237E-5</v>
      </c>
      <c r="AX10" s="51">
        <f>'LUC-2013-01-08-Run3'!BZ11</f>
        <v>1.4758440388510096E-5</v>
      </c>
      <c r="AY10" s="51">
        <f>'LUC-2013-01-08-Run3'!CA11</f>
        <v>1.485643337428682E-5</v>
      </c>
      <c r="AZ10" s="51">
        <f>'LUC-2013-01-08-Run3'!CB11</f>
        <v>1.4954723711917591E-5</v>
      </c>
      <c r="BA10" s="51">
        <f>'LUC-2013-01-08-Run3'!CC11</f>
        <v>1.5053310912873919E-5</v>
      </c>
      <c r="BB10" s="51">
        <f>'LUC-2013-01-08-Run3'!CD11</f>
        <v>1.5152187297695958E-5</v>
      </c>
      <c r="BC10" s="51">
        <f>'LUC-2013-01-08-Run3'!CE11</f>
        <v>1.5251347954090991E-5</v>
      </c>
      <c r="BD10" s="51">
        <f>'LUC-2013-01-08-Run3'!CF11</f>
        <v>1.535078884672587E-5</v>
      </c>
      <c r="BE10" s="51">
        <f>'LUC-2013-01-08-Run3'!CG11</f>
        <v>1.5450503085557794E-5</v>
      </c>
      <c r="BF10" s="51">
        <f>'LUC-2013-01-08-Run3'!CH11</f>
        <v>1.5550493837403647E-5</v>
      </c>
      <c r="BG10" s="51">
        <f>'LUC-2013-01-08-Run3'!CI11</f>
        <v>1.5650748955160461E-5</v>
      </c>
      <c r="BH10" s="51">
        <f>'LUC-2013-01-08-Run3'!CJ11</f>
        <v>1.5751267258813495E-5</v>
      </c>
      <c r="BI10" s="51">
        <f>'LUC-2013-01-08-Run3'!CK11</f>
        <v>1.5852032855683394E-5</v>
      </c>
      <c r="BJ10" s="51">
        <f>'LUC-2013-01-08-Run3'!CL11</f>
        <v>1.5953046526604541E-5</v>
      </c>
      <c r="BK10" s="51">
        <f>'LUC-2013-01-08-Run3'!CM11</f>
        <v>1.6054290103878199E-5</v>
      </c>
      <c r="BM10" s="105"/>
      <c r="BN10" s="53" t="s">
        <v>102</v>
      </c>
      <c r="BO10" s="61">
        <f t="shared" si="6"/>
        <v>9.854236723099179</v>
      </c>
      <c r="BP10" s="61">
        <f t="shared" si="0"/>
        <v>10.915504194081233</v>
      </c>
      <c r="BQ10" s="61">
        <f t="shared" si="1"/>
        <v>12.016381020005536</v>
      </c>
      <c r="BR10" s="61">
        <f t="shared" si="2"/>
        <v>13.038141931290573</v>
      </c>
      <c r="BS10" s="61">
        <f t="shared" si="3"/>
        <v>14.08086503385868</v>
      </c>
      <c r="BT10" s="61">
        <f t="shared" si="4"/>
        <v>15.053310912873918</v>
      </c>
      <c r="BU10" s="61">
        <f t="shared" si="5"/>
        <v>16.054290103878198</v>
      </c>
    </row>
    <row r="11" spans="1:73" x14ac:dyDescent="0.25">
      <c r="A11" s="50" t="s">
        <v>71</v>
      </c>
      <c r="B11" s="50" t="s">
        <v>103</v>
      </c>
      <c r="C11" s="50" t="s">
        <v>92</v>
      </c>
      <c r="D11" s="51">
        <f>'LUC-2013-01-08-Run3'!AF12</f>
        <v>2.1546611417777664E-5</v>
      </c>
      <c r="E11" s="51">
        <f>'LUC-2013-01-08-Run3'!AG12</f>
        <v>2.1548776353901259E-5</v>
      </c>
      <c r="F11" s="51">
        <f>'LUC-2013-01-08-Run3'!AH12</f>
        <v>2.1529813843228388E-5</v>
      </c>
      <c r="G11" s="51">
        <f>'LUC-2013-01-08-Run3'!AI12</f>
        <v>2.1511796280261009E-5</v>
      </c>
      <c r="H11" s="51">
        <f>'LUC-2013-01-08-Run3'!AJ12</f>
        <v>2.1494294630538175E-5</v>
      </c>
      <c r="I11" s="51">
        <f>'LUC-2013-01-08-Run3'!AK12</f>
        <v>2.1477258718884035E-5</v>
      </c>
      <c r="J11" s="51">
        <f>'LUC-2013-01-08-Run3'!AL12</f>
        <v>2.1460780711870611E-5</v>
      </c>
      <c r="K11" s="51">
        <f>'LUC-2013-01-08-Run3'!AM12</f>
        <v>2.1445238306112089E-5</v>
      </c>
      <c r="L11" s="51">
        <f>'LUC-2013-01-08-Run3'!AN12</f>
        <v>2.1430974190250699E-5</v>
      </c>
      <c r="M11" s="51">
        <f>'LUC-2013-01-08-Run3'!AO12</f>
        <v>2.1418246228484336E-5</v>
      </c>
      <c r="N11" s="51">
        <f>'LUC-2013-01-08-Run3'!AP12</f>
        <v>2.1406989135757382E-5</v>
      </c>
      <c r="O11" s="51">
        <f>'LUC-2013-01-08-Run3'!AQ12</f>
        <v>2.1396971476561034E-5</v>
      </c>
      <c r="P11" s="51">
        <f>'LUC-2013-01-08-Run3'!AR12</f>
        <v>2.1387819441490876E-5</v>
      </c>
      <c r="Q11" s="51">
        <f>'LUC-2013-01-08-Run3'!AS12</f>
        <v>2.1379160748666734E-5</v>
      </c>
      <c r="R11" s="51">
        <f>'LUC-2013-01-08-Run3'!AT12</f>
        <v>2.1370586114888923E-5</v>
      </c>
      <c r="S11" s="51">
        <f>'LUC-2013-01-08-Run3'!AU12</f>
        <v>2.136207988774734E-5</v>
      </c>
      <c r="T11" s="51">
        <f>'LUC-2013-01-08-Run3'!AV12</f>
        <v>2.1431219936181367E-5</v>
      </c>
      <c r="U11" s="51">
        <f>'LUC-2013-01-08-Run3'!AW12</f>
        <v>2.1500621928855455E-5</v>
      </c>
      <c r="V11" s="51">
        <f>'LUC-2013-01-08-Run3'!AX12</f>
        <v>2.1570179413566521E-5</v>
      </c>
      <c r="W11" s="51">
        <f>'LUC-2013-01-08-Run3'!AY12</f>
        <v>2.1639821924105715E-5</v>
      </c>
      <c r="X11" s="51">
        <f>'LUC-2013-01-08-Run3'!AZ12</f>
        <v>2.1709567707921659E-5</v>
      </c>
      <c r="Y11" s="51">
        <f>'LUC-2013-01-08-Run3'!BA12</f>
        <v>2.1779462959994464E-5</v>
      </c>
      <c r="Z11" s="51">
        <f>'LUC-2013-01-08-Run3'!BB12</f>
        <v>2.1849626776714623E-5</v>
      </c>
      <c r="AA11" s="51">
        <f>'LUC-2013-01-08-Run3'!BC12</f>
        <v>2.1920278464497534E-5</v>
      </c>
      <c r="AB11" s="51">
        <f>'LUC-2013-01-08-Run3'!BD12</f>
        <v>2.1991551238002374E-5</v>
      </c>
      <c r="AC11" s="51">
        <f>'LUC-2013-01-08-Run3'!BE12</f>
        <v>2.2063475894961098E-5</v>
      </c>
      <c r="AD11" s="51">
        <f>'LUC-2013-01-08-Run3'!BF12</f>
        <v>2.2136022770592723E-5</v>
      </c>
      <c r="AE11" s="51">
        <f>'LUC-2013-01-08-Run3'!BG12</f>
        <v>2.2209233349265895E-5</v>
      </c>
      <c r="AF11" s="51">
        <f>'LUC-2013-01-08-Run3'!BH12</f>
        <v>2.2283196844612381E-5</v>
      </c>
      <c r="AG11" s="51">
        <f>'LUC-2013-01-08-Run3'!BI12</f>
        <v>2.2357890539718146E-5</v>
      </c>
      <c r="AH11" s="51">
        <f>'LUC-2013-01-08-Run3'!BJ12</f>
        <v>2.2433347003655922E-5</v>
      </c>
      <c r="AI11" s="51">
        <f>'LUC-2013-01-08-Run3'!BK12</f>
        <v>2.2509532403832295E-5</v>
      </c>
      <c r="AJ11" s="51">
        <f>'LUC-2013-01-08-Run3'!BL12</f>
        <v>2.2586360106813801E-5</v>
      </c>
      <c r="AK11" s="51">
        <f>'LUC-2013-01-08-Run3'!BM12</f>
        <v>2.266373951206043E-5</v>
      </c>
      <c r="AL11" s="51">
        <f>'LUC-2013-01-08-Run3'!BN12</f>
        <v>2.2741629068060705E-5</v>
      </c>
      <c r="AM11" s="51">
        <f>'LUC-2013-01-08-Run3'!BO12</f>
        <v>2.2819945752611374E-5</v>
      </c>
      <c r="AN11" s="51">
        <f>'LUC-2013-01-08-Run3'!BP12</f>
        <v>2.2898700583336664E-5</v>
      </c>
      <c r="AO11" s="51">
        <f>'LUC-2013-01-08-Run3'!BQ12</f>
        <v>2.2977838939417841E-5</v>
      </c>
      <c r="AP11" s="51">
        <f>'LUC-2013-01-08-Run3'!BR12</f>
        <v>2.3057373635006435E-5</v>
      </c>
      <c r="AQ11" s="51">
        <f>'LUC-2013-01-08-Run3'!BS12</f>
        <v>2.3137229080172518E-5</v>
      </c>
      <c r="AR11" s="51">
        <f>'LUC-2013-01-08-Run3'!BT12</f>
        <v>2.322088460377657E-5</v>
      </c>
      <c r="AS11" s="51">
        <f>'LUC-2013-01-08-Run3'!BU12</f>
        <v>2.3304856513304948E-5</v>
      </c>
      <c r="AT11" s="51">
        <f>'LUC-2013-01-08-Run3'!BV12</f>
        <v>2.3389124320775309E-5</v>
      </c>
      <c r="AU11" s="51">
        <f>'LUC-2013-01-08-Run3'!BW12</f>
        <v>2.3473652943025843E-5</v>
      </c>
      <c r="AV11" s="51">
        <f>'LUC-2013-01-08-Run3'!BX12</f>
        <v>2.3558450585572394E-5</v>
      </c>
      <c r="AW11" s="51">
        <f>'LUC-2013-01-08-Run3'!BY12</f>
        <v>2.3643525071400696E-5</v>
      </c>
      <c r="AX11" s="51">
        <f>'LUC-2013-01-08-Run3'!BZ12</f>
        <v>2.3728839924302104E-5</v>
      </c>
      <c r="AY11" s="51">
        <f>'LUC-2013-01-08-Run3'!CA12</f>
        <v>2.3814449363319564E-5</v>
      </c>
      <c r="AZ11" s="51">
        <f>'LUC-2013-01-08-Run3'!CB12</f>
        <v>2.3900368603731259E-5</v>
      </c>
      <c r="BA11" s="51">
        <f>'LUC-2013-01-08-Run3'!CC12</f>
        <v>2.398661922121495E-5</v>
      </c>
      <c r="BB11" s="51">
        <f>'LUC-2013-01-08-Run3'!CD12</f>
        <v>2.4073166653929001E-5</v>
      </c>
      <c r="BC11" s="51">
        <f>'LUC-2013-01-08-Run3'!CE12</f>
        <v>2.4160049413654472E-5</v>
      </c>
      <c r="BD11" s="51">
        <f>'LUC-2013-01-08-Run3'!CF12</f>
        <v>2.4247233568978547E-5</v>
      </c>
      <c r="BE11" s="51">
        <f>'LUC-2013-01-08-Run3'!CG12</f>
        <v>2.4334710078056624E-5</v>
      </c>
      <c r="BF11" s="51">
        <f>'LUC-2013-01-08-Run3'!CH12</f>
        <v>2.4422475304205185E-5</v>
      </c>
      <c r="BG11" s="51">
        <f>'LUC-2013-01-08-Run3'!CI12</f>
        <v>2.4510534334148943E-5</v>
      </c>
      <c r="BH11" s="51">
        <f>'LUC-2013-01-08-Run3'!CJ12</f>
        <v>2.4598868961428005E-5</v>
      </c>
      <c r="BI11" s="51">
        <f>'LUC-2013-01-08-Run3'!CK12</f>
        <v>2.4687474773804851E-5</v>
      </c>
      <c r="BJ11" s="51">
        <f>'LUC-2013-01-08-Run3'!CL12</f>
        <v>2.4776359815924639E-5</v>
      </c>
      <c r="BK11" s="51">
        <f>'LUC-2013-01-08-Run3'!CM12</f>
        <v>2.4865496205584895E-5</v>
      </c>
      <c r="BM11" s="105"/>
      <c r="BN11" s="53" t="s">
        <v>103</v>
      </c>
      <c r="BO11" s="61">
        <f t="shared" si="6"/>
        <v>21.546611417777665</v>
      </c>
      <c r="BP11" s="61">
        <f t="shared" si="0"/>
        <v>21.418246228484335</v>
      </c>
      <c r="BQ11" s="61">
        <f t="shared" si="1"/>
        <v>21.639821924105714</v>
      </c>
      <c r="BR11" s="61">
        <f t="shared" si="2"/>
        <v>22.357890539718145</v>
      </c>
      <c r="BS11" s="61">
        <f t="shared" si="3"/>
        <v>23.137229080172517</v>
      </c>
      <c r="BT11" s="61">
        <f t="shared" si="4"/>
        <v>23.986619221214951</v>
      </c>
      <c r="BU11" s="61">
        <f t="shared" si="5"/>
        <v>24.865496205584893</v>
      </c>
    </row>
    <row r="12" spans="1:73" x14ac:dyDescent="0.25">
      <c r="A12" s="50" t="s">
        <v>71</v>
      </c>
      <c r="B12" s="50" t="s">
        <v>104</v>
      </c>
      <c r="C12" s="50" t="s">
        <v>92</v>
      </c>
      <c r="D12" s="51">
        <f>'LUC-2013-01-08-Run3'!AF14</f>
        <v>7.2579400635636128E-5</v>
      </c>
      <c r="E12" s="51">
        <f>'LUC-2013-01-08-Run3'!AG14</f>
        <v>7.2710750357848772E-5</v>
      </c>
      <c r="F12" s="51">
        <f>'LUC-2013-01-08-Run3'!AH14</f>
        <v>7.2835631481469562E-5</v>
      </c>
      <c r="G12" s="51">
        <f>'LUC-2013-01-08-Run3'!AI14</f>
        <v>7.2966844650889425E-5</v>
      </c>
      <c r="H12" s="51">
        <f>'LUC-2013-01-08-Run3'!AJ14</f>
        <v>7.3104359921105733E-5</v>
      </c>
      <c r="I12" s="51">
        <f>'LUC-2013-01-08-Run3'!AK14</f>
        <v>7.3248246864508071E-5</v>
      </c>
      <c r="J12" s="51">
        <f>'LUC-2013-01-08-Run3'!AL14</f>
        <v>7.3398754505103175E-5</v>
      </c>
      <c r="K12" s="51">
        <f>'LUC-2013-01-08-Run3'!AM14</f>
        <v>7.3555626460515322E-5</v>
      </c>
      <c r="L12" s="51">
        <f>'LUC-2013-01-08-Run3'!AN14</f>
        <v>7.3718630250443402E-5</v>
      </c>
      <c r="M12" s="51">
        <f>'LUC-2013-01-08-Run3'!AO14</f>
        <v>7.3887930394828121E-5</v>
      </c>
      <c r="N12" s="51">
        <f>'LUC-2013-01-08-Run3'!AP14</f>
        <v>7.4063048210976443E-5</v>
      </c>
      <c r="O12" s="51">
        <f>'LUC-2013-01-08-Run3'!AQ14</f>
        <v>7.4244147109695115E-5</v>
      </c>
      <c r="P12" s="51">
        <f>'LUC-2013-01-08-Run3'!AR14</f>
        <v>7.4431632375143155E-5</v>
      </c>
      <c r="Q12" s="51">
        <f>'LUC-2013-01-08-Run3'!AS14</f>
        <v>7.4625871636400709E-5</v>
      </c>
      <c r="R12" s="51">
        <f>'LUC-2013-01-08-Run3'!AT14</f>
        <v>7.4827372348252132E-5</v>
      </c>
      <c r="S12" s="51">
        <f>'LUC-2013-01-08-Run3'!AU14</f>
        <v>7.5036047961920654E-5</v>
      </c>
      <c r="T12" s="51">
        <f>'LUC-2013-01-08-Run3'!AV14</f>
        <v>7.5196129754424222E-5</v>
      </c>
      <c r="U12" s="51">
        <f>'LUC-2013-01-08-Run3'!AW14</f>
        <v>7.5362226892668419E-5</v>
      </c>
      <c r="V12" s="51">
        <f>'LUC-2013-01-08-Run3'!AX14</f>
        <v>7.5533423136030673E-5</v>
      </c>
      <c r="W12" s="51">
        <f>'LUC-2013-01-08-Run3'!AY14</f>
        <v>7.570918252286068E-5</v>
      </c>
      <c r="X12" s="51">
        <f>'LUC-2013-01-08-Run3'!AZ14</f>
        <v>7.5889042320633371E-5</v>
      </c>
      <c r="Y12" s="51">
        <f>'LUC-2013-01-08-Run3'!BA14</f>
        <v>7.6072967370297419E-5</v>
      </c>
      <c r="Z12" s="51">
        <f>'LUC-2013-01-08-Run3'!BB14</f>
        <v>7.6260690065726422E-5</v>
      </c>
      <c r="AA12" s="51">
        <f>'LUC-2013-01-08-Run3'!BC14</f>
        <v>7.6451712192685824E-5</v>
      </c>
      <c r="AB12" s="51">
        <f>'LUC-2013-01-08-Run3'!BD14</f>
        <v>7.6645708716077289E-5</v>
      </c>
      <c r="AC12" s="51">
        <f>'LUC-2013-01-08-Run3'!BE14</f>
        <v>7.6842653727074298E-5</v>
      </c>
      <c r="AD12" s="51">
        <f>'LUC-2013-01-08-Run3'!BF14</f>
        <v>7.7042342470197924E-5</v>
      </c>
      <c r="AE12" s="51">
        <f>'LUC-2013-01-08-Run3'!BG14</f>
        <v>7.724507134193393E-5</v>
      </c>
      <c r="AF12" s="51">
        <f>'LUC-2013-01-08-Run3'!BH14</f>
        <v>7.7450697007099199E-5</v>
      </c>
      <c r="AG12" s="51">
        <f>'LUC-2013-01-08-Run3'!BI14</f>
        <v>7.7659336093488269E-5</v>
      </c>
      <c r="AH12" s="51">
        <f>'LUC-2013-01-08-Run3'!BJ14</f>
        <v>7.7871119041523682E-5</v>
      </c>
      <c r="AI12" s="51">
        <f>'LUC-2013-01-08-Run3'!BK14</f>
        <v>7.8085962512260875E-5</v>
      </c>
      <c r="AJ12" s="51">
        <f>'LUC-2013-01-08-Run3'!BL14</f>
        <v>7.8304194048995108E-5</v>
      </c>
      <c r="AK12" s="51">
        <f>'LUC-2013-01-08-Run3'!BM14</f>
        <v>7.8526200171564843E-5</v>
      </c>
      <c r="AL12" s="51">
        <f>'LUC-2013-01-08-Run3'!BN14</f>
        <v>7.8752113447964735E-5</v>
      </c>
      <c r="AM12" s="51">
        <f>'LUC-2013-01-08-Run3'!BO14</f>
        <v>7.8982140394694782E-5</v>
      </c>
      <c r="AN12" s="51">
        <f>'LUC-2013-01-08-Run3'!BP14</f>
        <v>7.9215967873173866E-5</v>
      </c>
      <c r="AO12" s="51">
        <f>'LUC-2013-01-08-Run3'!BQ14</f>
        <v>7.9453663292605763E-5</v>
      </c>
      <c r="AP12" s="51">
        <f>'LUC-2013-01-08-Run3'!BR14</f>
        <v>7.9694685625893665E-5</v>
      </c>
      <c r="AQ12" s="51">
        <f>'LUC-2013-01-08-Run3'!BS14</f>
        <v>8.0939140319541284E-5</v>
      </c>
      <c r="AR12" s="51">
        <f>'LUC-2013-01-08-Run3'!BT14</f>
        <v>8.1144580689791697E-5</v>
      </c>
      <c r="AS12" s="51">
        <f>'LUC-2013-01-08-Run3'!BU14</f>
        <v>8.1352255328899303E-5</v>
      </c>
      <c r="AT12" s="51">
        <f>'LUC-2013-01-08-Run3'!BV14</f>
        <v>8.1561589635048809E-5</v>
      </c>
      <c r="AU12" s="51">
        <f>'LUC-2013-01-08-Run3'!BW14</f>
        <v>8.1772238866018886E-5</v>
      </c>
      <c r="AV12" s="51">
        <f>'LUC-2013-01-08-Run3'!BX14</f>
        <v>8.1983732728382883E-5</v>
      </c>
      <c r="AW12" s="51">
        <f>'LUC-2013-01-08-Run3'!BY14</f>
        <v>8.2195784794655147E-5</v>
      </c>
      <c r="AX12" s="51">
        <f>'LUC-2013-01-08-Run3'!BZ14</f>
        <v>8.240854022039316E-5</v>
      </c>
      <c r="AY12" s="51">
        <f>'LUC-2013-01-08-Run3'!CA14</f>
        <v>8.2621769860770545E-5</v>
      </c>
      <c r="AZ12" s="51">
        <f>'LUC-2013-01-08-Run3'!CB14</f>
        <v>8.2835636290142024E-5</v>
      </c>
      <c r="BA12" s="51">
        <f>'LUC-2013-01-08-Run3'!CC14</f>
        <v>8.3049975000763771E-5</v>
      </c>
      <c r="BB12" s="51">
        <f>'LUC-2013-01-08-Run3'!CD14</f>
        <v>8.3264965361052375E-5</v>
      </c>
      <c r="BC12" s="51">
        <f>'LUC-2013-01-08-Run3'!CE14</f>
        <v>8.3480476330671094E-5</v>
      </c>
      <c r="BD12" s="51">
        <f>'LUC-2013-01-08-Run3'!CF14</f>
        <v>8.3696427440170748E-5</v>
      </c>
      <c r="BE12" s="51">
        <f>'LUC-2013-01-08-Run3'!CG14</f>
        <v>8.3912861801149424E-5</v>
      </c>
      <c r="BF12" s="51">
        <f>'LUC-2013-01-08-Run3'!CH14</f>
        <v>8.4129687508903073E-5</v>
      </c>
      <c r="BG12" s="51">
        <f>'LUC-2013-01-08-Run3'!CI14</f>
        <v>8.4347050159480082E-5</v>
      </c>
      <c r="BH12" s="51">
        <f>'LUC-2013-01-08-Run3'!CJ14</f>
        <v>8.4564999780692071E-5</v>
      </c>
      <c r="BI12" s="51">
        <f>'LUC-2013-01-08-Run3'!CK14</f>
        <v>8.4783852786025421E-5</v>
      </c>
      <c r="BJ12" s="51">
        <f>'LUC-2013-01-08-Run3'!CL14</f>
        <v>8.5003601175681514E-5</v>
      </c>
      <c r="BK12" s="51">
        <f>'LUC-2013-01-08-Run3'!CM14</f>
        <v>8.5224739069646827E-5</v>
      </c>
      <c r="BM12" s="103"/>
      <c r="BN12" s="54" t="s">
        <v>104</v>
      </c>
      <c r="BO12" s="62">
        <f t="shared" si="6"/>
        <v>72.579400635636134</v>
      </c>
      <c r="BP12" s="62">
        <f t="shared" si="0"/>
        <v>73.887930394828118</v>
      </c>
      <c r="BQ12" s="62">
        <f t="shared" si="1"/>
        <v>75.709182522860687</v>
      </c>
      <c r="BR12" s="62">
        <f t="shared" si="2"/>
        <v>77.659336093488264</v>
      </c>
      <c r="BS12" s="62">
        <f t="shared" si="3"/>
        <v>80.939140319541281</v>
      </c>
      <c r="BT12" s="62">
        <f t="shared" si="4"/>
        <v>83.049975000763766</v>
      </c>
      <c r="BU12" s="62">
        <f t="shared" si="5"/>
        <v>85.22473906964683</v>
      </c>
    </row>
    <row r="13" spans="1:73" x14ac:dyDescent="0.25">
      <c r="BM13" s="104" t="s">
        <v>38</v>
      </c>
      <c r="BN13" s="55" t="s">
        <v>96</v>
      </c>
      <c r="BO13" s="60">
        <f t="shared" ref="BO13:BO23" si="7">D14*1000000</f>
        <v>26.047124150016419</v>
      </c>
      <c r="BP13" s="60">
        <f t="shared" ref="BP13:BP23" si="8">M14*1000000</f>
        <v>25.027577905867933</v>
      </c>
      <c r="BQ13" s="60">
        <f t="shared" ref="BQ13:BQ23" si="9">W14*1000000</f>
        <v>24.404981033839864</v>
      </c>
      <c r="BR13" s="60">
        <f t="shared" ref="BR13:BR23" si="10">AG14*1000000</f>
        <v>24.492279269285369</v>
      </c>
      <c r="BS13" s="60">
        <f t="shared" ref="BS13:BS23" si="11">AQ14*1000000</f>
        <v>24.579889776307784</v>
      </c>
      <c r="BT13" s="60">
        <f t="shared" ref="BT13:BT23" si="12">BA14*1000000</f>
        <v>24.667813671923248</v>
      </c>
      <c r="BU13" s="60">
        <f t="shared" ref="BU13:BU23" si="13">BK14*1000000</f>
        <v>24.756052077143536</v>
      </c>
    </row>
    <row r="14" spans="1:73" x14ac:dyDescent="0.25">
      <c r="A14" s="50" t="s">
        <v>38</v>
      </c>
      <c r="B14" s="50" t="s">
        <v>96</v>
      </c>
      <c r="C14" s="50" t="s">
        <v>92</v>
      </c>
      <c r="D14" s="51">
        <f>'LUC-2013-01-08-Run3'!AF16</f>
        <v>2.6047124150016419E-5</v>
      </c>
      <c r="E14" s="51">
        <f>'LUC-2013-01-08-Run3'!AG16</f>
        <v>2.5931820509822103E-5</v>
      </c>
      <c r="F14" s="51">
        <f>'LUC-2013-01-08-Run3'!AH16</f>
        <v>2.5817027287951345E-5</v>
      </c>
      <c r="G14" s="51">
        <f>'LUC-2013-01-08-Run3'!AI16</f>
        <v>2.5702742224918969E-5</v>
      </c>
      <c r="H14" s="51">
        <f>'LUC-2013-01-08-Run3'!AJ16</f>
        <v>2.5588963071241946E-5</v>
      </c>
      <c r="I14" s="51">
        <f>'LUC-2013-01-08-Run3'!AK16</f>
        <v>2.5475687587395098E-5</v>
      </c>
      <c r="J14" s="51">
        <f>'LUC-2013-01-08-Run3'!AL16</f>
        <v>2.5362913543767027E-5</v>
      </c>
      <c r="K14" s="51">
        <f>'LUC-2013-01-08-Run3'!AM16</f>
        <v>2.5250638720616227E-5</v>
      </c>
      <c r="L14" s="51">
        <f>'LUC-2013-01-08-Run3'!AN16</f>
        <v>2.5138860908027395E-5</v>
      </c>
      <c r="M14" s="51">
        <f>'LUC-2013-01-08-Run3'!AO16</f>
        <v>2.5027577905867931E-5</v>
      </c>
      <c r="N14" s="51">
        <f>'LUC-2013-01-08-Run3'!AP16</f>
        <v>2.4916787523744632E-5</v>
      </c>
      <c r="O14" s="51">
        <f>'LUC-2013-01-08-Run3'!AQ16</f>
        <v>2.4806487580960574E-5</v>
      </c>
      <c r="P14" s="51">
        <f>'LUC-2013-01-08-Run3'!AR16</f>
        <v>2.4696675906472202E-5</v>
      </c>
      <c r="Q14" s="51">
        <f>'LUC-2013-01-08-Run3'!AS16</f>
        <v>2.4587350338846587E-5</v>
      </c>
      <c r="R14" s="51">
        <f>'LUC-2013-01-08-Run3'!AT16</f>
        <v>2.4478508726218878E-5</v>
      </c>
      <c r="S14" s="51">
        <f>'LUC-2013-01-08-Run3'!AU16</f>
        <v>2.4370148926249962E-5</v>
      </c>
      <c r="T14" s="51">
        <f>'LUC-2013-01-08-Run3'!AV16</f>
        <v>2.4378852289661097E-5</v>
      </c>
      <c r="U14" s="51">
        <f>'LUC-2013-01-08-Run3'!AW16</f>
        <v>2.438755876132302E-5</v>
      </c>
      <c r="V14" s="51">
        <f>'LUC-2013-01-08-Run3'!AX16</f>
        <v>2.4396268342345792E-5</v>
      </c>
      <c r="W14" s="51">
        <f>'LUC-2013-01-08-Run3'!AY16</f>
        <v>2.4404981033839863E-5</v>
      </c>
      <c r="X14" s="51">
        <f>'LUC-2013-01-08-Run3'!AZ16</f>
        <v>2.4413696836916083E-5</v>
      </c>
      <c r="Y14" s="51">
        <f>'LUC-2013-01-08-Run3'!BA16</f>
        <v>2.4422415752685697E-5</v>
      </c>
      <c r="Z14" s="51">
        <f>'LUC-2013-01-08-Run3'!BB16</f>
        <v>2.443113778226035E-5</v>
      </c>
      <c r="AA14" s="51">
        <f>'LUC-2013-01-08-Run3'!BC16</f>
        <v>2.4439862926752079E-5</v>
      </c>
      <c r="AB14" s="51">
        <f>'LUC-2013-01-08-Run3'!BD16</f>
        <v>2.4448591187273323E-5</v>
      </c>
      <c r="AC14" s="51">
        <f>'LUC-2013-01-08-Run3'!BE16</f>
        <v>2.4457322564936916E-5</v>
      </c>
      <c r="AD14" s="51">
        <f>'LUC-2013-01-08-Run3'!BF16</f>
        <v>2.4466057060856087E-5</v>
      </c>
      <c r="AE14" s="51">
        <f>'LUC-2013-01-08-Run3'!BG16</f>
        <v>2.4474794676144469E-5</v>
      </c>
      <c r="AF14" s="51">
        <f>'LUC-2013-01-08-Run3'!BH16</f>
        <v>2.4483535411916089E-5</v>
      </c>
      <c r="AG14" s="51">
        <f>'LUC-2013-01-08-Run3'!BI16</f>
        <v>2.4492279269285369E-5</v>
      </c>
      <c r="AH14" s="51">
        <f>'LUC-2013-01-08-Run3'!BJ16</f>
        <v>2.4501026249367136E-5</v>
      </c>
      <c r="AI14" s="51">
        <f>'LUC-2013-01-08-Run3'!BK16</f>
        <v>2.4509776353276607E-5</v>
      </c>
      <c r="AJ14" s="51">
        <f>'LUC-2013-01-08-Run3'!BL16</f>
        <v>2.4518529582129402E-5</v>
      </c>
      <c r="AK14" s="51">
        <f>'LUC-2013-01-08-Run3'!BM16</f>
        <v>2.4527285937041538E-5</v>
      </c>
      <c r="AL14" s="51">
        <f>'LUC-2013-01-08-Run3'!BN16</f>
        <v>2.4536045419129436E-5</v>
      </c>
      <c r="AM14" s="51">
        <f>'LUC-2013-01-08-Run3'!BO16</f>
        <v>2.4544808029509907E-5</v>
      </c>
      <c r="AN14" s="51">
        <f>'LUC-2013-01-08-Run3'!BP16</f>
        <v>2.4553573769300165E-5</v>
      </c>
      <c r="AO14" s="51">
        <f>'LUC-2013-01-08-Run3'!BQ16</f>
        <v>2.4562342639617823E-5</v>
      </c>
      <c r="AP14" s="51">
        <f>'LUC-2013-01-08-Run3'!BR16</f>
        <v>2.4571114641580892E-5</v>
      </c>
      <c r="AQ14" s="51">
        <f>'LUC-2013-01-08-Run3'!BS16</f>
        <v>2.4579889776307785E-5</v>
      </c>
      <c r="AR14" s="51">
        <f>'LUC-2013-01-08-Run3'!BT16</f>
        <v>2.4588668044917313E-5</v>
      </c>
      <c r="AS14" s="51">
        <f>'LUC-2013-01-08-Run3'!BU16</f>
        <v>2.4597449448528686E-5</v>
      </c>
      <c r="AT14" s="51">
        <f>'LUC-2013-01-08-Run3'!BV16</f>
        <v>2.460623398826151E-5</v>
      </c>
      <c r="AU14" s="51">
        <f>'LUC-2013-01-08-Run3'!BW16</f>
        <v>2.4615021665235799E-5</v>
      </c>
      <c r="AV14" s="51">
        <f>'LUC-2013-01-08-Run3'!BX16</f>
        <v>2.4623812480571962E-5</v>
      </c>
      <c r="AW14" s="51">
        <f>'LUC-2013-01-08-Run3'!BY16</f>
        <v>2.463260643539081E-5</v>
      </c>
      <c r="AX14" s="51">
        <f>'LUC-2013-01-08-Run3'!BZ16</f>
        <v>2.4641403530813551E-5</v>
      </c>
      <c r="AY14" s="51">
        <f>'LUC-2013-01-08-Run3'!CA16</f>
        <v>2.4650203767961796E-5</v>
      </c>
      <c r="AZ14" s="51">
        <f>'LUC-2013-01-08-Run3'!CB16</f>
        <v>2.4659007147957558E-5</v>
      </c>
      <c r="BA14" s="51">
        <f>'LUC-2013-01-08-Run3'!CC16</f>
        <v>2.4667813671923248E-5</v>
      </c>
      <c r="BB14" s="51">
        <f>'LUC-2013-01-08-Run3'!CD16</f>
        <v>2.4676623340981674E-5</v>
      </c>
      <c r="BC14" s="51">
        <f>'LUC-2013-01-08-Run3'!CE16</f>
        <v>2.4685436156256055E-5</v>
      </c>
      <c r="BD14" s="51">
        <f>'LUC-2013-01-08-Run3'!CF16</f>
        <v>2.4694252118870006E-5</v>
      </c>
      <c r="BE14" s="51">
        <f>'LUC-2013-01-08-Run3'!CG16</f>
        <v>2.4703071229947542E-5</v>
      </c>
      <c r="BF14" s="51">
        <f>'LUC-2013-01-08-Run3'!CH16</f>
        <v>2.4711893490613081E-5</v>
      </c>
      <c r="BG14" s="51">
        <f>'LUC-2013-01-08-Run3'!CI16</f>
        <v>2.4720718901991441E-5</v>
      </c>
      <c r="BH14" s="51">
        <f>'LUC-2013-01-08-Run3'!CJ16</f>
        <v>2.4729547465207841E-5</v>
      </c>
      <c r="BI14" s="51">
        <f>'LUC-2013-01-08-Run3'!CK16</f>
        <v>2.4738379181387907E-5</v>
      </c>
      <c r="BJ14" s="51">
        <f>'LUC-2013-01-08-Run3'!CL16</f>
        <v>2.4747214051657664E-5</v>
      </c>
      <c r="BK14" s="51">
        <f>'LUC-2013-01-08-Run3'!CM16</f>
        <v>2.4756052077143536E-5</v>
      </c>
      <c r="BM14" s="102"/>
      <c r="BN14" s="53" t="s">
        <v>97</v>
      </c>
      <c r="BO14" s="61">
        <f t="shared" si="7"/>
        <v>201</v>
      </c>
      <c r="BP14" s="61">
        <f t="shared" si="8"/>
        <v>201.6</v>
      </c>
      <c r="BQ14" s="61">
        <f t="shared" si="9"/>
        <v>204.16666666666669</v>
      </c>
      <c r="BR14" s="61">
        <f t="shared" si="10"/>
        <v>209.58333333333331</v>
      </c>
      <c r="BS14" s="61">
        <f t="shared" si="11"/>
        <v>215</v>
      </c>
      <c r="BT14" s="61">
        <f t="shared" si="12"/>
        <v>218.5</v>
      </c>
      <c r="BU14" s="61">
        <f t="shared" si="13"/>
        <v>222</v>
      </c>
    </row>
    <row r="15" spans="1:73" x14ac:dyDescent="0.25">
      <c r="A15" s="50" t="s">
        <v>38</v>
      </c>
      <c r="B15" s="50" t="s">
        <v>97</v>
      </c>
      <c r="C15" s="50" t="s">
        <v>92</v>
      </c>
      <c r="D15" s="51">
        <f>'LUC-2013-01-08-Run3'!AF17</f>
        <v>2.0100000000000001E-4</v>
      </c>
      <c r="E15" s="51">
        <f>'LUC-2013-01-08-Run3'!AG17</f>
        <v>2.0106666666666668E-4</v>
      </c>
      <c r="F15" s="51">
        <f>'LUC-2013-01-08-Run3'!AH17</f>
        <v>2.0113333333333333E-4</v>
      </c>
      <c r="G15" s="51">
        <f>'LUC-2013-01-08-Run3'!AI17</f>
        <v>2.0120000000000001E-4</v>
      </c>
      <c r="H15" s="51">
        <f>'LUC-2013-01-08-Run3'!AJ17</f>
        <v>2.0126666666666666E-4</v>
      </c>
      <c r="I15" s="51">
        <f>'LUC-2013-01-08-Run3'!AK17</f>
        <v>2.0133333333333334E-4</v>
      </c>
      <c r="J15" s="51">
        <f>'LUC-2013-01-08-Run3'!AL17</f>
        <v>2.0140000000000002E-4</v>
      </c>
      <c r="K15" s="51">
        <f>'LUC-2013-01-08-Run3'!AM17</f>
        <v>2.0146666666666667E-4</v>
      </c>
      <c r="L15" s="51">
        <f>'LUC-2013-01-08-Run3'!AN17</f>
        <v>2.0153333333333334E-4</v>
      </c>
      <c r="M15" s="51">
        <f>'LUC-2013-01-08-Run3'!AO17</f>
        <v>2.0159999999999999E-4</v>
      </c>
      <c r="N15" s="51">
        <f>'LUC-2013-01-08-Run3'!AP17</f>
        <v>2.0166666666666667E-4</v>
      </c>
      <c r="O15" s="51">
        <f>'LUC-2013-01-08-Run3'!AQ17</f>
        <v>2.0173333333333335E-4</v>
      </c>
      <c r="P15" s="51">
        <f>'LUC-2013-01-08-Run3'!AR17</f>
        <v>2.018E-4</v>
      </c>
      <c r="Q15" s="51">
        <f>'LUC-2013-01-08-Run3'!AS17</f>
        <v>2.0186666666666668E-4</v>
      </c>
      <c r="R15" s="51">
        <f>'LUC-2013-01-08-Run3'!AT17</f>
        <v>2.0193333333333333E-4</v>
      </c>
      <c r="S15" s="51">
        <f>'LUC-2013-01-08-Run3'!AU17</f>
        <v>2.02E-4</v>
      </c>
      <c r="T15" s="51">
        <f>'LUC-2013-01-08-Run3'!AV17</f>
        <v>2.0254166666666668E-4</v>
      </c>
      <c r="U15" s="51">
        <f>'LUC-2013-01-08-Run3'!AW17</f>
        <v>2.0308333333333333E-4</v>
      </c>
      <c r="V15" s="51">
        <f>'LUC-2013-01-08-Run3'!AX17</f>
        <v>2.03625E-4</v>
      </c>
      <c r="W15" s="51">
        <f>'LUC-2013-01-08-Run3'!AY17</f>
        <v>2.0416666666666668E-4</v>
      </c>
      <c r="X15" s="51">
        <f>'LUC-2013-01-08-Run3'!AZ17</f>
        <v>2.0470833333333333E-4</v>
      </c>
      <c r="Y15" s="51">
        <f>'LUC-2013-01-08-Run3'!BA17</f>
        <v>2.0525E-4</v>
      </c>
      <c r="Z15" s="51">
        <f>'LUC-2013-01-08-Run3'!BB17</f>
        <v>2.0579166666666668E-4</v>
      </c>
      <c r="AA15" s="51">
        <f>'LUC-2013-01-08-Run3'!BC17</f>
        <v>2.0633333333333333E-4</v>
      </c>
      <c r="AB15" s="51">
        <f>'LUC-2013-01-08-Run3'!BD17</f>
        <v>2.06875E-4</v>
      </c>
      <c r="AC15" s="51">
        <f>'LUC-2013-01-08-Run3'!BE17</f>
        <v>2.0741666666666668E-4</v>
      </c>
      <c r="AD15" s="51">
        <f>'LUC-2013-01-08-Run3'!BF17</f>
        <v>2.0795833333333332E-4</v>
      </c>
      <c r="AE15" s="51">
        <f>'LUC-2013-01-08-Run3'!BG17</f>
        <v>2.085E-4</v>
      </c>
      <c r="AF15" s="51">
        <f>'LUC-2013-01-08-Run3'!BH17</f>
        <v>2.0904166666666667E-4</v>
      </c>
      <c r="AG15" s="51">
        <f>'LUC-2013-01-08-Run3'!BI17</f>
        <v>2.0958333333333332E-4</v>
      </c>
      <c r="AH15" s="51">
        <f>'LUC-2013-01-08-Run3'!BJ17</f>
        <v>2.10125E-4</v>
      </c>
      <c r="AI15" s="51">
        <f>'LUC-2013-01-08-Run3'!BK17</f>
        <v>2.1066666666666667E-4</v>
      </c>
      <c r="AJ15" s="51">
        <f>'LUC-2013-01-08-Run3'!BL17</f>
        <v>2.1120833333333332E-4</v>
      </c>
      <c r="AK15" s="51">
        <f>'LUC-2013-01-08-Run3'!BM17</f>
        <v>2.1175E-4</v>
      </c>
      <c r="AL15" s="51">
        <f>'LUC-2013-01-08-Run3'!BN17</f>
        <v>2.1229166666666667E-4</v>
      </c>
      <c r="AM15" s="51">
        <f>'LUC-2013-01-08-Run3'!BO17</f>
        <v>2.1283333333333332E-4</v>
      </c>
      <c r="AN15" s="51">
        <f>'LUC-2013-01-08-Run3'!BP17</f>
        <v>2.13375E-4</v>
      </c>
      <c r="AO15" s="51">
        <f>'LUC-2013-01-08-Run3'!BQ17</f>
        <v>2.1391666666666667E-4</v>
      </c>
      <c r="AP15" s="51">
        <f>'LUC-2013-01-08-Run3'!BR17</f>
        <v>2.1445833333333332E-4</v>
      </c>
      <c r="AQ15" s="51">
        <f>'LUC-2013-01-08-Run3'!BS17</f>
        <v>2.1499999999999999E-4</v>
      </c>
      <c r="AR15" s="51">
        <f>'LUC-2013-01-08-Run3'!BT17</f>
        <v>2.1535E-4</v>
      </c>
      <c r="AS15" s="51">
        <f>'LUC-2013-01-08-Run3'!BU17</f>
        <v>2.1569999999999998E-4</v>
      </c>
      <c r="AT15" s="51">
        <f>'LUC-2013-01-08-Run3'!BV17</f>
        <v>2.1604999999999999E-4</v>
      </c>
      <c r="AU15" s="51">
        <f>'LUC-2013-01-08-Run3'!BW17</f>
        <v>2.164E-4</v>
      </c>
      <c r="AV15" s="51">
        <f>'LUC-2013-01-08-Run3'!BX17</f>
        <v>2.1674999999999998E-4</v>
      </c>
      <c r="AW15" s="51">
        <f>'LUC-2013-01-08-Run3'!BY17</f>
        <v>2.1709999999999999E-4</v>
      </c>
      <c r="AX15" s="51">
        <f>'LUC-2013-01-08-Run3'!BZ17</f>
        <v>2.1745E-4</v>
      </c>
      <c r="AY15" s="51">
        <f>'LUC-2013-01-08-Run3'!CA17</f>
        <v>2.1780000000000001E-4</v>
      </c>
      <c r="AZ15" s="51">
        <f>'LUC-2013-01-08-Run3'!CB17</f>
        <v>2.1814999999999999E-4</v>
      </c>
      <c r="BA15" s="51">
        <f>'LUC-2013-01-08-Run3'!CC17</f>
        <v>2.185E-4</v>
      </c>
      <c r="BB15" s="51">
        <f>'LUC-2013-01-08-Run3'!CD17</f>
        <v>2.1885000000000001E-4</v>
      </c>
      <c r="BC15" s="51">
        <f>'LUC-2013-01-08-Run3'!CE17</f>
        <v>2.1919999999999999E-4</v>
      </c>
      <c r="BD15" s="51">
        <f>'LUC-2013-01-08-Run3'!CF17</f>
        <v>2.1955E-4</v>
      </c>
      <c r="BE15" s="51">
        <f>'LUC-2013-01-08-Run3'!CG17</f>
        <v>2.1990000000000001E-4</v>
      </c>
      <c r="BF15" s="51">
        <f>'LUC-2013-01-08-Run3'!CH17</f>
        <v>2.2025000000000001E-4</v>
      </c>
      <c r="BG15" s="51">
        <f>'LUC-2013-01-08-Run3'!CI17</f>
        <v>2.206E-4</v>
      </c>
      <c r="BH15" s="51">
        <f>'LUC-2013-01-08-Run3'!CJ17</f>
        <v>2.2095E-4</v>
      </c>
      <c r="BI15" s="51">
        <f>'LUC-2013-01-08-Run3'!CK17</f>
        <v>2.2130000000000001E-4</v>
      </c>
      <c r="BJ15" s="51">
        <f>'LUC-2013-01-08-Run3'!CL17</f>
        <v>2.2164999999999999E-4</v>
      </c>
      <c r="BK15" s="51">
        <f>'LUC-2013-01-08-Run3'!CM17</f>
        <v>2.22E-4</v>
      </c>
      <c r="BM15" s="102"/>
      <c r="BN15" s="53" t="s">
        <v>95</v>
      </c>
      <c r="BO15" s="61">
        <f t="shared" si="7"/>
        <v>31.090007506599417</v>
      </c>
      <c r="BP15" s="61">
        <f t="shared" si="8"/>
        <v>32.23196487380563</v>
      </c>
      <c r="BQ15" s="61">
        <f t="shared" si="9"/>
        <v>33.148742683513476</v>
      </c>
      <c r="BR15" s="61">
        <f t="shared" si="10"/>
        <v>33.481725788588086</v>
      </c>
      <c r="BS15" s="61">
        <f t="shared" si="11"/>
        <v>33.818053748981164</v>
      </c>
      <c r="BT15" s="61">
        <f t="shared" si="12"/>
        <v>34.157760164166447</v>
      </c>
      <c r="BU15" s="61">
        <f t="shared" si="13"/>
        <v>34.500878971128458</v>
      </c>
    </row>
    <row r="16" spans="1:73" x14ac:dyDescent="0.25">
      <c r="A16" s="50" t="s">
        <v>38</v>
      </c>
      <c r="B16" s="50" t="s">
        <v>95</v>
      </c>
      <c r="C16" s="50" t="s">
        <v>92</v>
      </c>
      <c r="D16" s="51">
        <f>'LUC-2013-01-08-Run3'!AF18</f>
        <v>3.1090007506599416E-5</v>
      </c>
      <c r="E16" s="51">
        <f>'LUC-2013-01-08-Run3'!AG18</f>
        <v>3.1214866974497405E-5</v>
      </c>
      <c r="F16" s="51">
        <f>'LUC-2013-01-08-Run3'!AH18</f>
        <v>3.1340227886041568E-5</v>
      </c>
      <c r="G16" s="51">
        <f>'LUC-2013-01-08-Run3'!AI18</f>
        <v>3.1466092255061819E-5</v>
      </c>
      <c r="H16" s="51">
        <f>'LUC-2013-01-08-Run3'!AJ18</f>
        <v>3.1592462103475722E-5</v>
      </c>
      <c r="I16" s="51">
        <f>'LUC-2013-01-08-Run3'!AK18</f>
        <v>3.1719339461321004E-5</v>
      </c>
      <c r="J16" s="51">
        <f>'LUC-2013-01-08-Run3'!AL18</f>
        <v>3.1846726366788155E-5</v>
      </c>
      <c r="K16" s="51">
        <f>'LUC-2013-01-08-Run3'!AM18</f>
        <v>3.1974624866253171E-5</v>
      </c>
      <c r="L16" s="51">
        <f>'LUC-2013-01-08-Run3'!AN18</f>
        <v>3.2103037014310414E-5</v>
      </c>
      <c r="M16" s="51">
        <f>'LUC-2013-01-08-Run3'!AO18</f>
        <v>3.2231964873805633E-5</v>
      </c>
      <c r="N16" s="51">
        <f>'LUC-2013-01-08-Run3'!AP18</f>
        <v>3.2361410515869112E-5</v>
      </c>
      <c r="O16" s="51">
        <f>'LUC-2013-01-08-Run3'!AQ18</f>
        <v>3.2491376019948906E-5</v>
      </c>
      <c r="P16" s="51">
        <f>'LUC-2013-01-08-Run3'!AR18</f>
        <v>3.2621863473844284E-5</v>
      </c>
      <c r="Q16" s="51">
        <f>'LUC-2013-01-08-Run3'!AS18</f>
        <v>3.2752874973739242E-5</v>
      </c>
      <c r="R16" s="51">
        <f>'LUC-2013-01-08-Run3'!AT18</f>
        <v>3.288441262423619E-5</v>
      </c>
      <c r="S16" s="51">
        <f>'LUC-2013-01-08-Run3'!AU18</f>
        <v>3.3016478538389752E-5</v>
      </c>
      <c r="T16" s="51">
        <f>'LUC-2013-01-08-Run3'!AV18</f>
        <v>3.3049495016928139E-5</v>
      </c>
      <c r="U16" s="51">
        <f>'LUC-2013-01-08-Run3'!AW18</f>
        <v>3.3082544511945068E-5</v>
      </c>
      <c r="V16" s="51">
        <f>'LUC-2013-01-08-Run3'!AX18</f>
        <v>3.3115627056457015E-5</v>
      </c>
      <c r="W16" s="51">
        <f>'LUC-2013-01-08-Run3'!AY18</f>
        <v>3.3148742683513472E-5</v>
      </c>
      <c r="X16" s="51">
        <f>'LUC-2013-01-08-Run3'!AZ18</f>
        <v>3.3181891426196984E-5</v>
      </c>
      <c r="Y16" s="51">
        <f>'LUC-2013-01-08-Run3'!BA18</f>
        <v>3.3215073317623179E-5</v>
      </c>
      <c r="Z16" s="51">
        <f>'LUC-2013-01-08-Run3'!BB18</f>
        <v>3.3248288390940805E-5</v>
      </c>
      <c r="AA16" s="51">
        <f>'LUC-2013-01-08-Run3'!BC18</f>
        <v>3.3281536679331748E-5</v>
      </c>
      <c r="AB16" s="51">
        <f>'LUC-2013-01-08-Run3'!BD18</f>
        <v>3.3314818216011078E-5</v>
      </c>
      <c r="AC16" s="51">
        <f>'LUC-2013-01-08-Run3'!BE18</f>
        <v>3.3348133034227087E-5</v>
      </c>
      <c r="AD16" s="51">
        <f>'LUC-2013-01-08-Run3'!BF18</f>
        <v>3.3381481167261313E-5</v>
      </c>
      <c r="AE16" s="51">
        <f>'LUC-2013-01-08-Run3'!BG18</f>
        <v>3.3414862648428577E-5</v>
      </c>
      <c r="AF16" s="51">
        <f>'LUC-2013-01-08-Run3'!BH18</f>
        <v>3.3448277511077007E-5</v>
      </c>
      <c r="AG16" s="51">
        <f>'LUC-2013-01-08-Run3'!BI18</f>
        <v>3.3481725788588084E-5</v>
      </c>
      <c r="AH16" s="51">
        <f>'LUC-2013-01-08-Run3'!BJ18</f>
        <v>3.3515207514376674E-5</v>
      </c>
      <c r="AI16" s="51">
        <f>'LUC-2013-01-08-Run3'!BK18</f>
        <v>3.3548722721891052E-5</v>
      </c>
      <c r="AJ16" s="51">
        <f>'LUC-2013-01-08-Run3'!BL18</f>
        <v>3.3582271444612947E-5</v>
      </c>
      <c r="AK16" s="51">
        <f>'LUC-2013-01-08-Run3'!BM18</f>
        <v>3.361585371605756E-5</v>
      </c>
      <c r="AL16" s="51">
        <f>'LUC-2013-01-08-Run3'!BN18</f>
        <v>3.3649469569773618E-5</v>
      </c>
      <c r="AM16" s="51">
        <f>'LUC-2013-01-08-Run3'!BO18</f>
        <v>3.3683119039343394E-5</v>
      </c>
      <c r="AN16" s="51">
        <f>'LUC-2013-01-08-Run3'!BP18</f>
        <v>3.3716802158382734E-5</v>
      </c>
      <c r="AO16" s="51">
        <f>'LUC-2013-01-08-Run3'!BQ18</f>
        <v>3.3750518960541119E-5</v>
      </c>
      <c r="AP16" s="51">
        <f>'LUC-2013-01-08-Run3'!BR18</f>
        <v>3.3784269479501661E-5</v>
      </c>
      <c r="AQ16" s="51">
        <f>'LUC-2013-01-08-Run3'!BS18</f>
        <v>3.3818053748981164E-5</v>
      </c>
      <c r="AR16" s="51">
        <f>'LUC-2013-01-08-Run3'!BT18</f>
        <v>3.3851871802730143E-5</v>
      </c>
      <c r="AS16" s="51">
        <f>'LUC-2013-01-08-Run3'!BU18</f>
        <v>3.3885723674532874E-5</v>
      </c>
      <c r="AT16" s="51">
        <f>'LUC-2013-01-08-Run3'!BV18</f>
        <v>3.3919609398207405E-5</v>
      </c>
      <c r="AU16" s="51">
        <f>'LUC-2013-01-08-Run3'!BW18</f>
        <v>3.3953529007605609E-5</v>
      </c>
      <c r="AV16" s="51">
        <f>'LUC-2013-01-08-Run3'!BX18</f>
        <v>3.3987482536613218E-5</v>
      </c>
      <c r="AW16" s="51">
        <f>'LUC-2013-01-08-Run3'!BY18</f>
        <v>3.4021470019149833E-5</v>
      </c>
      <c r="AX16" s="51">
        <f>'LUC-2013-01-08-Run3'!BZ18</f>
        <v>3.4055491489168982E-5</v>
      </c>
      <c r="AY16" s="51">
        <f>'LUC-2013-01-08-Run3'!CA18</f>
        <v>3.4089546980658153E-5</v>
      </c>
      <c r="AZ16" s="51">
        <f>'LUC-2013-01-08-Run3'!CB18</f>
        <v>3.412363652763881E-5</v>
      </c>
      <c r="BA16" s="51">
        <f>'LUC-2013-01-08-Run3'!CC18</f>
        <v>3.4157760164166448E-5</v>
      </c>
      <c r="BB16" s="51">
        <f>'LUC-2013-01-08-Run3'!CD18</f>
        <v>3.4191917924330613E-5</v>
      </c>
      <c r="BC16" s="51">
        <f>'LUC-2013-01-08-Run3'!CE18</f>
        <v>3.4226109842254942E-5</v>
      </c>
      <c r="BD16" s="51">
        <f>'LUC-2013-01-08-Run3'!CF18</f>
        <v>3.4260335952097197E-5</v>
      </c>
      <c r="BE16" s="51">
        <f>'LUC-2013-01-08-Run3'!CG18</f>
        <v>3.4294596288049293E-5</v>
      </c>
      <c r="BF16" s="51">
        <f>'LUC-2013-01-08-Run3'!CH18</f>
        <v>3.4328890884337344E-5</v>
      </c>
      <c r="BG16" s="51">
        <f>'LUC-2013-01-08-Run3'!CI18</f>
        <v>3.4363219775221679E-5</v>
      </c>
      <c r="BH16" s="51">
        <f>'LUC-2013-01-08-Run3'!CJ18</f>
        <v>3.4397582994996899E-5</v>
      </c>
      <c r="BI16" s="51">
        <f>'LUC-2013-01-08-Run3'!CK18</f>
        <v>3.4431980577991895E-5</v>
      </c>
      <c r="BJ16" s="51">
        <f>'LUC-2013-01-08-Run3'!CL18</f>
        <v>3.4466412558569886E-5</v>
      </c>
      <c r="BK16" s="51">
        <f>'LUC-2013-01-08-Run3'!CM18</f>
        <v>3.4500878971128458E-5</v>
      </c>
      <c r="BM16" s="102"/>
      <c r="BN16" s="53" t="s">
        <v>98</v>
      </c>
      <c r="BO16" s="61">
        <f t="shared" si="7"/>
        <v>19.058062501626264</v>
      </c>
      <c r="BP16" s="61">
        <f t="shared" si="8"/>
        <v>22.035497545861407</v>
      </c>
      <c r="BQ16" s="61">
        <f t="shared" si="9"/>
        <v>24.961469709568316</v>
      </c>
      <c r="BR16" s="61">
        <f t="shared" si="10"/>
        <v>26.764852736203679</v>
      </c>
      <c r="BS16" s="61">
        <f t="shared" si="11"/>
        <v>28.698524178489087</v>
      </c>
      <c r="BT16" s="61">
        <f t="shared" si="12"/>
        <v>30.771896940395525</v>
      </c>
      <c r="BU16" s="61">
        <f t="shared" si="13"/>
        <v>32.995063976846488</v>
      </c>
    </row>
    <row r="17" spans="1:73" x14ac:dyDescent="0.25">
      <c r="A17" s="50" t="s">
        <v>38</v>
      </c>
      <c r="B17" s="50" t="s">
        <v>98</v>
      </c>
      <c r="C17" s="50" t="s">
        <v>92</v>
      </c>
      <c r="D17" s="51">
        <f>'LUC-2013-01-08-Run3'!AF19</f>
        <v>1.9058062501626263E-5</v>
      </c>
      <c r="E17" s="51">
        <f>'LUC-2013-01-08-Run3'!AG19</f>
        <v>1.9367949696774658E-5</v>
      </c>
      <c r="F17" s="51">
        <f>'LUC-2013-01-08-Run3'!AH19</f>
        <v>1.9682875708104327E-5</v>
      </c>
      <c r="G17" s="51">
        <f>'LUC-2013-01-08-Run3'!AI19</f>
        <v>2.0002922467585699E-5</v>
      </c>
      <c r="H17" s="51">
        <f>'LUC-2013-01-08-Run3'!AJ19</f>
        <v>2.0328173239416362E-5</v>
      </c>
      <c r="I17" s="51">
        <f>'LUC-2013-01-08-Run3'!AK19</f>
        <v>2.0658712641683296E-5</v>
      </c>
      <c r="J17" s="51">
        <f>'LUC-2013-01-08-Run3'!AL19</f>
        <v>2.0994626668377332E-5</v>
      </c>
      <c r="K17" s="51">
        <f>'LUC-2013-01-08-Run3'!AM19</f>
        <v>2.1336002711765583E-5</v>
      </c>
      <c r="L17" s="51">
        <f>'LUC-2013-01-08-Run3'!AN19</f>
        <v>2.1682929585127624E-5</v>
      </c>
      <c r="M17" s="51">
        <f>'LUC-2013-01-08-Run3'!AO19</f>
        <v>2.2035497545861405E-5</v>
      </c>
      <c r="N17" s="51">
        <f>'LUC-2013-01-08-Run3'!AP19</f>
        <v>2.2393798318964842E-5</v>
      </c>
      <c r="O17" s="51">
        <f>'LUC-2013-01-08-Run3'!AQ19</f>
        <v>2.2757925120899231E-5</v>
      </c>
      <c r="P17" s="51">
        <f>'LUC-2013-01-08-Run3'!AR19</f>
        <v>2.3127972683840682E-5</v>
      </c>
      <c r="Q17" s="51">
        <f>'LUC-2013-01-08-Run3'!AS19</f>
        <v>2.3504037280325898E-5</v>
      </c>
      <c r="R17" s="51">
        <f>'LUC-2013-01-08-Run3'!AT19</f>
        <v>2.3886216748298676E-5</v>
      </c>
      <c r="S17" s="51">
        <f>'LUC-2013-01-08-Run3'!AU19</f>
        <v>2.4274610516563694E-5</v>
      </c>
      <c r="T17" s="51">
        <f>'LUC-2013-01-08-Run3'!AV19</f>
        <v>2.4444532790179639E-5</v>
      </c>
      <c r="U17" s="51">
        <f>'LUC-2013-01-08-Run3'!AW19</f>
        <v>2.4615644519710897E-5</v>
      </c>
      <c r="V17" s="51">
        <f>'LUC-2013-01-08-Run3'!AX19</f>
        <v>2.4787954031348874E-5</v>
      </c>
      <c r="W17" s="51">
        <f>'LUC-2013-01-08-Run3'!AY19</f>
        <v>2.4961469709568316E-5</v>
      </c>
      <c r="X17" s="51">
        <f>'LUC-2013-01-08-Run3'!AZ19</f>
        <v>2.5136199997535295E-5</v>
      </c>
      <c r="Y17" s="51">
        <f>'LUC-2013-01-08-Run3'!BA19</f>
        <v>2.5312153397518044E-5</v>
      </c>
      <c r="Z17" s="51">
        <f>'LUC-2013-01-08-Run3'!BB19</f>
        <v>2.5489338471300669E-5</v>
      </c>
      <c r="AA17" s="51">
        <f>'LUC-2013-01-08-Run3'!BC19</f>
        <v>2.5667763840599773E-5</v>
      </c>
      <c r="AB17" s="51">
        <f>'LUC-2013-01-08-Run3'!BD19</f>
        <v>2.5847438187483973E-5</v>
      </c>
      <c r="AC17" s="51">
        <f>'LUC-2013-01-08-Run3'!BE19</f>
        <v>2.6028370254796361E-5</v>
      </c>
      <c r="AD17" s="51">
        <f>'LUC-2013-01-08-Run3'!BF19</f>
        <v>2.6210568846579936E-5</v>
      </c>
      <c r="AE17" s="51">
        <f>'LUC-2013-01-08-Run3'!BG19</f>
        <v>2.6394042828505995E-5</v>
      </c>
      <c r="AF17" s="51">
        <f>'LUC-2013-01-08-Run3'!BH19</f>
        <v>2.6578801128305539E-5</v>
      </c>
      <c r="AG17" s="51">
        <f>'LUC-2013-01-08-Run3'!BI19</f>
        <v>2.6764852736203677E-5</v>
      </c>
      <c r="AH17" s="51">
        <f>'LUC-2013-01-08-Run3'!BJ19</f>
        <v>2.6952206705357104E-5</v>
      </c>
      <c r="AI17" s="51">
        <f>'LUC-2013-01-08-Run3'!BK19</f>
        <v>2.7140872152294603E-5</v>
      </c>
      <c r="AJ17" s="51">
        <f>'LUC-2013-01-08-Run3'!BL19</f>
        <v>2.7330858257360666E-5</v>
      </c>
      <c r="AK17" s="51">
        <f>'LUC-2013-01-08-Run3'!BM19</f>
        <v>2.7522174265162191E-5</v>
      </c>
      <c r="AL17" s="51">
        <f>'LUC-2013-01-08-Run3'!BN19</f>
        <v>2.7714829485018327E-5</v>
      </c>
      <c r="AM17" s="51">
        <f>'LUC-2013-01-08-Run3'!BO19</f>
        <v>2.7908833291413456E-5</v>
      </c>
      <c r="AN17" s="51">
        <f>'LUC-2013-01-08-Run3'!BP19</f>
        <v>2.8104195124453349E-5</v>
      </c>
      <c r="AO17" s="51">
        <f>'LUC-2013-01-08-Run3'!BQ19</f>
        <v>2.8300924490324521E-5</v>
      </c>
      <c r="AP17" s="51">
        <f>'LUC-2013-01-08-Run3'!BR19</f>
        <v>2.8499030961756792E-5</v>
      </c>
      <c r="AQ17" s="51">
        <f>'LUC-2013-01-08-Run3'!BS19</f>
        <v>2.8698524178489089E-5</v>
      </c>
      <c r="AR17" s="51">
        <f>'LUC-2013-01-08-Run3'!BT19</f>
        <v>2.8899413847738511E-5</v>
      </c>
      <c r="AS17" s="51">
        <f>'LUC-2013-01-08-Run3'!BU19</f>
        <v>2.9101709744672679E-5</v>
      </c>
      <c r="AT17" s="51">
        <f>'LUC-2013-01-08-Run3'!BV19</f>
        <v>2.9305421712885388E-5</v>
      </c>
      <c r="AU17" s="51">
        <f>'LUC-2013-01-08-Run3'!BW19</f>
        <v>2.9510559664875587E-5</v>
      </c>
      <c r="AV17" s="51">
        <f>'LUC-2013-01-08-Run3'!BX19</f>
        <v>2.9717133582529715E-5</v>
      </c>
      <c r="AW17" s="51">
        <f>'LUC-2013-01-08-Run3'!BY19</f>
        <v>2.9925153517607422E-5</v>
      </c>
      <c r="AX17" s="51">
        <f>'LUC-2013-01-08-Run3'!BZ19</f>
        <v>3.0134629592230675E-5</v>
      </c>
      <c r="AY17" s="51">
        <f>'LUC-2013-01-08-Run3'!CA19</f>
        <v>3.0345571999376289E-5</v>
      </c>
      <c r="AZ17" s="51">
        <f>'LUC-2013-01-08-Run3'!CB19</f>
        <v>3.0557991003371919E-5</v>
      </c>
      <c r="BA17" s="51">
        <f>'LUC-2013-01-08-Run3'!CC19</f>
        <v>3.0771896940395526E-5</v>
      </c>
      <c r="BB17" s="51">
        <f>'LUC-2013-01-08-Run3'!CD19</f>
        <v>3.0987300218978292E-5</v>
      </c>
      <c r="BC17" s="51">
        <f>'LUC-2013-01-08-Run3'!CE19</f>
        <v>3.120421132051114E-5</v>
      </c>
      <c r="BD17" s="51">
        <f>'LUC-2013-01-08-Run3'!CF19</f>
        <v>3.1422640799754715E-5</v>
      </c>
      <c r="BE17" s="51">
        <f>'LUC-2013-01-08-Run3'!CG19</f>
        <v>3.1642599285352998E-5</v>
      </c>
      <c r="BF17" s="51">
        <f>'LUC-2013-01-08-Run3'!CH19</f>
        <v>3.1864097480350471E-5</v>
      </c>
      <c r="BG17" s="51">
        <f>'LUC-2013-01-08-Run3'!CI19</f>
        <v>3.2087146162712921E-5</v>
      </c>
      <c r="BH17" s="51">
        <f>'LUC-2013-01-08-Run3'!CJ19</f>
        <v>3.2311756185851908E-5</v>
      </c>
      <c r="BI17" s="51">
        <f>'LUC-2013-01-08-Run3'!CK19</f>
        <v>3.2537938479152873E-5</v>
      </c>
      <c r="BJ17" s="51">
        <f>'LUC-2013-01-08-Run3'!CL19</f>
        <v>3.2765704048506942E-5</v>
      </c>
      <c r="BK17" s="51">
        <f>'LUC-2013-01-08-Run3'!CM19</f>
        <v>3.299506397684649E-5</v>
      </c>
      <c r="BM17" s="102"/>
      <c r="BN17" s="53" t="s">
        <v>99</v>
      </c>
      <c r="BO17" s="61">
        <f t="shared" si="7"/>
        <v>37.310549777117387</v>
      </c>
      <c r="BP17" s="61">
        <f t="shared" si="8"/>
        <v>38.001485884101037</v>
      </c>
      <c r="BQ17" s="61">
        <f t="shared" si="9"/>
        <v>39.374177577677813</v>
      </c>
      <c r="BR17" s="61">
        <f t="shared" si="10"/>
        <v>41.654346633313665</v>
      </c>
      <c r="BS17" s="61">
        <f t="shared" si="11"/>
        <v>43.934515688949517</v>
      </c>
      <c r="BT17" s="61">
        <f t="shared" si="12"/>
        <v>43.934515688949517</v>
      </c>
      <c r="BU17" s="61">
        <f t="shared" si="13"/>
        <v>43.934515688949517</v>
      </c>
    </row>
    <row r="18" spans="1:73" x14ac:dyDescent="0.25">
      <c r="A18" s="50" t="s">
        <v>38</v>
      </c>
      <c r="B18" s="50" t="s">
        <v>99</v>
      </c>
      <c r="C18" s="50" t="s">
        <v>92</v>
      </c>
      <c r="D18" s="51">
        <f>'LUC-2013-01-08-Run3'!AF21</f>
        <v>3.7310549777117386E-5</v>
      </c>
      <c r="E18" s="51">
        <f>'LUC-2013-01-08-Run3'!AG21</f>
        <v>3.7387320455671127E-5</v>
      </c>
      <c r="F18" s="51">
        <f>'LUC-2013-01-08-Run3'!AH21</f>
        <v>3.7464091134224867E-5</v>
      </c>
      <c r="G18" s="51">
        <f>'LUC-2013-01-08-Run3'!AI21</f>
        <v>3.7540861812778601E-5</v>
      </c>
      <c r="H18" s="51">
        <f>'LUC-2013-01-08-Run3'!AJ21</f>
        <v>3.7617632491332342E-5</v>
      </c>
      <c r="I18" s="51">
        <f>'LUC-2013-01-08-Run3'!AK21</f>
        <v>3.7694403169886082E-5</v>
      </c>
      <c r="J18" s="51">
        <f>'LUC-2013-01-08-Run3'!AL21</f>
        <v>3.7771173848439823E-5</v>
      </c>
      <c r="K18" s="51">
        <f>'LUC-2013-01-08-Run3'!AM21</f>
        <v>3.7847944526993563E-5</v>
      </c>
      <c r="L18" s="51">
        <f>'LUC-2013-01-08-Run3'!AN21</f>
        <v>3.7924715205547297E-5</v>
      </c>
      <c r="M18" s="51">
        <f>'LUC-2013-01-08-Run3'!AO21</f>
        <v>3.8001485884101038E-5</v>
      </c>
      <c r="N18" s="51">
        <f>'LUC-2013-01-08-Run3'!AP21</f>
        <v>3.8078256562654778E-5</v>
      </c>
      <c r="O18" s="51">
        <f>'LUC-2013-01-08-Run3'!AQ21</f>
        <v>3.8155027241208519E-5</v>
      </c>
      <c r="P18" s="51">
        <f>'LUC-2013-01-08-Run3'!AR21</f>
        <v>3.823179791976226E-5</v>
      </c>
      <c r="Q18" s="51">
        <f>'LUC-2013-01-08-Run3'!AS21</f>
        <v>3.8308568598315993E-5</v>
      </c>
      <c r="R18" s="51">
        <f>'LUC-2013-01-08-Run3'!AT21</f>
        <v>3.8385339276869734E-5</v>
      </c>
      <c r="S18" s="51">
        <f>'LUC-2013-01-08-Run3'!AU21</f>
        <v>3.8462109955423475E-5</v>
      </c>
      <c r="T18" s="51">
        <f>'LUC-2013-01-08-Run3'!AV21</f>
        <v>3.8690126860987058E-5</v>
      </c>
      <c r="U18" s="51">
        <f>'LUC-2013-01-08-Run3'!AW21</f>
        <v>3.8918143766550648E-5</v>
      </c>
      <c r="V18" s="51">
        <f>'LUC-2013-01-08-Run3'!AX21</f>
        <v>3.9146160672114232E-5</v>
      </c>
      <c r="W18" s="51">
        <f>'LUC-2013-01-08-Run3'!AY21</f>
        <v>3.9374177577677815E-5</v>
      </c>
      <c r="X18" s="51">
        <f>'LUC-2013-01-08-Run3'!AZ21</f>
        <v>3.9602194483241399E-5</v>
      </c>
      <c r="Y18" s="51">
        <f>'LUC-2013-01-08-Run3'!BA21</f>
        <v>3.9830211388804982E-5</v>
      </c>
      <c r="Z18" s="51">
        <f>'LUC-2013-01-08-Run3'!BB21</f>
        <v>4.0058228294368573E-5</v>
      </c>
      <c r="AA18" s="51">
        <f>'LUC-2013-01-08-Run3'!BC21</f>
        <v>4.0286245199932156E-5</v>
      </c>
      <c r="AB18" s="51">
        <f>'LUC-2013-01-08-Run3'!BD21</f>
        <v>4.051426210549574E-5</v>
      </c>
      <c r="AC18" s="51">
        <f>'LUC-2013-01-08-Run3'!BE21</f>
        <v>4.074227901105933E-5</v>
      </c>
      <c r="AD18" s="51">
        <f>'LUC-2013-01-08-Run3'!BF21</f>
        <v>4.0970295916622914E-5</v>
      </c>
      <c r="AE18" s="51">
        <f>'LUC-2013-01-08-Run3'!BG21</f>
        <v>4.1198312822186497E-5</v>
      </c>
      <c r="AF18" s="51">
        <f>'LUC-2013-01-08-Run3'!BH21</f>
        <v>4.1426329727750081E-5</v>
      </c>
      <c r="AG18" s="51">
        <f>'LUC-2013-01-08-Run3'!BI21</f>
        <v>4.1654346633313664E-5</v>
      </c>
      <c r="AH18" s="51">
        <f>'LUC-2013-01-08-Run3'!BJ21</f>
        <v>4.1882363538877255E-5</v>
      </c>
      <c r="AI18" s="51">
        <f>'LUC-2013-01-08-Run3'!BK21</f>
        <v>4.2110380444440838E-5</v>
      </c>
      <c r="AJ18" s="51">
        <f>'LUC-2013-01-08-Run3'!BL21</f>
        <v>4.2338397350004422E-5</v>
      </c>
      <c r="AK18" s="51">
        <f>'LUC-2013-01-08-Run3'!BM21</f>
        <v>4.2566414255568012E-5</v>
      </c>
      <c r="AL18" s="51">
        <f>'LUC-2013-01-08-Run3'!BN21</f>
        <v>4.2794431161131595E-5</v>
      </c>
      <c r="AM18" s="51">
        <f>'LUC-2013-01-08-Run3'!BO21</f>
        <v>4.3022448066695179E-5</v>
      </c>
      <c r="AN18" s="51">
        <f>'LUC-2013-01-08-Run3'!BP21</f>
        <v>4.3250464972258763E-5</v>
      </c>
      <c r="AO18" s="51">
        <f>'LUC-2013-01-08-Run3'!BQ21</f>
        <v>4.3478481877822346E-5</v>
      </c>
      <c r="AP18" s="51">
        <f>'LUC-2013-01-08-Run3'!BR21</f>
        <v>4.3706498783385936E-5</v>
      </c>
      <c r="AQ18" s="51">
        <f>'LUC-2013-01-08-Run3'!BS21</f>
        <v>4.393451568894952E-5</v>
      </c>
      <c r="AR18" s="51">
        <f>'LUC-2013-01-08-Run3'!BT21</f>
        <v>4.393451568894952E-5</v>
      </c>
      <c r="AS18" s="51">
        <f>'LUC-2013-01-08-Run3'!BU21</f>
        <v>4.393451568894952E-5</v>
      </c>
      <c r="AT18" s="51">
        <f>'LUC-2013-01-08-Run3'!BV21</f>
        <v>4.393451568894952E-5</v>
      </c>
      <c r="AU18" s="51">
        <f>'LUC-2013-01-08-Run3'!BW21</f>
        <v>4.393451568894952E-5</v>
      </c>
      <c r="AV18" s="51">
        <f>'LUC-2013-01-08-Run3'!BX21</f>
        <v>4.393451568894952E-5</v>
      </c>
      <c r="AW18" s="51">
        <f>'LUC-2013-01-08-Run3'!BY21</f>
        <v>4.393451568894952E-5</v>
      </c>
      <c r="AX18" s="51">
        <f>'LUC-2013-01-08-Run3'!BZ21</f>
        <v>4.393451568894952E-5</v>
      </c>
      <c r="AY18" s="51">
        <f>'LUC-2013-01-08-Run3'!CA21</f>
        <v>4.393451568894952E-5</v>
      </c>
      <c r="AZ18" s="51">
        <f>'LUC-2013-01-08-Run3'!CB21</f>
        <v>4.393451568894952E-5</v>
      </c>
      <c r="BA18" s="51">
        <f>'LUC-2013-01-08-Run3'!CC21</f>
        <v>4.393451568894952E-5</v>
      </c>
      <c r="BB18" s="51">
        <f>'LUC-2013-01-08-Run3'!CD21</f>
        <v>4.393451568894952E-5</v>
      </c>
      <c r="BC18" s="51">
        <f>'LUC-2013-01-08-Run3'!CE21</f>
        <v>4.393451568894952E-5</v>
      </c>
      <c r="BD18" s="51">
        <f>'LUC-2013-01-08-Run3'!CF21</f>
        <v>4.393451568894952E-5</v>
      </c>
      <c r="BE18" s="51">
        <f>'LUC-2013-01-08-Run3'!CG21</f>
        <v>4.393451568894952E-5</v>
      </c>
      <c r="BF18" s="51">
        <f>'LUC-2013-01-08-Run3'!CH21</f>
        <v>4.393451568894952E-5</v>
      </c>
      <c r="BG18" s="51">
        <f>'LUC-2013-01-08-Run3'!CI21</f>
        <v>4.393451568894952E-5</v>
      </c>
      <c r="BH18" s="51">
        <f>'LUC-2013-01-08-Run3'!CJ21</f>
        <v>4.393451568894952E-5</v>
      </c>
      <c r="BI18" s="51">
        <f>'LUC-2013-01-08-Run3'!CK21</f>
        <v>4.393451568894952E-5</v>
      </c>
      <c r="BJ18" s="51">
        <f>'LUC-2013-01-08-Run3'!CL21</f>
        <v>4.393451568894952E-5</v>
      </c>
      <c r="BK18" s="51">
        <f>'LUC-2013-01-08-Run3'!CM21</f>
        <v>4.393451568894952E-5</v>
      </c>
      <c r="BM18" s="102"/>
      <c r="BN18" s="53" t="s">
        <v>100</v>
      </c>
      <c r="BO18" s="61">
        <f t="shared" si="7"/>
        <v>53.438335809806837</v>
      </c>
      <c r="BP18" s="61">
        <f t="shared" si="8"/>
        <v>54.427934621099553</v>
      </c>
      <c r="BQ18" s="61">
        <f t="shared" si="9"/>
        <v>54.39888589099327</v>
      </c>
      <c r="BR18" s="61">
        <f t="shared" si="10"/>
        <v>52.676932713573031</v>
      </c>
      <c r="BS18" s="61">
        <f t="shared" si="11"/>
        <v>50.954979536152791</v>
      </c>
      <c r="BT18" s="61">
        <f t="shared" si="12"/>
        <v>50.954979536152791</v>
      </c>
      <c r="BU18" s="61">
        <f t="shared" si="13"/>
        <v>50.954979536152791</v>
      </c>
    </row>
    <row r="19" spans="1:73" x14ac:dyDescent="0.25">
      <c r="A19" s="50" t="s">
        <v>38</v>
      </c>
      <c r="B19" s="50" t="s">
        <v>100</v>
      </c>
      <c r="C19" s="50" t="s">
        <v>92</v>
      </c>
      <c r="D19" s="51">
        <f>'LUC-2013-01-08-Run3'!AF22</f>
        <v>5.3438335809806834E-5</v>
      </c>
      <c r="E19" s="51">
        <f>'LUC-2013-01-08-Run3'!AG22</f>
        <v>5.3548291233283803E-5</v>
      </c>
      <c r="F19" s="51">
        <f>'LUC-2013-01-08-Run3'!AH22</f>
        <v>5.3658246656760772E-5</v>
      </c>
      <c r="G19" s="51">
        <f>'LUC-2013-01-08-Run3'!AI22</f>
        <v>5.3768202080237741E-5</v>
      </c>
      <c r="H19" s="51">
        <f>'LUC-2013-01-08-Run3'!AJ22</f>
        <v>5.3878157503714709E-5</v>
      </c>
      <c r="I19" s="51">
        <f>'LUC-2013-01-08-Run3'!AK22</f>
        <v>5.3988112927191678E-5</v>
      </c>
      <c r="J19" s="51">
        <f>'LUC-2013-01-08-Run3'!AL22</f>
        <v>5.4098068350668647E-5</v>
      </c>
      <c r="K19" s="51">
        <f>'LUC-2013-01-08-Run3'!AM22</f>
        <v>5.4208023774145616E-5</v>
      </c>
      <c r="L19" s="51">
        <f>'LUC-2013-01-08-Run3'!AN22</f>
        <v>5.4317979197622585E-5</v>
      </c>
      <c r="M19" s="51">
        <f>'LUC-2013-01-08-Run3'!AO22</f>
        <v>5.4427934621099554E-5</v>
      </c>
      <c r="N19" s="51">
        <f>'LUC-2013-01-08-Run3'!AP22</f>
        <v>5.4537890044576523E-5</v>
      </c>
      <c r="O19" s="51">
        <f>'LUC-2013-01-08-Run3'!AQ22</f>
        <v>5.4647845468053492E-5</v>
      </c>
      <c r="P19" s="51">
        <f>'LUC-2013-01-08-Run3'!AR22</f>
        <v>5.4757800891530461E-5</v>
      </c>
      <c r="Q19" s="51">
        <f>'LUC-2013-01-08-Run3'!AS22</f>
        <v>5.4867756315007429E-5</v>
      </c>
      <c r="R19" s="51">
        <f>'LUC-2013-01-08-Run3'!AT22</f>
        <v>5.4977711738484398E-5</v>
      </c>
      <c r="S19" s="51">
        <f>'LUC-2013-01-08-Run3'!AU22</f>
        <v>5.5087667161961367E-5</v>
      </c>
      <c r="T19" s="51">
        <f>'LUC-2013-01-08-Run3'!AV22</f>
        <v>5.4915471844219341E-5</v>
      </c>
      <c r="U19" s="51">
        <f>'LUC-2013-01-08-Run3'!AW22</f>
        <v>5.4743276526477322E-5</v>
      </c>
      <c r="V19" s="51">
        <f>'LUC-2013-01-08-Run3'!AX22</f>
        <v>5.4571081208735296E-5</v>
      </c>
      <c r="W19" s="51">
        <f>'LUC-2013-01-08-Run3'!AY22</f>
        <v>5.439888589099327E-5</v>
      </c>
      <c r="X19" s="51">
        <f>'LUC-2013-01-08-Run3'!AZ22</f>
        <v>5.4226690573251244E-5</v>
      </c>
      <c r="Y19" s="51">
        <f>'LUC-2013-01-08-Run3'!BA22</f>
        <v>5.4054495255509225E-5</v>
      </c>
      <c r="Z19" s="51">
        <f>'LUC-2013-01-08-Run3'!BB22</f>
        <v>5.3882299937767199E-5</v>
      </c>
      <c r="AA19" s="51">
        <f>'LUC-2013-01-08-Run3'!BC22</f>
        <v>5.3710104620025173E-5</v>
      </c>
      <c r="AB19" s="51">
        <f>'LUC-2013-01-08-Run3'!BD22</f>
        <v>5.3537909302283154E-5</v>
      </c>
      <c r="AC19" s="51">
        <f>'LUC-2013-01-08-Run3'!BE22</f>
        <v>5.3365713984541128E-5</v>
      </c>
      <c r="AD19" s="51">
        <f>'LUC-2013-01-08-Run3'!BF22</f>
        <v>5.3193518666799102E-5</v>
      </c>
      <c r="AE19" s="51">
        <f>'LUC-2013-01-08-Run3'!BG22</f>
        <v>5.3021323349057076E-5</v>
      </c>
      <c r="AF19" s="51">
        <f>'LUC-2013-01-08-Run3'!BH22</f>
        <v>5.2849128031315057E-5</v>
      </c>
      <c r="AG19" s="51">
        <f>'LUC-2013-01-08-Run3'!BI22</f>
        <v>5.2676932713573031E-5</v>
      </c>
      <c r="AH19" s="51">
        <f>'LUC-2013-01-08-Run3'!BJ22</f>
        <v>5.2504737395831005E-5</v>
      </c>
      <c r="AI19" s="51">
        <f>'LUC-2013-01-08-Run3'!BK22</f>
        <v>5.2332542078088986E-5</v>
      </c>
      <c r="AJ19" s="51">
        <f>'LUC-2013-01-08-Run3'!BL22</f>
        <v>5.216034676034696E-5</v>
      </c>
      <c r="AK19" s="51">
        <f>'LUC-2013-01-08-Run3'!BM22</f>
        <v>5.1988151442604934E-5</v>
      </c>
      <c r="AL19" s="51">
        <f>'LUC-2013-01-08-Run3'!BN22</f>
        <v>5.1815956124862915E-5</v>
      </c>
      <c r="AM19" s="51">
        <f>'LUC-2013-01-08-Run3'!BO22</f>
        <v>5.1643760807120889E-5</v>
      </c>
      <c r="AN19" s="51">
        <f>'LUC-2013-01-08-Run3'!BP22</f>
        <v>5.1471565489378863E-5</v>
      </c>
      <c r="AO19" s="51">
        <f>'LUC-2013-01-08-Run3'!BQ22</f>
        <v>5.1299370171636837E-5</v>
      </c>
      <c r="AP19" s="51">
        <f>'LUC-2013-01-08-Run3'!BR22</f>
        <v>5.1127174853894818E-5</v>
      </c>
      <c r="AQ19" s="51">
        <f>'LUC-2013-01-08-Run3'!BS22</f>
        <v>5.0954979536152792E-5</v>
      </c>
      <c r="AR19" s="51">
        <f>'LUC-2013-01-08-Run3'!BT22</f>
        <v>5.0954979536152792E-5</v>
      </c>
      <c r="AS19" s="51">
        <f>'LUC-2013-01-08-Run3'!BU22</f>
        <v>5.0954979536152792E-5</v>
      </c>
      <c r="AT19" s="51">
        <f>'LUC-2013-01-08-Run3'!BV22</f>
        <v>5.0954979536152792E-5</v>
      </c>
      <c r="AU19" s="51">
        <f>'LUC-2013-01-08-Run3'!BW22</f>
        <v>5.0954979536152792E-5</v>
      </c>
      <c r="AV19" s="51">
        <f>'LUC-2013-01-08-Run3'!BX22</f>
        <v>5.0954979536152792E-5</v>
      </c>
      <c r="AW19" s="51">
        <f>'LUC-2013-01-08-Run3'!BY22</f>
        <v>5.0954979536152792E-5</v>
      </c>
      <c r="AX19" s="51">
        <f>'LUC-2013-01-08-Run3'!BZ22</f>
        <v>5.0954979536152792E-5</v>
      </c>
      <c r="AY19" s="51">
        <f>'LUC-2013-01-08-Run3'!CA22</f>
        <v>5.0954979536152792E-5</v>
      </c>
      <c r="AZ19" s="51">
        <f>'LUC-2013-01-08-Run3'!CB22</f>
        <v>5.0954979536152792E-5</v>
      </c>
      <c r="BA19" s="51">
        <f>'LUC-2013-01-08-Run3'!CC22</f>
        <v>5.0954979536152792E-5</v>
      </c>
      <c r="BB19" s="51">
        <f>'LUC-2013-01-08-Run3'!CD22</f>
        <v>5.0954979536152792E-5</v>
      </c>
      <c r="BC19" s="51">
        <f>'LUC-2013-01-08-Run3'!CE22</f>
        <v>5.0954979536152792E-5</v>
      </c>
      <c r="BD19" s="51">
        <f>'LUC-2013-01-08-Run3'!CF22</f>
        <v>5.0954979536152792E-5</v>
      </c>
      <c r="BE19" s="51">
        <f>'LUC-2013-01-08-Run3'!CG22</f>
        <v>5.0954979536152792E-5</v>
      </c>
      <c r="BF19" s="51">
        <f>'LUC-2013-01-08-Run3'!CH22</f>
        <v>5.0954979536152792E-5</v>
      </c>
      <c r="BG19" s="51">
        <f>'LUC-2013-01-08-Run3'!CI22</f>
        <v>5.0954979536152792E-5</v>
      </c>
      <c r="BH19" s="51">
        <f>'LUC-2013-01-08-Run3'!CJ22</f>
        <v>5.0954979536152792E-5</v>
      </c>
      <c r="BI19" s="51">
        <f>'LUC-2013-01-08-Run3'!CK22</f>
        <v>5.0954979536152792E-5</v>
      </c>
      <c r="BJ19" s="51">
        <f>'LUC-2013-01-08-Run3'!CL22</f>
        <v>5.0954979536152792E-5</v>
      </c>
      <c r="BK19" s="51">
        <f>'LUC-2013-01-08-Run3'!CM22</f>
        <v>5.0954979536152792E-5</v>
      </c>
      <c r="BM19" s="102"/>
      <c r="BN19" s="53" t="s">
        <v>101</v>
      </c>
      <c r="BO19" s="61">
        <f t="shared" si="7"/>
        <v>38.032689450222882</v>
      </c>
      <c r="BP19" s="61">
        <f t="shared" si="8"/>
        <v>38.736998514115896</v>
      </c>
      <c r="BQ19" s="61">
        <f t="shared" si="9"/>
        <v>38.522501447706539</v>
      </c>
      <c r="BR19" s="61">
        <f t="shared" si="10"/>
        <v>36.812410341861458</v>
      </c>
      <c r="BS19" s="61">
        <f t="shared" si="11"/>
        <v>35.10231923601637</v>
      </c>
      <c r="BT19" s="61">
        <f t="shared" si="12"/>
        <v>35.10231923601637</v>
      </c>
      <c r="BU19" s="61">
        <f t="shared" si="13"/>
        <v>35.10231923601637</v>
      </c>
    </row>
    <row r="20" spans="1:73" x14ac:dyDescent="0.25">
      <c r="A20" s="50" t="s">
        <v>38</v>
      </c>
      <c r="B20" s="50" t="s">
        <v>101</v>
      </c>
      <c r="C20" s="50" t="s">
        <v>92</v>
      </c>
      <c r="D20" s="51">
        <f>'LUC-2013-01-08-Run3'!AF23</f>
        <v>3.8032689450222883E-5</v>
      </c>
      <c r="E20" s="51">
        <f>'LUC-2013-01-08-Run3'!AG23</f>
        <v>3.8110946012877659E-5</v>
      </c>
      <c r="F20" s="51">
        <f>'LUC-2013-01-08-Run3'!AH23</f>
        <v>3.8189202575532442E-5</v>
      </c>
      <c r="G20" s="51">
        <f>'LUC-2013-01-08-Run3'!AI23</f>
        <v>3.8267459138187219E-5</v>
      </c>
      <c r="H20" s="51">
        <f>'LUC-2013-01-08-Run3'!AJ23</f>
        <v>3.8345715700842002E-5</v>
      </c>
      <c r="I20" s="51">
        <f>'LUC-2013-01-08-Run3'!AK23</f>
        <v>3.8423972263496778E-5</v>
      </c>
      <c r="J20" s="51">
        <f>'LUC-2013-01-08-Run3'!AL23</f>
        <v>3.8502228826151561E-5</v>
      </c>
      <c r="K20" s="51">
        <f>'LUC-2013-01-08-Run3'!AM23</f>
        <v>3.8580485388806337E-5</v>
      </c>
      <c r="L20" s="51">
        <f>'LUC-2013-01-08-Run3'!AN23</f>
        <v>3.865874195146112E-5</v>
      </c>
      <c r="M20" s="51">
        <f>'LUC-2013-01-08-Run3'!AO23</f>
        <v>3.8736998514115897E-5</v>
      </c>
      <c r="N20" s="51">
        <f>'LUC-2013-01-08-Run3'!AP23</f>
        <v>3.881525507677068E-5</v>
      </c>
      <c r="O20" s="51">
        <f>'LUC-2013-01-08-Run3'!AQ23</f>
        <v>3.8893511639425456E-5</v>
      </c>
      <c r="P20" s="51">
        <f>'LUC-2013-01-08-Run3'!AR23</f>
        <v>3.8971768202080239E-5</v>
      </c>
      <c r="Q20" s="51">
        <f>'LUC-2013-01-08-Run3'!AS23</f>
        <v>3.9050024764735016E-5</v>
      </c>
      <c r="R20" s="51">
        <f>'LUC-2013-01-08-Run3'!AT23</f>
        <v>3.9128281327389799E-5</v>
      </c>
      <c r="S20" s="51">
        <f>'LUC-2013-01-08-Run3'!AU23</f>
        <v>3.9206537890044575E-5</v>
      </c>
      <c r="T20" s="51">
        <f>'LUC-2013-01-08-Run3'!AV23</f>
        <v>3.9035528779460066E-5</v>
      </c>
      <c r="U20" s="51">
        <f>'LUC-2013-01-08-Run3'!AW23</f>
        <v>3.8864519668875558E-5</v>
      </c>
      <c r="V20" s="51">
        <f>'LUC-2013-01-08-Run3'!AX23</f>
        <v>3.8693510558291049E-5</v>
      </c>
      <c r="W20" s="51">
        <f>'LUC-2013-01-08-Run3'!AY23</f>
        <v>3.8522501447706541E-5</v>
      </c>
      <c r="X20" s="51">
        <f>'LUC-2013-01-08-Run3'!AZ23</f>
        <v>3.8351492337122032E-5</v>
      </c>
      <c r="Y20" s="51">
        <f>'LUC-2013-01-08-Run3'!BA23</f>
        <v>3.8180483226537523E-5</v>
      </c>
      <c r="Z20" s="51">
        <f>'LUC-2013-01-08-Run3'!BB23</f>
        <v>3.8009474115953015E-5</v>
      </c>
      <c r="AA20" s="51">
        <f>'LUC-2013-01-08-Run3'!BC23</f>
        <v>3.7838465005368506E-5</v>
      </c>
      <c r="AB20" s="51">
        <f>'LUC-2013-01-08-Run3'!BD23</f>
        <v>3.7667455894783998E-5</v>
      </c>
      <c r="AC20" s="51">
        <f>'LUC-2013-01-08-Run3'!BE23</f>
        <v>3.7496446784199489E-5</v>
      </c>
      <c r="AD20" s="51">
        <f>'LUC-2013-01-08-Run3'!BF23</f>
        <v>3.7325437673614981E-5</v>
      </c>
      <c r="AE20" s="51">
        <f>'LUC-2013-01-08-Run3'!BG23</f>
        <v>3.7154428563030472E-5</v>
      </c>
      <c r="AF20" s="51">
        <f>'LUC-2013-01-08-Run3'!BH23</f>
        <v>3.6983419452445963E-5</v>
      </c>
      <c r="AG20" s="51">
        <f>'LUC-2013-01-08-Run3'!BI23</f>
        <v>3.6812410341861455E-5</v>
      </c>
      <c r="AH20" s="51">
        <f>'LUC-2013-01-08-Run3'!BJ23</f>
        <v>3.6641401231276946E-5</v>
      </c>
      <c r="AI20" s="51">
        <f>'LUC-2013-01-08-Run3'!BK23</f>
        <v>3.6470392120692438E-5</v>
      </c>
      <c r="AJ20" s="51">
        <f>'LUC-2013-01-08-Run3'!BL23</f>
        <v>3.6299383010107929E-5</v>
      </c>
      <c r="AK20" s="51">
        <f>'LUC-2013-01-08-Run3'!BM23</f>
        <v>3.612837389952342E-5</v>
      </c>
      <c r="AL20" s="51">
        <f>'LUC-2013-01-08-Run3'!BN23</f>
        <v>3.5957364788938912E-5</v>
      </c>
      <c r="AM20" s="51">
        <f>'LUC-2013-01-08-Run3'!BO23</f>
        <v>3.5786355678354403E-5</v>
      </c>
      <c r="AN20" s="51">
        <f>'LUC-2013-01-08-Run3'!BP23</f>
        <v>3.5615346567769895E-5</v>
      </c>
      <c r="AO20" s="51">
        <f>'LUC-2013-01-08-Run3'!BQ23</f>
        <v>3.5444337457185386E-5</v>
      </c>
      <c r="AP20" s="51">
        <f>'LUC-2013-01-08-Run3'!BR23</f>
        <v>3.5273328346600878E-5</v>
      </c>
      <c r="AQ20" s="51">
        <f>'LUC-2013-01-08-Run3'!BS23</f>
        <v>3.5102319236016369E-5</v>
      </c>
      <c r="AR20" s="51">
        <f>'LUC-2013-01-08-Run3'!BT23</f>
        <v>3.5102319236016369E-5</v>
      </c>
      <c r="AS20" s="51">
        <f>'LUC-2013-01-08-Run3'!BU23</f>
        <v>3.5102319236016369E-5</v>
      </c>
      <c r="AT20" s="51">
        <f>'LUC-2013-01-08-Run3'!BV23</f>
        <v>3.5102319236016369E-5</v>
      </c>
      <c r="AU20" s="51">
        <f>'LUC-2013-01-08-Run3'!BW23</f>
        <v>3.5102319236016369E-5</v>
      </c>
      <c r="AV20" s="51">
        <f>'LUC-2013-01-08-Run3'!BX23</f>
        <v>3.5102319236016369E-5</v>
      </c>
      <c r="AW20" s="51">
        <f>'LUC-2013-01-08-Run3'!BY23</f>
        <v>3.5102319236016369E-5</v>
      </c>
      <c r="AX20" s="51">
        <f>'LUC-2013-01-08-Run3'!BZ23</f>
        <v>3.5102319236016369E-5</v>
      </c>
      <c r="AY20" s="51">
        <f>'LUC-2013-01-08-Run3'!CA23</f>
        <v>3.5102319236016369E-5</v>
      </c>
      <c r="AZ20" s="51">
        <f>'LUC-2013-01-08-Run3'!CB23</f>
        <v>3.5102319236016369E-5</v>
      </c>
      <c r="BA20" s="51">
        <f>'LUC-2013-01-08-Run3'!CC23</f>
        <v>3.5102319236016369E-5</v>
      </c>
      <c r="BB20" s="51">
        <f>'LUC-2013-01-08-Run3'!CD23</f>
        <v>3.5102319236016369E-5</v>
      </c>
      <c r="BC20" s="51">
        <f>'LUC-2013-01-08-Run3'!CE23</f>
        <v>3.5102319236016369E-5</v>
      </c>
      <c r="BD20" s="51">
        <f>'LUC-2013-01-08-Run3'!CF23</f>
        <v>3.5102319236016369E-5</v>
      </c>
      <c r="BE20" s="51">
        <f>'LUC-2013-01-08-Run3'!CG23</f>
        <v>3.5102319236016369E-5</v>
      </c>
      <c r="BF20" s="51">
        <f>'LUC-2013-01-08-Run3'!CH23</f>
        <v>3.5102319236016369E-5</v>
      </c>
      <c r="BG20" s="51">
        <f>'LUC-2013-01-08-Run3'!CI23</f>
        <v>3.5102319236016369E-5</v>
      </c>
      <c r="BH20" s="51">
        <f>'LUC-2013-01-08-Run3'!CJ23</f>
        <v>3.5102319236016369E-5</v>
      </c>
      <c r="BI20" s="51">
        <f>'LUC-2013-01-08-Run3'!CK23</f>
        <v>3.5102319236016369E-5</v>
      </c>
      <c r="BJ20" s="51">
        <f>'LUC-2013-01-08-Run3'!CL23</f>
        <v>3.5102319236016369E-5</v>
      </c>
      <c r="BK20" s="51">
        <f>'LUC-2013-01-08-Run3'!CM23</f>
        <v>3.5102319236016369E-5</v>
      </c>
      <c r="BM20" s="102"/>
      <c r="BN20" s="53" t="s">
        <v>111</v>
      </c>
      <c r="BO20" s="61">
        <f t="shared" si="7"/>
        <v>33.2184249628529</v>
      </c>
      <c r="BP20" s="61">
        <f t="shared" si="8"/>
        <v>33.833580980683507</v>
      </c>
      <c r="BQ20" s="61">
        <f t="shared" si="9"/>
        <v>34.5377684169557</v>
      </c>
      <c r="BR20" s="61">
        <f t="shared" si="10"/>
        <v>35.272976977918503</v>
      </c>
      <c r="BS20" s="61">
        <f t="shared" si="11"/>
        <v>36.008185538881307</v>
      </c>
      <c r="BT20" s="61">
        <f t="shared" si="12"/>
        <v>36.008185538881307</v>
      </c>
      <c r="BU20" s="61">
        <f t="shared" si="13"/>
        <v>36.008185538881307</v>
      </c>
    </row>
    <row r="21" spans="1:73" x14ac:dyDescent="0.25">
      <c r="A21" s="50" t="s">
        <v>38</v>
      </c>
      <c r="B21" s="50" t="s">
        <v>111</v>
      </c>
      <c r="C21" s="50" t="s">
        <v>92</v>
      </c>
      <c r="D21" s="51">
        <f>'LUC-2013-01-08-Run3'!AF24</f>
        <v>3.3218424962852898E-5</v>
      </c>
      <c r="E21" s="51">
        <f>'LUC-2013-01-08-Run3'!AG24</f>
        <v>3.3286775631500744E-5</v>
      </c>
      <c r="F21" s="51">
        <f>'LUC-2013-01-08-Run3'!AH24</f>
        <v>3.3355126300148591E-5</v>
      </c>
      <c r="G21" s="51">
        <f>'LUC-2013-01-08-Run3'!AI24</f>
        <v>3.3423476968796431E-5</v>
      </c>
      <c r="H21" s="51">
        <f>'LUC-2013-01-08-Run3'!AJ24</f>
        <v>3.3491827637444278E-5</v>
      </c>
      <c r="I21" s="51">
        <f>'LUC-2013-01-08-Run3'!AK24</f>
        <v>3.3560178306092124E-5</v>
      </c>
      <c r="J21" s="51">
        <f>'LUC-2013-01-08-Run3'!AL24</f>
        <v>3.3628528974739971E-5</v>
      </c>
      <c r="K21" s="51">
        <f>'LUC-2013-01-08-Run3'!AM24</f>
        <v>3.3696879643387817E-5</v>
      </c>
      <c r="L21" s="51">
        <f>'LUC-2013-01-08-Run3'!AN24</f>
        <v>3.3765230312035657E-5</v>
      </c>
      <c r="M21" s="51">
        <f>'LUC-2013-01-08-Run3'!AO24</f>
        <v>3.3833580980683504E-5</v>
      </c>
      <c r="N21" s="51">
        <f>'LUC-2013-01-08-Run3'!AP24</f>
        <v>3.3901931649331351E-5</v>
      </c>
      <c r="O21" s="51">
        <f>'LUC-2013-01-08-Run3'!AQ24</f>
        <v>3.3970282317979197E-5</v>
      </c>
      <c r="P21" s="51">
        <f>'LUC-2013-01-08-Run3'!AR24</f>
        <v>3.4038632986627044E-5</v>
      </c>
      <c r="Q21" s="51">
        <f>'LUC-2013-01-08-Run3'!AS24</f>
        <v>3.4106983655274884E-5</v>
      </c>
      <c r="R21" s="51">
        <f>'LUC-2013-01-08-Run3'!AT24</f>
        <v>3.417533432392273E-5</v>
      </c>
      <c r="S21" s="51">
        <f>'LUC-2013-01-08-Run3'!AU24</f>
        <v>3.4243684992570577E-5</v>
      </c>
      <c r="T21" s="51">
        <f>'LUC-2013-01-08-Run3'!AV24</f>
        <v>3.4317205848666858E-5</v>
      </c>
      <c r="U21" s="51">
        <f>'LUC-2013-01-08-Run3'!AW24</f>
        <v>3.4390726704763139E-5</v>
      </c>
      <c r="V21" s="51">
        <f>'LUC-2013-01-08-Run3'!AX24</f>
        <v>3.446424756085942E-5</v>
      </c>
      <c r="W21" s="51">
        <f>'LUC-2013-01-08-Run3'!AY24</f>
        <v>3.4537768416955701E-5</v>
      </c>
      <c r="X21" s="51">
        <f>'LUC-2013-01-08-Run3'!AZ24</f>
        <v>3.4611289273051982E-5</v>
      </c>
      <c r="Y21" s="51">
        <f>'LUC-2013-01-08-Run3'!BA24</f>
        <v>3.4684810129148263E-5</v>
      </c>
      <c r="Z21" s="51">
        <f>'LUC-2013-01-08-Run3'!BB24</f>
        <v>3.4758330985244537E-5</v>
      </c>
      <c r="AA21" s="51">
        <f>'LUC-2013-01-08-Run3'!BC24</f>
        <v>3.4831851841340818E-5</v>
      </c>
      <c r="AB21" s="51">
        <f>'LUC-2013-01-08-Run3'!BD24</f>
        <v>3.4905372697437099E-5</v>
      </c>
      <c r="AC21" s="51">
        <f>'LUC-2013-01-08-Run3'!BE24</f>
        <v>3.497889355353338E-5</v>
      </c>
      <c r="AD21" s="51">
        <f>'LUC-2013-01-08-Run3'!BF24</f>
        <v>3.5052414409629662E-5</v>
      </c>
      <c r="AE21" s="51">
        <f>'LUC-2013-01-08-Run3'!BG24</f>
        <v>3.5125935265725943E-5</v>
      </c>
      <c r="AF21" s="51">
        <f>'LUC-2013-01-08-Run3'!BH24</f>
        <v>3.5199456121822224E-5</v>
      </c>
      <c r="AG21" s="51">
        <f>'LUC-2013-01-08-Run3'!BI24</f>
        <v>3.5272976977918505E-5</v>
      </c>
      <c r="AH21" s="51">
        <f>'LUC-2013-01-08-Run3'!BJ24</f>
        <v>3.5346497834014786E-5</v>
      </c>
      <c r="AI21" s="51">
        <f>'LUC-2013-01-08-Run3'!BK24</f>
        <v>3.5420018690111067E-5</v>
      </c>
      <c r="AJ21" s="51">
        <f>'LUC-2013-01-08-Run3'!BL24</f>
        <v>3.5493539546207348E-5</v>
      </c>
      <c r="AK21" s="51">
        <f>'LUC-2013-01-08-Run3'!BM24</f>
        <v>3.5567060402303622E-5</v>
      </c>
      <c r="AL21" s="51">
        <f>'LUC-2013-01-08-Run3'!BN24</f>
        <v>3.5640581258399903E-5</v>
      </c>
      <c r="AM21" s="51">
        <f>'LUC-2013-01-08-Run3'!BO24</f>
        <v>3.5714102114496184E-5</v>
      </c>
      <c r="AN21" s="51">
        <f>'LUC-2013-01-08-Run3'!BP24</f>
        <v>3.5787622970592465E-5</v>
      </c>
      <c r="AO21" s="51">
        <f>'LUC-2013-01-08-Run3'!BQ24</f>
        <v>3.5861143826688746E-5</v>
      </c>
      <c r="AP21" s="51">
        <f>'LUC-2013-01-08-Run3'!BR24</f>
        <v>3.5934664682785027E-5</v>
      </c>
      <c r="AQ21" s="51">
        <f>'LUC-2013-01-08-Run3'!BS24</f>
        <v>3.6008185538881308E-5</v>
      </c>
      <c r="AR21" s="51">
        <f>'LUC-2013-01-08-Run3'!BT24</f>
        <v>3.6008185538881308E-5</v>
      </c>
      <c r="AS21" s="51">
        <f>'LUC-2013-01-08-Run3'!BU24</f>
        <v>3.6008185538881308E-5</v>
      </c>
      <c r="AT21" s="51">
        <f>'LUC-2013-01-08-Run3'!BV24</f>
        <v>3.6008185538881308E-5</v>
      </c>
      <c r="AU21" s="51">
        <f>'LUC-2013-01-08-Run3'!BW24</f>
        <v>3.6008185538881308E-5</v>
      </c>
      <c r="AV21" s="51">
        <f>'LUC-2013-01-08-Run3'!BX24</f>
        <v>3.6008185538881308E-5</v>
      </c>
      <c r="AW21" s="51">
        <f>'LUC-2013-01-08-Run3'!BY24</f>
        <v>3.6008185538881308E-5</v>
      </c>
      <c r="AX21" s="51">
        <f>'LUC-2013-01-08-Run3'!BZ24</f>
        <v>3.6008185538881308E-5</v>
      </c>
      <c r="AY21" s="51">
        <f>'LUC-2013-01-08-Run3'!CA24</f>
        <v>3.6008185538881308E-5</v>
      </c>
      <c r="AZ21" s="51">
        <f>'LUC-2013-01-08-Run3'!CB24</f>
        <v>3.6008185538881308E-5</v>
      </c>
      <c r="BA21" s="51">
        <f>'LUC-2013-01-08-Run3'!CC24</f>
        <v>3.6008185538881308E-5</v>
      </c>
      <c r="BB21" s="51">
        <f>'LUC-2013-01-08-Run3'!CD24</f>
        <v>3.6008185538881308E-5</v>
      </c>
      <c r="BC21" s="51">
        <f>'LUC-2013-01-08-Run3'!CE24</f>
        <v>3.6008185538881308E-5</v>
      </c>
      <c r="BD21" s="51">
        <f>'LUC-2013-01-08-Run3'!CF24</f>
        <v>3.6008185538881308E-5</v>
      </c>
      <c r="BE21" s="51">
        <f>'LUC-2013-01-08-Run3'!CG24</f>
        <v>3.6008185538881308E-5</v>
      </c>
      <c r="BF21" s="51">
        <f>'LUC-2013-01-08-Run3'!CH24</f>
        <v>3.6008185538881308E-5</v>
      </c>
      <c r="BG21" s="51">
        <f>'LUC-2013-01-08-Run3'!CI24</f>
        <v>3.6008185538881308E-5</v>
      </c>
      <c r="BH21" s="51">
        <f>'LUC-2013-01-08-Run3'!CJ24</f>
        <v>3.6008185538881308E-5</v>
      </c>
      <c r="BI21" s="51">
        <f>'LUC-2013-01-08-Run3'!CK24</f>
        <v>3.6008185538881308E-5</v>
      </c>
      <c r="BJ21" s="51">
        <f>'LUC-2013-01-08-Run3'!CL24</f>
        <v>3.6008185538881308E-5</v>
      </c>
      <c r="BK21" s="51">
        <f>'LUC-2013-01-08-Run3'!CM24</f>
        <v>3.6008185538881308E-5</v>
      </c>
      <c r="BM21" s="102"/>
      <c r="BN21" s="53" t="s">
        <v>102</v>
      </c>
      <c r="BO21" s="61">
        <f t="shared" si="7"/>
        <v>16</v>
      </c>
      <c r="BP21" s="61">
        <f t="shared" si="8"/>
        <v>17.8</v>
      </c>
      <c r="BQ21" s="61">
        <f t="shared" si="9"/>
        <v>19.166666666666668</v>
      </c>
      <c r="BR21" s="61">
        <f t="shared" si="10"/>
        <v>19.583333333333336</v>
      </c>
      <c r="BS21" s="61">
        <f t="shared" si="11"/>
        <v>20</v>
      </c>
      <c r="BT21" s="61">
        <f t="shared" si="12"/>
        <v>20.5</v>
      </c>
      <c r="BU21" s="61">
        <f t="shared" si="13"/>
        <v>21</v>
      </c>
    </row>
    <row r="22" spans="1:73" x14ac:dyDescent="0.25">
      <c r="A22" s="50" t="s">
        <v>38</v>
      </c>
      <c r="B22" s="50" t="s">
        <v>102</v>
      </c>
      <c r="C22" s="50" t="s">
        <v>92</v>
      </c>
      <c r="D22" s="51">
        <f>'LUC-2013-01-08-Run3'!AF25</f>
        <v>1.5999999999999999E-5</v>
      </c>
      <c r="E22" s="51">
        <f>'LUC-2013-01-08-Run3'!AG25</f>
        <v>1.6200000000000001E-5</v>
      </c>
      <c r="F22" s="51">
        <f>'LUC-2013-01-08-Run3'!AH25</f>
        <v>1.6399999999999999E-5</v>
      </c>
      <c r="G22" s="51">
        <f>'LUC-2013-01-08-Run3'!AI25</f>
        <v>1.66E-5</v>
      </c>
      <c r="H22" s="51">
        <f>'LUC-2013-01-08-Run3'!AJ25</f>
        <v>1.6799999999999998E-5</v>
      </c>
      <c r="I22" s="51">
        <f>'LUC-2013-01-08-Run3'!AK25</f>
        <v>1.7E-5</v>
      </c>
      <c r="J22" s="51">
        <f>'LUC-2013-01-08-Run3'!AL25</f>
        <v>1.7200000000000001E-5</v>
      </c>
      <c r="K22" s="51">
        <f>'LUC-2013-01-08-Run3'!AM25</f>
        <v>1.7399999999999999E-5</v>
      </c>
      <c r="L22" s="51">
        <f>'LUC-2013-01-08-Run3'!AN25</f>
        <v>1.7600000000000001E-5</v>
      </c>
      <c r="M22" s="51">
        <f>'LUC-2013-01-08-Run3'!AO25</f>
        <v>1.7799999999999999E-5</v>
      </c>
      <c r="N22" s="51">
        <f>'LUC-2013-01-08-Run3'!AP25</f>
        <v>1.8E-5</v>
      </c>
      <c r="O22" s="51">
        <f>'LUC-2013-01-08-Run3'!AQ25</f>
        <v>1.8200000000000002E-5</v>
      </c>
      <c r="P22" s="51">
        <f>'LUC-2013-01-08-Run3'!AR25</f>
        <v>1.84E-5</v>
      </c>
      <c r="Q22" s="51">
        <f>'LUC-2013-01-08-Run3'!AS25</f>
        <v>1.8600000000000001E-5</v>
      </c>
      <c r="R22" s="51">
        <f>'LUC-2013-01-08-Run3'!AT25</f>
        <v>1.88E-5</v>
      </c>
      <c r="S22" s="51">
        <f>'LUC-2013-01-08-Run3'!AU25</f>
        <v>1.9000000000000001E-5</v>
      </c>
      <c r="T22" s="51">
        <f>'LUC-2013-01-08-Run3'!AV25</f>
        <v>1.9041666666666668E-5</v>
      </c>
      <c r="U22" s="51">
        <f>'LUC-2013-01-08-Run3'!AW25</f>
        <v>1.9083333333333334E-5</v>
      </c>
      <c r="V22" s="51">
        <f>'LUC-2013-01-08-Run3'!AX25</f>
        <v>1.9125000000000001E-5</v>
      </c>
      <c r="W22" s="51">
        <f>'LUC-2013-01-08-Run3'!AY25</f>
        <v>1.9166666666666667E-5</v>
      </c>
      <c r="X22" s="51">
        <f>'LUC-2013-01-08-Run3'!AZ25</f>
        <v>1.9208333333333334E-5</v>
      </c>
      <c r="Y22" s="51">
        <f>'LUC-2013-01-08-Run3'!BA25</f>
        <v>1.925E-5</v>
      </c>
      <c r="Z22" s="51">
        <f>'LUC-2013-01-08-Run3'!BB25</f>
        <v>1.9291666666666667E-5</v>
      </c>
      <c r="AA22" s="51">
        <f>'LUC-2013-01-08-Run3'!BC25</f>
        <v>1.9333333333333333E-5</v>
      </c>
      <c r="AB22" s="51">
        <f>'LUC-2013-01-08-Run3'!BD25</f>
        <v>1.9375E-5</v>
      </c>
      <c r="AC22" s="51">
        <f>'LUC-2013-01-08-Run3'!BE25</f>
        <v>1.9416666666666667E-5</v>
      </c>
      <c r="AD22" s="51">
        <f>'LUC-2013-01-08-Run3'!BF25</f>
        <v>1.9458333333333333E-5</v>
      </c>
      <c r="AE22" s="51">
        <f>'LUC-2013-01-08-Run3'!BG25</f>
        <v>1.95E-5</v>
      </c>
      <c r="AF22" s="51">
        <f>'LUC-2013-01-08-Run3'!BH25</f>
        <v>1.954166666666667E-5</v>
      </c>
      <c r="AG22" s="51">
        <f>'LUC-2013-01-08-Run3'!BI25</f>
        <v>1.9583333333333336E-5</v>
      </c>
      <c r="AH22" s="51">
        <f>'LUC-2013-01-08-Run3'!BJ25</f>
        <v>1.9625000000000003E-5</v>
      </c>
      <c r="AI22" s="51">
        <f>'LUC-2013-01-08-Run3'!BK25</f>
        <v>1.9666666666666669E-5</v>
      </c>
      <c r="AJ22" s="51">
        <f>'LUC-2013-01-08-Run3'!BL25</f>
        <v>1.9708333333333336E-5</v>
      </c>
      <c r="AK22" s="51">
        <f>'LUC-2013-01-08-Run3'!BM25</f>
        <v>1.9750000000000002E-5</v>
      </c>
      <c r="AL22" s="51">
        <f>'LUC-2013-01-08-Run3'!BN25</f>
        <v>1.9791666666666669E-5</v>
      </c>
      <c r="AM22" s="51">
        <f>'LUC-2013-01-08-Run3'!BO25</f>
        <v>1.9833333333333335E-5</v>
      </c>
      <c r="AN22" s="51">
        <f>'LUC-2013-01-08-Run3'!BP25</f>
        <v>1.9875000000000002E-5</v>
      </c>
      <c r="AO22" s="51">
        <f>'LUC-2013-01-08-Run3'!BQ25</f>
        <v>1.9916666666666669E-5</v>
      </c>
      <c r="AP22" s="51">
        <f>'LUC-2013-01-08-Run3'!BR25</f>
        <v>1.9958333333333335E-5</v>
      </c>
      <c r="AQ22" s="51">
        <f>'LUC-2013-01-08-Run3'!BS25</f>
        <v>2.0000000000000002E-5</v>
      </c>
      <c r="AR22" s="51">
        <f>'LUC-2013-01-08-Run3'!BT25</f>
        <v>2.0050000000000003E-5</v>
      </c>
      <c r="AS22" s="51">
        <f>'LUC-2013-01-08-Run3'!BU25</f>
        <v>2.0100000000000001E-5</v>
      </c>
      <c r="AT22" s="51">
        <f>'LUC-2013-01-08-Run3'!BV25</f>
        <v>2.0150000000000002E-5</v>
      </c>
      <c r="AU22" s="51">
        <f>'LUC-2013-01-08-Run3'!BW25</f>
        <v>2.02E-5</v>
      </c>
      <c r="AV22" s="51">
        <f>'LUC-2013-01-08-Run3'!BX25</f>
        <v>2.0250000000000001E-5</v>
      </c>
      <c r="AW22" s="51">
        <f>'LUC-2013-01-08-Run3'!BY25</f>
        <v>2.0300000000000002E-5</v>
      </c>
      <c r="AX22" s="51">
        <f>'LUC-2013-01-08-Run3'!BZ25</f>
        <v>2.035E-5</v>
      </c>
      <c r="AY22" s="51">
        <f>'LUC-2013-01-08-Run3'!CA25</f>
        <v>2.0400000000000001E-5</v>
      </c>
      <c r="AZ22" s="51">
        <f>'LUC-2013-01-08-Run3'!CB25</f>
        <v>2.0449999999999999E-5</v>
      </c>
      <c r="BA22" s="51">
        <f>'LUC-2013-01-08-Run3'!CC25</f>
        <v>2.05E-5</v>
      </c>
      <c r="BB22" s="51">
        <f>'LUC-2013-01-08-Run3'!CD25</f>
        <v>2.0550000000000001E-5</v>
      </c>
      <c r="BC22" s="51">
        <f>'LUC-2013-01-08-Run3'!CE25</f>
        <v>2.0599999999999999E-5</v>
      </c>
      <c r="BD22" s="51">
        <f>'LUC-2013-01-08-Run3'!CF25</f>
        <v>2.065E-5</v>
      </c>
      <c r="BE22" s="51">
        <f>'LUC-2013-01-08-Run3'!CG25</f>
        <v>2.0699999999999998E-5</v>
      </c>
      <c r="BF22" s="51">
        <f>'LUC-2013-01-08-Run3'!CH25</f>
        <v>2.075E-5</v>
      </c>
      <c r="BG22" s="51">
        <f>'LUC-2013-01-08-Run3'!CI25</f>
        <v>2.0800000000000001E-5</v>
      </c>
      <c r="BH22" s="51">
        <f>'LUC-2013-01-08-Run3'!CJ25</f>
        <v>2.0849999999999999E-5</v>
      </c>
      <c r="BI22" s="51">
        <f>'LUC-2013-01-08-Run3'!CK25</f>
        <v>2.09E-5</v>
      </c>
      <c r="BJ22" s="51">
        <f>'LUC-2013-01-08-Run3'!CL25</f>
        <v>2.0949999999999998E-5</v>
      </c>
      <c r="BK22" s="51">
        <f>'LUC-2013-01-08-Run3'!CM25</f>
        <v>2.0999999999999999E-5</v>
      </c>
      <c r="BM22" s="102"/>
      <c r="BN22" s="53" t="s">
        <v>103</v>
      </c>
      <c r="BO22" s="61">
        <f t="shared" si="7"/>
        <v>36</v>
      </c>
      <c r="BP22" s="61">
        <f t="shared" si="8"/>
        <v>34.799999999999997</v>
      </c>
      <c r="BQ22" s="61">
        <f t="shared" si="9"/>
        <v>33.833333333333336</v>
      </c>
      <c r="BR22" s="61">
        <f t="shared" si="10"/>
        <v>33.416666666666671</v>
      </c>
      <c r="BS22" s="61">
        <f t="shared" si="11"/>
        <v>33</v>
      </c>
      <c r="BT22" s="61">
        <f t="shared" si="12"/>
        <v>33</v>
      </c>
      <c r="BU22" s="61">
        <f t="shared" si="13"/>
        <v>33</v>
      </c>
    </row>
    <row r="23" spans="1:73" x14ac:dyDescent="0.25">
      <c r="A23" s="50" t="s">
        <v>38</v>
      </c>
      <c r="B23" s="50" t="s">
        <v>103</v>
      </c>
      <c r="C23" s="50" t="s">
        <v>92</v>
      </c>
      <c r="D23" s="51">
        <f>'LUC-2013-01-08-Run3'!AF26</f>
        <v>3.6000000000000001E-5</v>
      </c>
      <c r="E23" s="51">
        <f>'LUC-2013-01-08-Run3'!AG26</f>
        <v>3.5866666666666667E-5</v>
      </c>
      <c r="F23" s="51">
        <f>'LUC-2013-01-08-Run3'!AH26</f>
        <v>3.5733333333333332E-5</v>
      </c>
      <c r="G23" s="51">
        <f>'LUC-2013-01-08-Run3'!AI26</f>
        <v>3.5599999999999998E-5</v>
      </c>
      <c r="H23" s="51">
        <f>'LUC-2013-01-08-Run3'!AJ26</f>
        <v>3.546666666666667E-5</v>
      </c>
      <c r="I23" s="51">
        <f>'LUC-2013-01-08-Run3'!AK26</f>
        <v>3.5333333333333336E-5</v>
      </c>
      <c r="J23" s="51">
        <f>'LUC-2013-01-08-Run3'!AL26</f>
        <v>3.5200000000000002E-5</v>
      </c>
      <c r="K23" s="51">
        <f>'LUC-2013-01-08-Run3'!AM26</f>
        <v>3.5066666666666667E-5</v>
      </c>
      <c r="L23" s="51">
        <f>'LUC-2013-01-08-Run3'!AN26</f>
        <v>3.4933333333333333E-5</v>
      </c>
      <c r="M23" s="51">
        <f>'LUC-2013-01-08-Run3'!AO26</f>
        <v>3.4799999999999999E-5</v>
      </c>
      <c r="N23" s="51">
        <f>'LUC-2013-01-08-Run3'!AP26</f>
        <v>3.4666666666666665E-5</v>
      </c>
      <c r="O23" s="51">
        <f>'LUC-2013-01-08-Run3'!AQ26</f>
        <v>3.453333333333333E-5</v>
      </c>
      <c r="P23" s="51">
        <f>'LUC-2013-01-08-Run3'!AR26</f>
        <v>3.4400000000000003E-5</v>
      </c>
      <c r="Q23" s="51">
        <f>'LUC-2013-01-08-Run3'!AS26</f>
        <v>3.4266666666666668E-5</v>
      </c>
      <c r="R23" s="51">
        <f>'LUC-2013-01-08-Run3'!AT26</f>
        <v>3.4133333333333334E-5</v>
      </c>
      <c r="S23" s="51">
        <f>'LUC-2013-01-08-Run3'!AU26</f>
        <v>3.4E-5</v>
      </c>
      <c r="T23" s="51">
        <f>'LUC-2013-01-08-Run3'!AV26</f>
        <v>3.3958333333333337E-5</v>
      </c>
      <c r="U23" s="51">
        <f>'LUC-2013-01-08-Run3'!AW26</f>
        <v>3.3916666666666667E-5</v>
      </c>
      <c r="V23" s="51">
        <f>'LUC-2013-01-08-Run3'!AX26</f>
        <v>3.3874999999999997E-5</v>
      </c>
      <c r="W23" s="51">
        <f>'LUC-2013-01-08-Run3'!AY26</f>
        <v>3.3833333333333334E-5</v>
      </c>
      <c r="X23" s="51">
        <f>'LUC-2013-01-08-Run3'!AZ26</f>
        <v>3.379166666666667E-5</v>
      </c>
      <c r="Y23" s="51">
        <f>'LUC-2013-01-08-Run3'!BA26</f>
        <v>3.375E-5</v>
      </c>
      <c r="Z23" s="51">
        <f>'LUC-2013-01-08-Run3'!BB26</f>
        <v>3.370833333333333E-5</v>
      </c>
      <c r="AA23" s="51">
        <f>'LUC-2013-01-08-Run3'!BC26</f>
        <v>3.3666666666666667E-5</v>
      </c>
      <c r="AB23" s="51">
        <f>'LUC-2013-01-08-Run3'!BD26</f>
        <v>3.3625000000000004E-5</v>
      </c>
      <c r="AC23" s="51">
        <f>'LUC-2013-01-08-Run3'!BE26</f>
        <v>3.3583333333333334E-5</v>
      </c>
      <c r="AD23" s="51">
        <f>'LUC-2013-01-08-Run3'!BF26</f>
        <v>3.3541666666666664E-5</v>
      </c>
      <c r="AE23" s="51">
        <f>'LUC-2013-01-08-Run3'!BG26</f>
        <v>3.3500000000000001E-5</v>
      </c>
      <c r="AF23" s="51">
        <f>'LUC-2013-01-08-Run3'!BH26</f>
        <v>3.3458333333333338E-5</v>
      </c>
      <c r="AG23" s="51">
        <f>'LUC-2013-01-08-Run3'!BI26</f>
        <v>3.3416666666666668E-5</v>
      </c>
      <c r="AH23" s="51">
        <f>'LUC-2013-01-08-Run3'!BJ26</f>
        <v>3.3374999999999998E-5</v>
      </c>
      <c r="AI23" s="51">
        <f>'LUC-2013-01-08-Run3'!BK26</f>
        <v>3.3333333333333335E-5</v>
      </c>
      <c r="AJ23" s="51">
        <f>'LUC-2013-01-08-Run3'!BL26</f>
        <v>3.3291666666666672E-5</v>
      </c>
      <c r="AK23" s="51">
        <f>'LUC-2013-01-08-Run3'!BM26</f>
        <v>3.3250000000000002E-5</v>
      </c>
      <c r="AL23" s="51">
        <f>'LUC-2013-01-08-Run3'!BN26</f>
        <v>3.3208333333333332E-5</v>
      </c>
      <c r="AM23" s="51">
        <f>'LUC-2013-01-08-Run3'!BO26</f>
        <v>3.3166666666666669E-5</v>
      </c>
      <c r="AN23" s="51">
        <f>'LUC-2013-01-08-Run3'!BP26</f>
        <v>3.3125000000000006E-5</v>
      </c>
      <c r="AO23" s="51">
        <f>'LUC-2013-01-08-Run3'!BQ26</f>
        <v>3.3083333333333336E-5</v>
      </c>
      <c r="AP23" s="51">
        <f>'LUC-2013-01-08-Run3'!BR26</f>
        <v>3.3041666666666666E-5</v>
      </c>
      <c r="AQ23" s="51">
        <f>'LUC-2013-01-08-Run3'!BS26</f>
        <v>3.3000000000000003E-5</v>
      </c>
      <c r="AR23" s="51">
        <f>'LUC-2013-01-08-Run3'!BT26</f>
        <v>3.3000000000000003E-5</v>
      </c>
      <c r="AS23" s="51">
        <f>'LUC-2013-01-08-Run3'!BU26</f>
        <v>3.3000000000000003E-5</v>
      </c>
      <c r="AT23" s="51">
        <f>'LUC-2013-01-08-Run3'!BV26</f>
        <v>3.3000000000000003E-5</v>
      </c>
      <c r="AU23" s="51">
        <f>'LUC-2013-01-08-Run3'!BW26</f>
        <v>3.3000000000000003E-5</v>
      </c>
      <c r="AV23" s="51">
        <f>'LUC-2013-01-08-Run3'!BX26</f>
        <v>3.3000000000000003E-5</v>
      </c>
      <c r="AW23" s="51">
        <f>'LUC-2013-01-08-Run3'!BY26</f>
        <v>3.3000000000000003E-5</v>
      </c>
      <c r="AX23" s="51">
        <f>'LUC-2013-01-08-Run3'!BZ26</f>
        <v>3.3000000000000003E-5</v>
      </c>
      <c r="AY23" s="51">
        <f>'LUC-2013-01-08-Run3'!CA26</f>
        <v>3.3000000000000003E-5</v>
      </c>
      <c r="AZ23" s="51">
        <f>'LUC-2013-01-08-Run3'!CB26</f>
        <v>3.3000000000000003E-5</v>
      </c>
      <c r="BA23" s="51">
        <f>'LUC-2013-01-08-Run3'!CC26</f>
        <v>3.3000000000000003E-5</v>
      </c>
      <c r="BB23" s="51">
        <f>'LUC-2013-01-08-Run3'!CD26</f>
        <v>3.3000000000000003E-5</v>
      </c>
      <c r="BC23" s="51">
        <f>'LUC-2013-01-08-Run3'!CE26</f>
        <v>3.3000000000000003E-5</v>
      </c>
      <c r="BD23" s="51">
        <f>'LUC-2013-01-08-Run3'!CF26</f>
        <v>3.3000000000000003E-5</v>
      </c>
      <c r="BE23" s="51">
        <f>'LUC-2013-01-08-Run3'!CG26</f>
        <v>3.3000000000000003E-5</v>
      </c>
      <c r="BF23" s="51">
        <f>'LUC-2013-01-08-Run3'!CH26</f>
        <v>3.3000000000000003E-5</v>
      </c>
      <c r="BG23" s="51">
        <f>'LUC-2013-01-08-Run3'!CI26</f>
        <v>3.3000000000000003E-5</v>
      </c>
      <c r="BH23" s="51">
        <f>'LUC-2013-01-08-Run3'!CJ26</f>
        <v>3.3000000000000003E-5</v>
      </c>
      <c r="BI23" s="51">
        <f>'LUC-2013-01-08-Run3'!CK26</f>
        <v>3.3000000000000003E-5</v>
      </c>
      <c r="BJ23" s="51">
        <f>'LUC-2013-01-08-Run3'!CL26</f>
        <v>3.3000000000000003E-5</v>
      </c>
      <c r="BK23" s="51">
        <f>'LUC-2013-01-08-Run3'!CM26</f>
        <v>3.3000000000000003E-5</v>
      </c>
      <c r="BM23" s="103"/>
      <c r="BN23" s="54" t="s">
        <v>104</v>
      </c>
      <c r="BO23" s="62">
        <f t="shared" si="7"/>
        <v>80.900000000000006</v>
      </c>
      <c r="BP23" s="62">
        <f t="shared" si="8"/>
        <v>80.3</v>
      </c>
      <c r="BQ23" s="62">
        <f t="shared" si="9"/>
        <v>79.463636363636368</v>
      </c>
      <c r="BR23" s="62">
        <f t="shared" si="10"/>
        <v>78.372727272727275</v>
      </c>
      <c r="BS23" s="62">
        <f t="shared" si="11"/>
        <v>76</v>
      </c>
      <c r="BT23" s="62">
        <f t="shared" si="12"/>
        <v>75.55</v>
      </c>
      <c r="BU23" s="62">
        <f t="shared" si="13"/>
        <v>75.099999999999994</v>
      </c>
    </row>
    <row r="24" spans="1:73" x14ac:dyDescent="0.25">
      <c r="A24" s="50" t="s">
        <v>38</v>
      </c>
      <c r="B24" s="50" t="s">
        <v>104</v>
      </c>
      <c r="C24" s="50" t="s">
        <v>92</v>
      </c>
      <c r="D24" s="51">
        <f>'LUC-2013-01-08-Run3'!AF28</f>
        <v>8.0900000000000001E-5</v>
      </c>
      <c r="E24" s="51">
        <f>'LUC-2013-01-08-Run3'!AG28</f>
        <v>8.0833333333333338E-5</v>
      </c>
      <c r="F24" s="51">
        <f>'LUC-2013-01-08-Run3'!AH28</f>
        <v>8.0766666666666674E-5</v>
      </c>
      <c r="G24" s="51">
        <f>'LUC-2013-01-08-Run3'!AI28</f>
        <v>8.0699999999999996E-5</v>
      </c>
      <c r="H24" s="51">
        <f>'LUC-2013-01-08-Run3'!AJ28</f>
        <v>8.0633333333333333E-5</v>
      </c>
      <c r="I24" s="51">
        <f>'LUC-2013-01-08-Run3'!AK28</f>
        <v>8.0566666666666669E-5</v>
      </c>
      <c r="J24" s="51">
        <f>'LUC-2013-01-08-Run3'!AL28</f>
        <v>8.0500000000000005E-5</v>
      </c>
      <c r="K24" s="51">
        <f>'LUC-2013-01-08-Run3'!AM28</f>
        <v>8.0433333333333341E-5</v>
      </c>
      <c r="L24" s="51">
        <f>'LUC-2013-01-08-Run3'!AN28</f>
        <v>8.0366666666666664E-5</v>
      </c>
      <c r="M24" s="51">
        <f>'LUC-2013-01-08-Run3'!AO28</f>
        <v>8.03E-5</v>
      </c>
      <c r="N24" s="51">
        <f>'LUC-2013-01-08-Run3'!AP28</f>
        <v>8.0233333333333337E-5</v>
      </c>
      <c r="O24" s="51">
        <f>'LUC-2013-01-08-Run3'!AQ28</f>
        <v>8.0166666666666673E-5</v>
      </c>
      <c r="P24" s="51">
        <f>'LUC-2013-01-08-Run3'!AR28</f>
        <v>8.0100000000000009E-5</v>
      </c>
      <c r="Q24" s="51">
        <f>'LUC-2013-01-08-Run3'!AS28</f>
        <v>8.0033333333333332E-5</v>
      </c>
      <c r="R24" s="51">
        <f>'LUC-2013-01-08-Run3'!AT28</f>
        <v>7.9966666666666668E-5</v>
      </c>
      <c r="S24" s="51">
        <f>'LUC-2013-01-08-Run3'!AU28</f>
        <v>7.9900000000000004E-5</v>
      </c>
      <c r="T24" s="51">
        <f>'LUC-2013-01-08-Run3'!AV28</f>
        <v>7.9790909090909099E-5</v>
      </c>
      <c r="U24" s="51">
        <f>'LUC-2013-01-08-Run3'!AW28</f>
        <v>7.9681818181818179E-5</v>
      </c>
      <c r="V24" s="51">
        <f>'LUC-2013-01-08-Run3'!AX28</f>
        <v>7.9572727272727274E-5</v>
      </c>
      <c r="W24" s="51">
        <f>'LUC-2013-01-08-Run3'!AY28</f>
        <v>7.9463636363636368E-5</v>
      </c>
      <c r="X24" s="51">
        <f>'LUC-2013-01-08-Run3'!AZ28</f>
        <v>7.9354545454545463E-5</v>
      </c>
      <c r="Y24" s="51">
        <f>'LUC-2013-01-08-Run3'!BA28</f>
        <v>7.9245454545454544E-5</v>
      </c>
      <c r="Z24" s="51">
        <f>'LUC-2013-01-08-Run3'!BB28</f>
        <v>7.9136363636363638E-5</v>
      </c>
      <c r="AA24" s="51">
        <f>'LUC-2013-01-08-Run3'!BC28</f>
        <v>7.9027272727272732E-5</v>
      </c>
      <c r="AB24" s="51">
        <f>'LUC-2013-01-08-Run3'!BD28</f>
        <v>7.8918181818181827E-5</v>
      </c>
      <c r="AC24" s="51">
        <f>'LUC-2013-01-08-Run3'!BE28</f>
        <v>7.8809090909090908E-5</v>
      </c>
      <c r="AD24" s="51">
        <f>'LUC-2013-01-08-Run3'!BF28</f>
        <v>7.8700000000000002E-5</v>
      </c>
      <c r="AE24" s="51">
        <f>'LUC-2013-01-08-Run3'!BG28</f>
        <v>7.8590909090909096E-5</v>
      </c>
      <c r="AF24" s="51">
        <f>'LUC-2013-01-08-Run3'!BH28</f>
        <v>7.8481818181818177E-5</v>
      </c>
      <c r="AG24" s="51">
        <f>'LUC-2013-01-08-Run3'!BI28</f>
        <v>7.8372727272727272E-5</v>
      </c>
      <c r="AH24" s="51">
        <f>'LUC-2013-01-08-Run3'!BJ28</f>
        <v>7.8263636363636366E-5</v>
      </c>
      <c r="AI24" s="51">
        <f>'LUC-2013-01-08-Run3'!BK28</f>
        <v>7.8154545454545461E-5</v>
      </c>
      <c r="AJ24" s="51">
        <f>'LUC-2013-01-08-Run3'!BL28</f>
        <v>7.8045454545454541E-5</v>
      </c>
      <c r="AK24" s="51">
        <f>'LUC-2013-01-08-Run3'!BM28</f>
        <v>7.7936363636363636E-5</v>
      </c>
      <c r="AL24" s="51">
        <f>'LUC-2013-01-08-Run3'!BN28</f>
        <v>7.782727272727273E-5</v>
      </c>
      <c r="AM24" s="51">
        <f>'LUC-2013-01-08-Run3'!BO28</f>
        <v>7.7718181818181825E-5</v>
      </c>
      <c r="AN24" s="51">
        <f>'LUC-2013-01-08-Run3'!BP28</f>
        <v>7.7609090909090906E-5</v>
      </c>
      <c r="AO24" s="51">
        <f>'LUC-2013-01-08-Run3'!BQ28</f>
        <v>7.75E-5</v>
      </c>
      <c r="AP24" s="51">
        <f>'LUC-2013-01-08-Run3'!BR28</f>
        <v>7.7390909090909094E-5</v>
      </c>
      <c r="AQ24" s="51">
        <f>'LUC-2013-01-08-Run3'!BS28</f>
        <v>7.6000000000000004E-5</v>
      </c>
      <c r="AR24" s="51">
        <f>'LUC-2013-01-08-Run3'!BT28</f>
        <v>7.5955E-5</v>
      </c>
      <c r="AS24" s="51">
        <f>'LUC-2013-01-08-Run3'!BU28</f>
        <v>7.5909999999999997E-5</v>
      </c>
      <c r="AT24" s="51">
        <f>'LUC-2013-01-08-Run3'!BV28</f>
        <v>7.5865000000000006E-5</v>
      </c>
      <c r="AU24" s="51">
        <f>'LUC-2013-01-08-Run3'!BW28</f>
        <v>7.5820000000000003E-5</v>
      </c>
      <c r="AV24" s="51">
        <f>'LUC-2013-01-08-Run3'!BX28</f>
        <v>7.5774999999999999E-5</v>
      </c>
      <c r="AW24" s="51">
        <f>'LUC-2013-01-08-Run3'!BY28</f>
        <v>7.5730000000000008E-5</v>
      </c>
      <c r="AX24" s="51">
        <f>'LUC-2013-01-08-Run3'!BZ28</f>
        <v>7.5685000000000005E-5</v>
      </c>
      <c r="AY24" s="51">
        <f>'LUC-2013-01-08-Run3'!CA28</f>
        <v>7.5640000000000001E-5</v>
      </c>
      <c r="AZ24" s="51">
        <f>'LUC-2013-01-08-Run3'!CB28</f>
        <v>7.5594999999999997E-5</v>
      </c>
      <c r="BA24" s="51">
        <f>'LUC-2013-01-08-Run3'!CC28</f>
        <v>7.5549999999999993E-5</v>
      </c>
      <c r="BB24" s="51">
        <f>'LUC-2013-01-08-Run3'!CD28</f>
        <v>7.5505000000000003E-5</v>
      </c>
      <c r="BC24" s="51">
        <f>'LUC-2013-01-08-Run3'!CE28</f>
        <v>7.5459999999999999E-5</v>
      </c>
      <c r="BD24" s="51">
        <f>'LUC-2013-01-08-Run3'!CF28</f>
        <v>7.5414999999999995E-5</v>
      </c>
      <c r="BE24" s="51">
        <f>'LUC-2013-01-08-Run3'!CG28</f>
        <v>7.5370000000000005E-5</v>
      </c>
      <c r="BF24" s="51">
        <f>'LUC-2013-01-08-Run3'!CH28</f>
        <v>7.5325000000000001E-5</v>
      </c>
      <c r="BG24" s="51">
        <f>'LUC-2013-01-08-Run3'!CI28</f>
        <v>7.5279999999999998E-5</v>
      </c>
      <c r="BH24" s="51">
        <f>'LUC-2013-01-08-Run3'!CJ28</f>
        <v>7.5234999999999994E-5</v>
      </c>
      <c r="BI24" s="51">
        <f>'LUC-2013-01-08-Run3'!CK28</f>
        <v>7.518999999999999E-5</v>
      </c>
      <c r="BJ24" s="51">
        <f>'LUC-2013-01-08-Run3'!CL28</f>
        <v>7.5145E-5</v>
      </c>
      <c r="BK24" s="51">
        <f>'LUC-2013-01-08-Run3'!CM28</f>
        <v>7.5099999999999996E-5</v>
      </c>
      <c r="BN24" s="50" t="s">
        <v>112</v>
      </c>
    </row>
    <row r="25" spans="1:73" x14ac:dyDescent="0.25">
      <c r="BM25" s="56" t="s">
        <v>93</v>
      </c>
      <c r="BN25" s="56" t="s">
        <v>94</v>
      </c>
      <c r="BO25" s="56">
        <v>1991</v>
      </c>
      <c r="BP25" s="56">
        <v>2000</v>
      </c>
      <c r="BQ25" s="56">
        <v>2010</v>
      </c>
      <c r="BR25" s="56">
        <v>2020</v>
      </c>
      <c r="BS25" s="56">
        <v>2030</v>
      </c>
      <c r="BT25" s="56">
        <v>2040</v>
      </c>
      <c r="BU25" s="56">
        <v>2050</v>
      </c>
    </row>
    <row r="26" spans="1:73" x14ac:dyDescent="0.25">
      <c r="A26" s="52" t="s">
        <v>71</v>
      </c>
      <c r="B26" s="50" t="s">
        <v>99</v>
      </c>
      <c r="C26" s="52" t="s">
        <v>107</v>
      </c>
      <c r="D26" s="51">
        <f>'LUC-2013-01-08-Run3'!AF30</f>
        <v>2.8586557155908612E-3</v>
      </c>
      <c r="E26" s="51">
        <f>'LUC-2013-01-08-Run3'!AG30</f>
        <v>2.909963886131464E-3</v>
      </c>
      <c r="F26" s="51">
        <f>'LUC-2013-01-08-Run3'!AH30</f>
        <v>2.9612720566720677E-3</v>
      </c>
      <c r="G26" s="51">
        <f>'LUC-2013-01-08-Run3'!AI30</f>
        <v>3.0125802272126705E-3</v>
      </c>
      <c r="H26" s="51">
        <f>'LUC-2013-01-08-Run3'!AJ30</f>
        <v>3.0638883977532742E-3</v>
      </c>
      <c r="I26" s="51">
        <f>'LUC-2013-01-08-Run3'!AK30</f>
        <v>3.1151965682938766E-3</v>
      </c>
      <c r="J26" s="51">
        <f>'LUC-2013-01-08-Run3'!AL30</f>
        <v>3.1665047388344802E-3</v>
      </c>
      <c r="K26" s="51">
        <f>'LUC-2013-01-08-Run3'!AM30</f>
        <v>3.2178129093750835E-3</v>
      </c>
      <c r="L26" s="51">
        <f>'LUC-2013-01-08-Run3'!AN30</f>
        <v>3.2691210799156863E-3</v>
      </c>
      <c r="M26" s="51">
        <f>'LUC-2013-01-08-Run3'!AO30</f>
        <v>3.3204292504562887E-3</v>
      </c>
      <c r="N26" s="51">
        <f>'LUC-2013-01-08-Run3'!AP30</f>
        <v>3.3717374209968911E-3</v>
      </c>
      <c r="O26" s="51">
        <f>'LUC-2013-01-08-Run3'!AQ30</f>
        <v>3.4230455915374956E-3</v>
      </c>
      <c r="P26" s="51">
        <f>'LUC-2013-01-08-Run3'!AR30</f>
        <v>3.474353762078098E-3</v>
      </c>
      <c r="Q26" s="51">
        <f>'LUC-2013-01-08-Run3'!AS30</f>
        <v>3.5256619326187004E-3</v>
      </c>
      <c r="R26" s="51">
        <f>'LUC-2013-01-08-Run3'!AT30</f>
        <v>3.5769701031593041E-3</v>
      </c>
      <c r="S26" s="51">
        <f>'LUC-2013-01-08-Run3'!AU30</f>
        <v>3.6282782736999073E-3</v>
      </c>
      <c r="T26" s="51">
        <f>'LUC-2013-01-08-Run3'!AV30</f>
        <v>3.6601435786098075E-3</v>
      </c>
      <c r="U26" s="51">
        <f>'LUC-2013-01-08-Run3'!AW30</f>
        <v>3.6920088835197063E-3</v>
      </c>
      <c r="V26" s="51">
        <f>'LUC-2013-01-08-Run3'!AX30</f>
        <v>3.7238741884296055E-3</v>
      </c>
      <c r="W26" s="51">
        <f>'LUC-2013-01-08-Run3'!AY30</f>
        <v>3.7557394933395052E-3</v>
      </c>
      <c r="X26" s="51">
        <f>'LUC-2013-01-08-Run3'!AZ30</f>
        <v>3.7876047982494045E-3</v>
      </c>
      <c r="Y26" s="51">
        <f>'LUC-2013-01-08-Run3'!BA30</f>
        <v>3.8194701031593042E-3</v>
      </c>
      <c r="Z26" s="51">
        <f>'LUC-2013-01-08-Run3'!BB30</f>
        <v>3.8513354080692043E-3</v>
      </c>
      <c r="AA26" s="51">
        <f>'LUC-2013-01-08-Run3'!BC30</f>
        <v>3.8832007129791031E-3</v>
      </c>
      <c r="AB26" s="51">
        <f>'LUC-2013-01-08-Run3'!BD30</f>
        <v>3.9150660178890037E-3</v>
      </c>
      <c r="AC26" s="51">
        <f>'LUC-2013-01-08-Run3'!BE30</f>
        <v>3.9469313227989029E-3</v>
      </c>
      <c r="AD26" s="51">
        <f>'LUC-2013-01-08-Run3'!BF30</f>
        <v>3.9787966277088022E-3</v>
      </c>
      <c r="AE26" s="51">
        <f>'LUC-2013-01-08-Run3'!BG30</f>
        <v>4.0106619326187015E-3</v>
      </c>
      <c r="AF26" s="51">
        <f>'LUC-2013-01-08-Run3'!BH30</f>
        <v>4.0425272375286016E-3</v>
      </c>
      <c r="AG26" s="51">
        <f>'LUC-2013-01-08-Run3'!BI30</f>
        <v>4.0743925424385008E-3</v>
      </c>
      <c r="AH26" s="51">
        <f>'LUC-2013-01-08-Run3'!BJ30</f>
        <v>4.1062578473483992E-3</v>
      </c>
      <c r="AI26" s="51">
        <f>'LUC-2013-01-08-Run3'!BK30</f>
        <v>4.1381231522582993E-3</v>
      </c>
      <c r="AJ26" s="51">
        <f>'LUC-2013-01-08-Run3'!BL30</f>
        <v>4.1699884571681986E-3</v>
      </c>
      <c r="AK26" s="51">
        <f>'LUC-2013-01-08-Run3'!BM30</f>
        <v>4.2018537620780979E-3</v>
      </c>
      <c r="AL26" s="51">
        <f>'LUC-2013-01-08-Run3'!BN30</f>
        <v>4.233719066987998E-3</v>
      </c>
      <c r="AM26" s="51">
        <f>'LUC-2013-01-08-Run3'!BO30</f>
        <v>4.2655843718978972E-3</v>
      </c>
      <c r="AN26" s="51">
        <f>'LUC-2013-01-08-Run3'!BP30</f>
        <v>4.2974496768077956E-3</v>
      </c>
      <c r="AO26" s="51">
        <f>'LUC-2013-01-08-Run3'!BQ30</f>
        <v>4.3293149817176958E-3</v>
      </c>
      <c r="AP26" s="51">
        <f>'LUC-2013-01-08-Run3'!BR30</f>
        <v>4.3611802866275959E-3</v>
      </c>
      <c r="AQ26" s="51">
        <f>'LUC-2013-01-08-Run3'!BS30</f>
        <v>4.3930455915374969E-3</v>
      </c>
      <c r="AR26" s="51">
        <f>'LUC-2013-01-08-Run3'!BT30</f>
        <v>4.4249108964473944E-3</v>
      </c>
      <c r="AS26" s="51">
        <f>'LUC-2013-01-08-Run3'!BU30</f>
        <v>4.4567762013572945E-3</v>
      </c>
      <c r="AT26" s="51">
        <f>'LUC-2013-01-08-Run3'!BV30</f>
        <v>4.4886415062671938E-3</v>
      </c>
      <c r="AU26" s="51">
        <f>'LUC-2013-01-08-Run3'!BW30</f>
        <v>4.520506811177093E-3</v>
      </c>
      <c r="AV26" s="51">
        <f>'LUC-2013-01-08-Run3'!BX30</f>
        <v>4.5523721160869923E-3</v>
      </c>
      <c r="AW26" s="51">
        <f>'LUC-2013-01-08-Run3'!BY30</f>
        <v>4.5842374209968924E-3</v>
      </c>
      <c r="AX26" s="51">
        <f>'LUC-2013-01-08-Run3'!BZ30</f>
        <v>4.6161027259067908E-3</v>
      </c>
      <c r="AY26" s="51">
        <f>'LUC-2013-01-08-Run3'!CA30</f>
        <v>4.6479680308166918E-3</v>
      </c>
      <c r="AZ26" s="51">
        <f>'LUC-2013-01-08-Run3'!CB30</f>
        <v>4.6798333357265902E-3</v>
      </c>
      <c r="BA26" s="51">
        <f>'LUC-2013-01-08-Run3'!CC30</f>
        <v>4.7116986406364903E-3</v>
      </c>
      <c r="BB26" s="51">
        <f>'LUC-2013-01-08-Run3'!CD30</f>
        <v>4.7435639455463896E-3</v>
      </c>
      <c r="BC26" s="51">
        <f>'LUC-2013-01-08-Run3'!CE30</f>
        <v>4.7754292504562897E-3</v>
      </c>
      <c r="BD26" s="51">
        <f>'LUC-2013-01-08-Run3'!CF30</f>
        <v>4.8072945553661881E-3</v>
      </c>
      <c r="BE26" s="51">
        <f>'LUC-2013-01-08-Run3'!CG30</f>
        <v>4.8391598602760891E-3</v>
      </c>
      <c r="BF26" s="51">
        <f>'LUC-2013-01-08-Run3'!CH30</f>
        <v>4.8710251651859866E-3</v>
      </c>
      <c r="BG26" s="51">
        <f>'LUC-2013-01-08-Run3'!CI30</f>
        <v>4.9028904700958876E-3</v>
      </c>
      <c r="BH26" s="51">
        <f>'LUC-2013-01-08-Run3'!CJ30</f>
        <v>4.9347557750057851E-3</v>
      </c>
      <c r="BI26" s="51">
        <f>'LUC-2013-01-08-Run3'!CK30</f>
        <v>4.9666210799156861E-3</v>
      </c>
      <c r="BJ26" s="51">
        <f>'LUC-2013-01-08-Run3'!CL30</f>
        <v>4.9984863848255862E-3</v>
      </c>
      <c r="BK26" s="51">
        <f>'LUC-2013-01-08-Run3'!CM30</f>
        <v>5.0303516897354846E-3</v>
      </c>
      <c r="BM26" s="101" t="s">
        <v>71</v>
      </c>
      <c r="BN26" s="55" t="s">
        <v>99</v>
      </c>
      <c r="BO26" s="81">
        <f t="shared" ref="BO26:BO32" si="14">D26*1000</f>
        <v>2.8586557155908614</v>
      </c>
      <c r="BP26" s="81">
        <f t="shared" ref="BP26:BP32" si="15">M26*1000</f>
        <v>3.3204292504562889</v>
      </c>
      <c r="BQ26" s="81">
        <f t="shared" ref="BQ26:BQ32" si="16">W26*1000</f>
        <v>3.7557394933395054</v>
      </c>
      <c r="BR26" s="81">
        <f t="shared" ref="BR26:BR32" si="17">AG26*1000</f>
        <v>4.0743925424385008</v>
      </c>
      <c r="BS26" s="81">
        <f t="shared" ref="BS26:BS32" si="18">AQ26*1000</f>
        <v>4.3930455915374971</v>
      </c>
      <c r="BT26" s="81">
        <f t="shared" ref="BT26:BT32" si="19">BA26*1000</f>
        <v>4.7116986406364907</v>
      </c>
      <c r="BU26" s="81">
        <f t="shared" ref="BU26:BU32" si="20">BK26*1000</f>
        <v>5.0303516897354843</v>
      </c>
    </row>
    <row r="27" spans="1:73" x14ac:dyDescent="0.25">
      <c r="A27" s="52" t="s">
        <v>71</v>
      </c>
      <c r="B27" s="50" t="s">
        <v>100</v>
      </c>
      <c r="C27" s="52" t="s">
        <v>107</v>
      </c>
      <c r="D27" s="51">
        <f>'LUC-2013-01-08-Run3'!AF31</f>
        <v>2.21991625074704E-3</v>
      </c>
      <c r="E27" s="51">
        <f>'LUC-2013-01-08-Run3'!AG31</f>
        <v>2.2566263371078163E-3</v>
      </c>
      <c r="F27" s="51">
        <f>'LUC-2013-01-08-Run3'!AH31</f>
        <v>2.2933364234685931E-3</v>
      </c>
      <c r="G27" s="51">
        <f>'LUC-2013-01-08-Run3'!AI31</f>
        <v>2.3300465098293689E-3</v>
      </c>
      <c r="H27" s="51">
        <f>'LUC-2013-01-08-Run3'!AJ31</f>
        <v>2.3667565961901457E-3</v>
      </c>
      <c r="I27" s="51">
        <f>'LUC-2013-01-08-Run3'!AK31</f>
        <v>2.403466682550922E-3</v>
      </c>
      <c r="J27" s="51">
        <f>'LUC-2013-01-08-Run3'!AL31</f>
        <v>2.4401767689116983E-3</v>
      </c>
      <c r="K27" s="51">
        <f>'LUC-2013-01-08-Run3'!AM31</f>
        <v>2.4768868552724754E-3</v>
      </c>
      <c r="L27" s="51">
        <f>'LUC-2013-01-08-Run3'!AN31</f>
        <v>2.5135969416332517E-3</v>
      </c>
      <c r="M27" s="51">
        <f>'LUC-2013-01-08-Run3'!AO31</f>
        <v>2.5503070279940276E-3</v>
      </c>
      <c r="N27" s="51">
        <f>'LUC-2013-01-08-Run3'!AP31</f>
        <v>2.5870171143548043E-3</v>
      </c>
      <c r="O27" s="51">
        <f>'LUC-2013-01-08-Run3'!AQ31</f>
        <v>2.6237272007155811E-3</v>
      </c>
      <c r="P27" s="51">
        <f>'LUC-2013-01-08-Run3'!AR31</f>
        <v>2.6604372870763569E-3</v>
      </c>
      <c r="Q27" s="51">
        <f>'LUC-2013-01-08-Run3'!AS31</f>
        <v>2.6971473734371336E-3</v>
      </c>
      <c r="R27" s="51">
        <f>'LUC-2013-01-08-Run3'!AT31</f>
        <v>2.7338574597979095E-3</v>
      </c>
      <c r="S27" s="51">
        <f>'LUC-2013-01-08-Run3'!AU31</f>
        <v>2.7705675461586858E-3</v>
      </c>
      <c r="T27" s="51">
        <f>'LUC-2013-01-08-Run3'!AV31</f>
        <v>2.7941732069956472E-3</v>
      </c>
      <c r="U27" s="51">
        <f>'LUC-2013-01-08-Run3'!AW31</f>
        <v>2.8177788678326082E-3</v>
      </c>
      <c r="V27" s="51">
        <f>'LUC-2013-01-08-Run3'!AX31</f>
        <v>2.8413845286695688E-3</v>
      </c>
      <c r="W27" s="51">
        <f>'LUC-2013-01-08-Run3'!AY31</f>
        <v>2.8649901895065294E-3</v>
      </c>
      <c r="X27" s="51">
        <f>'LUC-2013-01-08-Run3'!AZ31</f>
        <v>2.8885958503434904E-3</v>
      </c>
      <c r="Y27" s="51">
        <f>'LUC-2013-01-08-Run3'!BA31</f>
        <v>2.9122015111804514E-3</v>
      </c>
      <c r="Z27" s="51">
        <f>'LUC-2013-01-08-Run3'!BB31</f>
        <v>2.9358071720174115E-3</v>
      </c>
      <c r="AA27" s="51">
        <f>'LUC-2013-01-08-Run3'!BC31</f>
        <v>2.9594128328543738E-3</v>
      </c>
      <c r="AB27" s="51">
        <f>'LUC-2013-01-08-Run3'!BD31</f>
        <v>2.9830184936913344E-3</v>
      </c>
      <c r="AC27" s="51">
        <f>'LUC-2013-01-08-Run3'!BE31</f>
        <v>3.0066241545282949E-3</v>
      </c>
      <c r="AD27" s="51">
        <f>'LUC-2013-01-08-Run3'!BF31</f>
        <v>3.030229815365256E-3</v>
      </c>
      <c r="AE27" s="51">
        <f>'LUC-2013-01-08-Run3'!BG31</f>
        <v>3.0538354762022174E-3</v>
      </c>
      <c r="AF27" s="51">
        <f>'LUC-2013-01-08-Run3'!BH31</f>
        <v>3.0774411370391771E-3</v>
      </c>
      <c r="AG27" s="51">
        <f>'LUC-2013-01-08-Run3'!BI31</f>
        <v>3.1010467978761381E-3</v>
      </c>
      <c r="AH27" s="51">
        <f>'LUC-2013-01-08-Run3'!BJ31</f>
        <v>3.1246524587130987E-3</v>
      </c>
      <c r="AI27" s="51">
        <f>'LUC-2013-01-08-Run3'!BK31</f>
        <v>3.1482581195500597E-3</v>
      </c>
      <c r="AJ27" s="51">
        <f>'LUC-2013-01-08-Run3'!BL31</f>
        <v>3.1718637803870211E-3</v>
      </c>
      <c r="AK27" s="51">
        <f>'LUC-2013-01-08-Run3'!BM31</f>
        <v>3.1954694412239821E-3</v>
      </c>
      <c r="AL27" s="51">
        <f>'LUC-2013-01-08-Run3'!BN31</f>
        <v>3.2190751020609435E-3</v>
      </c>
      <c r="AM27" s="51">
        <f>'LUC-2013-01-08-Run3'!BO31</f>
        <v>3.2426807628979037E-3</v>
      </c>
      <c r="AN27" s="51">
        <f>'LUC-2013-01-08-Run3'!BP31</f>
        <v>3.2662864237348651E-3</v>
      </c>
      <c r="AO27" s="51">
        <f>'LUC-2013-01-08-Run3'!BQ31</f>
        <v>3.2898920845718252E-3</v>
      </c>
      <c r="AP27" s="51">
        <f>'LUC-2013-01-08-Run3'!BR31</f>
        <v>3.3134977454087858E-3</v>
      </c>
      <c r="AQ27" s="51">
        <f>'LUC-2013-01-08-Run3'!BS31</f>
        <v>3.3371034062457468E-3</v>
      </c>
      <c r="AR27" s="51">
        <f>'LUC-2013-01-08-Run3'!BT31</f>
        <v>3.3607090670827078E-3</v>
      </c>
      <c r="AS27" s="51">
        <f>'LUC-2013-01-08-Run3'!BU31</f>
        <v>3.3843147279196684E-3</v>
      </c>
      <c r="AT27" s="51">
        <f>'LUC-2013-01-08-Run3'!BV31</f>
        <v>3.4079203887566302E-3</v>
      </c>
      <c r="AU27" s="51">
        <f>'LUC-2013-01-08-Run3'!BW31</f>
        <v>3.4315260495935899E-3</v>
      </c>
      <c r="AV27" s="51">
        <f>'LUC-2013-01-08-Run3'!BX31</f>
        <v>3.4551317104305514E-3</v>
      </c>
      <c r="AW27" s="51">
        <f>'LUC-2013-01-08-Run3'!BY31</f>
        <v>3.4787373712675128E-3</v>
      </c>
      <c r="AX27" s="51">
        <f>'LUC-2013-01-08-Run3'!BZ31</f>
        <v>3.5023430321044729E-3</v>
      </c>
      <c r="AY27" s="51">
        <f>'LUC-2013-01-08-Run3'!CA31</f>
        <v>3.5259486929414339E-3</v>
      </c>
      <c r="AZ27" s="51">
        <f>'LUC-2013-01-08-Run3'!CB31</f>
        <v>3.5495543537783945E-3</v>
      </c>
      <c r="BA27" s="51">
        <f>'LUC-2013-01-08-Run3'!CC31</f>
        <v>3.5731600146153551E-3</v>
      </c>
      <c r="BB27" s="51">
        <f>'LUC-2013-01-08-Run3'!CD31</f>
        <v>3.5967656754523165E-3</v>
      </c>
      <c r="BC27" s="51">
        <f>'LUC-2013-01-08-Run3'!CE31</f>
        <v>3.6203713362892771E-3</v>
      </c>
      <c r="BD27" s="51">
        <f>'LUC-2013-01-08-Run3'!CF31</f>
        <v>3.6439769971262381E-3</v>
      </c>
      <c r="BE27" s="51">
        <f>'LUC-2013-01-08-Run3'!CG31</f>
        <v>3.6675826579631995E-3</v>
      </c>
      <c r="BF27" s="51">
        <f>'LUC-2013-01-08-Run3'!CH31</f>
        <v>3.6911883188001609E-3</v>
      </c>
      <c r="BG27" s="51">
        <f>'LUC-2013-01-08-Run3'!CI31</f>
        <v>3.7147939796371206E-3</v>
      </c>
      <c r="BH27" s="51">
        <f>'LUC-2013-01-08-Run3'!CJ31</f>
        <v>3.7383996404740821E-3</v>
      </c>
      <c r="BI27" s="51">
        <f>'LUC-2013-01-08-Run3'!CK31</f>
        <v>3.7620053013110422E-3</v>
      </c>
      <c r="BJ27" s="51">
        <f>'LUC-2013-01-08-Run3'!CL31</f>
        <v>3.7856109621480032E-3</v>
      </c>
      <c r="BK27" s="51">
        <f>'LUC-2013-01-08-Run3'!CM31</f>
        <v>3.8092166229849646E-3</v>
      </c>
      <c r="BM27" s="102"/>
      <c r="BN27" s="53" t="s">
        <v>100</v>
      </c>
      <c r="BO27" s="79">
        <f t="shared" si="14"/>
        <v>2.21991625074704</v>
      </c>
      <c r="BP27" s="79">
        <f t="shared" si="15"/>
        <v>2.5503070279940276</v>
      </c>
      <c r="BQ27" s="79">
        <f t="shared" si="16"/>
        <v>2.8649901895065293</v>
      </c>
      <c r="BR27" s="79">
        <f t="shared" si="17"/>
        <v>3.1010467978761382</v>
      </c>
      <c r="BS27" s="79">
        <f t="shared" si="18"/>
        <v>3.3371034062457468</v>
      </c>
      <c r="BT27" s="79">
        <f t="shared" si="19"/>
        <v>3.5731600146153553</v>
      </c>
      <c r="BU27" s="79">
        <f t="shared" si="20"/>
        <v>3.8092166229849647</v>
      </c>
    </row>
    <row r="28" spans="1:73" x14ac:dyDescent="0.25">
      <c r="A28" s="52" t="s">
        <v>71</v>
      </c>
      <c r="B28" s="50" t="s">
        <v>101</v>
      </c>
      <c r="C28" s="52" t="s">
        <v>107</v>
      </c>
      <c r="D28" s="51">
        <f>'LUC-2013-01-08-Run3'!AF32</f>
        <v>3.2695631189309741E-3</v>
      </c>
      <c r="E28" s="51">
        <f>'LUC-2013-01-08-Run3'!AG32</f>
        <v>3.3190680876783053E-3</v>
      </c>
      <c r="F28" s="51">
        <f>'LUC-2013-01-08-Run3'!AH32</f>
        <v>3.3685730564256351E-3</v>
      </c>
      <c r="G28" s="51">
        <f>'LUC-2013-01-08-Run3'!AI32</f>
        <v>3.4180780251729654E-3</v>
      </c>
      <c r="H28" s="51">
        <f>'LUC-2013-01-08-Run3'!AJ32</f>
        <v>3.4675829939202975E-3</v>
      </c>
      <c r="I28" s="51">
        <f>'LUC-2013-01-08-Run3'!AK32</f>
        <v>3.5170879626676278E-3</v>
      </c>
      <c r="J28" s="51">
        <f>'LUC-2013-01-08-Run3'!AL32</f>
        <v>3.566592931414959E-3</v>
      </c>
      <c r="K28" s="51">
        <f>'LUC-2013-01-08-Run3'!AM32</f>
        <v>3.6160979001622893E-3</v>
      </c>
      <c r="L28" s="51">
        <f>'LUC-2013-01-08-Run3'!AN32</f>
        <v>3.66560286890962E-3</v>
      </c>
      <c r="M28" s="51">
        <f>'LUC-2013-01-08-Run3'!AO32</f>
        <v>3.7151078376569512E-3</v>
      </c>
      <c r="N28" s="51">
        <f>'LUC-2013-01-08-Run3'!AP32</f>
        <v>3.764612806404282E-3</v>
      </c>
      <c r="O28" s="51">
        <f>'LUC-2013-01-08-Run3'!AQ32</f>
        <v>3.8141177751516123E-3</v>
      </c>
      <c r="P28" s="51">
        <f>'LUC-2013-01-08-Run3'!AR32</f>
        <v>3.8636227438989435E-3</v>
      </c>
      <c r="Q28" s="51">
        <f>'LUC-2013-01-08-Run3'!AS32</f>
        <v>3.9131277126462733E-3</v>
      </c>
      <c r="R28" s="51">
        <f>'LUC-2013-01-08-Run3'!AT32</f>
        <v>3.9626326813936045E-3</v>
      </c>
      <c r="S28" s="51">
        <f>'LUC-2013-01-08-Run3'!AU32</f>
        <v>4.0121376501409357E-3</v>
      </c>
      <c r="T28" s="51">
        <f>'LUC-2013-01-08-Run3'!AV32</f>
        <v>4.0409850921853223E-3</v>
      </c>
      <c r="U28" s="51">
        <f>'LUC-2013-01-08-Run3'!AW32</f>
        <v>4.0698325342297097E-3</v>
      </c>
      <c r="V28" s="51">
        <f>'LUC-2013-01-08-Run3'!AX32</f>
        <v>4.0986799762740963E-3</v>
      </c>
      <c r="W28" s="51">
        <f>'LUC-2013-01-08-Run3'!AY32</f>
        <v>4.127527418318482E-3</v>
      </c>
      <c r="X28" s="51">
        <f>'LUC-2013-01-08-Run3'!AZ32</f>
        <v>4.1563748603628704E-3</v>
      </c>
      <c r="Y28" s="51">
        <f>'LUC-2013-01-08-Run3'!BA32</f>
        <v>4.1852223024072561E-3</v>
      </c>
      <c r="Z28" s="51">
        <f>'LUC-2013-01-08-Run3'!BB32</f>
        <v>4.2140697444516435E-3</v>
      </c>
      <c r="AA28" s="51">
        <f>'LUC-2013-01-08-Run3'!BC32</f>
        <v>4.2429171864960301E-3</v>
      </c>
      <c r="AB28" s="51">
        <f>'LUC-2013-01-08-Run3'!BD32</f>
        <v>4.2717646285404158E-3</v>
      </c>
      <c r="AC28" s="51">
        <f>'LUC-2013-01-08-Run3'!BE32</f>
        <v>4.3006120705848042E-3</v>
      </c>
      <c r="AD28" s="51">
        <f>'LUC-2013-01-08-Run3'!BF32</f>
        <v>4.3294595126291899E-3</v>
      </c>
      <c r="AE28" s="51">
        <f>'LUC-2013-01-08-Run3'!BG32</f>
        <v>4.3583069546735782E-3</v>
      </c>
      <c r="AF28" s="51">
        <f>'LUC-2013-01-08-Run3'!BH32</f>
        <v>4.3871543967179639E-3</v>
      </c>
      <c r="AG28" s="51">
        <f>'LUC-2013-01-08-Run3'!BI32</f>
        <v>4.4160018387623514E-3</v>
      </c>
      <c r="AH28" s="51">
        <f>'LUC-2013-01-08-Run3'!BJ32</f>
        <v>4.444849280806738E-3</v>
      </c>
      <c r="AI28" s="51">
        <f>'LUC-2013-01-08-Run3'!BK32</f>
        <v>4.4736967228511245E-3</v>
      </c>
      <c r="AJ28" s="51">
        <f>'LUC-2013-01-08-Run3'!BL32</f>
        <v>4.5025441648955111E-3</v>
      </c>
      <c r="AK28" s="51">
        <f>'LUC-2013-01-08-Run3'!BM32</f>
        <v>4.5313916069398994E-3</v>
      </c>
      <c r="AL28" s="51">
        <f>'LUC-2013-01-08-Run3'!BN32</f>
        <v>4.5602390489842852E-3</v>
      </c>
      <c r="AM28" s="51">
        <f>'LUC-2013-01-08-Run3'!BO32</f>
        <v>4.5890864910286726E-3</v>
      </c>
      <c r="AN28" s="51">
        <f>'LUC-2013-01-08-Run3'!BP32</f>
        <v>4.6179339330730601E-3</v>
      </c>
      <c r="AO28" s="51">
        <f>'LUC-2013-01-08-Run3'!BQ32</f>
        <v>4.6467813751174458E-3</v>
      </c>
      <c r="AP28" s="51">
        <f>'LUC-2013-01-08-Run3'!BR32</f>
        <v>4.6756288171618332E-3</v>
      </c>
      <c r="AQ28" s="51">
        <f>'LUC-2013-01-08-Run3'!BS32</f>
        <v>4.7044762592062198E-3</v>
      </c>
      <c r="AR28" s="51">
        <f>'LUC-2013-01-08-Run3'!BT32</f>
        <v>4.7333237012506073E-3</v>
      </c>
      <c r="AS28" s="51">
        <f>'LUC-2013-01-08-Run3'!BU32</f>
        <v>4.762171143294993E-3</v>
      </c>
      <c r="AT28" s="51">
        <f>'LUC-2013-01-08-Run3'!BV32</f>
        <v>4.7910185853393805E-3</v>
      </c>
      <c r="AU28" s="51">
        <f>'LUC-2013-01-08-Run3'!BW32</f>
        <v>4.8198660273837679E-3</v>
      </c>
      <c r="AV28" s="51">
        <f>'LUC-2013-01-08-Run3'!BX32</f>
        <v>4.8487134694281545E-3</v>
      </c>
      <c r="AW28" s="51">
        <f>'LUC-2013-01-08-Run3'!BY32</f>
        <v>4.8775609114725419E-3</v>
      </c>
      <c r="AX28" s="51">
        <f>'LUC-2013-01-08-Run3'!BZ32</f>
        <v>4.9064083535169277E-3</v>
      </c>
      <c r="AY28" s="51">
        <f>'LUC-2013-01-08-Run3'!CA32</f>
        <v>4.9352557955613151E-3</v>
      </c>
      <c r="AZ28" s="51">
        <f>'LUC-2013-01-08-Run3'!CB32</f>
        <v>4.9641032376057017E-3</v>
      </c>
      <c r="BA28" s="51">
        <f>'LUC-2013-01-08-Run3'!CC32</f>
        <v>4.9929506796500883E-3</v>
      </c>
      <c r="BB28" s="51">
        <f>'LUC-2013-01-08-Run3'!CD32</f>
        <v>5.0217981216944757E-3</v>
      </c>
      <c r="BC28" s="51">
        <f>'LUC-2013-01-08-Run3'!CE32</f>
        <v>5.0506455637388623E-3</v>
      </c>
      <c r="BD28" s="51">
        <f>'LUC-2013-01-08-Run3'!CF32</f>
        <v>5.0794930057832489E-3</v>
      </c>
      <c r="BE28" s="51">
        <f>'LUC-2013-01-08-Run3'!CG32</f>
        <v>5.1083404478276355E-3</v>
      </c>
      <c r="BF28" s="51">
        <f>'LUC-2013-01-08-Run3'!CH32</f>
        <v>5.1371878898720212E-3</v>
      </c>
      <c r="BG28" s="51">
        <f>'LUC-2013-01-08-Run3'!CI32</f>
        <v>5.1660353319164087E-3</v>
      </c>
      <c r="BH28" s="51">
        <f>'LUC-2013-01-08-Run3'!CJ32</f>
        <v>5.1948827739607961E-3</v>
      </c>
      <c r="BI28" s="51">
        <f>'LUC-2013-01-08-Run3'!CK32</f>
        <v>5.2237302160051836E-3</v>
      </c>
      <c r="BJ28" s="51">
        <f>'LUC-2013-01-08-Run3'!CL32</f>
        <v>5.252577658049571E-3</v>
      </c>
      <c r="BK28" s="51">
        <f>'LUC-2013-01-08-Run3'!CM32</f>
        <v>5.2814251000939559E-3</v>
      </c>
      <c r="BM28" s="102"/>
      <c r="BN28" s="53" t="s">
        <v>101</v>
      </c>
      <c r="BO28" s="79">
        <f t="shared" si="14"/>
        <v>3.2695631189309742</v>
      </c>
      <c r="BP28" s="79">
        <f t="shared" si="15"/>
        <v>3.7151078376569511</v>
      </c>
      <c r="BQ28" s="79">
        <f t="shared" si="16"/>
        <v>4.1275274183184818</v>
      </c>
      <c r="BR28" s="79">
        <f t="shared" si="17"/>
        <v>4.4160018387623516</v>
      </c>
      <c r="BS28" s="79">
        <f t="shared" si="18"/>
        <v>4.7044762592062197</v>
      </c>
      <c r="BT28" s="79">
        <f t="shared" si="19"/>
        <v>4.9929506796500887</v>
      </c>
      <c r="BU28" s="79">
        <f t="shared" si="20"/>
        <v>5.2814251000939558</v>
      </c>
    </row>
    <row r="29" spans="1:73" x14ac:dyDescent="0.25">
      <c r="A29" s="52" t="s">
        <v>71</v>
      </c>
      <c r="B29" s="50" t="s">
        <v>111</v>
      </c>
      <c r="C29" s="52" t="s">
        <v>107</v>
      </c>
      <c r="D29" s="51">
        <f>'LUC-2013-01-08-Run3'!AF33</f>
        <v>1.4251346260975677E-3</v>
      </c>
      <c r="E29" s="51">
        <f>'LUC-2013-01-08-Run3'!AG33</f>
        <v>1.4394010133432365E-3</v>
      </c>
      <c r="F29" s="51">
        <f>'LUC-2013-01-08-Run3'!AH33</f>
        <v>1.4536674005889065E-3</v>
      </c>
      <c r="G29" s="51">
        <f>'LUC-2013-01-08-Run3'!AI33</f>
        <v>1.4679337878345756E-3</v>
      </c>
      <c r="H29" s="51">
        <f>'LUC-2013-01-08-Run3'!AJ33</f>
        <v>1.4822001750802451E-3</v>
      </c>
      <c r="I29" s="51">
        <f>'LUC-2013-01-08-Run3'!AK33</f>
        <v>1.4964665623259147E-3</v>
      </c>
      <c r="J29" s="51">
        <f>'LUC-2013-01-08-Run3'!AL33</f>
        <v>1.5107329495715842E-3</v>
      </c>
      <c r="K29" s="51">
        <f>'LUC-2013-01-08-Run3'!AM33</f>
        <v>1.5249993368172535E-3</v>
      </c>
      <c r="L29" s="51">
        <f>'LUC-2013-01-08-Run3'!AN33</f>
        <v>1.5392657240629226E-3</v>
      </c>
      <c r="M29" s="51">
        <f>'LUC-2013-01-08-Run3'!AO33</f>
        <v>1.5535321113085924E-3</v>
      </c>
      <c r="N29" s="51">
        <f>'LUC-2013-01-08-Run3'!AP33</f>
        <v>1.5677984985542617E-3</v>
      </c>
      <c r="O29" s="51">
        <f>'LUC-2013-01-08-Run3'!AQ33</f>
        <v>1.5820648857999312E-3</v>
      </c>
      <c r="P29" s="51">
        <f>'LUC-2013-01-08-Run3'!AR33</f>
        <v>1.5963312730456008E-3</v>
      </c>
      <c r="Q29" s="51">
        <f>'LUC-2013-01-08-Run3'!AS33</f>
        <v>1.6105976602912699E-3</v>
      </c>
      <c r="R29" s="51">
        <f>'LUC-2013-01-08-Run3'!AT33</f>
        <v>1.6248640475369394E-3</v>
      </c>
      <c r="S29" s="51">
        <f>'LUC-2013-01-08-Run3'!AU33</f>
        <v>1.6391304347826087E-3</v>
      </c>
      <c r="T29" s="51">
        <f>'LUC-2013-01-08-Run3'!AV33</f>
        <v>1.6512056578914661E-3</v>
      </c>
      <c r="U29" s="51">
        <f>'LUC-2013-01-08-Run3'!AW33</f>
        <v>1.6632808810003231E-3</v>
      </c>
      <c r="V29" s="51">
        <f>'LUC-2013-01-08-Run3'!AX33</f>
        <v>1.6753561041091803E-3</v>
      </c>
      <c r="W29" s="51">
        <f>'LUC-2013-01-08-Run3'!AY33</f>
        <v>1.6874313272180379E-3</v>
      </c>
      <c r="X29" s="51">
        <f>'LUC-2013-01-08-Run3'!AZ33</f>
        <v>1.6995065503268951E-3</v>
      </c>
      <c r="Y29" s="51">
        <f>'LUC-2013-01-08-Run3'!BA33</f>
        <v>1.7115817734357521E-3</v>
      </c>
      <c r="Z29" s="51">
        <f>'LUC-2013-01-08-Run3'!BB33</f>
        <v>1.7236569965446093E-3</v>
      </c>
      <c r="AA29" s="51">
        <f>'LUC-2013-01-08-Run3'!BC33</f>
        <v>1.7357322196534667E-3</v>
      </c>
      <c r="AB29" s="51">
        <f>'LUC-2013-01-08-Run3'!BD33</f>
        <v>1.7478074427623236E-3</v>
      </c>
      <c r="AC29" s="51">
        <f>'LUC-2013-01-08-Run3'!BE33</f>
        <v>1.759882665871181E-3</v>
      </c>
      <c r="AD29" s="51">
        <f>'LUC-2013-01-08-Run3'!BF33</f>
        <v>1.7719578889800382E-3</v>
      </c>
      <c r="AE29" s="51">
        <f>'LUC-2013-01-08-Run3'!BG33</f>
        <v>1.7840331120888959E-3</v>
      </c>
      <c r="AF29" s="51">
        <f>'LUC-2013-01-08-Run3'!BH33</f>
        <v>1.7961083351977531E-3</v>
      </c>
      <c r="AG29" s="51">
        <f>'LUC-2013-01-08-Run3'!BI33</f>
        <v>1.8081835583066094E-3</v>
      </c>
      <c r="AH29" s="51">
        <f>'LUC-2013-01-08-Run3'!BJ33</f>
        <v>1.8202587814154672E-3</v>
      </c>
      <c r="AI29" s="51">
        <f>'LUC-2013-01-08-Run3'!BK33</f>
        <v>1.8323340045243244E-3</v>
      </c>
      <c r="AJ29" s="51">
        <f>'LUC-2013-01-08-Run3'!BL33</f>
        <v>1.844409227633182E-3</v>
      </c>
      <c r="AK29" s="51">
        <f>'LUC-2013-01-08-Run3'!BM33</f>
        <v>1.8564844507420388E-3</v>
      </c>
      <c r="AL29" s="51">
        <f>'LUC-2013-01-08-Run3'!BN33</f>
        <v>1.8685596738508962E-3</v>
      </c>
      <c r="AM29" s="51">
        <f>'LUC-2013-01-08-Run3'!BO33</f>
        <v>1.8806348969597534E-3</v>
      </c>
      <c r="AN29" s="51">
        <f>'LUC-2013-01-08-Run3'!BP33</f>
        <v>1.8927101200686108E-3</v>
      </c>
      <c r="AO29" s="51">
        <f>'LUC-2013-01-08-Run3'!BQ33</f>
        <v>1.9047853431774678E-3</v>
      </c>
      <c r="AP29" s="51">
        <f>'LUC-2013-01-08-Run3'!BR33</f>
        <v>1.9168605662863256E-3</v>
      </c>
      <c r="AQ29" s="51">
        <f>'LUC-2013-01-08-Run3'!BS33</f>
        <v>1.9289357893951824E-3</v>
      </c>
      <c r="AR29" s="51">
        <f>'LUC-2013-01-08-Run3'!BT33</f>
        <v>1.9410110125040402E-3</v>
      </c>
      <c r="AS29" s="51">
        <f>'LUC-2013-01-08-Run3'!BU33</f>
        <v>1.9530862356128972E-3</v>
      </c>
      <c r="AT29" s="51">
        <f>'LUC-2013-01-08-Run3'!BV33</f>
        <v>1.9651614587217541E-3</v>
      </c>
      <c r="AU29" s="51">
        <f>'LUC-2013-01-08-Run3'!BW33</f>
        <v>1.9772366818306113E-3</v>
      </c>
      <c r="AV29" s="51">
        <f>'LUC-2013-01-08-Run3'!BX33</f>
        <v>1.989311904939469E-3</v>
      </c>
      <c r="AW29" s="51">
        <f>'LUC-2013-01-08-Run3'!BY33</f>
        <v>2.0013871280483257E-3</v>
      </c>
      <c r="AX29" s="51">
        <f>'LUC-2013-01-08-Run3'!BZ33</f>
        <v>2.0134623511571829E-3</v>
      </c>
      <c r="AY29" s="51">
        <f>'LUC-2013-01-08-Run3'!CA33</f>
        <v>2.0255375742660405E-3</v>
      </c>
      <c r="AZ29" s="51">
        <f>'LUC-2013-01-08-Run3'!CB33</f>
        <v>2.0376127973748973E-3</v>
      </c>
      <c r="BA29" s="51">
        <f>'LUC-2013-01-08-Run3'!CC33</f>
        <v>2.0496880204837549E-3</v>
      </c>
      <c r="BB29" s="51">
        <f>'LUC-2013-01-08-Run3'!CD33</f>
        <v>2.0617632435926121E-3</v>
      </c>
      <c r="BC29" s="51">
        <f>'LUC-2013-01-08-Run3'!CE33</f>
        <v>2.0738384667014697E-3</v>
      </c>
      <c r="BD29" s="51">
        <f>'LUC-2013-01-08-Run3'!CF33</f>
        <v>2.0859136898103261E-3</v>
      </c>
      <c r="BE29" s="51">
        <f>'LUC-2013-01-08-Run3'!CG33</f>
        <v>2.0979889129191837E-3</v>
      </c>
      <c r="BF29" s="51">
        <f>'LUC-2013-01-08-Run3'!CH33</f>
        <v>2.1100641360280409E-3</v>
      </c>
      <c r="BG29" s="51">
        <f>'LUC-2013-01-08-Run3'!CI33</f>
        <v>2.1221393591368985E-3</v>
      </c>
      <c r="BH29" s="51">
        <f>'LUC-2013-01-08-Run3'!CJ33</f>
        <v>2.1342145822457557E-3</v>
      </c>
      <c r="BI29" s="51">
        <f>'LUC-2013-01-08-Run3'!CK33</f>
        <v>2.1462898053546129E-3</v>
      </c>
      <c r="BJ29" s="51">
        <f>'LUC-2013-01-08-Run3'!CL33</f>
        <v>2.1583650284634701E-3</v>
      </c>
      <c r="BK29" s="51">
        <f>'LUC-2013-01-08-Run3'!CM33</f>
        <v>2.1704402515723277E-3</v>
      </c>
      <c r="BM29" s="102"/>
      <c r="BN29" s="53" t="s">
        <v>111</v>
      </c>
      <c r="BO29" s="79">
        <f t="shared" si="14"/>
        <v>1.4251346260975677</v>
      </c>
      <c r="BP29" s="79">
        <f t="shared" si="15"/>
        <v>1.5535321113085925</v>
      </c>
      <c r="BQ29" s="79">
        <f t="shared" si="16"/>
        <v>1.6874313272180379</v>
      </c>
      <c r="BR29" s="79">
        <f t="shared" si="17"/>
        <v>1.8081835583066095</v>
      </c>
      <c r="BS29" s="79">
        <f t="shared" si="18"/>
        <v>1.9289357893951824</v>
      </c>
      <c r="BT29" s="79">
        <f t="shared" si="19"/>
        <v>2.0496880204837549</v>
      </c>
      <c r="BU29" s="79">
        <f t="shared" si="20"/>
        <v>2.1704402515723276</v>
      </c>
    </row>
    <row r="30" spans="1:73" x14ac:dyDescent="0.25">
      <c r="A30" s="52" t="s">
        <v>71</v>
      </c>
      <c r="B30" s="50" t="s">
        <v>102</v>
      </c>
      <c r="C30" s="52" t="s">
        <v>107</v>
      </c>
      <c r="D30" s="51">
        <f>'LUC-2013-01-08-Run3'!AF34</f>
        <v>1.6577549140049134E-3</v>
      </c>
      <c r="E30" s="51">
        <f>'LUC-2013-01-08-Run3'!AG34</f>
        <v>1.6804361179361179E-3</v>
      </c>
      <c r="F30" s="51">
        <f>'LUC-2013-01-08-Run3'!AH34</f>
        <v>1.7031173218673219E-3</v>
      </c>
      <c r="G30" s="51">
        <f>'LUC-2013-01-08-Run3'!AI34</f>
        <v>1.7257985257985258E-3</v>
      </c>
      <c r="H30" s="51">
        <f>'LUC-2013-01-08-Run3'!AJ34</f>
        <v>1.7484797297297294E-3</v>
      </c>
      <c r="I30" s="51">
        <f>'LUC-2013-01-08-Run3'!AK34</f>
        <v>1.7711609336609332E-3</v>
      </c>
      <c r="J30" s="51">
        <f>'LUC-2013-01-08-Run3'!AL34</f>
        <v>1.7938421375921377E-3</v>
      </c>
      <c r="K30" s="51">
        <f>'LUC-2013-01-08-Run3'!AM34</f>
        <v>1.8165233415233415E-3</v>
      </c>
      <c r="L30" s="51">
        <f>'LUC-2013-01-08-Run3'!AN34</f>
        <v>1.8392045454545453E-3</v>
      </c>
      <c r="M30" s="51">
        <f>'LUC-2013-01-08-Run3'!AO34</f>
        <v>1.8618857493857496E-3</v>
      </c>
      <c r="N30" s="51">
        <f>'LUC-2013-01-08-Run3'!AP34</f>
        <v>1.8845669533169532E-3</v>
      </c>
      <c r="O30" s="51">
        <f>'LUC-2013-01-08-Run3'!AQ34</f>
        <v>1.9072481572481575E-3</v>
      </c>
      <c r="P30" s="51">
        <f>'LUC-2013-01-08-Run3'!AR34</f>
        <v>1.9299293611793611E-3</v>
      </c>
      <c r="Q30" s="51">
        <f>'LUC-2013-01-08-Run3'!AS34</f>
        <v>1.9526105651105647E-3</v>
      </c>
      <c r="R30" s="51">
        <f>'LUC-2013-01-08-Run3'!AT34</f>
        <v>1.9752917690417696E-3</v>
      </c>
      <c r="S30" s="51">
        <f>'LUC-2013-01-08-Run3'!AU34</f>
        <v>1.9979729729729728E-3</v>
      </c>
      <c r="T30" s="51">
        <f>'LUC-2013-01-08-Run3'!AV34</f>
        <v>2.0184735872235877E-3</v>
      </c>
      <c r="U30" s="51">
        <f>'LUC-2013-01-08-Run3'!AW34</f>
        <v>2.0389742014742013E-3</v>
      </c>
      <c r="V30" s="51">
        <f>'LUC-2013-01-08-Run3'!AX34</f>
        <v>2.0594748157248153E-3</v>
      </c>
      <c r="W30" s="51">
        <f>'LUC-2013-01-08-Run3'!AY34</f>
        <v>2.0799754299754298E-3</v>
      </c>
      <c r="X30" s="51">
        <f>'LUC-2013-01-08-Run3'!AZ34</f>
        <v>2.1004760442260443E-3</v>
      </c>
      <c r="Y30" s="51">
        <f>'LUC-2013-01-08-Run3'!BA34</f>
        <v>2.1209766584766587E-3</v>
      </c>
      <c r="Z30" s="51">
        <f>'LUC-2013-01-08-Run3'!BB34</f>
        <v>2.1414772727272723E-3</v>
      </c>
      <c r="AA30" s="51">
        <f>'LUC-2013-01-08-Run3'!BC34</f>
        <v>2.1619778869778868E-3</v>
      </c>
      <c r="AB30" s="51">
        <f>'LUC-2013-01-08-Run3'!BD34</f>
        <v>2.1824785012285013E-3</v>
      </c>
      <c r="AC30" s="51">
        <f>'LUC-2013-01-08-Run3'!BE34</f>
        <v>2.2029791154791153E-3</v>
      </c>
      <c r="AD30" s="51">
        <f>'LUC-2013-01-08-Run3'!BF34</f>
        <v>2.2234797297297293E-3</v>
      </c>
      <c r="AE30" s="51">
        <f>'LUC-2013-01-08-Run3'!BG34</f>
        <v>2.2439803439803438E-3</v>
      </c>
      <c r="AF30" s="51">
        <f>'LUC-2013-01-08-Run3'!BH34</f>
        <v>2.2644809582309583E-3</v>
      </c>
      <c r="AG30" s="51">
        <f>'LUC-2013-01-08-Run3'!BI34</f>
        <v>2.2849815724815723E-3</v>
      </c>
      <c r="AH30" s="51">
        <f>'LUC-2013-01-08-Run3'!BJ34</f>
        <v>2.3054821867321868E-3</v>
      </c>
      <c r="AI30" s="51">
        <f>'LUC-2013-01-08-Run3'!BK34</f>
        <v>2.3259828009828008E-3</v>
      </c>
      <c r="AJ30" s="51">
        <f>'LUC-2013-01-08-Run3'!BL34</f>
        <v>2.3464834152334153E-3</v>
      </c>
      <c r="AK30" s="51">
        <f>'LUC-2013-01-08-Run3'!BM34</f>
        <v>2.3669840294840293E-3</v>
      </c>
      <c r="AL30" s="51">
        <f>'LUC-2013-01-08-Run3'!BN34</f>
        <v>2.3874846437346438E-3</v>
      </c>
      <c r="AM30" s="51">
        <f>'LUC-2013-01-08-Run3'!BO34</f>
        <v>2.4079852579852574E-3</v>
      </c>
      <c r="AN30" s="51">
        <f>'LUC-2013-01-08-Run3'!BP34</f>
        <v>2.4284858722358718E-3</v>
      </c>
      <c r="AO30" s="51">
        <f>'LUC-2013-01-08-Run3'!BQ34</f>
        <v>2.4489864864864859E-3</v>
      </c>
      <c r="AP30" s="51">
        <f>'LUC-2013-01-08-Run3'!BR34</f>
        <v>2.4694871007371003E-3</v>
      </c>
      <c r="AQ30" s="51">
        <f>'LUC-2013-01-08-Run3'!BS34</f>
        <v>2.4899877149877148E-3</v>
      </c>
      <c r="AR30" s="51">
        <f>'LUC-2013-01-08-Run3'!BT34</f>
        <v>2.5104883292383293E-3</v>
      </c>
      <c r="AS30" s="51">
        <f>'LUC-2013-01-08-Run3'!BU34</f>
        <v>2.5309889434889433E-3</v>
      </c>
      <c r="AT30" s="51">
        <f>'LUC-2013-01-08-Run3'!BV34</f>
        <v>2.5514895577395573E-3</v>
      </c>
      <c r="AU30" s="51">
        <f>'LUC-2013-01-08-Run3'!BW34</f>
        <v>2.5719901719901722E-3</v>
      </c>
      <c r="AV30" s="51">
        <f>'LUC-2013-01-08-Run3'!BX34</f>
        <v>2.5924907862407863E-3</v>
      </c>
      <c r="AW30" s="51">
        <f>'LUC-2013-01-08-Run3'!BY34</f>
        <v>2.6129914004914007E-3</v>
      </c>
      <c r="AX30" s="51">
        <f>'LUC-2013-01-08-Run3'!BZ34</f>
        <v>2.6334920147420139E-3</v>
      </c>
      <c r="AY30" s="51">
        <f>'LUC-2013-01-08-Run3'!CA34</f>
        <v>2.6539926289926284E-3</v>
      </c>
      <c r="AZ30" s="51">
        <f>'LUC-2013-01-08-Run3'!CB34</f>
        <v>2.6744932432432428E-3</v>
      </c>
      <c r="BA30" s="51">
        <f>'LUC-2013-01-08-Run3'!CC34</f>
        <v>2.6949938574938573E-3</v>
      </c>
      <c r="BB30" s="51">
        <f>'LUC-2013-01-08-Run3'!CD34</f>
        <v>2.7154944717444713E-3</v>
      </c>
      <c r="BC30" s="51">
        <f>'LUC-2013-01-08-Run3'!CE34</f>
        <v>2.7359950859950858E-3</v>
      </c>
      <c r="BD30" s="51">
        <f>'LUC-2013-01-08-Run3'!CF34</f>
        <v>2.7564957002457007E-3</v>
      </c>
      <c r="BE30" s="51">
        <f>'LUC-2013-01-08-Run3'!CG34</f>
        <v>2.7769963144963143E-3</v>
      </c>
      <c r="BF30" s="51">
        <f>'LUC-2013-01-08-Run3'!CH34</f>
        <v>2.7974969287469288E-3</v>
      </c>
      <c r="BG30" s="51">
        <f>'LUC-2013-01-08-Run3'!CI34</f>
        <v>2.8179975429975424E-3</v>
      </c>
      <c r="BH30" s="51">
        <f>'LUC-2013-01-08-Run3'!CJ34</f>
        <v>2.8384981572481573E-3</v>
      </c>
      <c r="BI30" s="51">
        <f>'LUC-2013-01-08-Run3'!CK34</f>
        <v>2.8589987714987713E-3</v>
      </c>
      <c r="BJ30" s="51">
        <f>'LUC-2013-01-08-Run3'!CL34</f>
        <v>2.8794993857493853E-3</v>
      </c>
      <c r="BK30" s="51">
        <f>'LUC-2013-01-08-Run3'!CM34</f>
        <v>2.8999999999999998E-3</v>
      </c>
      <c r="BM30" s="102"/>
      <c r="BN30" s="53" t="s">
        <v>102</v>
      </c>
      <c r="BO30" s="79">
        <f t="shared" si="14"/>
        <v>1.6577549140049135</v>
      </c>
      <c r="BP30" s="79">
        <f t="shared" si="15"/>
        <v>1.8618857493857497</v>
      </c>
      <c r="BQ30" s="79">
        <f t="shared" si="16"/>
        <v>2.0799754299754296</v>
      </c>
      <c r="BR30" s="79">
        <f t="shared" si="17"/>
        <v>2.2849815724815721</v>
      </c>
      <c r="BS30" s="79">
        <f t="shared" si="18"/>
        <v>2.489987714987715</v>
      </c>
      <c r="BT30" s="79">
        <f t="shared" si="19"/>
        <v>2.6949938574938574</v>
      </c>
      <c r="BU30" s="79">
        <f t="shared" si="20"/>
        <v>2.9</v>
      </c>
    </row>
    <row r="31" spans="1:73" x14ac:dyDescent="0.25">
      <c r="A31" s="52" t="s">
        <v>71</v>
      </c>
      <c r="B31" s="50" t="s">
        <v>103</v>
      </c>
      <c r="C31" s="52" t="s">
        <v>107</v>
      </c>
      <c r="D31" s="51">
        <f>'LUC-2013-01-08-Run3'!AF35</f>
        <v>6.1522727272727278E-2</v>
      </c>
      <c r="E31" s="51">
        <f>'LUC-2013-01-08-Run3'!AG35</f>
        <v>6.1954545454545457E-2</v>
      </c>
      <c r="F31" s="51">
        <f>'LUC-2013-01-08-Run3'!AH35</f>
        <v>6.2386363636363643E-2</v>
      </c>
      <c r="G31" s="51">
        <f>'LUC-2013-01-08-Run3'!AI35</f>
        <v>6.2818181818181829E-2</v>
      </c>
      <c r="H31" s="51">
        <f>'LUC-2013-01-08-Run3'!AJ35</f>
        <v>6.3250000000000001E-2</v>
      </c>
      <c r="I31" s="51">
        <f>'LUC-2013-01-08-Run3'!AK35</f>
        <v>6.3681818181818187E-2</v>
      </c>
      <c r="J31" s="51">
        <f>'LUC-2013-01-08-Run3'!AL35</f>
        <v>6.4113636363636373E-2</v>
      </c>
      <c r="K31" s="51">
        <f>'LUC-2013-01-08-Run3'!AM35</f>
        <v>6.4545454545454545E-2</v>
      </c>
      <c r="L31" s="51">
        <f>'LUC-2013-01-08-Run3'!AN35</f>
        <v>6.4977272727272731E-2</v>
      </c>
      <c r="M31" s="51">
        <f>'LUC-2013-01-08-Run3'!AO35</f>
        <v>6.5409090909090917E-2</v>
      </c>
      <c r="N31" s="51">
        <f>'LUC-2013-01-08-Run3'!AP35</f>
        <v>6.5840909090909089E-2</v>
      </c>
      <c r="O31" s="51">
        <f>'LUC-2013-01-08-Run3'!AQ35</f>
        <v>6.6272727272727275E-2</v>
      </c>
      <c r="P31" s="51">
        <f>'LUC-2013-01-08-Run3'!AR35</f>
        <v>6.6704545454545461E-2</v>
      </c>
      <c r="Q31" s="51">
        <f>'LUC-2013-01-08-Run3'!AS35</f>
        <v>6.7136363636363633E-2</v>
      </c>
      <c r="R31" s="51">
        <f>'LUC-2013-01-08-Run3'!AT35</f>
        <v>6.7568181818181819E-2</v>
      </c>
      <c r="S31" s="51">
        <f>'LUC-2013-01-08-Run3'!AU35</f>
        <v>6.8000000000000005E-2</v>
      </c>
      <c r="T31" s="51">
        <f>'LUC-2013-01-08-Run3'!AV35</f>
        <v>6.881818181818182E-2</v>
      </c>
      <c r="U31" s="51">
        <f>'LUC-2013-01-08-Run3'!AW35</f>
        <v>6.9636363636363635E-2</v>
      </c>
      <c r="V31" s="51">
        <f>'LUC-2013-01-08-Run3'!AX35</f>
        <v>7.0454545454545464E-2</v>
      </c>
      <c r="W31" s="51">
        <f>'LUC-2013-01-08-Run3'!AY35</f>
        <v>7.1272727272727279E-2</v>
      </c>
      <c r="X31" s="51">
        <f>'LUC-2013-01-08-Run3'!AZ35</f>
        <v>7.2090909090909094E-2</v>
      </c>
      <c r="Y31" s="51">
        <f>'LUC-2013-01-08-Run3'!BA35</f>
        <v>7.290909090909091E-2</v>
      </c>
      <c r="Z31" s="51">
        <f>'LUC-2013-01-08-Run3'!BB35</f>
        <v>7.3727272727272725E-2</v>
      </c>
      <c r="AA31" s="51">
        <f>'LUC-2013-01-08-Run3'!BC35</f>
        <v>7.4545454545454554E-2</v>
      </c>
      <c r="AB31" s="51">
        <f>'LUC-2013-01-08-Run3'!BD35</f>
        <v>7.5363636363636369E-2</v>
      </c>
      <c r="AC31" s="51">
        <f>'LUC-2013-01-08-Run3'!BE35</f>
        <v>7.6181818181818184E-2</v>
      </c>
      <c r="AD31" s="51">
        <f>'LUC-2013-01-08-Run3'!BF35</f>
        <v>7.6999999999999999E-2</v>
      </c>
      <c r="AE31" s="51">
        <f>'LUC-2013-01-08-Run3'!BG35</f>
        <v>7.7818181818181814E-2</v>
      </c>
      <c r="AF31" s="51">
        <f>'LUC-2013-01-08-Run3'!BH35</f>
        <v>7.8636363636363643E-2</v>
      </c>
      <c r="AG31" s="51">
        <f>'LUC-2013-01-08-Run3'!BI35</f>
        <v>7.9454545454545458E-2</v>
      </c>
      <c r="AH31" s="51">
        <f>'LUC-2013-01-08-Run3'!BJ35</f>
        <v>8.0272727272727273E-2</v>
      </c>
      <c r="AI31" s="51">
        <f>'LUC-2013-01-08-Run3'!BK35</f>
        <v>8.1090909090909088E-2</v>
      </c>
      <c r="AJ31" s="51">
        <f>'LUC-2013-01-08-Run3'!BL35</f>
        <v>8.1909090909090904E-2</v>
      </c>
      <c r="AK31" s="51">
        <f>'LUC-2013-01-08-Run3'!BM35</f>
        <v>8.2727272727272733E-2</v>
      </c>
      <c r="AL31" s="51">
        <f>'LUC-2013-01-08-Run3'!BN35</f>
        <v>8.3545454545454548E-2</v>
      </c>
      <c r="AM31" s="51">
        <f>'LUC-2013-01-08-Run3'!BO35</f>
        <v>8.4363636363636363E-2</v>
      </c>
      <c r="AN31" s="51">
        <f>'LUC-2013-01-08-Run3'!BP35</f>
        <v>8.5181818181818178E-2</v>
      </c>
      <c r="AO31" s="51">
        <f>'LUC-2013-01-08-Run3'!BQ35</f>
        <v>8.5999999999999993E-2</v>
      </c>
      <c r="AP31" s="51">
        <f>'LUC-2013-01-08-Run3'!BR35</f>
        <v>8.6818181818181822E-2</v>
      </c>
      <c r="AQ31" s="51">
        <f>'LUC-2013-01-08-Run3'!BS35</f>
        <v>8.7636363636363637E-2</v>
      </c>
      <c r="AR31" s="51">
        <f>'LUC-2013-01-08-Run3'!BT35</f>
        <v>8.8454545454545452E-2</v>
      </c>
      <c r="AS31" s="51">
        <f>'LUC-2013-01-08-Run3'!BU35</f>
        <v>8.9272727272727267E-2</v>
      </c>
      <c r="AT31" s="51">
        <f>'LUC-2013-01-08-Run3'!BV35</f>
        <v>9.0090909090909083E-2</v>
      </c>
      <c r="AU31" s="51">
        <f>'LUC-2013-01-08-Run3'!BW35</f>
        <v>9.0909090909090912E-2</v>
      </c>
      <c r="AV31" s="51">
        <f>'LUC-2013-01-08-Run3'!BX35</f>
        <v>9.1727272727272727E-2</v>
      </c>
      <c r="AW31" s="51">
        <f>'LUC-2013-01-08-Run3'!BY35</f>
        <v>9.2545454545454542E-2</v>
      </c>
      <c r="AX31" s="51">
        <f>'LUC-2013-01-08-Run3'!BZ35</f>
        <v>9.3363636363636357E-2</v>
      </c>
      <c r="AY31" s="51">
        <f>'LUC-2013-01-08-Run3'!CA35</f>
        <v>9.4181818181818172E-2</v>
      </c>
      <c r="AZ31" s="51">
        <f>'LUC-2013-01-08-Run3'!CB35</f>
        <v>9.5000000000000001E-2</v>
      </c>
      <c r="BA31" s="51">
        <f>'LUC-2013-01-08-Run3'!CC35</f>
        <v>9.5818181818181816E-2</v>
      </c>
      <c r="BB31" s="51">
        <f>'LUC-2013-01-08-Run3'!CD35</f>
        <v>9.6636363636363631E-2</v>
      </c>
      <c r="BC31" s="51">
        <f>'LUC-2013-01-08-Run3'!CE35</f>
        <v>9.7454545454545446E-2</v>
      </c>
      <c r="BD31" s="51">
        <f>'LUC-2013-01-08-Run3'!CF35</f>
        <v>9.8272727272727262E-2</v>
      </c>
      <c r="BE31" s="51">
        <f>'LUC-2013-01-08-Run3'!CG35</f>
        <v>9.9090909090909091E-2</v>
      </c>
      <c r="BF31" s="51">
        <f>'LUC-2013-01-08-Run3'!CH35</f>
        <v>9.9909090909090906E-2</v>
      </c>
      <c r="BG31" s="51">
        <f>'LUC-2013-01-08-Run3'!CI35</f>
        <v>0.10072727272727272</v>
      </c>
      <c r="BH31" s="51">
        <f>'LUC-2013-01-08-Run3'!CJ35</f>
        <v>0.10154545454545455</v>
      </c>
      <c r="BI31" s="51">
        <f>'LUC-2013-01-08-Run3'!CK35</f>
        <v>0.10236363636363635</v>
      </c>
      <c r="BJ31" s="51">
        <f>'LUC-2013-01-08-Run3'!CL35</f>
        <v>0.10318181818181818</v>
      </c>
      <c r="BK31" s="51">
        <f>'LUC-2013-01-08-Run3'!CM35</f>
        <v>0.104</v>
      </c>
      <c r="BM31" s="102"/>
      <c r="BN31" s="53" t="s">
        <v>103</v>
      </c>
      <c r="BO31" s="63">
        <f t="shared" si="14"/>
        <v>61.52272727272728</v>
      </c>
      <c r="BP31" s="63">
        <f t="shared" si="15"/>
        <v>65.409090909090921</v>
      </c>
      <c r="BQ31" s="63">
        <f t="shared" si="16"/>
        <v>71.27272727272728</v>
      </c>
      <c r="BR31" s="63">
        <f t="shared" si="17"/>
        <v>79.454545454545453</v>
      </c>
      <c r="BS31" s="63">
        <f t="shared" si="18"/>
        <v>87.63636363636364</v>
      </c>
      <c r="BT31" s="63">
        <f t="shared" si="19"/>
        <v>95.818181818181813</v>
      </c>
      <c r="BU31" s="63">
        <f t="shared" si="20"/>
        <v>104</v>
      </c>
    </row>
    <row r="32" spans="1:73" x14ac:dyDescent="0.25">
      <c r="A32" s="52" t="s">
        <v>71</v>
      </c>
      <c r="B32" s="50" t="s">
        <v>104</v>
      </c>
      <c r="C32" s="52" t="s">
        <v>107</v>
      </c>
      <c r="D32" s="51">
        <f>'LUC-2013-01-08-Run3'!AF39</f>
        <v>8.6618671127481966E-4</v>
      </c>
      <c r="E32" s="51">
        <f>'LUC-2013-01-08-Run3'!AG39</f>
        <v>8.7332065560907562E-4</v>
      </c>
      <c r="F32" s="51">
        <f>'LUC-2013-01-08-Run3'!AH39</f>
        <v>8.8045459994333169E-4</v>
      </c>
      <c r="G32" s="51">
        <f>'LUC-2013-01-08-Run3'!AI39</f>
        <v>8.8758854427758765E-4</v>
      </c>
      <c r="H32" s="51">
        <f>'LUC-2013-01-08-Run3'!AJ39</f>
        <v>8.9472248861184372E-4</v>
      </c>
      <c r="I32" s="51">
        <f>'LUC-2013-01-08-Run3'!AK39</f>
        <v>9.0185643294609969E-4</v>
      </c>
      <c r="J32" s="51">
        <f>'LUC-2013-01-08-Run3'!AL39</f>
        <v>9.0899037728035576E-4</v>
      </c>
      <c r="K32" s="51">
        <f>'LUC-2013-01-08-Run3'!AM39</f>
        <v>9.1612432161461172E-4</v>
      </c>
      <c r="L32" s="51">
        <f>'LUC-2013-01-08-Run3'!AN39</f>
        <v>9.2325826594886768E-4</v>
      </c>
      <c r="M32" s="51">
        <f>'LUC-2013-01-08-Run3'!AO39</f>
        <v>9.3039221028312375E-4</v>
      </c>
      <c r="N32" s="51">
        <f>'LUC-2013-01-08-Run3'!AP39</f>
        <v>9.3752615461737982E-4</v>
      </c>
      <c r="O32" s="51">
        <f>'LUC-2013-01-08-Run3'!AQ39</f>
        <v>9.4466009895163578E-4</v>
      </c>
      <c r="P32" s="51">
        <f>'LUC-2013-01-08-Run3'!AR39</f>
        <v>9.5179404328589175E-4</v>
      </c>
      <c r="Q32" s="51">
        <f>'LUC-2013-01-08-Run3'!AS39</f>
        <v>9.5892798762014782E-4</v>
      </c>
      <c r="R32" s="51">
        <f>'LUC-2013-01-08-Run3'!AT39</f>
        <v>9.6606193195440389E-4</v>
      </c>
      <c r="S32" s="51">
        <f>'LUC-2013-01-08-Run3'!AU39</f>
        <v>9.7319587628865985E-4</v>
      </c>
      <c r="T32" s="51">
        <f>'LUC-2013-01-08-Run3'!AV39</f>
        <v>9.9072164948453621E-4</v>
      </c>
      <c r="U32" s="51">
        <f>'LUC-2013-01-08-Run3'!AW39</f>
        <v>1.0082474226804125E-3</v>
      </c>
      <c r="V32" s="51">
        <f>'LUC-2013-01-08-Run3'!AX39</f>
        <v>1.0257731958762887E-3</v>
      </c>
      <c r="W32" s="51">
        <f>'LUC-2013-01-08-Run3'!AY39</f>
        <v>1.043298969072165E-3</v>
      </c>
      <c r="X32" s="51">
        <f>'LUC-2013-01-08-Run3'!AZ39</f>
        <v>1.0608247422680412E-3</v>
      </c>
      <c r="Y32" s="51">
        <f>'LUC-2013-01-08-Run3'!BA39</f>
        <v>1.0783505154639175E-3</v>
      </c>
      <c r="Z32" s="51">
        <f>'LUC-2013-01-08-Run3'!BB39</f>
        <v>1.095876288659794E-3</v>
      </c>
      <c r="AA32" s="51">
        <f>'LUC-2013-01-08-Run3'!BC39</f>
        <v>1.1134020618556702E-3</v>
      </c>
      <c r="AB32" s="51">
        <f>'LUC-2013-01-08-Run3'!BD39</f>
        <v>1.1309278350515465E-3</v>
      </c>
      <c r="AC32" s="51">
        <f>'LUC-2013-01-08-Run3'!BE39</f>
        <v>1.1484536082474227E-3</v>
      </c>
      <c r="AD32" s="51">
        <f>'LUC-2013-01-08-Run3'!BF39</f>
        <v>1.165979381443299E-3</v>
      </c>
      <c r="AE32" s="51">
        <f>'LUC-2013-01-08-Run3'!BG39</f>
        <v>1.1835051546391752E-3</v>
      </c>
      <c r="AF32" s="51">
        <f>'LUC-2013-01-08-Run3'!BH39</f>
        <v>1.2010309278350515E-3</v>
      </c>
      <c r="AG32" s="51">
        <f>'LUC-2013-01-08-Run3'!BI39</f>
        <v>1.2185567010309277E-3</v>
      </c>
      <c r="AH32" s="51">
        <f>'LUC-2013-01-08-Run3'!BJ39</f>
        <v>1.236082474226804E-3</v>
      </c>
      <c r="AI32" s="51">
        <f>'LUC-2013-01-08-Run3'!BK39</f>
        <v>1.2536082474226805E-3</v>
      </c>
      <c r="AJ32" s="51">
        <f>'LUC-2013-01-08-Run3'!BL39</f>
        <v>1.2711340206185567E-3</v>
      </c>
      <c r="AK32" s="51">
        <f>'LUC-2013-01-08-Run3'!BM39</f>
        <v>1.288659793814433E-3</v>
      </c>
      <c r="AL32" s="51">
        <f>'LUC-2013-01-08-Run3'!BN39</f>
        <v>1.3061855670103092E-3</v>
      </c>
      <c r="AM32" s="51">
        <f>'LUC-2013-01-08-Run3'!BO39</f>
        <v>1.3237113402061855E-3</v>
      </c>
      <c r="AN32" s="51">
        <f>'LUC-2013-01-08-Run3'!BP39</f>
        <v>1.3412371134020619E-3</v>
      </c>
      <c r="AO32" s="51">
        <f>'LUC-2013-01-08-Run3'!BQ39</f>
        <v>1.3587628865979382E-3</v>
      </c>
      <c r="AP32" s="51">
        <f>'LUC-2013-01-08-Run3'!BR39</f>
        <v>1.3762886597938145E-3</v>
      </c>
      <c r="AQ32" s="51">
        <f>'LUC-2013-01-08-Run3'!BS39</f>
        <v>1.3938144329896907E-3</v>
      </c>
      <c r="AR32" s="51">
        <f>'LUC-2013-01-08-Run3'!BT39</f>
        <v>1.411340206185567E-3</v>
      </c>
      <c r="AS32" s="51">
        <f>'LUC-2013-01-08-Run3'!BU39</f>
        <v>1.4288659793814432E-3</v>
      </c>
      <c r="AT32" s="51">
        <f>'LUC-2013-01-08-Run3'!BV39</f>
        <v>1.4463917525773195E-3</v>
      </c>
      <c r="AU32" s="51">
        <f>'LUC-2013-01-08-Run3'!BW39</f>
        <v>1.4639175257731957E-3</v>
      </c>
      <c r="AV32" s="51">
        <f>'LUC-2013-01-08-Run3'!BX39</f>
        <v>1.481443298969072E-3</v>
      </c>
      <c r="AW32" s="51">
        <f>'LUC-2013-01-08-Run3'!BY39</f>
        <v>1.4989690721649482E-3</v>
      </c>
      <c r="AX32" s="51">
        <f>'LUC-2013-01-08-Run3'!BZ39</f>
        <v>1.5164948453608247E-3</v>
      </c>
      <c r="AY32" s="51">
        <f>'LUC-2013-01-08-Run3'!CA39</f>
        <v>1.534020618556701E-3</v>
      </c>
      <c r="AZ32" s="51">
        <f>'LUC-2013-01-08-Run3'!CB39</f>
        <v>1.5515463917525772E-3</v>
      </c>
      <c r="BA32" s="51">
        <f>'LUC-2013-01-08-Run3'!CC39</f>
        <v>1.5690721649484537E-3</v>
      </c>
      <c r="BB32" s="51">
        <f>'LUC-2013-01-08-Run3'!CD39</f>
        <v>1.5865979381443299E-3</v>
      </c>
      <c r="BC32" s="51">
        <f>'LUC-2013-01-08-Run3'!CE39</f>
        <v>1.6041237113402062E-3</v>
      </c>
      <c r="BD32" s="51">
        <f>'LUC-2013-01-08-Run3'!CF39</f>
        <v>1.6216494845360824E-3</v>
      </c>
      <c r="BE32" s="51">
        <f>'LUC-2013-01-08-Run3'!CG39</f>
        <v>1.6391752577319587E-3</v>
      </c>
      <c r="BF32" s="51">
        <f>'LUC-2013-01-08-Run3'!CH39</f>
        <v>1.656701030927835E-3</v>
      </c>
      <c r="BG32" s="51">
        <f>'LUC-2013-01-08-Run3'!CI39</f>
        <v>1.6742268041237112E-3</v>
      </c>
      <c r="BH32" s="51">
        <f>'LUC-2013-01-08-Run3'!CJ39</f>
        <v>1.6917525773195875E-3</v>
      </c>
      <c r="BI32" s="51">
        <f>'LUC-2013-01-08-Run3'!CK39</f>
        <v>1.7092783505154637E-3</v>
      </c>
      <c r="BJ32" s="51">
        <f>'LUC-2013-01-08-Run3'!CL39</f>
        <v>1.72680412371134E-3</v>
      </c>
      <c r="BK32" s="51">
        <f>'LUC-2013-01-08-Run3'!CM39</f>
        <v>1.7443298969072164E-3</v>
      </c>
      <c r="BM32" s="103"/>
      <c r="BN32" s="54" t="s">
        <v>104</v>
      </c>
      <c r="BO32" s="79">
        <f t="shared" si="14"/>
        <v>0.86618671127481961</v>
      </c>
      <c r="BP32" s="79">
        <f t="shared" si="15"/>
        <v>0.9303922102831238</v>
      </c>
      <c r="BQ32" s="79">
        <f t="shared" si="16"/>
        <v>1.043298969072165</v>
      </c>
      <c r="BR32" s="79">
        <f t="shared" si="17"/>
        <v>1.2185567010309277</v>
      </c>
      <c r="BS32" s="79">
        <f t="shared" si="18"/>
        <v>1.3938144329896907</v>
      </c>
      <c r="BT32" s="79">
        <f t="shared" si="19"/>
        <v>1.5690721649484536</v>
      </c>
      <c r="BU32" s="79">
        <f t="shared" si="20"/>
        <v>1.7443298969072165</v>
      </c>
    </row>
    <row r="33" spans="1:75" x14ac:dyDescent="0.25">
      <c r="BM33" s="106" t="s">
        <v>38</v>
      </c>
      <c r="BN33" s="53" t="s">
        <v>99</v>
      </c>
      <c r="BO33" s="79">
        <f t="shared" ref="BO33:BO39" si="21">D34*1000</f>
        <v>5.0675000000000008</v>
      </c>
      <c r="BP33" s="79">
        <f t="shared" ref="BP33:BP39" si="22">M34*1000</f>
        <v>5.7650000000000015</v>
      </c>
      <c r="BQ33" s="79">
        <f t="shared" ref="BQ33:BQ39" si="23">W34*1000</f>
        <v>6.34</v>
      </c>
      <c r="BR33" s="79">
        <f t="shared" ref="BR33:BR39" si="24">AG34*1000</f>
        <v>6.6150000000000002</v>
      </c>
      <c r="BS33" s="79">
        <f t="shared" ref="BS33:BS39" si="25">AQ34*1000</f>
        <v>6.8900000000000006</v>
      </c>
      <c r="BT33" s="79">
        <f t="shared" ref="BT33:BT39" si="26">BA34*1000</f>
        <v>7.1649999999999991</v>
      </c>
      <c r="BU33" s="79">
        <f t="shared" ref="BU33:BU39" si="27">BK34*1000</f>
        <v>7.4399999999999995</v>
      </c>
    </row>
    <row r="34" spans="1:75" x14ac:dyDescent="0.25">
      <c r="A34" s="52" t="s">
        <v>38</v>
      </c>
      <c r="B34" s="50" t="s">
        <v>99</v>
      </c>
      <c r="C34" s="52" t="s">
        <v>107</v>
      </c>
      <c r="D34" s="51">
        <f>'LUC-2013-01-08-Run3'!AF41</f>
        <v>5.0675000000000008E-3</v>
      </c>
      <c r="E34" s="51">
        <f>'LUC-2013-01-08-Run3'!AG41</f>
        <v>5.1450000000000003E-3</v>
      </c>
      <c r="F34" s="51">
        <f>'LUC-2013-01-08-Run3'!AH41</f>
        <v>5.2225000000000006E-3</v>
      </c>
      <c r="G34" s="51">
        <f>'LUC-2013-01-08-Run3'!AI41</f>
        <v>5.3000000000000009E-3</v>
      </c>
      <c r="H34" s="51">
        <f>'LUC-2013-01-08-Run3'!AJ41</f>
        <v>5.3775000000000003E-3</v>
      </c>
      <c r="I34" s="51">
        <f>'LUC-2013-01-08-Run3'!AK41</f>
        <v>5.4550000000000006E-3</v>
      </c>
      <c r="J34" s="51">
        <f>'LUC-2013-01-08-Run3'!AL41</f>
        <v>5.532500000000001E-3</v>
      </c>
      <c r="K34" s="51">
        <f>'LUC-2013-01-08-Run3'!AM41</f>
        <v>5.6100000000000004E-3</v>
      </c>
      <c r="L34" s="51">
        <f>'LUC-2013-01-08-Run3'!AN41</f>
        <v>5.6874999999999998E-3</v>
      </c>
      <c r="M34" s="51">
        <f>'LUC-2013-01-08-Run3'!AO41</f>
        <v>5.765000000000001E-3</v>
      </c>
      <c r="N34" s="51">
        <f>'LUC-2013-01-08-Run3'!AP41</f>
        <v>5.8425000000000005E-3</v>
      </c>
      <c r="O34" s="51">
        <f>'LUC-2013-01-08-Run3'!AQ41</f>
        <v>5.9199999999999999E-3</v>
      </c>
      <c r="P34" s="51">
        <f>'LUC-2013-01-08-Run3'!AR41</f>
        <v>5.9975000000000011E-3</v>
      </c>
      <c r="Q34" s="51">
        <f>'LUC-2013-01-08-Run3'!AS41</f>
        <v>6.0750000000000005E-3</v>
      </c>
      <c r="R34" s="51">
        <f>'LUC-2013-01-08-Run3'!AT41</f>
        <v>6.1525E-3</v>
      </c>
      <c r="S34" s="51">
        <f>'LUC-2013-01-08-Run3'!AU41</f>
        <v>6.2300000000000003E-3</v>
      </c>
      <c r="T34" s="51">
        <f>'LUC-2013-01-08-Run3'!AV41</f>
        <v>6.2575E-3</v>
      </c>
      <c r="U34" s="51">
        <f>'LUC-2013-01-08-Run3'!AW41</f>
        <v>6.2850000000000007E-3</v>
      </c>
      <c r="V34" s="51">
        <f>'LUC-2013-01-08-Run3'!AX41</f>
        <v>6.3125000000000004E-3</v>
      </c>
      <c r="W34" s="51">
        <f>'LUC-2013-01-08-Run3'!AY41</f>
        <v>6.3400000000000001E-3</v>
      </c>
      <c r="X34" s="51">
        <f>'LUC-2013-01-08-Run3'!AZ41</f>
        <v>6.3674999999999999E-3</v>
      </c>
      <c r="Y34" s="51">
        <f>'LUC-2013-01-08-Run3'!BA41</f>
        <v>6.3950000000000005E-3</v>
      </c>
      <c r="Z34" s="51">
        <f>'LUC-2013-01-08-Run3'!BB41</f>
        <v>6.4225000000000003E-3</v>
      </c>
      <c r="AA34" s="51">
        <f>'LUC-2013-01-08-Run3'!BC41</f>
        <v>6.45E-3</v>
      </c>
      <c r="AB34" s="51">
        <f>'LUC-2013-01-08-Run3'!BD41</f>
        <v>6.4774999999999998E-3</v>
      </c>
      <c r="AC34" s="51">
        <f>'LUC-2013-01-08-Run3'!BE41</f>
        <v>6.5050000000000004E-3</v>
      </c>
      <c r="AD34" s="51">
        <f>'LUC-2013-01-08-Run3'!BF41</f>
        <v>6.5325000000000001E-3</v>
      </c>
      <c r="AE34" s="51">
        <f>'LUC-2013-01-08-Run3'!BG41</f>
        <v>6.5599999999999999E-3</v>
      </c>
      <c r="AF34" s="51">
        <f>'LUC-2013-01-08-Run3'!BH41</f>
        <v>6.5875000000000005E-3</v>
      </c>
      <c r="AG34" s="51">
        <f>'LUC-2013-01-08-Run3'!BI41</f>
        <v>6.6150000000000002E-3</v>
      </c>
      <c r="AH34" s="51">
        <f>'LUC-2013-01-08-Run3'!BJ41</f>
        <v>6.6425E-3</v>
      </c>
      <c r="AI34" s="51">
        <f>'LUC-2013-01-08-Run3'!BK41</f>
        <v>6.6699999999999997E-3</v>
      </c>
      <c r="AJ34" s="51">
        <f>'LUC-2013-01-08-Run3'!BL41</f>
        <v>6.6975000000000003E-3</v>
      </c>
      <c r="AK34" s="51">
        <f>'LUC-2013-01-08-Run3'!BM41</f>
        <v>6.7250000000000001E-3</v>
      </c>
      <c r="AL34" s="51">
        <f>'LUC-2013-01-08-Run3'!BN41</f>
        <v>6.7524999999999998E-3</v>
      </c>
      <c r="AM34" s="51">
        <f>'LUC-2013-01-08-Run3'!BO41</f>
        <v>6.7799999999999996E-3</v>
      </c>
      <c r="AN34" s="51">
        <f>'LUC-2013-01-08-Run3'!BP41</f>
        <v>6.8075000000000002E-3</v>
      </c>
      <c r="AO34" s="51">
        <f>'LUC-2013-01-08-Run3'!BQ41</f>
        <v>6.8349999999999999E-3</v>
      </c>
      <c r="AP34" s="51">
        <f>'LUC-2013-01-08-Run3'!BR41</f>
        <v>6.8624999999999997E-3</v>
      </c>
      <c r="AQ34" s="51">
        <f>'LUC-2013-01-08-Run3'!BS41</f>
        <v>6.8900000000000003E-3</v>
      </c>
      <c r="AR34" s="51">
        <f>'LUC-2013-01-08-Run3'!BT41</f>
        <v>6.9175E-3</v>
      </c>
      <c r="AS34" s="51">
        <f>'LUC-2013-01-08-Run3'!BU41</f>
        <v>6.9449999999999998E-3</v>
      </c>
      <c r="AT34" s="51">
        <f>'LUC-2013-01-08-Run3'!BV41</f>
        <v>6.9724999999999995E-3</v>
      </c>
      <c r="AU34" s="51">
        <f>'LUC-2013-01-08-Run3'!BW41</f>
        <v>7.0000000000000001E-3</v>
      </c>
      <c r="AV34" s="51">
        <f>'LUC-2013-01-08-Run3'!BX41</f>
        <v>7.0274999999999999E-3</v>
      </c>
      <c r="AW34" s="51">
        <f>'LUC-2013-01-08-Run3'!BY41</f>
        <v>7.0549999999999996E-3</v>
      </c>
      <c r="AX34" s="51">
        <f>'LUC-2013-01-08-Run3'!BZ41</f>
        <v>7.0825000000000003E-3</v>
      </c>
      <c r="AY34" s="51">
        <f>'LUC-2013-01-08-Run3'!CA41</f>
        <v>7.11E-3</v>
      </c>
      <c r="AZ34" s="51">
        <f>'LUC-2013-01-08-Run3'!CB41</f>
        <v>7.1374999999999997E-3</v>
      </c>
      <c r="BA34" s="51">
        <f>'LUC-2013-01-08-Run3'!CC41</f>
        <v>7.1649999999999995E-3</v>
      </c>
      <c r="BB34" s="51">
        <f>'LUC-2013-01-08-Run3'!CD41</f>
        <v>7.1925000000000001E-3</v>
      </c>
      <c r="BC34" s="51">
        <f>'LUC-2013-01-08-Run3'!CE41</f>
        <v>7.2199999999999999E-3</v>
      </c>
      <c r="BD34" s="51">
        <f>'LUC-2013-01-08-Run3'!CF41</f>
        <v>7.2474999999999996E-3</v>
      </c>
      <c r="BE34" s="51">
        <f>'LUC-2013-01-08-Run3'!CG41</f>
        <v>7.2750000000000002E-3</v>
      </c>
      <c r="BF34" s="51">
        <f>'LUC-2013-01-08-Run3'!CH41</f>
        <v>7.3025E-3</v>
      </c>
      <c r="BG34" s="51">
        <f>'LUC-2013-01-08-Run3'!CI41</f>
        <v>7.3299999999999997E-3</v>
      </c>
      <c r="BH34" s="51">
        <f>'LUC-2013-01-08-Run3'!CJ41</f>
        <v>7.3574999999999995E-3</v>
      </c>
      <c r="BI34" s="51">
        <f>'LUC-2013-01-08-Run3'!CK41</f>
        <v>7.3849999999999992E-3</v>
      </c>
      <c r="BJ34" s="51">
        <f>'LUC-2013-01-08-Run3'!CL41</f>
        <v>7.4124999999999998E-3</v>
      </c>
      <c r="BK34" s="51">
        <f>'LUC-2013-01-08-Run3'!CM41</f>
        <v>7.4399999999999996E-3</v>
      </c>
      <c r="BM34" s="106"/>
      <c r="BN34" s="53" t="s">
        <v>100</v>
      </c>
      <c r="BO34" s="79">
        <f t="shared" si="21"/>
        <v>2.3129545454545455</v>
      </c>
      <c r="BP34" s="79">
        <f t="shared" si="22"/>
        <v>2.5931818181818183</v>
      </c>
      <c r="BQ34" s="79">
        <f t="shared" si="23"/>
        <v>2.8572727272727274</v>
      </c>
      <c r="BR34" s="79">
        <f t="shared" si="24"/>
        <v>3.0504545454545458</v>
      </c>
      <c r="BS34" s="79">
        <f t="shared" si="25"/>
        <v>3.2436363636363641</v>
      </c>
      <c r="BT34" s="79">
        <f t="shared" si="26"/>
        <v>3.436818181818182</v>
      </c>
      <c r="BU34" s="79">
        <f t="shared" si="27"/>
        <v>3.63</v>
      </c>
    </row>
    <row r="35" spans="1:75" x14ac:dyDescent="0.25">
      <c r="A35" s="52" t="s">
        <v>38</v>
      </c>
      <c r="B35" s="50" t="s">
        <v>100</v>
      </c>
      <c r="C35" s="52" t="s">
        <v>107</v>
      </c>
      <c r="D35" s="51">
        <f>'LUC-2013-01-08-Run3'!AF42</f>
        <v>2.3129545454545456E-3</v>
      </c>
      <c r="E35" s="51">
        <f>'LUC-2013-01-08-Run3'!AG42</f>
        <v>2.3440909090909094E-3</v>
      </c>
      <c r="F35" s="51">
        <f>'LUC-2013-01-08-Run3'!AH42</f>
        <v>2.3752272727272728E-3</v>
      </c>
      <c r="G35" s="51">
        <f>'LUC-2013-01-08-Run3'!AI42</f>
        <v>2.4063636363636366E-3</v>
      </c>
      <c r="H35" s="51">
        <f>'LUC-2013-01-08-Run3'!AJ42</f>
        <v>2.4375000000000004E-3</v>
      </c>
      <c r="I35" s="51">
        <f>'LUC-2013-01-08-Run3'!AK42</f>
        <v>2.4686363636363638E-3</v>
      </c>
      <c r="J35" s="51">
        <f>'LUC-2013-01-08-Run3'!AL42</f>
        <v>2.4997727272727276E-3</v>
      </c>
      <c r="K35" s="51">
        <f>'LUC-2013-01-08-Run3'!AM42</f>
        <v>2.5309090909090915E-3</v>
      </c>
      <c r="L35" s="51">
        <f>'LUC-2013-01-08-Run3'!AN42</f>
        <v>2.5620454545454549E-3</v>
      </c>
      <c r="M35" s="51">
        <f>'LUC-2013-01-08-Run3'!AO42</f>
        <v>2.5931818181818183E-3</v>
      </c>
      <c r="N35" s="51">
        <f>'LUC-2013-01-08-Run3'!AP42</f>
        <v>2.6243181818181821E-3</v>
      </c>
      <c r="O35" s="51">
        <f>'LUC-2013-01-08-Run3'!AQ42</f>
        <v>2.6554545454545459E-3</v>
      </c>
      <c r="P35" s="51">
        <f>'LUC-2013-01-08-Run3'!AR42</f>
        <v>2.6865909090909093E-3</v>
      </c>
      <c r="Q35" s="51">
        <f>'LUC-2013-01-08-Run3'!AS42</f>
        <v>2.7177272727272731E-3</v>
      </c>
      <c r="R35" s="51">
        <f>'LUC-2013-01-08-Run3'!AT42</f>
        <v>2.748863636363637E-3</v>
      </c>
      <c r="S35" s="51">
        <f>'LUC-2013-01-08-Run3'!AU42</f>
        <v>2.7800000000000004E-3</v>
      </c>
      <c r="T35" s="51">
        <f>'LUC-2013-01-08-Run3'!AV42</f>
        <v>2.7993181818181823E-3</v>
      </c>
      <c r="U35" s="51">
        <f>'LUC-2013-01-08-Run3'!AW42</f>
        <v>2.8186363636363639E-3</v>
      </c>
      <c r="V35" s="51">
        <f>'LUC-2013-01-08-Run3'!AX42</f>
        <v>2.8379545454545459E-3</v>
      </c>
      <c r="W35" s="51">
        <f>'LUC-2013-01-08-Run3'!AY42</f>
        <v>2.8572727272727274E-3</v>
      </c>
      <c r="X35" s="51">
        <f>'LUC-2013-01-08-Run3'!AZ42</f>
        <v>2.8765909090909094E-3</v>
      </c>
      <c r="Y35" s="51">
        <f>'LUC-2013-01-08-Run3'!BA42</f>
        <v>2.8959090909090913E-3</v>
      </c>
      <c r="Z35" s="51">
        <f>'LUC-2013-01-08-Run3'!BB42</f>
        <v>2.9152272727272729E-3</v>
      </c>
      <c r="AA35" s="51">
        <f>'LUC-2013-01-08-Run3'!BC42</f>
        <v>2.9345454545454549E-3</v>
      </c>
      <c r="AB35" s="51">
        <f>'LUC-2013-01-08-Run3'!BD42</f>
        <v>2.9538636363636368E-3</v>
      </c>
      <c r="AC35" s="51">
        <f>'LUC-2013-01-08-Run3'!BE42</f>
        <v>2.9731818181818184E-3</v>
      </c>
      <c r="AD35" s="51">
        <f>'LUC-2013-01-08-Run3'!BF42</f>
        <v>2.9925000000000004E-3</v>
      </c>
      <c r="AE35" s="51">
        <f>'LUC-2013-01-08-Run3'!BG42</f>
        <v>3.0118181818181819E-3</v>
      </c>
      <c r="AF35" s="51">
        <f>'LUC-2013-01-08-Run3'!BH42</f>
        <v>3.0311363636363639E-3</v>
      </c>
      <c r="AG35" s="51">
        <f>'LUC-2013-01-08-Run3'!BI42</f>
        <v>3.0504545454545459E-3</v>
      </c>
      <c r="AH35" s="51">
        <f>'LUC-2013-01-08-Run3'!BJ42</f>
        <v>3.0697727272727274E-3</v>
      </c>
      <c r="AI35" s="51">
        <f>'LUC-2013-01-08-Run3'!BK42</f>
        <v>3.0890909090909094E-3</v>
      </c>
      <c r="AJ35" s="51">
        <f>'LUC-2013-01-08-Run3'!BL42</f>
        <v>3.1084090909090914E-3</v>
      </c>
      <c r="AK35" s="51">
        <f>'LUC-2013-01-08-Run3'!BM42</f>
        <v>3.1277272727272729E-3</v>
      </c>
      <c r="AL35" s="51">
        <f>'LUC-2013-01-08-Run3'!BN42</f>
        <v>3.1470454545454549E-3</v>
      </c>
      <c r="AM35" s="51">
        <f>'LUC-2013-01-08-Run3'!BO42</f>
        <v>3.1663636363636364E-3</v>
      </c>
      <c r="AN35" s="51">
        <f>'LUC-2013-01-08-Run3'!BP42</f>
        <v>3.1856818181818184E-3</v>
      </c>
      <c r="AO35" s="51">
        <f>'LUC-2013-01-08-Run3'!BQ42</f>
        <v>3.2050000000000004E-3</v>
      </c>
      <c r="AP35" s="51">
        <f>'LUC-2013-01-08-Run3'!BR42</f>
        <v>3.2243181818181819E-3</v>
      </c>
      <c r="AQ35" s="51">
        <f>'LUC-2013-01-08-Run3'!BS42</f>
        <v>3.2436363636363639E-3</v>
      </c>
      <c r="AR35" s="51">
        <f>'LUC-2013-01-08-Run3'!BT42</f>
        <v>3.2629545454545454E-3</v>
      </c>
      <c r="AS35" s="51">
        <f>'LUC-2013-01-08-Run3'!BU42</f>
        <v>3.2822727272727274E-3</v>
      </c>
      <c r="AT35" s="51">
        <f>'LUC-2013-01-08-Run3'!BV42</f>
        <v>3.3015909090909094E-3</v>
      </c>
      <c r="AU35" s="51">
        <f>'LUC-2013-01-08-Run3'!BW42</f>
        <v>3.3209090909090909E-3</v>
      </c>
      <c r="AV35" s="51">
        <f>'LUC-2013-01-08-Run3'!BX42</f>
        <v>3.3402272727272729E-3</v>
      </c>
      <c r="AW35" s="51">
        <f>'LUC-2013-01-08-Run3'!BY42</f>
        <v>3.3595454545454545E-3</v>
      </c>
      <c r="AX35" s="51">
        <f>'LUC-2013-01-08-Run3'!BZ42</f>
        <v>3.3788636363636364E-3</v>
      </c>
      <c r="AY35" s="51">
        <f>'LUC-2013-01-08-Run3'!CA42</f>
        <v>3.3981818181818184E-3</v>
      </c>
      <c r="AZ35" s="51">
        <f>'LUC-2013-01-08-Run3'!CB42</f>
        <v>3.4175E-3</v>
      </c>
      <c r="BA35" s="51">
        <f>'LUC-2013-01-08-Run3'!CC42</f>
        <v>3.4368181818181819E-3</v>
      </c>
      <c r="BB35" s="51">
        <f>'LUC-2013-01-08-Run3'!CD42</f>
        <v>3.4561363636363635E-3</v>
      </c>
      <c r="BC35" s="51">
        <f>'LUC-2013-01-08-Run3'!CE42</f>
        <v>3.4754545454545455E-3</v>
      </c>
      <c r="BD35" s="51">
        <f>'LUC-2013-01-08-Run3'!CF42</f>
        <v>3.4947727272727274E-3</v>
      </c>
      <c r="BE35" s="51">
        <f>'LUC-2013-01-08-Run3'!CG42</f>
        <v>3.5140909090909094E-3</v>
      </c>
      <c r="BF35" s="51">
        <f>'LUC-2013-01-08-Run3'!CH42</f>
        <v>3.533409090909091E-3</v>
      </c>
      <c r="BG35" s="51">
        <f>'LUC-2013-01-08-Run3'!CI42</f>
        <v>3.5527272727272729E-3</v>
      </c>
      <c r="BH35" s="51">
        <f>'LUC-2013-01-08-Run3'!CJ42</f>
        <v>3.5720454545454545E-3</v>
      </c>
      <c r="BI35" s="51">
        <f>'LUC-2013-01-08-Run3'!CK42</f>
        <v>3.5913636363636365E-3</v>
      </c>
      <c r="BJ35" s="51">
        <f>'LUC-2013-01-08-Run3'!CL42</f>
        <v>3.6106818181818184E-3</v>
      </c>
      <c r="BK35" s="51">
        <f>'LUC-2013-01-08-Run3'!CM42</f>
        <v>3.63E-3</v>
      </c>
      <c r="BM35" s="106"/>
      <c r="BN35" s="53" t="s">
        <v>101</v>
      </c>
      <c r="BO35" s="79">
        <f t="shared" si="21"/>
        <v>3.4209090909090913</v>
      </c>
      <c r="BP35" s="79">
        <f t="shared" si="22"/>
        <v>3.8463636363636371</v>
      </c>
      <c r="BQ35" s="79">
        <f t="shared" si="23"/>
        <v>4.2418181818181822</v>
      </c>
      <c r="BR35" s="79">
        <f t="shared" si="24"/>
        <v>4.5213636363636365</v>
      </c>
      <c r="BS35" s="79">
        <f t="shared" si="25"/>
        <v>4.8009090909090917</v>
      </c>
      <c r="BT35" s="79">
        <f t="shared" si="26"/>
        <v>5.080454545454546</v>
      </c>
      <c r="BU35" s="79">
        <f t="shared" si="27"/>
        <v>5.36</v>
      </c>
    </row>
    <row r="36" spans="1:75" x14ac:dyDescent="0.25">
      <c r="A36" s="52" t="s">
        <v>38</v>
      </c>
      <c r="B36" s="50" t="s">
        <v>101</v>
      </c>
      <c r="C36" s="52" t="s">
        <v>107</v>
      </c>
      <c r="D36" s="51">
        <f>'LUC-2013-01-08-Run3'!AF43</f>
        <v>3.4209090909090912E-3</v>
      </c>
      <c r="E36" s="51">
        <f>'LUC-2013-01-08-Run3'!AG43</f>
        <v>3.4681818181818186E-3</v>
      </c>
      <c r="F36" s="51">
        <f>'LUC-2013-01-08-Run3'!AH43</f>
        <v>3.5154545454545456E-3</v>
      </c>
      <c r="G36" s="51">
        <f>'LUC-2013-01-08-Run3'!AI43</f>
        <v>3.562727272727273E-3</v>
      </c>
      <c r="H36" s="51">
        <f>'LUC-2013-01-08-Run3'!AJ43</f>
        <v>3.6100000000000004E-3</v>
      </c>
      <c r="I36" s="51">
        <f>'LUC-2013-01-08-Run3'!AK43</f>
        <v>3.6572727272727278E-3</v>
      </c>
      <c r="J36" s="51">
        <f>'LUC-2013-01-08-Run3'!AL43</f>
        <v>3.7045454545454552E-3</v>
      </c>
      <c r="K36" s="51">
        <f>'LUC-2013-01-08-Run3'!AM43</f>
        <v>3.7518181818181826E-3</v>
      </c>
      <c r="L36" s="51">
        <f>'LUC-2013-01-08-Run3'!AN43</f>
        <v>3.7990909090909099E-3</v>
      </c>
      <c r="M36" s="51">
        <f>'LUC-2013-01-08-Run3'!AO43</f>
        <v>3.8463636363636369E-3</v>
      </c>
      <c r="N36" s="51">
        <f>'LUC-2013-01-08-Run3'!AP43</f>
        <v>3.8936363636363643E-3</v>
      </c>
      <c r="O36" s="51">
        <f>'LUC-2013-01-08-Run3'!AQ43</f>
        <v>3.9409090909090913E-3</v>
      </c>
      <c r="P36" s="51">
        <f>'LUC-2013-01-08-Run3'!AR43</f>
        <v>3.9881818181818187E-3</v>
      </c>
      <c r="Q36" s="51">
        <f>'LUC-2013-01-08-Run3'!AS43</f>
        <v>4.0354545454545461E-3</v>
      </c>
      <c r="R36" s="51">
        <f>'LUC-2013-01-08-Run3'!AT43</f>
        <v>4.0827272727272735E-3</v>
      </c>
      <c r="S36" s="51">
        <f>'LUC-2013-01-08-Run3'!AU43</f>
        <v>4.1300000000000009E-3</v>
      </c>
      <c r="T36" s="51">
        <f>'LUC-2013-01-08-Run3'!AV43</f>
        <v>4.1579545454545463E-3</v>
      </c>
      <c r="U36" s="51">
        <f>'LUC-2013-01-08-Run3'!AW43</f>
        <v>4.1859090909090917E-3</v>
      </c>
      <c r="V36" s="51">
        <f>'LUC-2013-01-08-Run3'!AX43</f>
        <v>4.2138636363636371E-3</v>
      </c>
      <c r="W36" s="51">
        <f>'LUC-2013-01-08-Run3'!AY43</f>
        <v>4.2418181818181825E-3</v>
      </c>
      <c r="X36" s="51">
        <f>'LUC-2013-01-08-Run3'!AZ43</f>
        <v>4.269772727272728E-3</v>
      </c>
      <c r="Y36" s="51">
        <f>'LUC-2013-01-08-Run3'!BA43</f>
        <v>4.2977272727272734E-3</v>
      </c>
      <c r="Z36" s="51">
        <f>'LUC-2013-01-08-Run3'!BB43</f>
        <v>4.3256818181818188E-3</v>
      </c>
      <c r="AA36" s="51">
        <f>'LUC-2013-01-08-Run3'!BC43</f>
        <v>4.3536363636363642E-3</v>
      </c>
      <c r="AB36" s="51">
        <f>'LUC-2013-01-08-Run3'!BD43</f>
        <v>4.3815909090909096E-3</v>
      </c>
      <c r="AC36" s="51">
        <f>'LUC-2013-01-08-Run3'!BE43</f>
        <v>4.4095454545454551E-3</v>
      </c>
      <c r="AD36" s="51">
        <f>'LUC-2013-01-08-Run3'!BF43</f>
        <v>4.4375000000000005E-3</v>
      </c>
      <c r="AE36" s="51">
        <f>'LUC-2013-01-08-Run3'!BG43</f>
        <v>4.4654545454545459E-3</v>
      </c>
      <c r="AF36" s="51">
        <f>'LUC-2013-01-08-Run3'!BH43</f>
        <v>4.4934090909090913E-3</v>
      </c>
      <c r="AG36" s="51">
        <f>'LUC-2013-01-08-Run3'!BI43</f>
        <v>4.5213636363636367E-3</v>
      </c>
      <c r="AH36" s="51">
        <f>'LUC-2013-01-08-Run3'!BJ43</f>
        <v>4.5493181818181821E-3</v>
      </c>
      <c r="AI36" s="51">
        <f>'LUC-2013-01-08-Run3'!BK43</f>
        <v>4.5772727272727276E-3</v>
      </c>
      <c r="AJ36" s="51">
        <f>'LUC-2013-01-08-Run3'!BL43</f>
        <v>4.605227272727273E-3</v>
      </c>
      <c r="AK36" s="51">
        <f>'LUC-2013-01-08-Run3'!BM43</f>
        <v>4.6331818181818184E-3</v>
      </c>
      <c r="AL36" s="51">
        <f>'LUC-2013-01-08-Run3'!BN43</f>
        <v>4.6611363636363638E-3</v>
      </c>
      <c r="AM36" s="51">
        <f>'LUC-2013-01-08-Run3'!BO43</f>
        <v>4.6890909090909101E-3</v>
      </c>
      <c r="AN36" s="51">
        <f>'LUC-2013-01-08-Run3'!BP43</f>
        <v>4.7170454545454547E-3</v>
      </c>
      <c r="AO36" s="51">
        <f>'LUC-2013-01-08-Run3'!BQ43</f>
        <v>4.745000000000001E-3</v>
      </c>
      <c r="AP36" s="51">
        <f>'LUC-2013-01-08-Run3'!BR43</f>
        <v>4.7729545454545455E-3</v>
      </c>
      <c r="AQ36" s="51">
        <f>'LUC-2013-01-08-Run3'!BS43</f>
        <v>4.8009090909090918E-3</v>
      </c>
      <c r="AR36" s="51">
        <f>'LUC-2013-01-08-Run3'!BT43</f>
        <v>4.8288636363636372E-3</v>
      </c>
      <c r="AS36" s="51">
        <f>'LUC-2013-01-08-Run3'!BU43</f>
        <v>4.8568181818181826E-3</v>
      </c>
      <c r="AT36" s="51">
        <f>'LUC-2013-01-08-Run3'!BV43</f>
        <v>4.8847727272727281E-3</v>
      </c>
      <c r="AU36" s="51">
        <f>'LUC-2013-01-08-Run3'!BW43</f>
        <v>4.9127272727272735E-3</v>
      </c>
      <c r="AV36" s="51">
        <f>'LUC-2013-01-08-Run3'!BX43</f>
        <v>4.9406818181818189E-3</v>
      </c>
      <c r="AW36" s="51">
        <f>'LUC-2013-01-08-Run3'!BY43</f>
        <v>4.9686363636363643E-3</v>
      </c>
      <c r="AX36" s="51">
        <f>'LUC-2013-01-08-Run3'!BZ43</f>
        <v>4.9965909090909097E-3</v>
      </c>
      <c r="AY36" s="51">
        <f>'LUC-2013-01-08-Run3'!CA43</f>
        <v>5.0245454545454551E-3</v>
      </c>
      <c r="AZ36" s="51">
        <f>'LUC-2013-01-08-Run3'!CB43</f>
        <v>5.0525000000000006E-3</v>
      </c>
      <c r="BA36" s="51">
        <f>'LUC-2013-01-08-Run3'!CC43</f>
        <v>5.080454545454546E-3</v>
      </c>
      <c r="BB36" s="51">
        <f>'LUC-2013-01-08-Run3'!CD43</f>
        <v>5.1084090909090914E-3</v>
      </c>
      <c r="BC36" s="51">
        <f>'LUC-2013-01-08-Run3'!CE43</f>
        <v>5.1363636363636368E-3</v>
      </c>
      <c r="BD36" s="51">
        <f>'LUC-2013-01-08-Run3'!CF43</f>
        <v>5.1643181818181822E-3</v>
      </c>
      <c r="BE36" s="51">
        <f>'LUC-2013-01-08-Run3'!CG43</f>
        <v>5.1922727272727277E-3</v>
      </c>
      <c r="BF36" s="51">
        <f>'LUC-2013-01-08-Run3'!CH43</f>
        <v>5.2202272727272731E-3</v>
      </c>
      <c r="BG36" s="51">
        <f>'LUC-2013-01-08-Run3'!CI43</f>
        <v>5.2481818181818185E-3</v>
      </c>
      <c r="BH36" s="51">
        <f>'LUC-2013-01-08-Run3'!CJ43</f>
        <v>5.2761363636363639E-3</v>
      </c>
      <c r="BI36" s="51">
        <f>'LUC-2013-01-08-Run3'!CK43</f>
        <v>5.3040909090909093E-3</v>
      </c>
      <c r="BJ36" s="51">
        <f>'LUC-2013-01-08-Run3'!CL43</f>
        <v>5.3320454545454548E-3</v>
      </c>
      <c r="BK36" s="51">
        <f>'LUC-2013-01-08-Run3'!CM43</f>
        <v>5.3600000000000002E-3</v>
      </c>
      <c r="BM36" s="106"/>
      <c r="BN36" s="53" t="s">
        <v>111</v>
      </c>
      <c r="BO36" s="79">
        <f t="shared" si="21"/>
        <v>1.4251346260975675</v>
      </c>
      <c r="BP36" s="79">
        <f t="shared" si="22"/>
        <v>1.5535321113085923</v>
      </c>
      <c r="BQ36" s="79">
        <f t="shared" si="23"/>
        <v>1.6874313272180377</v>
      </c>
      <c r="BR36" s="79">
        <f t="shared" si="24"/>
        <v>1.8081835583066099</v>
      </c>
      <c r="BS36" s="79">
        <f t="shared" si="25"/>
        <v>1.9289357893951826</v>
      </c>
      <c r="BT36" s="79">
        <f t="shared" si="26"/>
        <v>2.0496880204837549</v>
      </c>
      <c r="BU36" s="79">
        <f t="shared" si="27"/>
        <v>2.1704402515723271</v>
      </c>
    </row>
    <row r="37" spans="1:75" x14ac:dyDescent="0.25">
      <c r="A37" s="52" t="s">
        <v>38</v>
      </c>
      <c r="B37" s="50" t="s">
        <v>111</v>
      </c>
      <c r="C37" s="52" t="s">
        <v>107</v>
      </c>
      <c r="D37" s="51">
        <f>'LUC-2013-01-08-Run3'!AF44</f>
        <v>1.4251346260975674E-3</v>
      </c>
      <c r="E37" s="51">
        <f>'LUC-2013-01-08-Run3'!AG44</f>
        <v>1.4394010133432368E-3</v>
      </c>
      <c r="F37" s="51">
        <f>'LUC-2013-01-08-Run3'!AH44</f>
        <v>1.4536674005889063E-3</v>
      </c>
      <c r="G37" s="51">
        <f>'LUC-2013-01-08-Run3'!AI44</f>
        <v>1.4679337878345756E-3</v>
      </c>
      <c r="H37" s="51">
        <f>'LUC-2013-01-08-Run3'!AJ44</f>
        <v>1.4822001750802451E-3</v>
      </c>
      <c r="I37" s="51">
        <f>'LUC-2013-01-08-Run3'!AK44</f>
        <v>1.4964665623259145E-3</v>
      </c>
      <c r="J37" s="51">
        <f>'LUC-2013-01-08-Run3'!AL44</f>
        <v>1.510732949571584E-3</v>
      </c>
      <c r="K37" s="51">
        <f>'LUC-2013-01-08-Run3'!AM44</f>
        <v>1.5249993368172533E-3</v>
      </c>
      <c r="L37" s="51">
        <f>'LUC-2013-01-08-Run3'!AN44</f>
        <v>1.5392657240629226E-3</v>
      </c>
      <c r="M37" s="51">
        <f>'LUC-2013-01-08-Run3'!AO44</f>
        <v>1.5535321113085922E-3</v>
      </c>
      <c r="N37" s="51">
        <f>'LUC-2013-01-08-Run3'!AP44</f>
        <v>1.5677984985542617E-3</v>
      </c>
      <c r="O37" s="51">
        <f>'LUC-2013-01-08-Run3'!AQ44</f>
        <v>1.582064885799931E-3</v>
      </c>
      <c r="P37" s="51">
        <f>'LUC-2013-01-08-Run3'!AR44</f>
        <v>1.5963312730456003E-3</v>
      </c>
      <c r="Q37" s="51">
        <f>'LUC-2013-01-08-Run3'!AS44</f>
        <v>1.6105976602912699E-3</v>
      </c>
      <c r="R37" s="51">
        <f>'LUC-2013-01-08-Run3'!AT44</f>
        <v>1.6248640475369394E-3</v>
      </c>
      <c r="S37" s="51">
        <f>'LUC-2013-01-08-Run3'!AU44</f>
        <v>1.6391304347826087E-3</v>
      </c>
      <c r="T37" s="51">
        <f>'LUC-2013-01-08-Run3'!AV44</f>
        <v>1.6512056578914659E-3</v>
      </c>
      <c r="U37" s="51">
        <f>'LUC-2013-01-08-Run3'!AW44</f>
        <v>1.6632808810003231E-3</v>
      </c>
      <c r="V37" s="51">
        <f>'LUC-2013-01-08-Run3'!AX44</f>
        <v>1.6753561041091805E-3</v>
      </c>
      <c r="W37" s="51">
        <f>'LUC-2013-01-08-Run3'!AY44</f>
        <v>1.6874313272180377E-3</v>
      </c>
      <c r="X37" s="51">
        <f>'LUC-2013-01-08-Run3'!AZ44</f>
        <v>1.6995065503268949E-3</v>
      </c>
      <c r="Y37" s="51">
        <f>'LUC-2013-01-08-Run3'!BA44</f>
        <v>1.7115817734357521E-3</v>
      </c>
      <c r="Z37" s="51">
        <f>'LUC-2013-01-08-Run3'!BB44</f>
        <v>1.7236569965446095E-3</v>
      </c>
      <c r="AA37" s="51">
        <f>'LUC-2013-01-08-Run3'!BC44</f>
        <v>1.7357322196534667E-3</v>
      </c>
      <c r="AB37" s="51">
        <f>'LUC-2013-01-08-Run3'!BD44</f>
        <v>1.7478074427623239E-3</v>
      </c>
      <c r="AC37" s="51">
        <f>'LUC-2013-01-08-Run3'!BE44</f>
        <v>1.759882665871181E-3</v>
      </c>
      <c r="AD37" s="51">
        <f>'LUC-2013-01-08-Run3'!BF44</f>
        <v>1.7719578889800382E-3</v>
      </c>
      <c r="AE37" s="51">
        <f>'LUC-2013-01-08-Run3'!BG44</f>
        <v>1.7840331120888956E-3</v>
      </c>
      <c r="AF37" s="51">
        <f>'LUC-2013-01-08-Run3'!BH44</f>
        <v>1.7961083351977528E-3</v>
      </c>
      <c r="AG37" s="51">
        <f>'LUC-2013-01-08-Run3'!BI44</f>
        <v>1.80818355830661E-3</v>
      </c>
      <c r="AH37" s="51">
        <f>'LUC-2013-01-08-Run3'!BJ44</f>
        <v>1.8202587814154672E-3</v>
      </c>
      <c r="AI37" s="51">
        <f>'LUC-2013-01-08-Run3'!BK44</f>
        <v>1.8323340045243246E-3</v>
      </c>
      <c r="AJ37" s="51">
        <f>'LUC-2013-01-08-Run3'!BL44</f>
        <v>1.8444092276331818E-3</v>
      </c>
      <c r="AK37" s="51">
        <f>'LUC-2013-01-08-Run3'!BM44</f>
        <v>1.856484450742039E-3</v>
      </c>
      <c r="AL37" s="51">
        <f>'LUC-2013-01-08-Run3'!BN44</f>
        <v>1.8685596738508962E-3</v>
      </c>
      <c r="AM37" s="51">
        <f>'LUC-2013-01-08-Run3'!BO44</f>
        <v>1.8806348969597534E-3</v>
      </c>
      <c r="AN37" s="51">
        <f>'LUC-2013-01-08-Run3'!BP44</f>
        <v>1.8927101200686108E-3</v>
      </c>
      <c r="AO37" s="51">
        <f>'LUC-2013-01-08-Run3'!BQ44</f>
        <v>1.904785343177468E-3</v>
      </c>
      <c r="AP37" s="51">
        <f>'LUC-2013-01-08-Run3'!BR44</f>
        <v>1.9168605662863252E-3</v>
      </c>
      <c r="AQ37" s="51">
        <f>'LUC-2013-01-08-Run3'!BS44</f>
        <v>1.9289357893951826E-3</v>
      </c>
      <c r="AR37" s="51">
        <f>'LUC-2013-01-08-Run3'!BT44</f>
        <v>1.9410110125040398E-3</v>
      </c>
      <c r="AS37" s="51">
        <f>'LUC-2013-01-08-Run3'!BU44</f>
        <v>1.953086235612897E-3</v>
      </c>
      <c r="AT37" s="51">
        <f>'LUC-2013-01-08-Run3'!BV44</f>
        <v>1.9651614587217541E-3</v>
      </c>
      <c r="AU37" s="51">
        <f>'LUC-2013-01-08-Run3'!BW44</f>
        <v>1.9772366818306113E-3</v>
      </c>
      <c r="AV37" s="51">
        <f>'LUC-2013-01-08-Run3'!BX44</f>
        <v>1.9893119049394685E-3</v>
      </c>
      <c r="AW37" s="51">
        <f>'LUC-2013-01-08-Run3'!BY44</f>
        <v>2.0013871280483257E-3</v>
      </c>
      <c r="AX37" s="51">
        <f>'LUC-2013-01-08-Run3'!BZ44</f>
        <v>2.0134623511571829E-3</v>
      </c>
      <c r="AY37" s="51">
        <f>'LUC-2013-01-08-Run3'!CA44</f>
        <v>2.0255375742660405E-3</v>
      </c>
      <c r="AZ37" s="51">
        <f>'LUC-2013-01-08-Run3'!CB44</f>
        <v>2.0376127973748977E-3</v>
      </c>
      <c r="BA37" s="51">
        <f>'LUC-2013-01-08-Run3'!CC44</f>
        <v>2.0496880204837549E-3</v>
      </c>
      <c r="BB37" s="51">
        <f>'LUC-2013-01-08-Run3'!CD44</f>
        <v>2.0617632435926121E-3</v>
      </c>
      <c r="BC37" s="51">
        <f>'LUC-2013-01-08-Run3'!CE44</f>
        <v>2.0738384667014693E-3</v>
      </c>
      <c r="BD37" s="51">
        <f>'LUC-2013-01-08-Run3'!CF44</f>
        <v>2.0859136898103265E-3</v>
      </c>
      <c r="BE37" s="51">
        <f>'LUC-2013-01-08-Run3'!CG44</f>
        <v>2.0979889129191837E-3</v>
      </c>
      <c r="BF37" s="51">
        <f>'LUC-2013-01-08-Run3'!CH44</f>
        <v>2.1100641360280409E-3</v>
      </c>
      <c r="BG37" s="51">
        <f>'LUC-2013-01-08-Run3'!CI44</f>
        <v>2.1221393591368985E-3</v>
      </c>
      <c r="BH37" s="51">
        <f>'LUC-2013-01-08-Run3'!CJ44</f>
        <v>2.1342145822457557E-3</v>
      </c>
      <c r="BI37" s="51">
        <f>'LUC-2013-01-08-Run3'!CK44</f>
        <v>2.1462898053546129E-3</v>
      </c>
      <c r="BJ37" s="51">
        <f>'LUC-2013-01-08-Run3'!CL44</f>
        <v>2.1583650284634701E-3</v>
      </c>
      <c r="BK37" s="51">
        <f>'LUC-2013-01-08-Run3'!CM44</f>
        <v>2.1704402515723272E-3</v>
      </c>
      <c r="BM37" s="106"/>
      <c r="BN37" s="53" t="s">
        <v>102</v>
      </c>
      <c r="BO37" s="79">
        <f t="shared" si="21"/>
        <v>1.6577549140049139</v>
      </c>
      <c r="BP37" s="79">
        <f t="shared" si="22"/>
        <v>1.8618857493857495</v>
      </c>
      <c r="BQ37" s="79">
        <f t="shared" si="23"/>
        <v>2.0799754299754296</v>
      </c>
      <c r="BR37" s="79">
        <f t="shared" si="24"/>
        <v>2.2849815724815721</v>
      </c>
      <c r="BS37" s="79">
        <f t="shared" si="25"/>
        <v>2.489987714987715</v>
      </c>
      <c r="BT37" s="79">
        <f t="shared" si="26"/>
        <v>2.6949938574938574</v>
      </c>
      <c r="BU37" s="79">
        <f t="shared" si="27"/>
        <v>2.9</v>
      </c>
    </row>
    <row r="38" spans="1:75" x14ac:dyDescent="0.25">
      <c r="A38" s="52" t="s">
        <v>38</v>
      </c>
      <c r="B38" s="50" t="s">
        <v>102</v>
      </c>
      <c r="C38" s="52" t="s">
        <v>107</v>
      </c>
      <c r="D38" s="51">
        <f>'LUC-2013-01-08-Run3'!AF45</f>
        <v>1.6577549140049139E-3</v>
      </c>
      <c r="E38" s="51">
        <f>'LUC-2013-01-08-Run3'!AG45</f>
        <v>1.6804361179361179E-3</v>
      </c>
      <c r="F38" s="51">
        <f>'LUC-2013-01-08-Run3'!AH45</f>
        <v>1.7031173218673219E-3</v>
      </c>
      <c r="G38" s="51">
        <f>'LUC-2013-01-08-Run3'!AI45</f>
        <v>1.7257985257985258E-3</v>
      </c>
      <c r="H38" s="51">
        <f>'LUC-2013-01-08-Run3'!AJ45</f>
        <v>1.7484797297297296E-3</v>
      </c>
      <c r="I38" s="51">
        <f>'LUC-2013-01-08-Run3'!AK45</f>
        <v>1.7711609336609336E-3</v>
      </c>
      <c r="J38" s="51">
        <f>'LUC-2013-01-08-Run3'!AL45</f>
        <v>1.7938421375921377E-3</v>
      </c>
      <c r="K38" s="51">
        <f>'LUC-2013-01-08-Run3'!AM45</f>
        <v>1.8165233415233415E-3</v>
      </c>
      <c r="L38" s="51">
        <f>'LUC-2013-01-08-Run3'!AN45</f>
        <v>1.8392045454545453E-3</v>
      </c>
      <c r="M38" s="51">
        <f>'LUC-2013-01-08-Run3'!AO45</f>
        <v>1.8618857493857494E-3</v>
      </c>
      <c r="N38" s="51">
        <f>'LUC-2013-01-08-Run3'!AP45</f>
        <v>1.8845669533169532E-3</v>
      </c>
      <c r="O38" s="51">
        <f>'LUC-2013-01-08-Run3'!AQ45</f>
        <v>1.907248157248157E-3</v>
      </c>
      <c r="P38" s="51">
        <f>'LUC-2013-01-08-Run3'!AR45</f>
        <v>1.9299293611793611E-3</v>
      </c>
      <c r="Q38" s="51">
        <f>'LUC-2013-01-08-Run3'!AS45</f>
        <v>1.9526105651105651E-3</v>
      </c>
      <c r="R38" s="51">
        <f>'LUC-2013-01-08-Run3'!AT45</f>
        <v>1.9752917690417692E-3</v>
      </c>
      <c r="S38" s="51">
        <f>'LUC-2013-01-08-Run3'!AU45</f>
        <v>1.9979729729729728E-3</v>
      </c>
      <c r="T38" s="51">
        <f>'LUC-2013-01-08-Run3'!AV45</f>
        <v>2.0184735872235873E-3</v>
      </c>
      <c r="U38" s="51">
        <f>'LUC-2013-01-08-Run3'!AW45</f>
        <v>2.0389742014742013E-3</v>
      </c>
      <c r="V38" s="51">
        <f>'LUC-2013-01-08-Run3'!AX45</f>
        <v>2.0594748157248153E-3</v>
      </c>
      <c r="W38" s="51">
        <f>'LUC-2013-01-08-Run3'!AY45</f>
        <v>2.0799754299754298E-3</v>
      </c>
      <c r="X38" s="51">
        <f>'LUC-2013-01-08-Run3'!AZ45</f>
        <v>2.1004760442260443E-3</v>
      </c>
      <c r="Y38" s="51">
        <f>'LUC-2013-01-08-Run3'!BA45</f>
        <v>2.1209766584766583E-3</v>
      </c>
      <c r="Z38" s="51">
        <f>'LUC-2013-01-08-Run3'!BB45</f>
        <v>2.1414772727272723E-3</v>
      </c>
      <c r="AA38" s="51">
        <f>'LUC-2013-01-08-Run3'!BC45</f>
        <v>2.1619778869778868E-3</v>
      </c>
      <c r="AB38" s="51">
        <f>'LUC-2013-01-08-Run3'!BD45</f>
        <v>2.1824785012285013E-3</v>
      </c>
      <c r="AC38" s="51">
        <f>'LUC-2013-01-08-Run3'!BE45</f>
        <v>2.2029791154791153E-3</v>
      </c>
      <c r="AD38" s="51">
        <f>'LUC-2013-01-08-Run3'!BF45</f>
        <v>2.2234797297297293E-3</v>
      </c>
      <c r="AE38" s="51">
        <f>'LUC-2013-01-08-Run3'!BG45</f>
        <v>2.2439803439803438E-3</v>
      </c>
      <c r="AF38" s="51">
        <f>'LUC-2013-01-08-Run3'!BH45</f>
        <v>2.2644809582309583E-3</v>
      </c>
      <c r="AG38" s="51">
        <f>'LUC-2013-01-08-Run3'!BI45</f>
        <v>2.2849815724815723E-3</v>
      </c>
      <c r="AH38" s="51">
        <f>'LUC-2013-01-08-Run3'!BJ45</f>
        <v>2.3054821867321863E-3</v>
      </c>
      <c r="AI38" s="51">
        <f>'LUC-2013-01-08-Run3'!BK45</f>
        <v>2.3259828009828008E-3</v>
      </c>
      <c r="AJ38" s="51">
        <f>'LUC-2013-01-08-Run3'!BL45</f>
        <v>2.3464834152334153E-3</v>
      </c>
      <c r="AK38" s="51">
        <f>'LUC-2013-01-08-Run3'!BM45</f>
        <v>2.3669840294840293E-3</v>
      </c>
      <c r="AL38" s="51">
        <f>'LUC-2013-01-08-Run3'!BN45</f>
        <v>2.3874846437346433E-3</v>
      </c>
      <c r="AM38" s="51">
        <f>'LUC-2013-01-08-Run3'!BO45</f>
        <v>2.4079852579852578E-3</v>
      </c>
      <c r="AN38" s="51">
        <f>'LUC-2013-01-08-Run3'!BP45</f>
        <v>2.4284858722358723E-3</v>
      </c>
      <c r="AO38" s="51">
        <f>'LUC-2013-01-08-Run3'!BQ45</f>
        <v>2.4489864864864863E-3</v>
      </c>
      <c r="AP38" s="51">
        <f>'LUC-2013-01-08-Run3'!BR45</f>
        <v>2.4694871007371003E-3</v>
      </c>
      <c r="AQ38" s="51">
        <f>'LUC-2013-01-08-Run3'!BS45</f>
        <v>2.4899877149877148E-3</v>
      </c>
      <c r="AR38" s="51">
        <f>'LUC-2013-01-08-Run3'!BT45</f>
        <v>2.5104883292383293E-3</v>
      </c>
      <c r="AS38" s="51">
        <f>'LUC-2013-01-08-Run3'!BU45</f>
        <v>2.5309889434889433E-3</v>
      </c>
      <c r="AT38" s="51">
        <f>'LUC-2013-01-08-Run3'!BV45</f>
        <v>2.5514895577395573E-3</v>
      </c>
      <c r="AU38" s="51">
        <f>'LUC-2013-01-08-Run3'!BW45</f>
        <v>2.5719901719901718E-3</v>
      </c>
      <c r="AV38" s="51">
        <f>'LUC-2013-01-08-Run3'!BX45</f>
        <v>2.5924907862407863E-3</v>
      </c>
      <c r="AW38" s="51">
        <f>'LUC-2013-01-08-Run3'!BY45</f>
        <v>2.6129914004914003E-3</v>
      </c>
      <c r="AX38" s="51">
        <f>'LUC-2013-01-08-Run3'!BZ45</f>
        <v>2.6334920147420143E-3</v>
      </c>
      <c r="AY38" s="51">
        <f>'LUC-2013-01-08-Run3'!CA45</f>
        <v>2.6539926289926288E-3</v>
      </c>
      <c r="AZ38" s="51">
        <f>'LUC-2013-01-08-Run3'!CB45</f>
        <v>2.6744932432432433E-3</v>
      </c>
      <c r="BA38" s="51">
        <f>'LUC-2013-01-08-Run3'!CC45</f>
        <v>2.6949938574938573E-3</v>
      </c>
      <c r="BB38" s="51">
        <f>'LUC-2013-01-08-Run3'!CD45</f>
        <v>2.7154944717444713E-3</v>
      </c>
      <c r="BC38" s="51">
        <f>'LUC-2013-01-08-Run3'!CE45</f>
        <v>2.7359950859950858E-3</v>
      </c>
      <c r="BD38" s="51">
        <f>'LUC-2013-01-08-Run3'!CF45</f>
        <v>2.7564957002457003E-3</v>
      </c>
      <c r="BE38" s="51">
        <f>'LUC-2013-01-08-Run3'!CG45</f>
        <v>2.7769963144963143E-3</v>
      </c>
      <c r="BF38" s="51">
        <f>'LUC-2013-01-08-Run3'!CH45</f>
        <v>2.7974969287469283E-3</v>
      </c>
      <c r="BG38" s="51">
        <f>'LUC-2013-01-08-Run3'!CI45</f>
        <v>2.8179975429975428E-3</v>
      </c>
      <c r="BH38" s="51">
        <f>'LUC-2013-01-08-Run3'!CJ45</f>
        <v>2.8384981572481573E-3</v>
      </c>
      <c r="BI38" s="51">
        <f>'LUC-2013-01-08-Run3'!CK45</f>
        <v>2.8589987714987713E-3</v>
      </c>
      <c r="BJ38" s="51">
        <f>'LUC-2013-01-08-Run3'!CL45</f>
        <v>2.8794993857493853E-3</v>
      </c>
      <c r="BK38" s="51">
        <f>'LUC-2013-01-08-Run3'!CM45</f>
        <v>2.8999999999999998E-3</v>
      </c>
      <c r="BM38" s="106"/>
      <c r="BN38" s="53" t="s">
        <v>103</v>
      </c>
      <c r="BO38" s="63">
        <f t="shared" si="21"/>
        <v>61.52272727272728</v>
      </c>
      <c r="BP38" s="63">
        <f t="shared" si="22"/>
        <v>65.409090909090921</v>
      </c>
      <c r="BQ38" s="63">
        <f t="shared" si="23"/>
        <v>71.27272727272728</v>
      </c>
      <c r="BR38" s="63">
        <f t="shared" si="24"/>
        <v>79.454545454545453</v>
      </c>
      <c r="BS38" s="63">
        <f t="shared" si="25"/>
        <v>87.63636363636364</v>
      </c>
      <c r="BT38" s="63">
        <f t="shared" si="26"/>
        <v>95.818181818181813</v>
      </c>
      <c r="BU38" s="63">
        <f t="shared" si="27"/>
        <v>104</v>
      </c>
    </row>
    <row r="39" spans="1:75" x14ac:dyDescent="0.25">
      <c r="A39" s="52" t="s">
        <v>38</v>
      </c>
      <c r="B39" s="50" t="s">
        <v>103</v>
      </c>
      <c r="C39" s="52" t="s">
        <v>107</v>
      </c>
      <c r="D39" s="51">
        <f>'LUC-2013-01-08-Run3'!AF46</f>
        <v>6.1522727272727278E-2</v>
      </c>
      <c r="E39" s="51">
        <f>'LUC-2013-01-08-Run3'!AG46</f>
        <v>6.1954545454545457E-2</v>
      </c>
      <c r="F39" s="51">
        <f>'LUC-2013-01-08-Run3'!AH46</f>
        <v>6.2386363636363643E-2</v>
      </c>
      <c r="G39" s="51">
        <f>'LUC-2013-01-08-Run3'!AI46</f>
        <v>6.2818181818181829E-2</v>
      </c>
      <c r="H39" s="51">
        <f>'LUC-2013-01-08-Run3'!AJ46</f>
        <v>6.3250000000000001E-2</v>
      </c>
      <c r="I39" s="51">
        <f>'LUC-2013-01-08-Run3'!AK46</f>
        <v>6.3681818181818187E-2</v>
      </c>
      <c r="J39" s="51">
        <f>'LUC-2013-01-08-Run3'!AL46</f>
        <v>6.4113636363636373E-2</v>
      </c>
      <c r="K39" s="51">
        <f>'LUC-2013-01-08-Run3'!AM46</f>
        <v>6.4545454545454545E-2</v>
      </c>
      <c r="L39" s="51">
        <f>'LUC-2013-01-08-Run3'!AN46</f>
        <v>6.4977272727272731E-2</v>
      </c>
      <c r="M39" s="51">
        <f>'LUC-2013-01-08-Run3'!AO46</f>
        <v>6.5409090909090917E-2</v>
      </c>
      <c r="N39" s="51">
        <f>'LUC-2013-01-08-Run3'!AP46</f>
        <v>6.5840909090909089E-2</v>
      </c>
      <c r="O39" s="51">
        <f>'LUC-2013-01-08-Run3'!AQ46</f>
        <v>6.6272727272727275E-2</v>
      </c>
      <c r="P39" s="51">
        <f>'LUC-2013-01-08-Run3'!AR46</f>
        <v>6.6704545454545461E-2</v>
      </c>
      <c r="Q39" s="51">
        <f>'LUC-2013-01-08-Run3'!AS46</f>
        <v>6.7136363636363633E-2</v>
      </c>
      <c r="R39" s="51">
        <f>'LUC-2013-01-08-Run3'!AT46</f>
        <v>6.7568181818181819E-2</v>
      </c>
      <c r="S39" s="51">
        <f>'LUC-2013-01-08-Run3'!AU46</f>
        <v>6.8000000000000005E-2</v>
      </c>
      <c r="T39" s="51">
        <f>'LUC-2013-01-08-Run3'!AV46</f>
        <v>6.881818181818182E-2</v>
      </c>
      <c r="U39" s="51">
        <f>'LUC-2013-01-08-Run3'!AW46</f>
        <v>6.9636363636363635E-2</v>
      </c>
      <c r="V39" s="51">
        <f>'LUC-2013-01-08-Run3'!AX46</f>
        <v>7.0454545454545464E-2</v>
      </c>
      <c r="W39" s="51">
        <f>'LUC-2013-01-08-Run3'!AY46</f>
        <v>7.1272727272727279E-2</v>
      </c>
      <c r="X39" s="51">
        <f>'LUC-2013-01-08-Run3'!AZ46</f>
        <v>7.2090909090909094E-2</v>
      </c>
      <c r="Y39" s="51">
        <f>'LUC-2013-01-08-Run3'!BA46</f>
        <v>7.290909090909091E-2</v>
      </c>
      <c r="Z39" s="51">
        <f>'LUC-2013-01-08-Run3'!BB46</f>
        <v>7.3727272727272725E-2</v>
      </c>
      <c r="AA39" s="51">
        <f>'LUC-2013-01-08-Run3'!BC46</f>
        <v>7.4545454545454554E-2</v>
      </c>
      <c r="AB39" s="51">
        <f>'LUC-2013-01-08-Run3'!BD46</f>
        <v>7.5363636363636369E-2</v>
      </c>
      <c r="AC39" s="51">
        <f>'LUC-2013-01-08-Run3'!BE46</f>
        <v>7.6181818181818184E-2</v>
      </c>
      <c r="AD39" s="51">
        <f>'LUC-2013-01-08-Run3'!BF46</f>
        <v>7.6999999999999999E-2</v>
      </c>
      <c r="AE39" s="51">
        <f>'LUC-2013-01-08-Run3'!BG46</f>
        <v>7.7818181818181814E-2</v>
      </c>
      <c r="AF39" s="51">
        <f>'LUC-2013-01-08-Run3'!BH46</f>
        <v>7.8636363636363643E-2</v>
      </c>
      <c r="AG39" s="51">
        <f>'LUC-2013-01-08-Run3'!BI46</f>
        <v>7.9454545454545458E-2</v>
      </c>
      <c r="AH39" s="51">
        <f>'LUC-2013-01-08-Run3'!BJ46</f>
        <v>8.0272727272727273E-2</v>
      </c>
      <c r="AI39" s="51">
        <f>'LUC-2013-01-08-Run3'!BK46</f>
        <v>8.1090909090909088E-2</v>
      </c>
      <c r="AJ39" s="51">
        <f>'LUC-2013-01-08-Run3'!BL46</f>
        <v>8.1909090909090904E-2</v>
      </c>
      <c r="AK39" s="51">
        <f>'LUC-2013-01-08-Run3'!BM46</f>
        <v>8.2727272727272733E-2</v>
      </c>
      <c r="AL39" s="51">
        <f>'LUC-2013-01-08-Run3'!BN46</f>
        <v>8.3545454545454548E-2</v>
      </c>
      <c r="AM39" s="51">
        <f>'LUC-2013-01-08-Run3'!BO46</f>
        <v>8.4363636363636363E-2</v>
      </c>
      <c r="AN39" s="51">
        <f>'LUC-2013-01-08-Run3'!BP46</f>
        <v>8.5181818181818178E-2</v>
      </c>
      <c r="AO39" s="51">
        <f>'LUC-2013-01-08-Run3'!BQ46</f>
        <v>8.5999999999999993E-2</v>
      </c>
      <c r="AP39" s="51">
        <f>'LUC-2013-01-08-Run3'!BR46</f>
        <v>8.6818181818181822E-2</v>
      </c>
      <c r="AQ39" s="51">
        <f>'LUC-2013-01-08-Run3'!BS46</f>
        <v>8.7636363636363637E-2</v>
      </c>
      <c r="AR39" s="51">
        <f>'LUC-2013-01-08-Run3'!BT46</f>
        <v>8.8454545454545452E-2</v>
      </c>
      <c r="AS39" s="51">
        <f>'LUC-2013-01-08-Run3'!BU46</f>
        <v>8.9272727272727267E-2</v>
      </c>
      <c r="AT39" s="51">
        <f>'LUC-2013-01-08-Run3'!BV46</f>
        <v>9.0090909090909083E-2</v>
      </c>
      <c r="AU39" s="51">
        <f>'LUC-2013-01-08-Run3'!BW46</f>
        <v>9.0909090909090912E-2</v>
      </c>
      <c r="AV39" s="51">
        <f>'LUC-2013-01-08-Run3'!BX46</f>
        <v>9.1727272727272727E-2</v>
      </c>
      <c r="AW39" s="51">
        <f>'LUC-2013-01-08-Run3'!BY46</f>
        <v>9.2545454545454542E-2</v>
      </c>
      <c r="AX39" s="51">
        <f>'LUC-2013-01-08-Run3'!BZ46</f>
        <v>9.3363636363636357E-2</v>
      </c>
      <c r="AY39" s="51">
        <f>'LUC-2013-01-08-Run3'!CA46</f>
        <v>9.4181818181818172E-2</v>
      </c>
      <c r="AZ39" s="51">
        <f>'LUC-2013-01-08-Run3'!CB46</f>
        <v>9.5000000000000001E-2</v>
      </c>
      <c r="BA39" s="51">
        <f>'LUC-2013-01-08-Run3'!CC46</f>
        <v>9.5818181818181816E-2</v>
      </c>
      <c r="BB39" s="51">
        <f>'LUC-2013-01-08-Run3'!CD46</f>
        <v>9.6636363636363631E-2</v>
      </c>
      <c r="BC39" s="51">
        <f>'LUC-2013-01-08-Run3'!CE46</f>
        <v>9.7454545454545446E-2</v>
      </c>
      <c r="BD39" s="51">
        <f>'LUC-2013-01-08-Run3'!CF46</f>
        <v>9.8272727272727262E-2</v>
      </c>
      <c r="BE39" s="51">
        <f>'LUC-2013-01-08-Run3'!CG46</f>
        <v>9.9090909090909091E-2</v>
      </c>
      <c r="BF39" s="51">
        <f>'LUC-2013-01-08-Run3'!CH46</f>
        <v>9.9909090909090906E-2</v>
      </c>
      <c r="BG39" s="51">
        <f>'LUC-2013-01-08-Run3'!CI46</f>
        <v>0.10072727272727272</v>
      </c>
      <c r="BH39" s="51">
        <f>'LUC-2013-01-08-Run3'!CJ46</f>
        <v>0.10154545454545455</v>
      </c>
      <c r="BI39" s="51">
        <f>'LUC-2013-01-08-Run3'!CK46</f>
        <v>0.10236363636363635</v>
      </c>
      <c r="BJ39" s="51">
        <f>'LUC-2013-01-08-Run3'!CL46</f>
        <v>0.10318181818181818</v>
      </c>
      <c r="BK39" s="51">
        <f>'LUC-2013-01-08-Run3'!CM46</f>
        <v>0.104</v>
      </c>
      <c r="BM39" s="107"/>
      <c r="BN39" s="54" t="s">
        <v>104</v>
      </c>
      <c r="BO39" s="80">
        <f t="shared" si="21"/>
        <v>0.86618671127481961</v>
      </c>
      <c r="BP39" s="80">
        <f t="shared" si="22"/>
        <v>0.9303922102831238</v>
      </c>
      <c r="BQ39" s="80">
        <f t="shared" si="23"/>
        <v>1.043298969072165</v>
      </c>
      <c r="BR39" s="80">
        <f t="shared" si="24"/>
        <v>1.2185567010309277</v>
      </c>
      <c r="BS39" s="80">
        <f t="shared" si="25"/>
        <v>1.3938144329896907</v>
      </c>
      <c r="BT39" s="80">
        <f t="shared" si="26"/>
        <v>1.5690721649484536</v>
      </c>
      <c r="BU39" s="80">
        <f t="shared" si="27"/>
        <v>1.7443298969072165</v>
      </c>
    </row>
    <row r="40" spans="1:75" x14ac:dyDescent="0.25">
      <c r="A40" s="52" t="s">
        <v>38</v>
      </c>
      <c r="B40" s="50" t="s">
        <v>104</v>
      </c>
      <c r="C40" s="52" t="s">
        <v>107</v>
      </c>
      <c r="D40" s="51">
        <f>'LUC-2013-01-08-Run3'!AF50</f>
        <v>8.6618671127481966E-4</v>
      </c>
      <c r="E40" s="51">
        <f>'LUC-2013-01-08-Run3'!AG50</f>
        <v>8.7332065560907562E-4</v>
      </c>
      <c r="F40" s="51">
        <f>'LUC-2013-01-08-Run3'!AH50</f>
        <v>8.8045459994333169E-4</v>
      </c>
      <c r="G40" s="51">
        <f>'LUC-2013-01-08-Run3'!AI50</f>
        <v>8.8758854427758765E-4</v>
      </c>
      <c r="H40" s="51">
        <f>'LUC-2013-01-08-Run3'!AJ50</f>
        <v>8.9472248861184372E-4</v>
      </c>
      <c r="I40" s="51">
        <f>'LUC-2013-01-08-Run3'!AK50</f>
        <v>9.0185643294609969E-4</v>
      </c>
      <c r="J40" s="51">
        <f>'LUC-2013-01-08-Run3'!AL50</f>
        <v>9.0899037728035576E-4</v>
      </c>
      <c r="K40" s="51">
        <f>'LUC-2013-01-08-Run3'!AM50</f>
        <v>9.1612432161461172E-4</v>
      </c>
      <c r="L40" s="51">
        <f>'LUC-2013-01-08-Run3'!AN50</f>
        <v>9.2325826594886768E-4</v>
      </c>
      <c r="M40" s="51">
        <f>'LUC-2013-01-08-Run3'!AO50</f>
        <v>9.3039221028312375E-4</v>
      </c>
      <c r="N40" s="51">
        <f>'LUC-2013-01-08-Run3'!AP50</f>
        <v>9.3752615461737982E-4</v>
      </c>
      <c r="O40" s="51">
        <f>'LUC-2013-01-08-Run3'!AQ50</f>
        <v>9.4466009895163578E-4</v>
      </c>
      <c r="P40" s="51">
        <f>'LUC-2013-01-08-Run3'!AR50</f>
        <v>9.5179404328589175E-4</v>
      </c>
      <c r="Q40" s="51">
        <f>'LUC-2013-01-08-Run3'!AS50</f>
        <v>9.5892798762014782E-4</v>
      </c>
      <c r="R40" s="51">
        <f>'LUC-2013-01-08-Run3'!AT50</f>
        <v>9.6606193195440389E-4</v>
      </c>
      <c r="S40" s="51">
        <f>'LUC-2013-01-08-Run3'!AU50</f>
        <v>9.7319587628865985E-4</v>
      </c>
      <c r="T40" s="51">
        <f>'LUC-2013-01-08-Run3'!AV50</f>
        <v>9.9072164948453621E-4</v>
      </c>
      <c r="U40" s="51">
        <f>'LUC-2013-01-08-Run3'!AW50</f>
        <v>1.0082474226804125E-3</v>
      </c>
      <c r="V40" s="51">
        <f>'LUC-2013-01-08-Run3'!AX50</f>
        <v>1.0257731958762887E-3</v>
      </c>
      <c r="W40" s="51">
        <f>'LUC-2013-01-08-Run3'!AY50</f>
        <v>1.043298969072165E-3</v>
      </c>
      <c r="X40" s="51">
        <f>'LUC-2013-01-08-Run3'!AZ50</f>
        <v>1.0608247422680412E-3</v>
      </c>
      <c r="Y40" s="51">
        <f>'LUC-2013-01-08-Run3'!BA50</f>
        <v>1.0783505154639175E-3</v>
      </c>
      <c r="Z40" s="51">
        <f>'LUC-2013-01-08-Run3'!BB50</f>
        <v>1.095876288659794E-3</v>
      </c>
      <c r="AA40" s="51">
        <f>'LUC-2013-01-08-Run3'!BC50</f>
        <v>1.1134020618556702E-3</v>
      </c>
      <c r="AB40" s="51">
        <f>'LUC-2013-01-08-Run3'!BD50</f>
        <v>1.1309278350515465E-3</v>
      </c>
      <c r="AC40" s="51">
        <f>'LUC-2013-01-08-Run3'!BE50</f>
        <v>1.1484536082474227E-3</v>
      </c>
      <c r="AD40" s="51">
        <f>'LUC-2013-01-08-Run3'!BF50</f>
        <v>1.165979381443299E-3</v>
      </c>
      <c r="AE40" s="51">
        <f>'LUC-2013-01-08-Run3'!BG50</f>
        <v>1.1835051546391752E-3</v>
      </c>
      <c r="AF40" s="51">
        <f>'LUC-2013-01-08-Run3'!BH50</f>
        <v>1.2010309278350515E-3</v>
      </c>
      <c r="AG40" s="51">
        <f>'LUC-2013-01-08-Run3'!BI50</f>
        <v>1.2185567010309277E-3</v>
      </c>
      <c r="AH40" s="51">
        <f>'LUC-2013-01-08-Run3'!BJ50</f>
        <v>1.236082474226804E-3</v>
      </c>
      <c r="AI40" s="51">
        <f>'LUC-2013-01-08-Run3'!BK50</f>
        <v>1.2536082474226805E-3</v>
      </c>
      <c r="AJ40" s="51">
        <f>'LUC-2013-01-08-Run3'!BL50</f>
        <v>1.2711340206185567E-3</v>
      </c>
      <c r="AK40" s="51">
        <f>'LUC-2013-01-08-Run3'!BM50</f>
        <v>1.288659793814433E-3</v>
      </c>
      <c r="AL40" s="51">
        <f>'LUC-2013-01-08-Run3'!BN50</f>
        <v>1.3061855670103092E-3</v>
      </c>
      <c r="AM40" s="51">
        <f>'LUC-2013-01-08-Run3'!BO50</f>
        <v>1.3237113402061855E-3</v>
      </c>
      <c r="AN40" s="51">
        <f>'LUC-2013-01-08-Run3'!BP50</f>
        <v>1.3412371134020619E-3</v>
      </c>
      <c r="AO40" s="51">
        <f>'LUC-2013-01-08-Run3'!BQ50</f>
        <v>1.3587628865979382E-3</v>
      </c>
      <c r="AP40" s="51">
        <f>'LUC-2013-01-08-Run3'!BR50</f>
        <v>1.3762886597938145E-3</v>
      </c>
      <c r="AQ40" s="51">
        <f>'LUC-2013-01-08-Run3'!BS50</f>
        <v>1.3938144329896907E-3</v>
      </c>
      <c r="AR40" s="51">
        <f>'LUC-2013-01-08-Run3'!BT50</f>
        <v>1.411340206185567E-3</v>
      </c>
      <c r="AS40" s="51">
        <f>'LUC-2013-01-08-Run3'!BU50</f>
        <v>1.4288659793814432E-3</v>
      </c>
      <c r="AT40" s="51">
        <f>'LUC-2013-01-08-Run3'!BV50</f>
        <v>1.4463917525773195E-3</v>
      </c>
      <c r="AU40" s="51">
        <f>'LUC-2013-01-08-Run3'!BW50</f>
        <v>1.4639175257731957E-3</v>
      </c>
      <c r="AV40" s="51">
        <f>'LUC-2013-01-08-Run3'!BX50</f>
        <v>1.481443298969072E-3</v>
      </c>
      <c r="AW40" s="51">
        <f>'LUC-2013-01-08-Run3'!BY50</f>
        <v>1.4989690721649482E-3</v>
      </c>
      <c r="AX40" s="51">
        <f>'LUC-2013-01-08-Run3'!BZ50</f>
        <v>1.5164948453608247E-3</v>
      </c>
      <c r="AY40" s="51">
        <f>'LUC-2013-01-08-Run3'!CA50</f>
        <v>1.534020618556701E-3</v>
      </c>
      <c r="AZ40" s="51">
        <f>'LUC-2013-01-08-Run3'!CB50</f>
        <v>1.5515463917525772E-3</v>
      </c>
      <c r="BA40" s="51">
        <f>'LUC-2013-01-08-Run3'!CC50</f>
        <v>1.5690721649484537E-3</v>
      </c>
      <c r="BB40" s="51">
        <f>'LUC-2013-01-08-Run3'!CD50</f>
        <v>1.5865979381443299E-3</v>
      </c>
      <c r="BC40" s="51">
        <f>'LUC-2013-01-08-Run3'!CE50</f>
        <v>1.6041237113402062E-3</v>
      </c>
      <c r="BD40" s="51">
        <f>'LUC-2013-01-08-Run3'!CF50</f>
        <v>1.6216494845360824E-3</v>
      </c>
      <c r="BE40" s="51">
        <f>'LUC-2013-01-08-Run3'!CG50</f>
        <v>1.6391752577319587E-3</v>
      </c>
      <c r="BF40" s="51">
        <f>'LUC-2013-01-08-Run3'!CH50</f>
        <v>1.656701030927835E-3</v>
      </c>
      <c r="BG40" s="51">
        <f>'LUC-2013-01-08-Run3'!CI50</f>
        <v>1.6742268041237112E-3</v>
      </c>
      <c r="BH40" s="51">
        <f>'LUC-2013-01-08-Run3'!CJ50</f>
        <v>1.6917525773195875E-3</v>
      </c>
      <c r="BI40" s="51">
        <f>'LUC-2013-01-08-Run3'!CK50</f>
        <v>1.7092783505154637E-3</v>
      </c>
      <c r="BJ40" s="51">
        <f>'LUC-2013-01-08-Run3'!CL50</f>
        <v>1.72680412371134E-3</v>
      </c>
      <c r="BK40" s="51">
        <f>'LUC-2013-01-08-Run3'!CM50</f>
        <v>1.7443298969072164E-3</v>
      </c>
      <c r="BN40" s="52" t="s">
        <v>113</v>
      </c>
      <c r="BO40" s="47"/>
      <c r="BP40" s="47"/>
      <c r="BQ40" s="47"/>
      <c r="BR40" s="47"/>
      <c r="BS40" s="47"/>
      <c r="BT40" s="47"/>
      <c r="BU40" s="47"/>
    </row>
    <row r="41" spans="1:75" x14ac:dyDescent="0.25">
      <c r="BM41" s="57" t="s">
        <v>93</v>
      </c>
      <c r="BN41" s="57" t="s">
        <v>94</v>
      </c>
      <c r="BO41" s="57">
        <v>1991</v>
      </c>
      <c r="BP41" s="57">
        <v>2000</v>
      </c>
      <c r="BQ41" s="57">
        <v>2010</v>
      </c>
      <c r="BR41" s="57">
        <v>2020</v>
      </c>
      <c r="BS41" s="57">
        <v>2030</v>
      </c>
      <c r="BT41" s="57">
        <v>2040</v>
      </c>
      <c r="BU41" s="57">
        <v>2050</v>
      </c>
    </row>
    <row r="42" spans="1:75" x14ac:dyDescent="0.25">
      <c r="A42" s="50" t="s">
        <v>38</v>
      </c>
      <c r="B42" s="50" t="s">
        <v>105</v>
      </c>
      <c r="C42" s="50" t="s">
        <v>108</v>
      </c>
      <c r="D42" s="50">
        <f>SUM('25% by 2050 Ag'!AF15:AF16)</f>
        <v>264298.13384870189</v>
      </c>
      <c r="E42" s="50">
        <f>SUM('25% by 2050 Ag'!AG15:AG16)</f>
        <v>520633.93324715138</v>
      </c>
      <c r="F42" s="50">
        <f>SUM('25% by 2050 Ag'!AH15:AH16)</f>
        <v>769361.87263473251</v>
      </c>
      <c r="G42" s="50">
        <f>SUM('25% by 2050 Ag'!AI15:AI16)</f>
        <v>1010815.693040224</v>
      </c>
      <c r="H42" s="50">
        <f>SUM('25% by 2050 Ag'!AJ15:AJ16)</f>
        <v>1245309.8961211501</v>
      </c>
      <c r="I42" s="50">
        <f>SUM('25% by 2050 Ag'!AK15:AK16)</f>
        <v>1473141.1108468894</v>
      </c>
      <c r="J42" s="50">
        <f>SUM('25% by 2050 Ag'!AL15:AL16)</f>
        <v>1694589.3453137057</v>
      </c>
      <c r="K42" s="50">
        <f>SUM('25% by 2050 Ag'!AM15:AM16)</f>
        <v>1909919.13479971</v>
      </c>
      <c r="L42" s="50">
        <f>SUM('25% by 2050 Ag'!AN15:AN16)</f>
        <v>2119380.5959568662</v>
      </c>
      <c r="M42" s="50">
        <f>SUM('25% by 2050 Ag'!AO15:AO16)</f>
        <v>2323210.3959727613</v>
      </c>
      <c r="N42" s="50">
        <f>SUM('25% by 2050 Ag'!AP15:AP16)</f>
        <v>2501128.3875601627</v>
      </c>
      <c r="O42" s="50">
        <f>SUM('25% by 2050 Ag'!AQ15:AQ16)</f>
        <v>2992716.5447963728</v>
      </c>
      <c r="P42" s="50">
        <f>SUM('25% by 2050 Ag'!AR15:AR16)</f>
        <v>3870875.3137433636</v>
      </c>
      <c r="Q42" s="50">
        <f>SUM('25% by 2050 Ag'!AS15:AS16)</f>
        <v>4626359.6083531128</v>
      </c>
      <c r="R42" s="50">
        <f>SUM('25% by 2050 Ag'!AT15:AT16)</f>
        <v>5253285.8776954524</v>
      </c>
      <c r="S42" s="50">
        <f>SUM('25% by 2050 Ag'!AU15:AU16)</f>
        <v>6490042.973514053</v>
      </c>
      <c r="T42" s="50">
        <f>SUM('25% by 2050 Ag'!AV15:AV16)</f>
        <v>8626704.6787839495</v>
      </c>
      <c r="U42" s="50">
        <f>SUM('25% by 2050 Ag'!AW15:AW16)</f>
        <v>12227198.579180621</v>
      </c>
      <c r="V42" s="50">
        <f>SUM('25% by 2050 Ag'!AX15:AX16)</f>
        <v>13126471.001578134</v>
      </c>
      <c r="W42" s="50">
        <f>SUM('25% by 2050 Ag'!AY15:AY16)</f>
        <v>14105284.902994657</v>
      </c>
      <c r="X42" s="50">
        <f>SUM('25% by 2050 Ag'!AZ15:AZ16)</f>
        <v>15075644.188851245</v>
      </c>
      <c r="Y42" s="50">
        <f>SUM('25% by 2050 Ag'!BA15:BA16)</f>
        <v>16037657.929637915</v>
      </c>
      <c r="Z42" s="50">
        <f>SUM('25% by 2050 Ag'!BB15:BB16)</f>
        <v>16991433.327763122</v>
      </c>
      <c r="AA42" s="50">
        <f>SUM('25% by 2050 Ag'!BC15:BC16)</f>
        <v>17937075.757377177</v>
      </c>
      <c r="AB42" s="50">
        <f>SUM('25% by 2050 Ag'!BD15:BD16)</f>
        <v>18874688.803181317</v>
      </c>
      <c r="AC42" s="50">
        <f>SUM('25% by 2050 Ag'!BE15:BE16)</f>
        <v>19804374.298252288</v>
      </c>
      <c r="AD42" s="50">
        <f>SUM('25% by 2050 Ag'!BF15:BF16)</f>
        <v>20726232.360911638</v>
      </c>
      <c r="AE42" s="50">
        <f>SUM('25% by 2050 Ag'!BG15:BG16)</f>
        <v>21640361.430667602</v>
      </c>
      <c r="AF42" s="50">
        <f>SUM('25% by 2050 Ag'!BH15:BH16)</f>
        <v>22546858.967190493</v>
      </c>
      <c r="AG42" s="50">
        <f>SUM('25% by 2050 Ag'!BI15:BI16)</f>
        <v>24342282.691129331</v>
      </c>
      <c r="AH42" s="50">
        <f>SUM('25% by 2050 Ag'!BJ15:BJ16)</f>
        <v>26101073.490691878</v>
      </c>
      <c r="AI42" s="50">
        <f>SUM('25% by 2050 Ag'!BK15:BK16)</f>
        <v>27823777.346020684</v>
      </c>
      <c r="AJ42" s="50">
        <f>SUM('25% by 2050 Ag'!BL15:BL16)</f>
        <v>29510933.060536064</v>
      </c>
      <c r="AK42" s="50">
        <f>SUM('25% by 2050 Ag'!BM15:BM16)</f>
        <v>31163072.348484688</v>
      </c>
      <c r="AL42" s="50">
        <f>SUM('25% by 2050 Ag'!BN15:BN16)</f>
        <v>32780719.921488293</v>
      </c>
      <c r="AM42" s="50">
        <f>SUM('25% by 2050 Ag'!BO15:BO16)</f>
        <v>34364393.574103065</v>
      </c>
      <c r="AN42" s="50">
        <f>SUM('25% by 2050 Ag'!BP15:BP16)</f>
        <v>35914604.268399544</v>
      </c>
      <c r="AO42" s="50">
        <f>SUM('25% by 2050 Ag'!BQ15:BQ16)</f>
        <v>37431856.217573404</v>
      </c>
      <c r="AP42" s="50">
        <f>SUM('25% by 2050 Ag'!BR15:BR16)</f>
        <v>38916646.968596838</v>
      </c>
      <c r="AQ42" s="50">
        <f>SUM('25% by 2050 Ag'!BS15:BS16)</f>
        <v>40369467.483920813</v>
      </c>
      <c r="AR42" s="50">
        <f>SUM('25% by 2050 Ag'!BT15:BT16)</f>
        <v>41790802.222237781</v>
      </c>
      <c r="AS42" s="50">
        <f>SUM('25% by 2050 Ag'!BU15:BU16)</f>
        <v>43181129.218314737</v>
      </c>
      <c r="AT42" s="50">
        <f>SUM('25% by 2050 Ag'!BV15:BV16)</f>
        <v>44540920.161906488</v>
      </c>
      <c r="AU42" s="50">
        <f>SUM('25% by 2050 Ag'!BW15:BW16)</f>
        <v>45870640.475758456</v>
      </c>
      <c r="AV42" s="50">
        <f>SUM('25% by 2050 Ag'!BX15:BX16)</f>
        <v>47170749.392708987</v>
      </c>
      <c r="AW42" s="50">
        <f>SUM('25% by 2050 Ag'!BY15:BY16)</f>
        <v>48441700.031900316</v>
      </c>
      <c r="AX42" s="50">
        <f>SUM('25% by 2050 Ag'!BZ15:BZ16)</f>
        <v>49683939.474107847</v>
      </c>
      <c r="AY42" s="50">
        <f>SUM('25% by 2050 Ag'!CA15:CA16)</f>
        <v>50897908.83619687</v>
      </c>
      <c r="AZ42" s="50">
        <f>SUM('25% by 2050 Ag'!CB15:CB16)</f>
        <v>52084043.344716303</v>
      </c>
      <c r="BA42" s="50">
        <f>SUM('25% by 2050 Ag'!CC15:CC16)</f>
        <v>53242772.408638254</v>
      </c>
      <c r="BB42" s="50">
        <f>SUM('25% by 2050 Ag'!CD15:CD16)</f>
        <v>54374519.691252902</v>
      </c>
      <c r="BC42" s="50">
        <f>SUM('25% by 2050 Ag'!CE15:CE16)</f>
        <v>55479703.181227438</v>
      </c>
      <c r="BD42" s="50">
        <f>SUM('25% by 2050 Ag'!CF15:CF16)</f>
        <v>56558735.2628382</v>
      </c>
      <c r="BE42" s="50">
        <f>SUM('25% by 2050 Ag'!CG15:CG16)</f>
        <v>57612022.785384849</v>
      </c>
      <c r="BF42" s="50">
        <f>SUM('25% by 2050 Ag'!CH15:CH16)</f>
        <v>58639967.131795295</v>
      </c>
      <c r="BG42" s="50">
        <f>SUM('25% by 2050 Ag'!CI15:CI16)</f>
        <v>59642964.286430314</v>
      </c>
      <c r="BH42" s="50">
        <f>SUM('25% by 2050 Ag'!CJ15:CJ16)</f>
        <v>60621404.902096272</v>
      </c>
      <c r="BI42" s="50">
        <f>SUM('25% by 2050 Ag'!CK15:CK16)</f>
        <v>61575674.366274685</v>
      </c>
      <c r="BJ42" s="50">
        <f>SUM('25% by 2050 Ag'!CL15:CL16)</f>
        <v>62506152.866577119</v>
      </c>
      <c r="BK42" s="50">
        <f>SUM('25% by 2050 Ag'!CM15:CM16)</f>
        <v>63413215.455433682</v>
      </c>
      <c r="BM42" s="101" t="s">
        <v>38</v>
      </c>
      <c r="BN42" s="55" t="s">
        <v>105</v>
      </c>
      <c r="BO42" s="76">
        <f>D42/1000000</f>
        <v>0.26429813384870188</v>
      </c>
      <c r="BP42" s="75">
        <f>M42/1000000</f>
        <v>2.3232103959727612</v>
      </c>
      <c r="BQ42" s="60">
        <f>W42/1000000</f>
        <v>14.105284902994656</v>
      </c>
      <c r="BR42" s="60">
        <f>AG42/1000000</f>
        <v>24.342282691129331</v>
      </c>
      <c r="BS42" s="60">
        <f>AQ42/1000000</f>
        <v>40.369467483920815</v>
      </c>
      <c r="BT42" s="60">
        <f>BA42/1000000</f>
        <v>53.242772408638253</v>
      </c>
      <c r="BU42" s="60">
        <f>BK42/1000000</f>
        <v>63.413215455433679</v>
      </c>
    </row>
    <row r="43" spans="1:75" x14ac:dyDescent="0.25">
      <c r="A43" s="50" t="s">
        <v>38</v>
      </c>
      <c r="B43" s="50" t="s">
        <v>106</v>
      </c>
      <c r="C43" s="50" t="s">
        <v>108</v>
      </c>
      <c r="D43" s="50">
        <f>'25% by 2050 Ag'!AF23</f>
        <v>0</v>
      </c>
      <c r="E43" s="50">
        <f>'25% by 2050 Ag'!AG23</f>
        <v>0</v>
      </c>
      <c r="F43" s="50">
        <f>'25% by 2050 Ag'!AH23</f>
        <v>0</v>
      </c>
      <c r="G43" s="50">
        <f>'25% by 2050 Ag'!AI23</f>
        <v>0</v>
      </c>
      <c r="H43" s="50">
        <f>'25% by 2050 Ag'!AJ23</f>
        <v>0</v>
      </c>
      <c r="I43" s="50">
        <f>'25% by 2050 Ag'!AK23</f>
        <v>0</v>
      </c>
      <c r="J43" s="50">
        <f>'25% by 2050 Ag'!AL23</f>
        <v>0</v>
      </c>
      <c r="K43" s="50">
        <f>'25% by 2050 Ag'!AM23</f>
        <v>0</v>
      </c>
      <c r="L43" s="50">
        <f>'25% by 2050 Ag'!AN23</f>
        <v>0</v>
      </c>
      <c r="M43" s="50">
        <f>'25% by 2050 Ag'!AO23</f>
        <v>0</v>
      </c>
      <c r="N43" s="50">
        <f>'25% by 2050 Ag'!AP23</f>
        <v>26902.341993431211</v>
      </c>
      <c r="O43" s="50">
        <f>'25% by 2050 Ag'!AQ23</f>
        <v>32526.606109635377</v>
      </c>
      <c r="P43" s="50">
        <f>'25% by 2050 Ag'!AR23</f>
        <v>43564.042547470432</v>
      </c>
      <c r="Q43" s="50">
        <f>'25% by 2050 Ag'!AS23</f>
        <v>84536.761375307266</v>
      </c>
      <c r="R43" s="50">
        <f>'25% by 2050 Ag'!AT23</f>
        <v>271911.14066607878</v>
      </c>
      <c r="S43" s="50">
        <f>'25% by 2050 Ag'!AU23</f>
        <v>741604.83511076646</v>
      </c>
      <c r="T43" s="50">
        <f>'25% by 2050 Ag'!AV23</f>
        <v>1435703.7325092244</v>
      </c>
      <c r="U43" s="50">
        <f>'25% by 2050 Ag'!AW23</f>
        <v>1777556.8524855981</v>
      </c>
      <c r="V43" s="50">
        <f>'25% by 2050 Ag'!AX23</f>
        <v>1863278.5505074349</v>
      </c>
      <c r="W43" s="50">
        <f>'25% by 2050 Ag'!AY23</f>
        <v>1947310.4713917852</v>
      </c>
      <c r="X43" s="50">
        <f>'25% by 2050 Ag'!AZ23</f>
        <v>2029702.0917361467</v>
      </c>
      <c r="Y43" s="50">
        <f>'25% by 2050 Ag'!BA23</f>
        <v>2110500.9752444732</v>
      </c>
      <c r="Z43" s="50">
        <f>'25% by 2050 Ag'!BB23</f>
        <v>2189752.8642889517</v>
      </c>
      <c r="AA43" s="50">
        <f>'25% by 2050 Ag'!BC23</f>
        <v>2267501.7662624517</v>
      </c>
      <c r="AB43" s="50">
        <f>'25% by 2050 Ag'!BD23</f>
        <v>2343790.0350641971</v>
      </c>
      <c r="AC43" s="50">
        <f>'25% by 2050 Ag'!BE23</f>
        <v>2418658.4480356607</v>
      </c>
      <c r="AD43" s="50">
        <f>'25% by 2050 Ag'!BF23</f>
        <v>2492146.2786403401</v>
      </c>
      <c r="AE43" s="50">
        <f>'25% by 2050 Ag'!BG23</f>
        <v>2564291.3651595972</v>
      </c>
      <c r="AF43" s="50">
        <f>'25% by 2050 Ag'!BH23</f>
        <v>2635128.1051006331</v>
      </c>
      <c r="AG43" s="50">
        <f>'25% by 2050 Ag'!BI23</f>
        <v>3380614.92258952</v>
      </c>
      <c r="AH43" s="50">
        <f>'25% by 2050 Ag'!BJ23</f>
        <v>4112843.8300739746</v>
      </c>
      <c r="AI43" s="50">
        <f>'25% by 2050 Ag'!BK23</f>
        <v>4832165.3829819951</v>
      </c>
      <c r="AJ43" s="50">
        <f>'25% by 2050 Ag'!BL23</f>
        <v>5538917.885895811</v>
      </c>
      <c r="AK43" s="50">
        <f>'25% by 2050 Ag'!BM23</f>
        <v>6233427.9230790483</v>
      </c>
      <c r="AL43" s="50">
        <f>'25% by 2050 Ag'!BN23</f>
        <v>6916010.861671024</v>
      </c>
      <c r="AM43" s="50">
        <f>'25% by 2050 Ag'!BO23</f>
        <v>7586971.3291770834</v>
      </c>
      <c r="AN43" s="50">
        <f>'25% by 2050 Ag'!BP23</f>
        <v>8246603.6667738743</v>
      </c>
      <c r="AO43" s="50">
        <f>'25% by 2050 Ag'!BQ23</f>
        <v>8895192.3598467596</v>
      </c>
      <c r="AP43" s="50">
        <f>'25% by 2050 Ag'!BR23</f>
        <v>9533012.4470824003</v>
      </c>
      <c r="AQ43" s="50">
        <f>'25% by 2050 Ag'!BS23</f>
        <v>10160329.909352459</v>
      </c>
      <c r="AR43" s="50">
        <f>'25% by 2050 Ag'!BT23</f>
        <v>10777402.039543582</v>
      </c>
      <c r="AS43" s="50">
        <f>'25% by 2050 Ag'!BU23</f>
        <v>11384477.794413984</v>
      </c>
      <c r="AT43" s="50">
        <f>'25% by 2050 Ag'!BV23</f>
        <v>11981798.12948755</v>
      </c>
      <c r="AU43" s="50">
        <f>'25% by 2050 Ag'!BW23</f>
        <v>12569596.31793182</v>
      </c>
      <c r="AV43" s="50">
        <f>'25% by 2050 Ag'!BX23</f>
        <v>13148098.254306495</v>
      </c>
      <c r="AW43" s="50">
        <f>'25% by 2050 Ag'!BY23</f>
        <v>13717522.744013244</v>
      </c>
      <c r="AX43" s="50">
        <f>'25% by 2050 Ag'!BZ23</f>
        <v>14278081.779226134</v>
      </c>
      <c r="AY43" s="50">
        <f>'25% by 2050 Ag'!CA23</f>
        <v>14829980.802033508</v>
      </c>
      <c r="AZ43" s="50">
        <f>'25% by 2050 Ag'!CB23</f>
        <v>15373418.955477731</v>
      </c>
      <c r="BA43" s="50">
        <f>'25% by 2050 Ag'!CC23</f>
        <v>15908589.32313695</v>
      </c>
      <c r="BB43" s="50">
        <f>'25% by 2050 Ag'!CD23</f>
        <v>16435679.157854637</v>
      </c>
      <c r="BC43" s="50">
        <f>'25% by 2050 Ag'!CE23</f>
        <v>16954870.100185946</v>
      </c>
      <c r="BD43" s="50">
        <f>'25% by 2050 Ag'!CF23</f>
        <v>17466338.387096308</v>
      </c>
      <c r="BE43" s="50">
        <f>'25% by 2050 Ag'!CG23</f>
        <v>17970255.051416021</v>
      </c>
      <c r="BF43" s="50">
        <f>'25% by 2050 Ag'!CH23</f>
        <v>18466786.112524856</v>
      </c>
      <c r="BG43" s="50">
        <f>'25% by 2050 Ag'!CI23</f>
        <v>18956092.758713588</v>
      </c>
      <c r="BH43" s="50">
        <f>'25% by 2050 Ag'!CJ23</f>
        <v>19438331.521642867</v>
      </c>
      <c r="BI43" s="50">
        <f>'25% by 2050 Ag'!CK23</f>
        <v>19913654.443296492</v>
      </c>
      <c r="BJ43" s="50">
        <f>'25% by 2050 Ag'!CL23</f>
        <v>20382209.235802721</v>
      </c>
      <c r="BK43" s="50">
        <f>'25% by 2050 Ag'!CM23</f>
        <v>20844139.434476919</v>
      </c>
      <c r="BM43" s="102"/>
      <c r="BN43" s="53" t="s">
        <v>106</v>
      </c>
      <c r="BO43" s="61">
        <f t="shared" ref="BO43:BO45" si="28">D43/1000000</f>
        <v>0</v>
      </c>
      <c r="BP43" s="61">
        <f>M43/1000000</f>
        <v>0</v>
      </c>
      <c r="BQ43" s="73">
        <f>W43/1000000</f>
        <v>1.9473104713917853</v>
      </c>
      <c r="BR43" s="73">
        <f>AG43/1000000</f>
        <v>3.3806149225895199</v>
      </c>
      <c r="BS43" s="61">
        <f>AQ43/1000000</f>
        <v>10.160329909352459</v>
      </c>
      <c r="BT43" s="61">
        <f>BA43/1000000</f>
        <v>15.908589323136949</v>
      </c>
      <c r="BU43" s="61">
        <f>BK43/1000000</f>
        <v>20.844139434476919</v>
      </c>
    </row>
    <row r="44" spans="1:75" x14ac:dyDescent="0.25">
      <c r="A44" s="50" t="s">
        <v>71</v>
      </c>
      <c r="B44" s="50" t="s">
        <v>105</v>
      </c>
      <c r="C44" s="50" t="s">
        <v>108</v>
      </c>
      <c r="D44" s="50">
        <f>SUM('25% by 2050 Ag'!AF17:AF22)</f>
        <v>639775.14095076662</v>
      </c>
      <c r="E44" s="50">
        <f>SUM('25% by 2050 Ag'!AG17:AG22)</f>
        <v>1261564.3955121778</v>
      </c>
      <c r="F44" s="50">
        <f>SUM('25% by 2050 Ag'!AH17:AH22)</f>
        <v>1866165.2287806324</v>
      </c>
      <c r="G44" s="50">
        <f>SUM('25% by 2050 Ag'!AI17:AI22)</f>
        <v>2454326.7097856458</v>
      </c>
      <c r="H44" s="50">
        <f>SUM('25% by 2050 Ag'!AJ17:AJ22)</f>
        <v>3026753.2265974297</v>
      </c>
      <c r="I44" s="50">
        <f>SUM('25% by 2050 Ag'!AK17:AK22)</f>
        <v>3584107.8585047484</v>
      </c>
      <c r="J44" s="50">
        <f>SUM('25% by 2050 Ag'!AL17:AL22)</f>
        <v>4127015.44203889</v>
      </c>
      <c r="K44" s="50">
        <f>SUM('25% by 2050 Ag'!AM17:AM22)</f>
        <v>4656065.3631483382</v>
      </c>
      <c r="L44" s="50">
        <f>SUM('25% by 2050 Ag'!AN17:AN22)</f>
        <v>5171814.103962685</v>
      </c>
      <c r="M44" s="50">
        <f>SUM('25% by 2050 Ag'!AO17:AO22)</f>
        <v>5674787.5692337193</v>
      </c>
      <c r="N44" s="50">
        <f>SUM('25% by 2050 Ag'!AP17:AP22)</f>
        <v>5987186.5592947425</v>
      </c>
      <c r="O44" s="50">
        <f>SUM('25% by 2050 Ag'!AQ17:AQ22)</f>
        <v>6646565.032981636</v>
      </c>
      <c r="P44" s="50">
        <f>SUM('25% by 2050 Ag'!AR17:AR22)</f>
        <v>7493689.1952211857</v>
      </c>
      <c r="Q44" s="50">
        <f>SUM('25% by 2050 Ag'!AS17:AS22)</f>
        <v>7044951.5862929411</v>
      </c>
      <c r="R44" s="50">
        <f>SUM('25% by 2050 Ag'!AT17:AT22)</f>
        <v>7915663.2393809231</v>
      </c>
      <c r="S44" s="50">
        <f>SUM('25% by 2050 Ag'!AU17:AU22)</f>
        <v>9212256.2733300738</v>
      </c>
      <c r="T44" s="50">
        <f>SUM('25% by 2050 Ag'!AV17:AV22)</f>
        <v>11085966.479006425</v>
      </c>
      <c r="U44" s="50">
        <f>SUM('25% by 2050 Ag'!AW17:AW22)</f>
        <v>12071020.644982615</v>
      </c>
      <c r="V44" s="50">
        <f>SUM('25% by 2050 Ag'!AX17:AX22)</f>
        <v>16509643.710017523</v>
      </c>
      <c r="W44" s="50">
        <f>SUM('25% by 2050 Ag'!AY17:AY22)</f>
        <v>18389105.21070018</v>
      </c>
      <c r="X44" s="50">
        <f>SUM('25% by 2050 Ag'!AZ17:AZ22)</f>
        <v>20238761.659286596</v>
      </c>
      <c r="Y44" s="50">
        <f>SUM('25% by 2050 Ag'!BA17:BA22)</f>
        <v>22059331.113750409</v>
      </c>
      <c r="Z44" s="50">
        <f>SUM('25% by 2050 Ag'!BB17:BB22)</f>
        <v>23851508.415274251</v>
      </c>
      <c r="AA44" s="50">
        <f>SUM('25% by 2050 Ag'!BC17:BC22)</f>
        <v>25615966.1348009</v>
      </c>
      <c r="AB44" s="50">
        <f>SUM('25% by 2050 Ag'!BD17:BD22)</f>
        <v>27353355.472757764</v>
      </c>
      <c r="AC44" s="50">
        <f>SUM('25% by 2050 Ag'!BE17:BE22)</f>
        <v>29064307.11469413</v>
      </c>
      <c r="AD44" s="50">
        <f>SUM('25% by 2050 Ag'!BF17:BF22)</f>
        <v>30749432.045384534</v>
      </c>
      <c r="AE44" s="50">
        <f>SUM('25% by 2050 Ag'!BG17:BG22)</f>
        <v>32409322.323779803</v>
      </c>
      <c r="AF44" s="50">
        <f>SUM('25% by 2050 Ag'!BH17:BH22)</f>
        <v>34044549.100456543</v>
      </c>
      <c r="AG44" s="50">
        <f>SUM('25% by 2050 Ag'!BI17:BI22)</f>
        <v>38082841.403496012</v>
      </c>
      <c r="AH44" s="50">
        <f>SUM('25% by 2050 Ag'!BJ17:BJ22)</f>
        <v>39292013.182219692</v>
      </c>
      <c r="AI44" s="50">
        <f>SUM('25% by 2050 Ag'!BK17:BK22)</f>
        <v>40475602.303126752</v>
      </c>
      <c r="AJ44" s="50">
        <f>SUM('25% by 2050 Ag'!BL17:BL22)</f>
        <v>41633962.586526401</v>
      </c>
      <c r="AK44" s="50">
        <f>SUM('25% by 2050 Ag'!BM17:BM22)</f>
        <v>42767444.580654174</v>
      </c>
      <c r="AL44" s="50">
        <f>SUM('25% by 2050 Ag'!BN17:BN22)</f>
        <v>43876395.537723362</v>
      </c>
      <c r="AM44" s="50">
        <f>SUM('25% by 2050 Ag'!BO17:BO22)</f>
        <v>44961159.393543325</v>
      </c>
      <c r="AN44" s="50">
        <f>SUM('25% by 2050 Ag'!BP17:BP22)</f>
        <v>46022076.750473008</v>
      </c>
      <c r="AO44" s="50">
        <f>SUM('25% by 2050 Ag'!BQ17:BQ22)</f>
        <v>47059484.863493562</v>
      </c>
      <c r="AP44" s="50">
        <f>SUM('25% by 2050 Ag'!BR17:BR22)</f>
        <v>48073717.629197642</v>
      </c>
      <c r="AQ44" s="50">
        <f>SUM('25% by 2050 Ag'!BS17:BS22)</f>
        <v>49065105.577506348</v>
      </c>
      <c r="AR44" s="50">
        <f>SUM('25% by 2050 Ag'!BT17:BT22)</f>
        <v>50033975.865936562</v>
      </c>
      <c r="AS44" s="50">
        <f>SUM('25% by 2050 Ag'!BU17:BU22)</f>
        <v>50980652.276252985</v>
      </c>
      <c r="AT44" s="50">
        <f>SUM('25% by 2050 Ag'!BV17:BV22)</f>
        <v>51905455.213349357</v>
      </c>
      <c r="AU44" s="50">
        <f>SUM('25% by 2050 Ag'!BW17:BW22)</f>
        <v>52808701.706213526</v>
      </c>
      <c r="AV44" s="50">
        <f>SUM('25% by 2050 Ag'!BX17:BX22)</f>
        <v>53690705.410839409</v>
      </c>
      <c r="AW44" s="50">
        <f>SUM('25% by 2050 Ag'!BY17:BY22)</f>
        <v>54551776.6149581</v>
      </c>
      <c r="AX44" s="50">
        <f>SUM('25% by 2050 Ag'!BZ17:BZ22)</f>
        <v>55392222.244467899</v>
      </c>
      <c r="AY44" s="50">
        <f>SUM('25% by 2050 Ag'!CA17:CA22)</f>
        <v>56212345.871450067</v>
      </c>
      <c r="AZ44" s="50">
        <f>SUM('25% by 2050 Ag'!CB17:CB22)</f>
        <v>57012447.72366479</v>
      </c>
      <c r="BA44" s="50">
        <f>SUM('25% by 2050 Ag'!CC17:CC22)</f>
        <v>57792824.695427522</v>
      </c>
      <c r="BB44" s="50">
        <f>SUM('25% by 2050 Ag'!CD17:CD22)</f>
        <v>58553770.359772064</v>
      </c>
      <c r="BC44" s="50">
        <f>SUM('25% by 2050 Ag'!CE17:CE22)</f>
        <v>59295574.981812716</v>
      </c>
      <c r="BD44" s="50">
        <f>SUM('25% by 2050 Ag'!CF17:CF22)</f>
        <v>60018525.533222347</v>
      </c>
      <c r="BE44" s="50">
        <f>SUM('25% by 2050 Ag'!CG17:CG22)</f>
        <v>60722905.707749024</v>
      </c>
      <c r="BF44" s="50">
        <f>SUM('25% by 2050 Ag'!CH17:CH22)</f>
        <v>61408995.937697619</v>
      </c>
      <c r="BG44" s="50">
        <f>SUM('25% by 2050 Ag'!CI17:CI22)</f>
        <v>62077073.411307558</v>
      </c>
      <c r="BH44" s="50">
        <f>SUM('25% by 2050 Ag'!CJ17:CJ22)</f>
        <v>62727412.090962142</v>
      </c>
      <c r="BI44" s="50">
        <f>SUM('25% by 2050 Ag'!CK17:CK22)</f>
        <v>63360282.732167773</v>
      </c>
      <c r="BJ44" s="50">
        <f>SUM('25% by 2050 Ag'!CL17:CL22)</f>
        <v>63975952.903246164</v>
      </c>
      <c r="BK44" s="50">
        <f>SUM('25% by 2050 Ag'!CM17:CM22)</f>
        <v>64574687.005684897</v>
      </c>
      <c r="BM44" s="102" t="s">
        <v>71</v>
      </c>
      <c r="BN44" s="53" t="s">
        <v>105</v>
      </c>
      <c r="BO44" s="78">
        <f t="shared" si="28"/>
        <v>0.6397751409507666</v>
      </c>
      <c r="BP44" s="73">
        <f>M44/1000000</f>
        <v>5.6747875692337191</v>
      </c>
      <c r="BQ44" s="61">
        <f>W44/1000000</f>
        <v>18.38910521070018</v>
      </c>
      <c r="BR44" s="61">
        <f>AG44/1000000</f>
        <v>38.082841403496012</v>
      </c>
      <c r="BS44" s="61">
        <f>AQ44/1000000</f>
        <v>49.065105577506351</v>
      </c>
      <c r="BT44" s="61">
        <f>BA44/1000000</f>
        <v>57.79282469542752</v>
      </c>
      <c r="BU44" s="61">
        <f>BK44/1000000</f>
        <v>64.574687005684893</v>
      </c>
    </row>
    <row r="45" spans="1:75" x14ac:dyDescent="0.25">
      <c r="A45" s="50" t="s">
        <v>71</v>
      </c>
      <c r="B45" s="50" t="s">
        <v>106</v>
      </c>
      <c r="C45" s="50" t="s">
        <v>108</v>
      </c>
      <c r="D45" s="50">
        <f>'25% by 2050 Ag'!AF24</f>
        <v>138599.56472198345</v>
      </c>
      <c r="E45" s="50">
        <f>'25% by 2050 Ag'!AG24</f>
        <v>273457.71379753767</v>
      </c>
      <c r="F45" s="50">
        <f>'25% by 2050 Ag'!AH24</f>
        <v>404723.92573324346</v>
      </c>
      <c r="G45" s="50">
        <f>'25% by 2050 Ag'!AI24</f>
        <v>532539.82098634238</v>
      </c>
      <c r="H45" s="50">
        <f>'25% by 2050 Ag'!AJ24</f>
        <v>657039.67163612996</v>
      </c>
      <c r="I45" s="50">
        <f>'25% by 2050 Ag'!AK24</f>
        <v>778350.87189472397</v>
      </c>
      <c r="J45" s="50">
        <f>'25% by 2050 Ag'!AL24</f>
        <v>896594.37292321946</v>
      </c>
      <c r="K45" s="50">
        <f>'25% by 2050 Ag'!AM24</f>
        <v>1011885.0850730242</v>
      </c>
      <c r="L45" s="50">
        <f>'25% by 2050 Ag'!AN24</f>
        <v>1124332.2503643718</v>
      </c>
      <c r="M45" s="50">
        <f>'25% by 2050 Ag'!AO24</f>
        <v>1234039.7877399891</v>
      </c>
      <c r="N45" s="50">
        <f>'25% by 2050 Ag'!AP24</f>
        <v>1527995.2742244024</v>
      </c>
      <c r="O45" s="50">
        <f>'25% by 2050 Ag'!AQ24</f>
        <v>1967130.5156948098</v>
      </c>
      <c r="P45" s="50">
        <f>'25% by 2050 Ag'!AR24</f>
        <v>2598021.0199561203</v>
      </c>
      <c r="Q45" s="50">
        <f>'25% by 2050 Ag'!AS24</f>
        <v>3251413.8990502795</v>
      </c>
      <c r="R45" s="50">
        <f>'25% by 2050 Ag'!AT24</f>
        <v>4998965.2574780276</v>
      </c>
      <c r="S45" s="50">
        <f>'25% by 2050 Ag'!AU24</f>
        <v>8192818.5498469528</v>
      </c>
      <c r="T45" s="50">
        <f>'25% by 2050 Ag'!AV24</f>
        <v>10999483.226062525</v>
      </c>
      <c r="U45" s="50">
        <f>'25% by 2050 Ag'!AW24</f>
        <v>16417552.904479241</v>
      </c>
      <c r="V45" s="50">
        <f>'25% by 2050 Ag'!AX24</f>
        <v>19071444.584975265</v>
      </c>
      <c r="W45" s="50">
        <f>'25% by 2050 Ag'!AY24</f>
        <v>21673021.79211675</v>
      </c>
      <c r="X45" s="50">
        <f>'25% by 2050 Ag'!AZ24</f>
        <v>24223816.291296955</v>
      </c>
      <c r="Y45" s="50">
        <f>'25% by 2050 Ag'!BA24</f>
        <v>26725300.625887387</v>
      </c>
      <c r="Z45" s="50">
        <f>'25% by 2050 Ag'!BB24</f>
        <v>29178890.951934762</v>
      </c>
      <c r="AA45" s="50">
        <f>'25% by 2050 Ag'!BC24</f>
        <v>31585949.711580537</v>
      </c>
      <c r="AB45" s="50">
        <f>'25% by 2050 Ag'!BD24</f>
        <v>33947788.155807592</v>
      </c>
      <c r="AC45" s="50">
        <f>'25% by 2050 Ag'!BE24</f>
        <v>36265668.726328865</v>
      </c>
      <c r="AD45" s="50">
        <f>'25% by 2050 Ag'!BF24</f>
        <v>38540807.305709042</v>
      </c>
      <c r="AE45" s="50">
        <f>'25% by 2050 Ag'!BG24</f>
        <v>40774375.344146028</v>
      </c>
      <c r="AF45" s="50">
        <f>'25% by 2050 Ag'!BH24</f>
        <v>42967496.11918278</v>
      </c>
      <c r="AG45" s="50">
        <f>'25% by 2050 Ag'!BI24</f>
        <v>63445631.558931202</v>
      </c>
      <c r="AH45" s="50">
        <f>'25% by 2050 Ag'!BJ24</f>
        <v>83559579.101121262</v>
      </c>
      <c r="AI45" s="50">
        <f>'25% by 2050 Ag'!BK24</f>
        <v>103318968.32117303</v>
      </c>
      <c r="AJ45" s="50">
        <f>'25% by 2050 Ag'!BL24</f>
        <v>122733092.27014014</v>
      </c>
      <c r="AK45" s="50">
        <f>'25% by 2050 Ag'!BM24</f>
        <v>141810922.04801551</v>
      </c>
      <c r="AL45" s="50">
        <f>'25% by 2050 Ag'!BN24</f>
        <v>160561120.62621683</v>
      </c>
      <c r="AM45" s="50">
        <f>'25% by 2050 Ag'!BO24</f>
        <v>178992055.96399805</v>
      </c>
      <c r="AN45" s="50">
        <f>'25% by 2050 Ag'!BP24</f>
        <v>197111813.46050981</v>
      </c>
      <c r="AO45" s="50">
        <f>'25% by 2050 Ag'!BQ24</f>
        <v>214928207.78143814</v>
      </c>
      <c r="AP45" s="50">
        <f>'25% by 2050 Ag'!BR24</f>
        <v>232448794.09656546</v>
      </c>
      <c r="AQ45" s="50">
        <f>'25% by 2050 Ag'!BS24</f>
        <v>249680878.76220351</v>
      </c>
      <c r="AR45" s="50">
        <f>'25% by 2050 Ag'!BT24</f>
        <v>266631529.48023075</v>
      </c>
      <c r="AS45" s="50">
        <f>'25% by 2050 Ag'!BU24</f>
        <v>283307584.96341038</v>
      </c>
      <c r="AT45" s="50">
        <f>'25% by 2050 Ag'!BV24</f>
        <v>299715664.13475633</v>
      </c>
      <c r="AU45" s="50">
        <f>'25% by 2050 Ag'!BW24</f>
        <v>315862174.8869468</v>
      </c>
      <c r="AV45" s="50">
        <f>'25% by 2050 Ag'!BX24</f>
        <v>331753322.42613709</v>
      </c>
      <c r="AW45" s="50">
        <f>'25% by 2050 Ag'!BY24</f>
        <v>347395117.22299582</v>
      </c>
      <c r="AX45" s="50">
        <f>'25% by 2050 Ag'!BZ24</f>
        <v>362793382.59237021</v>
      </c>
      <c r="AY45" s="50">
        <f>'25% by 2050 Ag'!CA24</f>
        <v>377953761.92165697</v>
      </c>
      <c r="AZ45" s="50">
        <f>'25% by 2050 Ag'!CB24</f>
        <v>392881725.56673294</v>
      </c>
      <c r="BA45" s="50">
        <f>'25% by 2050 Ag'!CC24</f>
        <v>407582577.43314278</v>
      </c>
      <c r="BB45" s="50">
        <f>'25% by 2050 Ag'!CD24</f>
        <v>422061461.25917965</v>
      </c>
      <c r="BC45" s="50">
        <f>'25% by 2050 Ag'!CE24</f>
        <v>436323366.61649287</v>
      </c>
      <c r="BD45" s="50">
        <f>'25% by 2050 Ag'!CF24</f>
        <v>450373134.64293116</v>
      </c>
      <c r="BE45" s="50">
        <f>'25% by 2050 Ag'!CG24</f>
        <v>464215463.52145505</v>
      </c>
      <c r="BF45" s="50">
        <f>'25% by 2050 Ag'!CH24</f>
        <v>477854913.71814525</v>
      </c>
      <c r="BG45" s="50">
        <f>'25% by 2050 Ag'!CI24</f>
        <v>491295912.99157792</v>
      </c>
      <c r="BH45" s="50">
        <f>'25% by 2050 Ag'!CJ24</f>
        <v>504542761.18512064</v>
      </c>
      <c r="BI45" s="50">
        <f>'25% by 2050 Ag'!CK24</f>
        <v>517599634.81305027</v>
      </c>
      <c r="BJ45" s="50">
        <f>'25% by 2050 Ag'!CL24</f>
        <v>530470591.45076257</v>
      </c>
      <c r="BK45" s="50">
        <f>'25% by 2050 Ag'!CM24</f>
        <v>543159573.93877423</v>
      </c>
      <c r="BM45" s="103"/>
      <c r="BN45" s="54" t="s">
        <v>106</v>
      </c>
      <c r="BO45" s="77">
        <f t="shared" si="28"/>
        <v>0.13859956472198345</v>
      </c>
      <c r="BP45" s="74">
        <f>M45/1000000</f>
        <v>1.2340397877399891</v>
      </c>
      <c r="BQ45" s="62">
        <f>W45/1000000</f>
        <v>21.673021792116749</v>
      </c>
      <c r="BR45" s="62">
        <f>AG45/1000000</f>
        <v>63.445631558931204</v>
      </c>
      <c r="BS45" s="62">
        <f>AQ45/1000000</f>
        <v>249.68087876220352</v>
      </c>
      <c r="BT45" s="62">
        <f>BA45/1000000</f>
        <v>407.58257743314277</v>
      </c>
      <c r="BU45" s="62">
        <f>BK45/1000000</f>
        <v>543.1595739387742</v>
      </c>
      <c r="BV45" s="47">
        <f>SUM(BU42:BU45)</f>
        <v>691.99161583436967</v>
      </c>
      <c r="BW45" s="47"/>
    </row>
    <row r="46" spans="1:75" x14ac:dyDescent="0.25">
      <c r="BN46" s="50" t="s">
        <v>110</v>
      </c>
    </row>
    <row r="47" spans="1:75" x14ac:dyDescent="0.25">
      <c r="A47" s="50" t="s">
        <v>38</v>
      </c>
      <c r="B47" s="50" t="s">
        <v>105</v>
      </c>
      <c r="C47" s="50" t="s">
        <v>109</v>
      </c>
      <c r="D47" s="50">
        <f>D52*$D$61</f>
        <v>20945863829.462044</v>
      </c>
      <c r="E47" s="50">
        <f t="shared" ref="E47:BK47" si="29">E52*$D$61</f>
        <v>41891727658.924088</v>
      </c>
      <c r="F47" s="50">
        <f t="shared" si="29"/>
        <v>62837591488.386124</v>
      </c>
      <c r="G47" s="50">
        <f t="shared" si="29"/>
        <v>83783455317.848175</v>
      </c>
      <c r="H47" s="50">
        <f t="shared" si="29"/>
        <v>104729319147.31021</v>
      </c>
      <c r="I47" s="50">
        <f t="shared" si="29"/>
        <v>125675182976.77226</v>
      </c>
      <c r="J47" s="50">
        <f t="shared" si="29"/>
        <v>146621046806.23428</v>
      </c>
      <c r="K47" s="50">
        <f t="shared" si="29"/>
        <v>167566910635.69635</v>
      </c>
      <c r="L47" s="50">
        <f t="shared" si="29"/>
        <v>188512774465.15839</v>
      </c>
      <c r="M47" s="50">
        <f t="shared" si="29"/>
        <v>209458638294.62042</v>
      </c>
      <c r="N47" s="50">
        <f t="shared" si="29"/>
        <v>228531004354.98901</v>
      </c>
      <c r="O47" s="50">
        <f t="shared" si="29"/>
        <v>277075236804.16864</v>
      </c>
      <c r="P47" s="50">
        <f t="shared" si="29"/>
        <v>363069578260.54443</v>
      </c>
      <c r="Q47" s="50">
        <f t="shared" si="29"/>
        <v>439537659874.07227</v>
      </c>
      <c r="R47" s="50">
        <f t="shared" si="29"/>
        <v>505467316536.44946</v>
      </c>
      <c r="S47" s="50">
        <f t="shared" si="29"/>
        <v>632333281993.57776</v>
      </c>
      <c r="T47" s="50">
        <f t="shared" si="29"/>
        <v>844221116548.12439</v>
      </c>
      <c r="U47" s="50">
        <f t="shared" si="29"/>
        <v>1201828972498.7693</v>
      </c>
      <c r="V47" s="50">
        <f t="shared" si="29"/>
        <v>1295865108043.647</v>
      </c>
      <c r="W47" s="50">
        <f t="shared" si="29"/>
        <v>1398561414890.4773</v>
      </c>
      <c r="X47" s="50">
        <f t="shared" si="29"/>
        <v>1501257721737.3079</v>
      </c>
      <c r="Y47" s="50">
        <f t="shared" si="29"/>
        <v>1603954028584.1382</v>
      </c>
      <c r="Z47" s="50">
        <f t="shared" si="29"/>
        <v>1706650335430.969</v>
      </c>
      <c r="AA47" s="50">
        <f t="shared" si="29"/>
        <v>1809346642277.7991</v>
      </c>
      <c r="AB47" s="50">
        <f t="shared" si="29"/>
        <v>1912042949124.6296</v>
      </c>
      <c r="AC47" s="50">
        <f t="shared" si="29"/>
        <v>2014739255971.46</v>
      </c>
      <c r="AD47" s="50">
        <f t="shared" si="29"/>
        <v>2117435562818.2905</v>
      </c>
      <c r="AE47" s="50">
        <f t="shared" si="29"/>
        <v>2220131869665.1211</v>
      </c>
      <c r="AF47" s="50">
        <f t="shared" si="29"/>
        <v>2322828244911.9058</v>
      </c>
      <c r="AG47" s="50">
        <f t="shared" si="29"/>
        <v>2661665417062.3276</v>
      </c>
      <c r="AH47" s="50">
        <f t="shared" si="29"/>
        <v>3000502589212.7495</v>
      </c>
      <c r="AI47" s="50">
        <f t="shared" si="29"/>
        <v>3339339761363.1714</v>
      </c>
      <c r="AJ47" s="50">
        <f t="shared" si="29"/>
        <v>3678176933513.5937</v>
      </c>
      <c r="AK47" s="50">
        <f t="shared" si="29"/>
        <v>4017014105664.0156</v>
      </c>
      <c r="AL47" s="50">
        <f t="shared" si="29"/>
        <v>4355851277814.4375</v>
      </c>
      <c r="AM47" s="50">
        <f t="shared" si="29"/>
        <v>4694688449964.8594</v>
      </c>
      <c r="AN47" s="50">
        <f t="shared" si="29"/>
        <v>5033525622115.2812</v>
      </c>
      <c r="AO47" s="50">
        <f t="shared" si="29"/>
        <v>5372362794265.7031</v>
      </c>
      <c r="AP47" s="50">
        <f t="shared" si="29"/>
        <v>5711199966416.125</v>
      </c>
      <c r="AQ47" s="50">
        <f t="shared" si="29"/>
        <v>6050037138566.5469</v>
      </c>
      <c r="AR47" s="50">
        <f t="shared" si="29"/>
        <v>6388874310716.9687</v>
      </c>
      <c r="AS47" s="50">
        <f t="shared" si="29"/>
        <v>6727711482867.3906</v>
      </c>
      <c r="AT47" s="50">
        <f t="shared" si="29"/>
        <v>7066548655017.8135</v>
      </c>
      <c r="AU47" s="50">
        <f t="shared" si="29"/>
        <v>7405385827168.2354</v>
      </c>
      <c r="AV47" s="50">
        <f t="shared" si="29"/>
        <v>7744222999318.6572</v>
      </c>
      <c r="AW47" s="50">
        <f t="shared" si="29"/>
        <v>8083060171469.0791</v>
      </c>
      <c r="AX47" s="50">
        <f t="shared" si="29"/>
        <v>8421897343619.501</v>
      </c>
      <c r="AY47" s="50">
        <f t="shared" si="29"/>
        <v>8760734515769.9229</v>
      </c>
      <c r="AZ47" s="50">
        <f t="shared" si="29"/>
        <v>9099571687920.3437</v>
      </c>
      <c r="BA47" s="50">
        <f t="shared" si="29"/>
        <v>9438408860070.7656</v>
      </c>
      <c r="BB47" s="50">
        <f t="shared" si="29"/>
        <v>9777246032221.1875</v>
      </c>
      <c r="BC47" s="50">
        <f t="shared" si="29"/>
        <v>10116083204371.607</v>
      </c>
      <c r="BD47" s="50">
        <f t="shared" si="29"/>
        <v>10454920376522.029</v>
      </c>
      <c r="BE47" s="50">
        <f t="shared" si="29"/>
        <v>10793757548672.449</v>
      </c>
      <c r="BF47" s="50">
        <f t="shared" si="29"/>
        <v>11132594720822.871</v>
      </c>
      <c r="BG47" s="50">
        <f t="shared" si="29"/>
        <v>11471431892973.291</v>
      </c>
      <c r="BH47" s="50">
        <f t="shared" si="29"/>
        <v>11810269065123.713</v>
      </c>
      <c r="BI47" s="50">
        <f t="shared" si="29"/>
        <v>12149106237274.133</v>
      </c>
      <c r="BJ47" s="50">
        <f t="shared" si="29"/>
        <v>12487943409424.555</v>
      </c>
      <c r="BK47" s="50">
        <f t="shared" si="29"/>
        <v>12826780581574.98</v>
      </c>
      <c r="BM47" s="57" t="s">
        <v>93</v>
      </c>
      <c r="BN47" s="57" t="s">
        <v>94</v>
      </c>
      <c r="BO47" s="57">
        <v>1991</v>
      </c>
      <c r="BP47" s="57">
        <v>2000</v>
      </c>
      <c r="BQ47" s="57">
        <v>2010</v>
      </c>
      <c r="BR47" s="57">
        <v>2020</v>
      </c>
      <c r="BS47" s="57">
        <v>2030</v>
      </c>
      <c r="BT47" s="57">
        <v>2040</v>
      </c>
      <c r="BU47" s="57">
        <v>2050</v>
      </c>
    </row>
    <row r="48" spans="1:75" x14ac:dyDescent="0.25">
      <c r="A48" s="50" t="s">
        <v>38</v>
      </c>
      <c r="B48" s="50" t="s">
        <v>106</v>
      </c>
      <c r="C48" s="50" t="s">
        <v>109</v>
      </c>
      <c r="D48" s="50">
        <f>D53*$D$62</f>
        <v>0</v>
      </c>
      <c r="E48" s="50">
        <f t="shared" ref="E48:BK48" si="30">E53*$D$62</f>
        <v>0</v>
      </c>
      <c r="F48" s="50">
        <f t="shared" si="30"/>
        <v>0</v>
      </c>
      <c r="G48" s="50">
        <f t="shared" si="30"/>
        <v>0</v>
      </c>
      <c r="H48" s="50">
        <f t="shared" si="30"/>
        <v>0</v>
      </c>
      <c r="I48" s="50">
        <f t="shared" si="30"/>
        <v>0</v>
      </c>
      <c r="J48" s="50">
        <f t="shared" si="30"/>
        <v>0</v>
      </c>
      <c r="K48" s="50">
        <f t="shared" si="30"/>
        <v>0</v>
      </c>
      <c r="L48" s="50">
        <f t="shared" si="30"/>
        <v>0</v>
      </c>
      <c r="M48" s="50">
        <f t="shared" si="30"/>
        <v>0</v>
      </c>
      <c r="N48" s="50">
        <f t="shared" si="30"/>
        <v>1209973112.2397101</v>
      </c>
      <c r="O48" s="50">
        <f t="shared" si="30"/>
        <v>1480539550.5759602</v>
      </c>
      <c r="P48" s="50">
        <f t="shared" si="30"/>
        <v>2006520706.7016301</v>
      </c>
      <c r="Q48" s="50">
        <f t="shared" si="30"/>
        <v>3939447342.1758003</v>
      </c>
      <c r="R48" s="50">
        <f t="shared" si="30"/>
        <v>12818355582.618181</v>
      </c>
      <c r="S48" s="50">
        <f t="shared" si="30"/>
        <v>35361951224.794533</v>
      </c>
      <c r="T48" s="50">
        <f t="shared" si="30"/>
        <v>69161110701.758881</v>
      </c>
      <c r="U48" s="50">
        <f t="shared" si="30"/>
        <v>86498642090.850327</v>
      </c>
      <c r="V48" s="50">
        <f t="shared" si="30"/>
        <v>91581621587.894943</v>
      </c>
      <c r="W48" s="50">
        <f t="shared" si="30"/>
        <v>96664601084.939575</v>
      </c>
      <c r="X48" s="50">
        <f t="shared" si="30"/>
        <v>101747580581.98418</v>
      </c>
      <c r="Y48" s="50">
        <f t="shared" si="30"/>
        <v>106830560079.02878</v>
      </c>
      <c r="Z48" s="50">
        <f t="shared" si="30"/>
        <v>111913539576.07339</v>
      </c>
      <c r="AA48" s="50">
        <f t="shared" si="30"/>
        <v>116996519073.11803</v>
      </c>
      <c r="AB48" s="50">
        <f t="shared" si="30"/>
        <v>122079498570.16263</v>
      </c>
      <c r="AC48" s="50">
        <f t="shared" si="30"/>
        <v>127162478067.20724</v>
      </c>
      <c r="AD48" s="50">
        <f t="shared" si="30"/>
        <v>132245457564.25186</v>
      </c>
      <c r="AE48" s="50">
        <f t="shared" si="30"/>
        <v>137328437061.29648</v>
      </c>
      <c r="AF48" s="50">
        <f t="shared" si="30"/>
        <v>142411304658.41595</v>
      </c>
      <c r="AG48" s="50">
        <f t="shared" si="30"/>
        <v>184353957584.67859</v>
      </c>
      <c r="AH48" s="50">
        <f t="shared" si="30"/>
        <v>226296610510.94125</v>
      </c>
      <c r="AI48" s="50">
        <f t="shared" si="30"/>
        <v>268239263437.20392</v>
      </c>
      <c r="AJ48" s="50">
        <f t="shared" si="30"/>
        <v>310181916363.46655</v>
      </c>
      <c r="AK48" s="50">
        <f t="shared" si="30"/>
        <v>352124569289.72925</v>
      </c>
      <c r="AL48" s="50">
        <f t="shared" si="30"/>
        <v>394067222215.99188</v>
      </c>
      <c r="AM48" s="50">
        <f t="shared" si="30"/>
        <v>436009875142.25452</v>
      </c>
      <c r="AN48" s="50">
        <f t="shared" si="30"/>
        <v>477952528068.51721</v>
      </c>
      <c r="AO48" s="50">
        <f t="shared" si="30"/>
        <v>519895180994.77985</v>
      </c>
      <c r="AP48" s="50">
        <f t="shared" si="30"/>
        <v>561837833921.04248</v>
      </c>
      <c r="AQ48" s="50">
        <f t="shared" si="30"/>
        <v>603780486847.30518</v>
      </c>
      <c r="AR48" s="50">
        <f t="shared" si="30"/>
        <v>645723139773.56787</v>
      </c>
      <c r="AS48" s="50">
        <f t="shared" si="30"/>
        <v>687665792699.83044</v>
      </c>
      <c r="AT48" s="50">
        <f t="shared" si="30"/>
        <v>729608445626.09302</v>
      </c>
      <c r="AU48" s="50">
        <f t="shared" si="30"/>
        <v>771551098552.35559</v>
      </c>
      <c r="AV48" s="50">
        <f t="shared" si="30"/>
        <v>813493751478.61816</v>
      </c>
      <c r="AW48" s="50">
        <f t="shared" si="30"/>
        <v>855436404404.88074</v>
      </c>
      <c r="AX48" s="50">
        <f t="shared" si="30"/>
        <v>897379057331.14331</v>
      </c>
      <c r="AY48" s="50">
        <f t="shared" si="30"/>
        <v>939321710257.40601</v>
      </c>
      <c r="AZ48" s="50">
        <f t="shared" si="30"/>
        <v>981264363183.66858</v>
      </c>
      <c r="BA48" s="50">
        <f t="shared" si="30"/>
        <v>1023207016109.9312</v>
      </c>
      <c r="BB48" s="50">
        <f t="shared" si="30"/>
        <v>1065149669036.1937</v>
      </c>
      <c r="BC48" s="50">
        <f t="shared" si="30"/>
        <v>1107092321962.4563</v>
      </c>
      <c r="BD48" s="50">
        <f t="shared" si="30"/>
        <v>1149034974888.719</v>
      </c>
      <c r="BE48" s="50">
        <f t="shared" si="30"/>
        <v>1190977627814.9814</v>
      </c>
      <c r="BF48" s="50">
        <f t="shared" si="30"/>
        <v>1232920280741.2441</v>
      </c>
      <c r="BG48" s="50">
        <f t="shared" si="30"/>
        <v>1274862933667.5068</v>
      </c>
      <c r="BH48" s="50">
        <f t="shared" si="30"/>
        <v>1316805586593.7695</v>
      </c>
      <c r="BI48" s="50">
        <f t="shared" si="30"/>
        <v>1358748239520.0322</v>
      </c>
      <c r="BJ48" s="50">
        <f t="shared" si="30"/>
        <v>1400690892446.2949</v>
      </c>
      <c r="BK48" s="50">
        <f t="shared" si="30"/>
        <v>1442633545372.5579</v>
      </c>
      <c r="BM48" s="101" t="s">
        <v>38</v>
      </c>
      <c r="BN48" s="55" t="s">
        <v>105</v>
      </c>
      <c r="BO48" s="66">
        <f>D47/1000000000000</f>
        <v>2.0945863829462043E-2</v>
      </c>
      <c r="BP48" s="66">
        <f>M47/1000000000000</f>
        <v>0.20945863829462041</v>
      </c>
      <c r="BQ48" s="67">
        <f>W47/1000000000000</f>
        <v>1.3985614148904773</v>
      </c>
      <c r="BR48" s="67">
        <f>AG47/1000000000000</f>
        <v>2.6616654170623275</v>
      </c>
      <c r="BS48" s="67">
        <f>AQ47/1000000000000</f>
        <v>6.0500371385665472</v>
      </c>
      <c r="BT48" s="58">
        <f>BA47/1000000000000</f>
        <v>9.4384088600707656</v>
      </c>
      <c r="BU48" s="58">
        <f>BK47/1000000000000</f>
        <v>12.826780581574981</v>
      </c>
    </row>
    <row r="49" spans="1:74" x14ac:dyDescent="0.25">
      <c r="A49" s="50" t="s">
        <v>71</v>
      </c>
      <c r="B49" s="50" t="s">
        <v>105</v>
      </c>
      <c r="C49" s="50" t="s">
        <v>109</v>
      </c>
      <c r="D49" s="50">
        <f>D54*$D$61</f>
        <v>38467632636.660408</v>
      </c>
      <c r="E49" s="50">
        <f t="shared" ref="E49:BK49" si="31">E54*$D$61</f>
        <v>76935265273.320816</v>
      </c>
      <c r="F49" s="50">
        <f t="shared" si="31"/>
        <v>115402897909.9812</v>
      </c>
      <c r="G49" s="50">
        <f t="shared" si="31"/>
        <v>153870530546.64163</v>
      </c>
      <c r="H49" s="50">
        <f t="shared" si="31"/>
        <v>192338163183.30203</v>
      </c>
      <c r="I49" s="50">
        <f t="shared" si="31"/>
        <v>230805795819.9624</v>
      </c>
      <c r="J49" s="50">
        <f t="shared" si="31"/>
        <v>269273428456.62283</v>
      </c>
      <c r="K49" s="50">
        <f t="shared" si="31"/>
        <v>307741061093.28326</v>
      </c>
      <c r="L49" s="50">
        <f t="shared" si="31"/>
        <v>346208693729.94366</v>
      </c>
      <c r="M49" s="50">
        <f t="shared" si="31"/>
        <v>384676326366.60406</v>
      </c>
      <c r="N49" s="50">
        <f t="shared" si="31"/>
        <v>413014964761.60956</v>
      </c>
      <c r="O49" s="50">
        <f t="shared" si="31"/>
        <v>473042309596.35553</v>
      </c>
      <c r="P49" s="50">
        <f t="shared" si="31"/>
        <v>560404066267.67346</v>
      </c>
      <c r="Q49" s="50">
        <f t="shared" si="31"/>
        <v>574487053735.35046</v>
      </c>
      <c r="R49" s="50">
        <f t="shared" si="31"/>
        <v>655601171659.73401</v>
      </c>
      <c r="S49" s="50">
        <f t="shared" si="31"/>
        <v>788161062010.43115</v>
      </c>
      <c r="T49" s="50">
        <f t="shared" si="31"/>
        <v>990135632416.01428</v>
      </c>
      <c r="U49" s="50">
        <f t="shared" si="31"/>
        <v>1207767007800.8113</v>
      </c>
      <c r="V49" s="50">
        <f t="shared" si="31"/>
        <v>1506726640075.9741</v>
      </c>
      <c r="W49" s="50">
        <f t="shared" si="31"/>
        <v>1667034381553.0754</v>
      </c>
      <c r="X49" s="50">
        <f t="shared" si="31"/>
        <v>1827342123030.177</v>
      </c>
      <c r="Y49" s="50">
        <f t="shared" si="31"/>
        <v>1987649864507.2786</v>
      </c>
      <c r="Z49" s="50">
        <f t="shared" si="31"/>
        <v>2147957605984.3799</v>
      </c>
      <c r="AA49" s="50">
        <f t="shared" si="31"/>
        <v>2308265347461.481</v>
      </c>
      <c r="AB49" s="50">
        <f t="shared" si="31"/>
        <v>2468573088938.583</v>
      </c>
      <c r="AC49" s="50">
        <f t="shared" si="31"/>
        <v>2628880830415.6846</v>
      </c>
      <c r="AD49" s="50">
        <f t="shared" si="31"/>
        <v>2789188571892.7856</v>
      </c>
      <c r="AE49" s="50">
        <f t="shared" si="31"/>
        <v>2949496313369.8872</v>
      </c>
      <c r="AF49" s="50">
        <f t="shared" si="31"/>
        <v>3109803918047.0796</v>
      </c>
      <c r="AG49" s="50">
        <f t="shared" si="31"/>
        <v>3320733124110.478</v>
      </c>
      <c r="AH49" s="50">
        <f t="shared" si="31"/>
        <v>3531662330173.8765</v>
      </c>
      <c r="AI49" s="50">
        <f t="shared" si="31"/>
        <v>3742591536237.2749</v>
      </c>
      <c r="AJ49" s="50">
        <f t="shared" si="31"/>
        <v>3953520742300.6733</v>
      </c>
      <c r="AK49" s="50">
        <f t="shared" si="31"/>
        <v>4164449948364.0718</v>
      </c>
      <c r="AL49" s="50">
        <f t="shared" si="31"/>
        <v>4375379154427.4702</v>
      </c>
      <c r="AM49" s="50">
        <f t="shared" si="31"/>
        <v>4586308360490.8682</v>
      </c>
      <c r="AN49" s="50">
        <f t="shared" si="31"/>
        <v>4797237566554.2666</v>
      </c>
      <c r="AO49" s="50">
        <f t="shared" si="31"/>
        <v>5008166772617.665</v>
      </c>
      <c r="AP49" s="50">
        <f t="shared" si="31"/>
        <v>5219095978681.0635</v>
      </c>
      <c r="AQ49" s="50">
        <f t="shared" si="31"/>
        <v>5430025184744.4619</v>
      </c>
      <c r="AR49" s="50">
        <f t="shared" si="31"/>
        <v>5640954390807.8604</v>
      </c>
      <c r="AS49" s="50">
        <f t="shared" si="31"/>
        <v>5851883596871.2588</v>
      </c>
      <c r="AT49" s="50">
        <f t="shared" si="31"/>
        <v>6062812802934.6572</v>
      </c>
      <c r="AU49" s="50">
        <f t="shared" si="31"/>
        <v>6273742008998.0557</v>
      </c>
      <c r="AV49" s="50">
        <f t="shared" si="31"/>
        <v>6484671215061.4541</v>
      </c>
      <c r="AW49" s="50">
        <f t="shared" si="31"/>
        <v>6695600421124.8525</v>
      </c>
      <c r="AX49" s="50">
        <f t="shared" si="31"/>
        <v>6906529627188.251</v>
      </c>
      <c r="AY49" s="50">
        <f t="shared" si="31"/>
        <v>7117458833251.6494</v>
      </c>
      <c r="AZ49" s="50">
        <f t="shared" si="31"/>
        <v>7328388039315.0479</v>
      </c>
      <c r="BA49" s="50">
        <f t="shared" si="31"/>
        <v>7539317245378.4463</v>
      </c>
      <c r="BB49" s="50">
        <f t="shared" si="31"/>
        <v>7750246451441.8447</v>
      </c>
      <c r="BC49" s="50">
        <f t="shared" si="31"/>
        <v>7961175657505.2432</v>
      </c>
      <c r="BD49" s="50">
        <f t="shared" si="31"/>
        <v>8172104863568.6416</v>
      </c>
      <c r="BE49" s="50">
        <f t="shared" si="31"/>
        <v>8383034069632.04</v>
      </c>
      <c r="BF49" s="50">
        <f t="shared" si="31"/>
        <v>8593963275695.4385</v>
      </c>
      <c r="BG49" s="50">
        <f t="shared" si="31"/>
        <v>8804892481758.8379</v>
      </c>
      <c r="BH49" s="50">
        <f t="shared" si="31"/>
        <v>9015821687822.2363</v>
      </c>
      <c r="BI49" s="50">
        <f t="shared" si="31"/>
        <v>9226750893885.6348</v>
      </c>
      <c r="BJ49" s="50">
        <f t="shared" si="31"/>
        <v>9437680099949.0332</v>
      </c>
      <c r="BK49" s="50">
        <f t="shared" si="31"/>
        <v>9648609306012.4395</v>
      </c>
      <c r="BM49" s="102"/>
      <c r="BN49" s="53" t="s">
        <v>106</v>
      </c>
      <c r="BO49" s="68">
        <f>D48/1000000000000</f>
        <v>0</v>
      </c>
      <c r="BP49" s="68">
        <f>M48/1000000000000</f>
        <v>0</v>
      </c>
      <c r="BQ49" s="69">
        <f>W48/1000000000000</f>
        <v>9.6664601084939572E-2</v>
      </c>
      <c r="BR49" s="69">
        <f>AG48/1000000000000</f>
        <v>0.1843539575846786</v>
      </c>
      <c r="BS49" s="69">
        <f>AQ48/1000000000000</f>
        <v>0.60378048684730523</v>
      </c>
      <c r="BT49" s="70">
        <f>BA48/1000000000000</f>
        <v>1.0232070161099311</v>
      </c>
      <c r="BU49" s="70">
        <f>BK48/1000000000000</f>
        <v>1.4426335453725578</v>
      </c>
    </row>
    <row r="50" spans="1:74" x14ac:dyDescent="0.25">
      <c r="A50" s="50" t="s">
        <v>71</v>
      </c>
      <c r="B50" s="50" t="s">
        <v>106</v>
      </c>
      <c r="C50" s="50" t="s">
        <v>109</v>
      </c>
      <c r="D50" s="50">
        <f>D55*$D$62</f>
        <v>3290087890.1688004</v>
      </c>
      <c r="E50" s="50">
        <f t="shared" ref="E50:BK50" si="32">E55*$D$62</f>
        <v>6580175780.3376007</v>
      </c>
      <c r="F50" s="50">
        <f t="shared" si="32"/>
        <v>9870263670.506403</v>
      </c>
      <c r="G50" s="50">
        <f t="shared" si="32"/>
        <v>13160351560.675201</v>
      </c>
      <c r="H50" s="50">
        <f t="shared" si="32"/>
        <v>16450439450.844002</v>
      </c>
      <c r="I50" s="50">
        <f t="shared" si="32"/>
        <v>19740527341.012802</v>
      </c>
      <c r="J50" s="50">
        <f t="shared" si="32"/>
        <v>23030615231.181599</v>
      </c>
      <c r="K50" s="50">
        <f t="shared" si="32"/>
        <v>26320703121.350399</v>
      </c>
      <c r="L50" s="50">
        <f t="shared" si="32"/>
        <v>29610791011.519199</v>
      </c>
      <c r="M50" s="50">
        <f t="shared" si="32"/>
        <v>32900878901.688004</v>
      </c>
      <c r="N50" s="50">
        <f t="shared" si="32"/>
        <v>41234325202.444504</v>
      </c>
      <c r="O50" s="50">
        <f t="shared" si="32"/>
        <v>53723671996.045807</v>
      </c>
      <c r="P50" s="50">
        <f t="shared" si="32"/>
        <v>71797510076.907303</v>
      </c>
      <c r="Q50" s="50">
        <f t="shared" si="32"/>
        <v>90910323280.980011</v>
      </c>
      <c r="R50" s="50">
        <f t="shared" si="32"/>
        <v>141395856143.01758</v>
      </c>
      <c r="S50" s="50">
        <f t="shared" si="32"/>
        <v>234394952327.95343</v>
      </c>
      <c r="T50" s="50">
        <f t="shared" si="32"/>
        <v>317922058639.61383</v>
      </c>
      <c r="U50" s="50">
        <f t="shared" si="32"/>
        <v>479341979089.91705</v>
      </c>
      <c r="V50" s="50">
        <f t="shared" si="32"/>
        <v>562425994966.79285</v>
      </c>
      <c r="W50" s="50">
        <f t="shared" si="32"/>
        <v>645510010843.6687</v>
      </c>
      <c r="X50" s="50">
        <f t="shared" si="32"/>
        <v>728594026720.54443</v>
      </c>
      <c r="Y50" s="50">
        <f t="shared" si="32"/>
        <v>811678042597.42029</v>
      </c>
      <c r="Z50" s="50">
        <f t="shared" si="32"/>
        <v>894762058474.29614</v>
      </c>
      <c r="AA50" s="50">
        <f t="shared" si="32"/>
        <v>977846074351.17212</v>
      </c>
      <c r="AB50" s="50">
        <f t="shared" si="32"/>
        <v>1060930090228.048</v>
      </c>
      <c r="AC50" s="50">
        <f t="shared" si="32"/>
        <v>1144014106104.9241</v>
      </c>
      <c r="AD50" s="50">
        <f t="shared" si="32"/>
        <v>1227098121981.7996</v>
      </c>
      <c r="AE50" s="50">
        <f t="shared" si="32"/>
        <v>1310182137858.6755</v>
      </c>
      <c r="AF50" s="50">
        <f t="shared" si="32"/>
        <v>1393265967235.6758</v>
      </c>
      <c r="AG50" s="50">
        <f t="shared" si="32"/>
        <v>2075915808900.6438</v>
      </c>
      <c r="AH50" s="50">
        <f t="shared" si="32"/>
        <v>2758565650565.6113</v>
      </c>
      <c r="AI50" s="50">
        <f t="shared" si="32"/>
        <v>3441215492230.5796</v>
      </c>
      <c r="AJ50" s="50">
        <f t="shared" si="32"/>
        <v>4123865333895.5469</v>
      </c>
      <c r="AK50" s="50">
        <f t="shared" si="32"/>
        <v>4806515175560.5146</v>
      </c>
      <c r="AL50" s="50">
        <f t="shared" si="32"/>
        <v>5489165017225.4824</v>
      </c>
      <c r="AM50" s="50">
        <f t="shared" si="32"/>
        <v>6171814858890.4502</v>
      </c>
      <c r="AN50" s="50">
        <f t="shared" si="32"/>
        <v>6854464700555.417</v>
      </c>
      <c r="AO50" s="50">
        <f t="shared" si="32"/>
        <v>7537114542220.3848</v>
      </c>
      <c r="AP50" s="50">
        <f t="shared" si="32"/>
        <v>8219764383885.3525</v>
      </c>
      <c r="AQ50" s="50">
        <f t="shared" si="32"/>
        <v>8902414225550.3203</v>
      </c>
      <c r="AR50" s="50">
        <f t="shared" si="32"/>
        <v>9585064067215.2871</v>
      </c>
      <c r="AS50" s="50">
        <f t="shared" si="32"/>
        <v>10267713908880.256</v>
      </c>
      <c r="AT50" s="50">
        <f t="shared" si="32"/>
        <v>10950363750545.223</v>
      </c>
      <c r="AU50" s="50">
        <f t="shared" si="32"/>
        <v>11633013592210.191</v>
      </c>
      <c r="AV50" s="50">
        <f t="shared" si="32"/>
        <v>12315663433875.158</v>
      </c>
      <c r="AW50" s="50">
        <f t="shared" si="32"/>
        <v>12998313275540.127</v>
      </c>
      <c r="AX50" s="50">
        <f t="shared" si="32"/>
        <v>13680963117205.094</v>
      </c>
      <c r="AY50" s="50">
        <f t="shared" si="32"/>
        <v>14363612958870.061</v>
      </c>
      <c r="AZ50" s="50">
        <f t="shared" si="32"/>
        <v>15046262800535.029</v>
      </c>
      <c r="BA50" s="50">
        <f t="shared" si="32"/>
        <v>15728912642199.996</v>
      </c>
      <c r="BB50" s="50">
        <f t="shared" si="32"/>
        <v>16411562483864.965</v>
      </c>
      <c r="BC50" s="50">
        <f t="shared" si="32"/>
        <v>17094212325529.932</v>
      </c>
      <c r="BD50" s="50">
        <f t="shared" si="32"/>
        <v>17776862167194.898</v>
      </c>
      <c r="BE50" s="50">
        <f t="shared" si="32"/>
        <v>18459512008859.867</v>
      </c>
      <c r="BF50" s="50">
        <f t="shared" si="32"/>
        <v>19142161850524.836</v>
      </c>
      <c r="BG50" s="50">
        <f t="shared" si="32"/>
        <v>19824811692189.805</v>
      </c>
      <c r="BH50" s="50">
        <f t="shared" si="32"/>
        <v>20507461533854.77</v>
      </c>
      <c r="BI50" s="50">
        <f t="shared" si="32"/>
        <v>21190111375519.738</v>
      </c>
      <c r="BJ50" s="50">
        <f t="shared" si="32"/>
        <v>21872761217184.707</v>
      </c>
      <c r="BK50" s="50">
        <f t="shared" si="32"/>
        <v>22555411058849.68</v>
      </c>
      <c r="BM50" s="102" t="s">
        <v>71</v>
      </c>
      <c r="BN50" s="53" t="s">
        <v>105</v>
      </c>
      <c r="BO50" s="69">
        <f>D49/1000000000000</f>
        <v>3.8467632636660407E-2</v>
      </c>
      <c r="BP50" s="69">
        <f>M49/1000000000000</f>
        <v>0.38467632636660404</v>
      </c>
      <c r="BQ50" s="70">
        <f>W49/1000000000000</f>
        <v>1.6670343815530755</v>
      </c>
      <c r="BR50" s="70">
        <f>AG49/1000000000000</f>
        <v>3.3207331241104781</v>
      </c>
      <c r="BS50" s="70">
        <f>AQ49/1000000000000</f>
        <v>5.4300251847444621</v>
      </c>
      <c r="BT50" s="70">
        <f>BA49/1000000000000</f>
        <v>7.5393172453784461</v>
      </c>
      <c r="BU50" s="70">
        <f>BK49/1000000000000</f>
        <v>9.6486093060124389</v>
      </c>
    </row>
    <row r="51" spans="1:74" x14ac:dyDescent="0.25">
      <c r="BM51" s="103"/>
      <c r="BN51" s="54" t="s">
        <v>106</v>
      </c>
      <c r="BO51" s="71">
        <f>D50/1000000000000</f>
        <v>3.2900878901688003E-3</v>
      </c>
      <c r="BP51" s="71">
        <f>M50/1000000000000</f>
        <v>3.2900878901688003E-2</v>
      </c>
      <c r="BQ51" s="71">
        <f>W50/1000000000000</f>
        <v>0.64551001084366866</v>
      </c>
      <c r="BR51" s="72">
        <f>AG50/1000000000000</f>
        <v>2.075915808900644</v>
      </c>
      <c r="BS51" s="59">
        <f>AQ50/1000000000000</f>
        <v>8.90241422555032</v>
      </c>
      <c r="BT51" s="59">
        <f>BA50/1000000000000</f>
        <v>15.728912642199996</v>
      </c>
      <c r="BU51" s="59">
        <f>BK50/1000000000000</f>
        <v>22.555411058849678</v>
      </c>
      <c r="BV51" s="47">
        <f>SUM(BU48:BU51)</f>
        <v>46.473434491809655</v>
      </c>
    </row>
    <row r="52" spans="1:74" x14ac:dyDescent="0.25">
      <c r="A52" s="50" t="s">
        <v>38</v>
      </c>
      <c r="B52" s="50" t="s">
        <v>105</v>
      </c>
      <c r="C52" s="50" t="s">
        <v>114</v>
      </c>
      <c r="D52" s="50">
        <v>161792820</v>
      </c>
      <c r="E52" s="50">
        <v>323585640</v>
      </c>
      <c r="F52" s="50">
        <v>485378460</v>
      </c>
      <c r="G52" s="50">
        <v>647171280</v>
      </c>
      <c r="H52" s="50">
        <v>808964100</v>
      </c>
      <c r="I52" s="50">
        <v>970756920.00000012</v>
      </c>
      <c r="J52" s="50">
        <v>1132549740</v>
      </c>
      <c r="K52" s="50">
        <v>1294342560</v>
      </c>
      <c r="L52" s="50">
        <v>1456135380</v>
      </c>
      <c r="M52" s="50">
        <v>1617928200</v>
      </c>
      <c r="N52" s="50">
        <v>1765249500</v>
      </c>
      <c r="O52" s="50">
        <v>2140221300</v>
      </c>
      <c r="P52" s="50">
        <v>2804470200</v>
      </c>
      <c r="Q52" s="50">
        <v>3395135100</v>
      </c>
      <c r="R52" s="50">
        <v>3904397700</v>
      </c>
      <c r="S52" s="50">
        <v>4884352620</v>
      </c>
      <c r="T52" s="50">
        <v>6521044740</v>
      </c>
      <c r="U52" s="50">
        <v>9283326780</v>
      </c>
      <c r="V52" s="50">
        <v>10009693172.696001</v>
      </c>
      <c r="W52" s="50">
        <v>10802953609.392</v>
      </c>
      <c r="X52" s="50">
        <v>11596214046.088001</v>
      </c>
      <c r="Y52" s="50">
        <v>12389474482.784</v>
      </c>
      <c r="Z52" s="50">
        <v>13182734919.480001</v>
      </c>
      <c r="AA52" s="50">
        <v>13975995356.175999</v>
      </c>
      <c r="AB52" s="50">
        <v>14769255792.872</v>
      </c>
      <c r="AC52" s="50">
        <v>15562516229.567999</v>
      </c>
      <c r="AD52" s="50">
        <v>16355776666.264</v>
      </c>
      <c r="AE52" s="50">
        <v>17149037102.959999</v>
      </c>
      <c r="AF52" s="50">
        <v>17942298068</v>
      </c>
      <c r="AG52" s="50">
        <v>20559589102.13398</v>
      </c>
      <c r="AH52" s="50">
        <v>23176880136.26796</v>
      </c>
      <c r="AI52" s="50">
        <v>25794171170.401939</v>
      </c>
      <c r="AJ52" s="50">
        <v>28411462204.535919</v>
      </c>
      <c r="AK52" s="50">
        <v>31028753238.669899</v>
      </c>
      <c r="AL52" s="50">
        <v>33646044272.803879</v>
      </c>
      <c r="AM52" s="50">
        <v>36263335306.937859</v>
      </c>
      <c r="AN52" s="50">
        <v>38880626341.071838</v>
      </c>
      <c r="AO52" s="50">
        <v>41497917375.205818</v>
      </c>
      <c r="AP52" s="50">
        <v>44115208409.339798</v>
      </c>
      <c r="AQ52" s="50">
        <v>46732499443.473778</v>
      </c>
      <c r="AR52" s="50">
        <v>49349790477.607758</v>
      </c>
      <c r="AS52" s="50">
        <v>51967081511.741737</v>
      </c>
      <c r="AT52" s="50">
        <v>54584372545.875717</v>
      </c>
      <c r="AU52" s="50">
        <v>57201663580.009697</v>
      </c>
      <c r="AV52" s="50">
        <v>59818954614.143677</v>
      </c>
      <c r="AW52" s="50">
        <v>62436245648.277657</v>
      </c>
      <c r="AX52" s="50">
        <v>65053536682.411636</v>
      </c>
      <c r="AY52" s="50">
        <v>67670827716.545616</v>
      </c>
      <c r="AZ52" s="50">
        <v>70288118750.679596</v>
      </c>
      <c r="BA52" s="50">
        <v>72905409784.813568</v>
      </c>
      <c r="BB52" s="50">
        <v>75522700818.94754</v>
      </c>
      <c r="BC52" s="50">
        <v>78139991853.081512</v>
      </c>
      <c r="BD52" s="50">
        <v>80757282887.215485</v>
      </c>
      <c r="BE52" s="50">
        <v>83374573921.349457</v>
      </c>
      <c r="BF52" s="50">
        <v>85991864955.483429</v>
      </c>
      <c r="BG52" s="50">
        <v>88609155989.617401</v>
      </c>
      <c r="BH52" s="50">
        <v>91226447023.751373</v>
      </c>
      <c r="BI52" s="50">
        <v>93843738057.885345</v>
      </c>
      <c r="BJ52" s="50">
        <v>96461029092.019318</v>
      </c>
      <c r="BK52" s="50">
        <v>99078320126.153336</v>
      </c>
      <c r="BM52" s="65" t="s">
        <v>120</v>
      </c>
    </row>
    <row r="53" spans="1:74" x14ac:dyDescent="0.25">
      <c r="A53" s="50" t="s">
        <v>38</v>
      </c>
      <c r="B53" s="50" t="s">
        <v>106</v>
      </c>
      <c r="C53" s="50" t="s">
        <v>114</v>
      </c>
      <c r="D53" s="50">
        <v>0</v>
      </c>
      <c r="E53" s="50">
        <v>0</v>
      </c>
      <c r="F53" s="50">
        <v>0</v>
      </c>
      <c r="G53" s="50">
        <v>0</v>
      </c>
      <c r="H53" s="50">
        <v>0</v>
      </c>
      <c r="I53" s="50">
        <v>0</v>
      </c>
      <c r="J53" s="50">
        <v>0</v>
      </c>
      <c r="K53" s="50">
        <v>0</v>
      </c>
      <c r="L53" s="50">
        <v>0</v>
      </c>
      <c r="M53" s="50">
        <v>0</v>
      </c>
      <c r="N53" s="50">
        <v>8569470</v>
      </c>
      <c r="O53" s="50">
        <v>10485720</v>
      </c>
      <c r="P53" s="50">
        <v>14210910</v>
      </c>
      <c r="Q53" s="50">
        <v>27900600</v>
      </c>
      <c r="R53" s="50">
        <v>90784260</v>
      </c>
      <c r="S53" s="50">
        <v>250446210</v>
      </c>
      <c r="T53" s="50">
        <v>489824160</v>
      </c>
      <c r="U53" s="50">
        <v>612614868</v>
      </c>
      <c r="V53" s="50">
        <v>648614378.95600009</v>
      </c>
      <c r="W53" s="50">
        <v>684613889.91200018</v>
      </c>
      <c r="X53" s="50">
        <v>720613400.86800015</v>
      </c>
      <c r="Y53" s="50">
        <v>756612911.82400012</v>
      </c>
      <c r="Z53" s="50">
        <v>792612422.78000021</v>
      </c>
      <c r="AA53" s="50">
        <v>828611933.7360003</v>
      </c>
      <c r="AB53" s="50">
        <v>864611444.69200027</v>
      </c>
      <c r="AC53" s="50">
        <v>900610955.64800036</v>
      </c>
      <c r="AD53" s="50">
        <v>936610466.60400045</v>
      </c>
      <c r="AE53" s="50">
        <v>972609977.56000042</v>
      </c>
      <c r="AF53" s="50">
        <v>1008608696.0000001</v>
      </c>
      <c r="AG53" s="50">
        <v>1305661830.7648768</v>
      </c>
      <c r="AH53" s="50">
        <v>1602714965.5297537</v>
      </c>
      <c r="AI53" s="50">
        <v>1899768100.2946305</v>
      </c>
      <c r="AJ53" s="50">
        <v>2196821235.0595074</v>
      </c>
      <c r="AK53" s="50">
        <v>2493874369.8243842</v>
      </c>
      <c r="AL53" s="50">
        <v>2790927504.5892611</v>
      </c>
      <c r="AM53" s="50">
        <v>3087980639.3541379</v>
      </c>
      <c r="AN53" s="50">
        <v>3385033774.1190147</v>
      </c>
      <c r="AO53" s="50">
        <v>3682086908.8838916</v>
      </c>
      <c r="AP53" s="50">
        <v>3979140043.6487684</v>
      </c>
      <c r="AQ53" s="50">
        <v>4276193178.4136453</v>
      </c>
      <c r="AR53" s="50">
        <v>4573246313.1785221</v>
      </c>
      <c r="AS53" s="50">
        <v>4870299447.9433985</v>
      </c>
      <c r="AT53" s="50">
        <v>5167352582.7082748</v>
      </c>
      <c r="AU53" s="50">
        <v>5464405717.4731512</v>
      </c>
      <c r="AV53" s="50">
        <v>5761458852.2380276</v>
      </c>
      <c r="AW53" s="50">
        <v>6058511987.0029039</v>
      </c>
      <c r="AX53" s="50">
        <v>6355565121.7677803</v>
      </c>
      <c r="AY53" s="50">
        <v>6652618256.5326567</v>
      </c>
      <c r="AZ53" s="50">
        <v>6949671391.297533</v>
      </c>
      <c r="BA53" s="50">
        <v>7246724526.0624094</v>
      </c>
      <c r="BB53" s="50">
        <v>7543777660.8272858</v>
      </c>
      <c r="BC53" s="50">
        <v>7840830795.5921621</v>
      </c>
      <c r="BD53" s="50">
        <v>8137883930.3570385</v>
      </c>
      <c r="BE53" s="50">
        <v>8434937065.1219149</v>
      </c>
      <c r="BF53" s="50">
        <v>8731990199.8867912</v>
      </c>
      <c r="BG53" s="50">
        <v>9029043334.6516685</v>
      </c>
      <c r="BH53" s="50">
        <v>9326096469.4165459</v>
      </c>
      <c r="BI53" s="50">
        <v>9623149604.1814232</v>
      </c>
      <c r="BJ53" s="50">
        <v>9920202738.9463005</v>
      </c>
      <c r="BK53" s="50">
        <v>10217255873.71118</v>
      </c>
    </row>
    <row r="54" spans="1:74" x14ac:dyDescent="0.25">
      <c r="A54" s="50" t="s">
        <v>71</v>
      </c>
      <c r="B54" s="50" t="s">
        <v>105</v>
      </c>
      <c r="C54" s="50" t="s">
        <v>114</v>
      </c>
      <c r="D54" s="50">
        <v>297136791</v>
      </c>
      <c r="E54" s="50">
        <v>594273582</v>
      </c>
      <c r="F54" s="50">
        <v>891410372.99999988</v>
      </c>
      <c r="G54" s="50">
        <v>1188547164</v>
      </c>
      <c r="H54" s="50">
        <v>1485683955</v>
      </c>
      <c r="I54" s="50">
        <v>1782820745.9999998</v>
      </c>
      <c r="J54" s="50">
        <v>2079957537</v>
      </c>
      <c r="K54" s="50">
        <v>2377094328</v>
      </c>
      <c r="L54" s="50">
        <v>2674231119</v>
      </c>
      <c r="M54" s="50">
        <v>2971367910</v>
      </c>
      <c r="N54" s="50">
        <v>3190264979.9999995</v>
      </c>
      <c r="O54" s="50">
        <v>3653936159.9999995</v>
      </c>
      <c r="P54" s="50">
        <v>4328747430</v>
      </c>
      <c r="Q54" s="50">
        <v>4437529110</v>
      </c>
      <c r="R54" s="50">
        <v>5064081540</v>
      </c>
      <c r="S54" s="50">
        <v>6088018230</v>
      </c>
      <c r="T54" s="50">
        <v>7648137000.000001</v>
      </c>
      <c r="U54" s="50">
        <v>9329194140</v>
      </c>
      <c r="V54" s="50">
        <v>11638457790.608002</v>
      </c>
      <c r="W54" s="50">
        <v>12876728113.216002</v>
      </c>
      <c r="X54" s="50">
        <v>14114998435.824003</v>
      </c>
      <c r="Y54" s="50">
        <v>15353268758.432003</v>
      </c>
      <c r="Z54" s="50">
        <v>16591539081.040003</v>
      </c>
      <c r="AA54" s="50">
        <v>17829809403.648003</v>
      </c>
      <c r="AB54" s="50">
        <v>19068079726.256004</v>
      </c>
      <c r="AC54" s="50">
        <v>20306350048.864006</v>
      </c>
      <c r="AD54" s="50">
        <v>21544620371.472004</v>
      </c>
      <c r="AE54" s="50">
        <v>22782890694.080006</v>
      </c>
      <c r="AF54" s="50">
        <v>24021159960</v>
      </c>
      <c r="AG54" s="50">
        <v>25650447314.640213</v>
      </c>
      <c r="AH54" s="50">
        <v>27279734669.280426</v>
      </c>
      <c r="AI54" s="50">
        <v>28909022023.920639</v>
      </c>
      <c r="AJ54" s="50">
        <v>30538309378.560852</v>
      </c>
      <c r="AK54" s="50">
        <v>32167596733.201065</v>
      </c>
      <c r="AL54" s="50">
        <v>33796884087.841278</v>
      </c>
      <c r="AM54" s="50">
        <v>35426171442.481491</v>
      </c>
      <c r="AN54" s="50">
        <v>37055458797.121704</v>
      </c>
      <c r="AO54" s="50">
        <v>38684746151.761917</v>
      </c>
      <c r="AP54" s="50">
        <v>40314033506.40213</v>
      </c>
      <c r="AQ54" s="50">
        <v>41943320861.042343</v>
      </c>
      <c r="AR54" s="50">
        <v>43572608215.682556</v>
      </c>
      <c r="AS54" s="50">
        <v>45201895570.322769</v>
      </c>
      <c r="AT54" s="50">
        <v>46831182924.962982</v>
      </c>
      <c r="AU54" s="50">
        <v>48460470279.603195</v>
      </c>
      <c r="AV54" s="50">
        <v>50089757634.243408</v>
      </c>
      <c r="AW54" s="50">
        <v>51719044988.883621</v>
      </c>
      <c r="AX54" s="50">
        <v>53348332343.523834</v>
      </c>
      <c r="AY54" s="50">
        <v>54977619698.164047</v>
      </c>
      <c r="AZ54" s="50">
        <v>56606907052.80426</v>
      </c>
      <c r="BA54" s="50">
        <v>58236194407.444473</v>
      </c>
      <c r="BB54" s="50">
        <v>59865481762.084686</v>
      </c>
      <c r="BC54" s="50">
        <v>61494769116.724899</v>
      </c>
      <c r="BD54" s="50">
        <v>63124056471.365112</v>
      </c>
      <c r="BE54" s="50">
        <v>64753343826.005325</v>
      </c>
      <c r="BF54" s="50">
        <v>66382631180.645538</v>
      </c>
      <c r="BG54" s="50">
        <v>68011918535.285751</v>
      </c>
      <c r="BH54" s="50">
        <v>69641205889.925964</v>
      </c>
      <c r="BI54" s="50">
        <v>71270493244.566177</v>
      </c>
      <c r="BJ54" s="50">
        <v>72899780599.20639</v>
      </c>
      <c r="BK54" s="50">
        <v>74529067953.846664</v>
      </c>
    </row>
    <row r="55" spans="1:74" x14ac:dyDescent="0.25">
      <c r="A55" s="50" t="s">
        <v>71</v>
      </c>
      <c r="B55" s="50" t="s">
        <v>106</v>
      </c>
      <c r="C55" s="50" t="s">
        <v>114</v>
      </c>
      <c r="D55" s="50">
        <v>23301600</v>
      </c>
      <c r="E55" s="50">
        <v>46603200</v>
      </c>
      <c r="F55" s="50">
        <v>69904800.000000015</v>
      </c>
      <c r="G55" s="50">
        <v>93206400</v>
      </c>
      <c r="H55" s="50">
        <v>116508000</v>
      </c>
      <c r="I55" s="50">
        <v>139809600</v>
      </c>
      <c r="J55" s="50">
        <v>163111199.99999997</v>
      </c>
      <c r="K55" s="50">
        <v>186412799.99999997</v>
      </c>
      <c r="L55" s="50">
        <v>209714399.99999997</v>
      </c>
      <c r="M55" s="50">
        <v>233016000</v>
      </c>
      <c r="N55" s="50">
        <v>292036500</v>
      </c>
      <c r="O55" s="50">
        <v>380490600</v>
      </c>
      <c r="P55" s="50">
        <v>508496100</v>
      </c>
      <c r="Q55" s="50">
        <v>643860000</v>
      </c>
      <c r="R55" s="50">
        <v>1001416920</v>
      </c>
      <c r="S55" s="50">
        <v>1660070370</v>
      </c>
      <c r="T55" s="50">
        <v>2251639740</v>
      </c>
      <c r="U55" s="50">
        <v>3394874372</v>
      </c>
      <c r="V55" s="50">
        <v>3983305614.2600002</v>
      </c>
      <c r="W55" s="50">
        <v>4571736856.5200005</v>
      </c>
      <c r="X55" s="50">
        <v>5160168098.7799997</v>
      </c>
      <c r="Y55" s="50">
        <v>5748599341.04</v>
      </c>
      <c r="Z55" s="50">
        <v>6337030583.3000002</v>
      </c>
      <c r="AA55" s="50">
        <v>6925461825.5600014</v>
      </c>
      <c r="AB55" s="50">
        <v>7513893067.8200016</v>
      </c>
      <c r="AC55" s="50">
        <v>8102324310.0800028</v>
      </c>
      <c r="AD55" s="50">
        <v>8690755552.3400021</v>
      </c>
      <c r="AE55" s="50">
        <v>9279186794.6000023</v>
      </c>
      <c r="AF55" s="50">
        <v>9867616716</v>
      </c>
      <c r="AG55" s="50">
        <v>14702391372.954317</v>
      </c>
      <c r="AH55" s="50">
        <v>19537166029.908634</v>
      </c>
      <c r="AI55" s="50">
        <v>24371940686.862953</v>
      </c>
      <c r="AJ55" s="50">
        <v>29206715343.817268</v>
      </c>
      <c r="AK55" s="50">
        <v>34041490000.771584</v>
      </c>
      <c r="AL55" s="50">
        <v>38876264657.725899</v>
      </c>
      <c r="AM55" s="50">
        <v>43711039314.680214</v>
      </c>
      <c r="AN55" s="50">
        <v>48545813971.634529</v>
      </c>
      <c r="AO55" s="50">
        <v>53380588628.588844</v>
      </c>
      <c r="AP55" s="50">
        <v>58215363285.543159</v>
      </c>
      <c r="AQ55" s="50">
        <v>63050137942.497475</v>
      </c>
      <c r="AR55" s="50">
        <v>67884912599.45179</v>
      </c>
      <c r="AS55" s="50">
        <v>72719687256.406113</v>
      </c>
      <c r="AT55" s="50">
        <v>77554461913.360428</v>
      </c>
      <c r="AU55" s="50">
        <v>82389236570.314743</v>
      </c>
      <c r="AV55" s="50">
        <v>87224011227.269058</v>
      </c>
      <c r="AW55" s="50">
        <v>92058785884.223373</v>
      </c>
      <c r="AX55" s="50">
        <v>96893560541.177689</v>
      </c>
      <c r="AY55" s="50">
        <v>101728335198.132</v>
      </c>
      <c r="AZ55" s="50">
        <v>106563109855.08632</v>
      </c>
      <c r="BA55" s="50">
        <v>111397884512.04063</v>
      </c>
      <c r="BB55" s="50">
        <v>116232659168.99495</v>
      </c>
      <c r="BC55" s="50">
        <v>121067433825.94926</v>
      </c>
      <c r="BD55" s="50">
        <v>125902208482.90358</v>
      </c>
      <c r="BE55" s="50">
        <v>130736983139.85789</v>
      </c>
      <c r="BF55" s="50">
        <v>135571757796.81221</v>
      </c>
      <c r="BG55" s="50">
        <v>140406532453.76654</v>
      </c>
      <c r="BH55" s="50">
        <v>145241307110.72086</v>
      </c>
      <c r="BI55" s="50">
        <v>150076081767.67517</v>
      </c>
      <c r="BJ55" s="50">
        <v>154910856424.62949</v>
      </c>
      <c r="BK55" s="50">
        <v>159745631081.58383</v>
      </c>
    </row>
    <row r="58" spans="1:74" x14ac:dyDescent="0.25">
      <c r="D58" s="50">
        <v>34.200000000000003</v>
      </c>
      <c r="E58" s="50" t="s">
        <v>115</v>
      </c>
      <c r="F58" s="50" t="s">
        <v>116</v>
      </c>
    </row>
    <row r="59" spans="1:74" x14ac:dyDescent="0.25">
      <c r="D59" s="50">
        <v>37.299999999999997</v>
      </c>
      <c r="E59" s="50" t="s">
        <v>115</v>
      </c>
      <c r="F59" s="50" t="s">
        <v>117</v>
      </c>
    </row>
    <row r="60" spans="1:74" x14ac:dyDescent="0.25">
      <c r="D60" s="50">
        <v>3.7854100000000002</v>
      </c>
      <c r="E60" s="50" t="s">
        <v>118</v>
      </c>
    </row>
    <row r="61" spans="1:74" x14ac:dyDescent="0.25">
      <c r="D61" s="50">
        <f>D58*D60</f>
        <v>129.46102200000001</v>
      </c>
      <c r="E61" s="50" t="s">
        <v>119</v>
      </c>
      <c r="F61" s="50" t="s">
        <v>116</v>
      </c>
    </row>
    <row r="62" spans="1:74" x14ac:dyDescent="0.25">
      <c r="D62" s="50">
        <f>D59*D60</f>
        <v>141.19579300000001</v>
      </c>
      <c r="E62" s="50" t="s">
        <v>119</v>
      </c>
      <c r="F62" s="50" t="s">
        <v>117</v>
      </c>
    </row>
    <row r="63" spans="1:74" x14ac:dyDescent="0.25">
      <c r="D63" s="50">
        <v>24</v>
      </c>
      <c r="E63" s="50" t="s">
        <v>115</v>
      </c>
      <c r="F63" s="50" t="s">
        <v>105</v>
      </c>
    </row>
    <row r="64" spans="1:74" x14ac:dyDescent="0.25">
      <c r="D64" s="50">
        <v>33</v>
      </c>
      <c r="E64" s="50" t="s">
        <v>115</v>
      </c>
      <c r="F64" s="50" t="s">
        <v>131</v>
      </c>
    </row>
    <row r="65" spans="4:6" x14ac:dyDescent="0.25">
      <c r="D65" s="50">
        <f>D60*D63</f>
        <v>90.84984</v>
      </c>
      <c r="E65" s="50" t="s">
        <v>119</v>
      </c>
      <c r="F65" s="50" t="s">
        <v>105</v>
      </c>
    </row>
    <row r="66" spans="4:6" x14ac:dyDescent="0.25">
      <c r="D66" s="50">
        <f>D60*D64</f>
        <v>124.91853</v>
      </c>
      <c r="E66" s="50" t="s">
        <v>119</v>
      </c>
      <c r="F66" s="50" t="s">
        <v>131</v>
      </c>
    </row>
  </sheetData>
  <mergeCells count="8">
    <mergeCell ref="BM44:BM45"/>
    <mergeCell ref="BM48:BM49"/>
    <mergeCell ref="BM50:BM51"/>
    <mergeCell ref="BM2:BM12"/>
    <mergeCell ref="BM13:BM23"/>
    <mergeCell ref="BM26:BM32"/>
    <mergeCell ref="BM33:BM39"/>
    <mergeCell ref="BM42:BM4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V66"/>
  <sheetViews>
    <sheetView workbookViewId="0">
      <pane xSplit="3" ySplit="1" topLeftCell="D29" activePane="bottomRight" state="frozenSplit"/>
      <selection pane="topRight" activeCell="K1" sqref="K1"/>
      <selection pane="bottomLeft" activeCell="A21" sqref="A21"/>
      <selection pane="bottomRight" activeCell="BM47" sqref="BM47:BU51"/>
    </sheetView>
  </sheetViews>
  <sheetFormatPr defaultRowHeight="15" x14ac:dyDescent="0.25"/>
  <cols>
    <col min="1" max="1" width="8.42578125" style="50" bestFit="1" customWidth="1"/>
    <col min="2" max="2" width="26.140625" style="50" bestFit="1" customWidth="1"/>
    <col min="3" max="3" width="15.7109375" style="50" bestFit="1" customWidth="1"/>
    <col min="4" max="4" width="12" style="50" bestFit="1" customWidth="1"/>
    <col min="5" max="55" width="9.140625" style="50"/>
    <col min="56" max="56" width="12" style="50" bestFit="1" customWidth="1"/>
    <col min="57" max="63" width="9.140625" style="50"/>
    <col min="64" max="64" width="10" style="50" bestFit="1" customWidth="1"/>
    <col min="65" max="65" width="8.42578125" style="50" bestFit="1" customWidth="1"/>
    <col min="66" max="66" width="26.140625" style="50" bestFit="1" customWidth="1"/>
    <col min="67" max="73" width="5" style="50" bestFit="1" customWidth="1"/>
    <col min="74" max="16384" width="9.140625" style="50"/>
  </cols>
  <sheetData>
    <row r="1" spans="1:73" x14ac:dyDescent="0.25">
      <c r="A1" s="50" t="s">
        <v>93</v>
      </c>
      <c r="B1" s="50" t="s">
        <v>94</v>
      </c>
      <c r="C1" s="50" t="s">
        <v>73</v>
      </c>
      <c r="D1" s="50">
        <v>1991</v>
      </c>
      <c r="E1" s="50">
        <v>1992</v>
      </c>
      <c r="F1" s="50">
        <v>1993</v>
      </c>
      <c r="G1" s="50">
        <v>1994</v>
      </c>
      <c r="H1" s="50">
        <v>1995</v>
      </c>
      <c r="I1" s="50">
        <v>1996</v>
      </c>
      <c r="J1" s="50">
        <v>1997</v>
      </c>
      <c r="K1" s="50">
        <v>1998</v>
      </c>
      <c r="L1" s="50">
        <v>1999</v>
      </c>
      <c r="M1" s="50">
        <v>2000</v>
      </c>
      <c r="N1" s="50">
        <v>2001</v>
      </c>
      <c r="O1" s="50">
        <v>2002</v>
      </c>
      <c r="P1" s="50">
        <v>2003</v>
      </c>
      <c r="Q1" s="50">
        <v>2004</v>
      </c>
      <c r="R1" s="50">
        <v>2005</v>
      </c>
      <c r="S1" s="50">
        <v>2006</v>
      </c>
      <c r="T1" s="50">
        <v>2007</v>
      </c>
      <c r="U1" s="50">
        <v>2008</v>
      </c>
      <c r="V1" s="50">
        <v>2009</v>
      </c>
      <c r="W1" s="50">
        <v>2010</v>
      </c>
      <c r="X1" s="50">
        <v>2011</v>
      </c>
      <c r="Y1" s="50">
        <v>2012</v>
      </c>
      <c r="Z1" s="50">
        <v>2013</v>
      </c>
      <c r="AA1" s="50">
        <v>2014</v>
      </c>
      <c r="AB1" s="50">
        <v>2015</v>
      </c>
      <c r="AC1" s="50">
        <v>2016</v>
      </c>
      <c r="AD1" s="50">
        <v>2017</v>
      </c>
      <c r="AE1" s="50">
        <v>2018</v>
      </c>
      <c r="AF1" s="50">
        <v>2019</v>
      </c>
      <c r="AG1" s="50">
        <v>2020</v>
      </c>
      <c r="AH1" s="50">
        <v>2021</v>
      </c>
      <c r="AI1" s="50">
        <v>2022</v>
      </c>
      <c r="AJ1" s="50">
        <v>2023</v>
      </c>
      <c r="AK1" s="50">
        <v>2024</v>
      </c>
      <c r="AL1" s="50">
        <v>2025</v>
      </c>
      <c r="AM1" s="50">
        <v>2026</v>
      </c>
      <c r="AN1" s="50">
        <v>2027</v>
      </c>
      <c r="AO1" s="50">
        <v>2028</v>
      </c>
      <c r="AP1" s="50">
        <v>2029</v>
      </c>
      <c r="AQ1" s="50">
        <v>2030</v>
      </c>
      <c r="AR1" s="50">
        <v>2031</v>
      </c>
      <c r="AS1" s="50">
        <v>2032</v>
      </c>
      <c r="AT1" s="50">
        <v>2033</v>
      </c>
      <c r="AU1" s="50">
        <v>2034</v>
      </c>
      <c r="AV1" s="50">
        <v>2035</v>
      </c>
      <c r="AW1" s="50">
        <v>2036</v>
      </c>
      <c r="AX1" s="50">
        <v>2037</v>
      </c>
      <c r="AY1" s="50">
        <v>2038</v>
      </c>
      <c r="AZ1" s="50">
        <v>2039</v>
      </c>
      <c r="BA1" s="50">
        <v>2040</v>
      </c>
      <c r="BB1" s="50">
        <v>2041</v>
      </c>
      <c r="BC1" s="50">
        <v>2042</v>
      </c>
      <c r="BD1" s="50">
        <v>2043</v>
      </c>
      <c r="BE1" s="50">
        <v>2044</v>
      </c>
      <c r="BF1" s="50">
        <v>2045</v>
      </c>
      <c r="BG1" s="50">
        <v>2046</v>
      </c>
      <c r="BH1" s="50">
        <v>2047</v>
      </c>
      <c r="BI1" s="50">
        <v>2048</v>
      </c>
      <c r="BJ1" s="50">
        <v>2049</v>
      </c>
      <c r="BK1" s="50">
        <v>2050</v>
      </c>
      <c r="BM1" s="56" t="s">
        <v>93</v>
      </c>
      <c r="BN1" s="56" t="s">
        <v>94</v>
      </c>
      <c r="BO1" s="56">
        <v>1991</v>
      </c>
      <c r="BP1" s="56">
        <v>2000</v>
      </c>
      <c r="BQ1" s="56">
        <v>2010</v>
      </c>
      <c r="BR1" s="56">
        <v>2020</v>
      </c>
      <c r="BS1" s="56">
        <v>2030</v>
      </c>
      <c r="BT1" s="56">
        <v>2040</v>
      </c>
      <c r="BU1" s="56">
        <v>2050</v>
      </c>
    </row>
    <row r="2" spans="1:73" x14ac:dyDescent="0.25">
      <c r="A2" s="50" t="s">
        <v>71</v>
      </c>
      <c r="B2" s="50" t="s">
        <v>96</v>
      </c>
      <c r="C2" s="50" t="s">
        <v>92</v>
      </c>
      <c r="D2" s="51">
        <f>'LUC-2013-01-08-Run4'!AF2</f>
        <v>1.0508415631190336E-5</v>
      </c>
      <c r="E2" s="51">
        <f>'LUC-2013-01-08-Run4'!AG2</f>
        <v>1.0527618537027347E-5</v>
      </c>
      <c r="F2" s="51">
        <f>'LUC-2013-01-08-Run4'!AH2</f>
        <v>1.0524144816427411E-5</v>
      </c>
      <c r="G2" s="51">
        <f>'LUC-2013-01-08-Run4'!AI2</f>
        <v>1.0522462802637258E-5</v>
      </c>
      <c r="H2" s="51">
        <f>'LUC-2013-01-08-Run4'!AJ2</f>
        <v>1.05226809524005E-5</v>
      </c>
      <c r="I2" s="51">
        <f>'LUC-2013-01-08-Run4'!AK2</f>
        <v>1.0524797835739828E-5</v>
      </c>
      <c r="J2" s="51">
        <f>'LUC-2013-01-08-Run4'!AL2</f>
        <v>1.0528848568531622E-5</v>
      </c>
      <c r="K2" s="51">
        <f>'LUC-2013-01-08-Run4'!AM2</f>
        <v>1.0535257891350468E-5</v>
      </c>
      <c r="L2" s="51">
        <f>'LUC-2013-01-08-Run4'!AN2</f>
        <v>1.0544407835154982E-5</v>
      </c>
      <c r="M2" s="51">
        <f>'LUC-2013-01-08-Run4'!AO2</f>
        <v>1.0556611219831291E-5</v>
      </c>
      <c r="N2" s="51">
        <f>'LUC-2013-01-08-Run4'!AP2</f>
        <v>1.0571844928448045E-5</v>
      </c>
      <c r="O2" s="51">
        <f>'LUC-2013-01-08-Run4'!AQ2</f>
        <v>1.0589980349233616E-5</v>
      </c>
      <c r="P2" s="51">
        <f>'LUC-2013-01-08-Run4'!AR2</f>
        <v>1.0610719107102551E-5</v>
      </c>
      <c r="Q2" s="51">
        <f>'LUC-2013-01-08-Run4'!AS2</f>
        <v>1.0633798162037924E-5</v>
      </c>
      <c r="R2" s="51">
        <f>'LUC-2013-01-08-Run4'!AT2</f>
        <v>1.0658934712118934E-5</v>
      </c>
      <c r="S2" s="51">
        <f>'LUC-2013-01-08-Run4'!AU2</f>
        <v>1.0847332703046877E-5</v>
      </c>
      <c r="T2" s="51">
        <f>'LUC-2013-01-08-Run4'!AV2</f>
        <v>1.0964836112430804E-5</v>
      </c>
      <c r="U2" s="51">
        <f>'LUC-2013-01-08-Run4'!AW2</f>
        <v>1.1083992348417336E-5</v>
      </c>
      <c r="V2" s="51">
        <f>'LUC-2013-01-08-Run4'!AX2</f>
        <v>1.1204770395154344E-5</v>
      </c>
      <c r="W2" s="51">
        <f>'LUC-2013-01-08-Run4'!AY2</f>
        <v>1.1327126153256903E-5</v>
      </c>
      <c r="X2" s="51">
        <f>'LUC-2013-01-08-Run4'!AZ2</f>
        <v>1.1451082991095796E-5</v>
      </c>
      <c r="Y2" s="51">
        <f>'LUC-2013-01-08-Run4'!BA2</f>
        <v>1.1576694440980276E-5</v>
      </c>
      <c r="Z2" s="51">
        <f>'LUC-2013-01-08-Run4'!BB2</f>
        <v>1.1703990120910524E-5</v>
      </c>
      <c r="AA2" s="51">
        <f>'LUC-2013-01-08-Run4'!BC2</f>
        <v>1.1833062981199678E-5</v>
      </c>
      <c r="AB2" s="51">
        <f>'LUC-2013-01-08-Run4'!BD2</f>
        <v>1.1963939200804165E-5</v>
      </c>
      <c r="AC2" s="51">
        <f>'LUC-2013-01-08-Run4'!BE2</f>
        <v>1.2096649107742124E-5</v>
      </c>
      <c r="AD2" s="51">
        <f>'LUC-2013-01-08-Run4'!BF2</f>
        <v>1.2231179027703737E-5</v>
      </c>
      <c r="AE2" s="51">
        <f>'LUC-2013-01-08-Run4'!BG2</f>
        <v>1.2367491102724216E-5</v>
      </c>
      <c r="AF2" s="51">
        <f>'LUC-2013-01-08-Run4'!BH2</f>
        <v>1.2505587125350255E-5</v>
      </c>
      <c r="AG2" s="51">
        <f>'LUC-2013-01-08-Run4'!BI2</f>
        <v>1.2645391460335783E-5</v>
      </c>
      <c r="AH2" s="51">
        <f>'LUC-2013-01-08-Run4'!BJ2</f>
        <v>1.2786912777983501E-5</v>
      </c>
      <c r="AI2" s="51">
        <f>'LUC-2013-01-08-Run4'!BK2</f>
        <v>1.2930111981195844E-5</v>
      </c>
      <c r="AJ2" s="51">
        <f>'LUC-2013-01-08-Run4'!BL2</f>
        <v>1.3074987114622234E-5</v>
      </c>
      <c r="AK2" s="51">
        <f>'LUC-2013-01-08-Run4'!BM2</f>
        <v>1.3221532009949526E-5</v>
      </c>
      <c r="AL2" s="51">
        <f>'LUC-2013-01-08-Run4'!BN2</f>
        <v>1.336975621292177E-5</v>
      </c>
      <c r="AM2" s="51">
        <f>'LUC-2013-01-08-Run4'!BO2</f>
        <v>1.3519600210944814E-5</v>
      </c>
      <c r="AN2" s="51">
        <f>'LUC-2013-01-08-Run4'!BP2</f>
        <v>1.3671072306706926E-5</v>
      </c>
      <c r="AO2" s="51">
        <f>'LUC-2013-01-08-Run4'!BQ2</f>
        <v>1.3824160526861523E-5</v>
      </c>
      <c r="AP2" s="51">
        <f>'LUC-2013-01-08-Run4'!BR2</f>
        <v>1.3978932771532774E-5</v>
      </c>
      <c r="AQ2" s="51">
        <f>'LUC-2013-01-08-Run4'!BS2</f>
        <v>1.4135376399489679E-5</v>
      </c>
      <c r="AR2" s="51">
        <f>'LUC-2013-01-08-Run4'!BT2</f>
        <v>1.4293509548508365E-5</v>
      </c>
      <c r="AS2" s="51">
        <f>'LUC-2013-01-08-Run4'!BU2</f>
        <v>1.4453326694501365E-5</v>
      </c>
      <c r="AT2" s="51">
        <f>'LUC-2013-01-08-Run4'!BV2</f>
        <v>1.461472877710608E-5</v>
      </c>
      <c r="AU2" s="51">
        <f>'LUC-2013-01-08-Run4'!BW2</f>
        <v>1.4777608887724497E-5</v>
      </c>
      <c r="AV2" s="51">
        <f>'LUC-2013-01-08-Run4'!BX2</f>
        <v>1.4941900379275375E-5</v>
      </c>
      <c r="AW2" s="51">
        <f>'LUC-2013-01-08-Run4'!BY2</f>
        <v>1.5107582006366144E-5</v>
      </c>
      <c r="AX2" s="51">
        <f>'LUC-2013-01-08-Run4'!BZ2</f>
        <v>1.5274650565041359E-5</v>
      </c>
      <c r="AY2" s="51">
        <f>'LUC-2013-01-08-Run4'!CA2</f>
        <v>1.5443152813069433E-5</v>
      </c>
      <c r="AZ2" s="51">
        <f>'LUC-2013-01-08-Run4'!CB2</f>
        <v>1.561315753966831E-5</v>
      </c>
      <c r="BA2" s="51">
        <f>'LUC-2013-01-08-Run4'!CC2</f>
        <v>1.5784720843484096E-5</v>
      </c>
      <c r="BB2" s="51">
        <f>'LUC-2013-01-08-Run4'!CD2</f>
        <v>1.5957833983506664E-5</v>
      </c>
      <c r="BC2" s="51">
        <f>'LUC-2013-01-08-Run4'!CE2</f>
        <v>1.6132524720255121E-5</v>
      </c>
      <c r="BD2" s="51">
        <f>'LUC-2013-01-08-Run4'!CF2</f>
        <v>1.6308756580048994E-5</v>
      </c>
      <c r="BE2" s="51">
        <f>'LUC-2013-01-08-Run4'!CG2</f>
        <v>1.648651616536634E-5</v>
      </c>
      <c r="BF2" s="51">
        <f>'LUC-2013-01-08-Run4'!CH2</f>
        <v>1.6665822935154385E-5</v>
      </c>
      <c r="BG2" s="51">
        <f>'LUC-2013-01-08-Run4'!CI2</f>
        <v>1.6846654192520645E-5</v>
      </c>
      <c r="BH2" s="51">
        <f>'LUC-2013-01-08-Run4'!CJ2</f>
        <v>1.7029046477618662E-5</v>
      </c>
      <c r="BI2" s="51">
        <f>'LUC-2013-01-08-Run4'!CK2</f>
        <v>1.7213053532147078E-5</v>
      </c>
      <c r="BJ2" s="51">
        <f>'LUC-2013-01-08-Run4'!CL2</f>
        <v>1.7398717254626916E-5</v>
      </c>
      <c r="BK2" s="51">
        <f>'LUC-2013-01-08-Run4'!CM2</f>
        <v>1.7586114631468625E-5</v>
      </c>
      <c r="BM2" s="104" t="s">
        <v>71</v>
      </c>
      <c r="BN2" s="50" t="s">
        <v>96</v>
      </c>
      <c r="BO2" s="64">
        <f>D2*1000000</f>
        <v>10.508415631190337</v>
      </c>
      <c r="BP2" s="64">
        <f t="shared" ref="BP2:BP12" si="0">M2*1000000</f>
        <v>10.556611219831291</v>
      </c>
      <c r="BQ2" s="64">
        <f t="shared" ref="BQ2:BQ12" si="1">W2*1000000</f>
        <v>11.327126153256904</v>
      </c>
      <c r="BR2" s="64">
        <f t="shared" ref="BR2:BR12" si="2">AG2*1000000</f>
        <v>12.645391460335782</v>
      </c>
      <c r="BS2" s="64">
        <f t="shared" ref="BS2:BS12" si="3">AQ2*1000000</f>
        <v>14.135376399489679</v>
      </c>
      <c r="BT2" s="64">
        <f t="shared" ref="BT2:BT12" si="4">BA2*1000000</f>
        <v>15.784720843484095</v>
      </c>
      <c r="BU2" s="64">
        <f t="shared" ref="BU2:BU12" si="5">BK2*1000000</f>
        <v>17.586114631468625</v>
      </c>
    </row>
    <row r="3" spans="1:73" x14ac:dyDescent="0.25">
      <c r="A3" s="50" t="s">
        <v>71</v>
      </c>
      <c r="B3" s="50" t="s">
        <v>97</v>
      </c>
      <c r="C3" s="50" t="s">
        <v>92</v>
      </c>
      <c r="D3" s="51">
        <f>'LUC-2013-01-08-Run4'!AF3</f>
        <v>7.0000430409191978E-5</v>
      </c>
      <c r="E3" s="51">
        <f>'LUC-2013-01-08-Run4'!AG3</f>
        <v>7.0630961246729871E-5</v>
      </c>
      <c r="F3" s="51">
        <f>'LUC-2013-01-08-Run4'!AH3</f>
        <v>7.1066274150239037E-5</v>
      </c>
      <c r="G3" s="51">
        <f>'LUC-2013-01-08-Run4'!AI3</f>
        <v>7.150778011594632E-5</v>
      </c>
      <c r="H3" s="51">
        <f>'LUC-2013-01-08-Run4'!AJ3</f>
        <v>7.1952944698856812E-5</v>
      </c>
      <c r="I3" s="51">
        <f>'LUC-2013-01-08-Run4'!AK3</f>
        <v>7.2400861735737981E-5</v>
      </c>
      <c r="J3" s="51">
        <f>'LUC-2013-01-08-Run4'!AL3</f>
        <v>7.285284622485931E-5</v>
      </c>
      <c r="K3" s="51">
        <f>'LUC-2013-01-08-Run4'!AM3</f>
        <v>7.3313273932656012E-5</v>
      </c>
      <c r="L3" s="51">
        <f>'LUC-2013-01-08-Run4'!AN3</f>
        <v>7.3787111123243884E-5</v>
      </c>
      <c r="M3" s="51">
        <f>'LUC-2013-01-08-Run4'!AO3</f>
        <v>7.4277957562576602E-5</v>
      </c>
      <c r="N3" s="51">
        <f>'LUC-2013-01-08-Run4'!AP3</f>
        <v>7.478586235260993E-5</v>
      </c>
      <c r="O3" s="51">
        <f>'LUC-2013-01-08-Run4'!AQ3</f>
        <v>7.5308758342790844E-5</v>
      </c>
      <c r="P3" s="51">
        <f>'LUC-2013-01-08-Run4'!AR3</f>
        <v>7.5842609785929511E-5</v>
      </c>
      <c r="Q3" s="51">
        <f>'LUC-2013-01-08-Run4'!AS3</f>
        <v>7.6383079700261544E-5</v>
      </c>
      <c r="R3" s="51">
        <f>'LUC-2013-01-08-Run4'!AT3</f>
        <v>7.6926134271035562E-5</v>
      </c>
      <c r="S3" s="51">
        <f>'LUC-2013-01-08-Run4'!AU3</f>
        <v>7.8564814285327943E-5</v>
      </c>
      <c r="T3" s="51">
        <f>'LUC-2013-01-08-Run4'!AV3</f>
        <v>7.975963310304218E-5</v>
      </c>
      <c r="U3" s="51">
        <f>'LUC-2013-01-08-Run4'!AW3</f>
        <v>8.0954261880852003E-5</v>
      </c>
      <c r="V3" s="51">
        <f>'LUC-2013-01-08-Run4'!AX3</f>
        <v>8.2147891965987329E-5</v>
      </c>
      <c r="W3" s="51">
        <f>'LUC-2013-01-08-Run4'!AY3</f>
        <v>8.3339977261299875E-5</v>
      </c>
      <c r="X3" s="51">
        <f>'LUC-2013-01-08-Run4'!AZ3</f>
        <v>8.4530221105783915E-5</v>
      </c>
      <c r="Y3" s="51">
        <f>'LUC-2013-01-08-Run4'!BA3</f>
        <v>8.5718612444647251E-5</v>
      </c>
      <c r="Z3" s="51">
        <f>'LUC-2013-01-08-Run4'!BB3</f>
        <v>8.6905669889591832E-5</v>
      </c>
      <c r="AA3" s="51">
        <f>'LUC-2013-01-08-Run4'!BC3</f>
        <v>8.8092572774455127E-5</v>
      </c>
      <c r="AB3" s="51">
        <f>'LUC-2013-01-08-Run4'!BD3</f>
        <v>8.9279966565095401E-5</v>
      </c>
      <c r="AC3" s="51">
        <f>'LUC-2013-01-08-Run4'!BE3</f>
        <v>9.0467983154341602E-5</v>
      </c>
      <c r="AD3" s="51">
        <f>'LUC-2013-01-08-Run4'!BF3</f>
        <v>9.1656451978961193E-5</v>
      </c>
      <c r="AE3" s="51">
        <f>'LUC-2013-01-08-Run4'!BG3</f>
        <v>9.2845626529475093E-5</v>
      </c>
      <c r="AF3" s="51">
        <f>'LUC-2013-01-08-Run4'!BH3</f>
        <v>9.4035979030347884E-5</v>
      </c>
      <c r="AG3" s="51">
        <f>'LUC-2013-01-08-Run4'!BI3</f>
        <v>9.5227510574324398E-5</v>
      </c>
      <c r="AH3" s="51">
        <f>'LUC-2013-01-08-Run4'!BJ3</f>
        <v>9.6420416442247414E-5</v>
      </c>
      <c r="AI3" s="51">
        <f>'LUC-2013-01-08-Run4'!BK3</f>
        <v>9.7614503715712849E-5</v>
      </c>
      <c r="AJ3" s="51">
        <f>'LUC-2013-01-08-Run4'!BL3</f>
        <v>9.8809372181047912E-5</v>
      </c>
      <c r="AK3" s="51">
        <f>'LUC-2013-01-08-Run4'!BM3</f>
        <v>1.0000446419189215E-4</v>
      </c>
      <c r="AL3" s="51">
        <f>'LUC-2013-01-08-Run4'!BN3</f>
        <v>1.011995727197744E-4</v>
      </c>
      <c r="AM3" s="51">
        <f>'LUC-2013-01-08-Run4'!BO3</f>
        <v>1.0239414762549752E-4</v>
      </c>
      <c r="AN3" s="51">
        <f>'LUC-2013-01-08-Run4'!BP3</f>
        <v>1.0358838103355418E-4</v>
      </c>
      <c r="AO3" s="51">
        <f>'LUC-2013-01-08-Run4'!BQ3</f>
        <v>1.0478175869485435E-4</v>
      </c>
      <c r="AP3" s="51">
        <f>'LUC-2013-01-08-Run4'!BR3</f>
        <v>1.0597432428171442E-4</v>
      </c>
      <c r="AQ3" s="51">
        <f>'LUC-2013-01-08-Run4'!BS3</f>
        <v>1.0716564825407785E-4</v>
      </c>
      <c r="AR3" s="51">
        <f>'LUC-2013-01-08-Run4'!BT3</f>
        <v>1.0822524976050468E-4</v>
      </c>
      <c r="AS3" s="51">
        <f>'LUC-2013-01-08-Run4'!BU3</f>
        <v>1.0928722791460635E-4</v>
      </c>
      <c r="AT3" s="51">
        <f>'LUC-2013-01-08-Run4'!BV3</f>
        <v>1.1035132417498938E-4</v>
      </c>
      <c r="AU3" s="51">
        <f>'LUC-2013-01-08-Run4'!BW3</f>
        <v>1.1141783799382022E-4</v>
      </c>
      <c r="AV3" s="51">
        <f>'LUC-2013-01-08-Run4'!BX3</f>
        <v>1.1248685991353272E-4</v>
      </c>
      <c r="AW3" s="51">
        <f>'LUC-2013-01-08-Run4'!BY3</f>
        <v>1.1355858475974895E-4</v>
      </c>
      <c r="AX3" s="51">
        <f>'LUC-2013-01-08-Run4'!BZ3</f>
        <v>1.1463260759244673E-4</v>
      </c>
      <c r="AY3" s="51">
        <f>'LUC-2013-01-08-Run4'!CA3</f>
        <v>1.157091962436633E-4</v>
      </c>
      <c r="AZ3" s="51">
        <f>'LUC-2013-01-08-Run4'!CB3</f>
        <v>1.1678823506150475E-4</v>
      </c>
      <c r="BA3" s="51">
        <f>'LUC-2013-01-08-Run4'!CC3</f>
        <v>1.1786969517439455E-4</v>
      </c>
      <c r="BB3" s="51">
        <f>'LUC-2013-01-08-Run4'!CD3</f>
        <v>1.1895337378753631E-4</v>
      </c>
      <c r="BC3" s="51">
        <f>'LUC-2013-01-08-Run4'!CE3</f>
        <v>1.2003930941952695E-4</v>
      </c>
      <c r="BD3" s="51">
        <f>'LUC-2013-01-08-Run4'!CF3</f>
        <v>1.2112747901802054E-4</v>
      </c>
      <c r="BE3" s="51">
        <f>'LUC-2013-01-08-Run4'!CG3</f>
        <v>1.2221779370117183E-4</v>
      </c>
      <c r="BF3" s="51">
        <f>'LUC-2013-01-08-Run4'!CH3</f>
        <v>1.2331033229500272E-4</v>
      </c>
      <c r="BG3" s="51">
        <f>'LUC-2013-01-08-Run4'!CI3</f>
        <v>1.2440494790464076E-4</v>
      </c>
      <c r="BH3" s="51">
        <f>'LUC-2013-01-08-Run4'!CJ3</f>
        <v>1.2550153274019381E-4</v>
      </c>
      <c r="BI3" s="51">
        <f>'LUC-2013-01-08-Run4'!CK3</f>
        <v>1.2659968153820708E-4</v>
      </c>
      <c r="BJ3" s="51">
        <f>'LUC-2013-01-08-Run4'!CL3</f>
        <v>1.276994691580742E-4</v>
      </c>
      <c r="BK3" s="51">
        <f>'LUC-2013-01-08-Run4'!CM3</f>
        <v>1.288003541120989E-4</v>
      </c>
      <c r="BM3" s="105"/>
      <c r="BN3" s="50" t="s">
        <v>97</v>
      </c>
      <c r="BO3" s="64">
        <f t="shared" ref="BO3:BO12" si="6">D3*1000000</f>
        <v>70.000430409191978</v>
      </c>
      <c r="BP3" s="64">
        <f t="shared" si="0"/>
        <v>74.277957562576603</v>
      </c>
      <c r="BQ3" s="64">
        <f t="shared" si="1"/>
        <v>83.339977261299879</v>
      </c>
      <c r="BR3" s="64">
        <f t="shared" si="2"/>
        <v>95.227510574324398</v>
      </c>
      <c r="BS3" s="64">
        <f t="shared" si="3"/>
        <v>107.16564825407785</v>
      </c>
      <c r="BT3" s="64">
        <f t="shared" si="4"/>
        <v>117.86969517439455</v>
      </c>
      <c r="BU3" s="64">
        <f t="shared" si="5"/>
        <v>128.80035411209889</v>
      </c>
    </row>
    <row r="4" spans="1:73" x14ac:dyDescent="0.25">
      <c r="A4" s="50" t="s">
        <v>71</v>
      </c>
      <c r="B4" s="50" t="s">
        <v>95</v>
      </c>
      <c r="C4" s="50" t="s">
        <v>92</v>
      </c>
      <c r="D4" s="51">
        <f>'LUC-2013-01-08-Run4'!AF4</f>
        <v>1.3228986578653787E-5</v>
      </c>
      <c r="E4" s="51">
        <f>'LUC-2013-01-08-Run4'!AG4</f>
        <v>1.3351004035312167E-5</v>
      </c>
      <c r="F4" s="51">
        <f>'LUC-2013-01-08-Run4'!AH4</f>
        <v>1.3448210690384045E-5</v>
      </c>
      <c r="G4" s="51">
        <f>'LUC-2013-01-08-Run4'!AI4</f>
        <v>1.3548882358160103E-5</v>
      </c>
      <c r="H4" s="51">
        <f>'LUC-2013-01-08-Run4'!AJ4</f>
        <v>1.365327018224468E-5</v>
      </c>
      <c r="I4" s="51">
        <f>'LUC-2013-01-08-Run4'!AK4</f>
        <v>1.3761500883312822E-5</v>
      </c>
      <c r="J4" s="51">
        <f>'LUC-2013-01-08-Run4'!AL4</f>
        <v>1.387370090955609E-5</v>
      </c>
      <c r="K4" s="51">
        <f>'LUC-2013-01-08-Run4'!AM4</f>
        <v>1.3990474699641369E-5</v>
      </c>
      <c r="L4" s="51">
        <f>'LUC-2013-01-08-Run4'!AN4</f>
        <v>1.4112378817260886E-5</v>
      </c>
      <c r="M4" s="51">
        <f>'LUC-2013-01-08-Run4'!AO4</f>
        <v>1.4239928335395459E-5</v>
      </c>
      <c r="N4" s="51">
        <f>'LUC-2013-01-08-Run4'!AP4</f>
        <v>1.4373258842965937E-5</v>
      </c>
      <c r="O4" s="51">
        <f>'LUC-2013-01-08-Run4'!AQ4</f>
        <v>1.4512396972370334E-5</v>
      </c>
      <c r="P4" s="51">
        <f>'LUC-2013-01-08-Run4'!AR4</f>
        <v>1.4657165111117269E-5</v>
      </c>
      <c r="Q4" s="51">
        <f>'LUC-2013-01-08-Run4'!AS4</f>
        <v>1.4807426681632889E-5</v>
      </c>
      <c r="R4" s="51">
        <f>'LUC-2013-01-08-Run4'!AT4</f>
        <v>1.4962997035753534E-5</v>
      </c>
      <c r="S4" s="51">
        <f>'LUC-2013-01-08-Run4'!AU4</f>
        <v>1.5469466422515655E-5</v>
      </c>
      <c r="T4" s="51">
        <f>'LUC-2013-01-08-Run4'!AV4</f>
        <v>1.5574976370094695E-5</v>
      </c>
      <c r="U4" s="51">
        <f>'LUC-2013-01-08-Run4'!AW4</f>
        <v>1.5682744238183712E-5</v>
      </c>
      <c r="V4" s="51">
        <f>'LUC-2013-01-08-Run4'!AX4</f>
        <v>1.579276536744829E-5</v>
      </c>
      <c r="W4" s="51">
        <f>'LUC-2013-01-08-Run4'!AY4</f>
        <v>1.590501523153287E-5</v>
      </c>
      <c r="X4" s="51">
        <f>'LUC-2013-01-08-Run4'!AZ4</f>
        <v>1.6019564264837292E-5</v>
      </c>
      <c r="Y4" s="51">
        <f>'LUC-2013-01-08-Run4'!BA4</f>
        <v>1.6136521123591277E-5</v>
      </c>
      <c r="Z4" s="51">
        <f>'LUC-2013-01-08-Run4'!BB4</f>
        <v>1.6255961000692786E-5</v>
      </c>
      <c r="AA4" s="51">
        <f>'LUC-2013-01-08-Run4'!BC4</f>
        <v>1.6378047391306338E-5</v>
      </c>
      <c r="AB4" s="51">
        <f>'LUC-2013-01-08-Run4'!BD4</f>
        <v>1.6502859414118649E-5</v>
      </c>
      <c r="AC4" s="51">
        <f>'LUC-2013-01-08-Run4'!BE4</f>
        <v>1.6630485774268858E-5</v>
      </c>
      <c r="AD4" s="51">
        <f>'LUC-2013-01-08-Run4'!BF4</f>
        <v>1.6760961637346351E-5</v>
      </c>
      <c r="AE4" s="51">
        <f>'LUC-2013-01-08-Run4'!BG4</f>
        <v>1.6894312433243585E-5</v>
      </c>
      <c r="AF4" s="51">
        <f>'LUC-2013-01-08-Run4'!BH4</f>
        <v>1.703062755161906E-5</v>
      </c>
      <c r="AG4" s="51">
        <f>'LUC-2013-01-08-Run4'!BI4</f>
        <v>1.716988964677118E-5</v>
      </c>
      <c r="AH4" s="51">
        <f>'LUC-2013-01-08-Run4'!BJ4</f>
        <v>1.7312207426551629E-5</v>
      </c>
      <c r="AI4" s="51">
        <f>'LUC-2013-01-08-Run4'!BK4</f>
        <v>1.7457606054617057E-5</v>
      </c>
      <c r="AJ4" s="51">
        <f>'LUC-2013-01-08-Run4'!BL4</f>
        <v>1.7606171496817636E-5</v>
      </c>
      <c r="AK4" s="51">
        <f>'LUC-2013-01-08-Run4'!BM4</f>
        <v>1.7757977604245819E-5</v>
      </c>
      <c r="AL4" s="51">
        <f>'LUC-2013-01-08-Run4'!BN4</f>
        <v>1.7913133711696151E-5</v>
      </c>
      <c r="AM4" s="51">
        <f>'LUC-2013-01-08-Run4'!BO4</f>
        <v>1.8071652865918737E-5</v>
      </c>
      <c r="AN4" s="51">
        <f>'LUC-2013-01-08-Run4'!BP4</f>
        <v>1.8233635514169785E-5</v>
      </c>
      <c r="AO4" s="51">
        <f>'LUC-2013-01-08-Run4'!BQ4</f>
        <v>1.8399148666801222E-5</v>
      </c>
      <c r="AP4" s="51">
        <f>'LUC-2013-01-08-Run4'!BR4</f>
        <v>1.8568334276582576E-5</v>
      </c>
      <c r="AQ4" s="51">
        <f>'LUC-2013-01-08-Run4'!BS4</f>
        <v>1.8741252850249103E-5</v>
      </c>
      <c r="AR4" s="51">
        <f>'LUC-2013-01-08-Run4'!BT4</f>
        <v>1.8917994086357809E-5</v>
      </c>
      <c r="AS4" s="51">
        <f>'LUC-2013-01-08-Run4'!BU4</f>
        <v>1.9098656551532022E-5</v>
      </c>
      <c r="AT4" s="51">
        <f>'LUC-2013-01-08-Run4'!BV4</f>
        <v>1.9283182040007754E-5</v>
      </c>
      <c r="AU4" s="51">
        <f>'LUC-2013-01-08-Run4'!BW4</f>
        <v>1.947151926724002E-5</v>
      </c>
      <c r="AV4" s="51">
        <f>'LUC-2013-01-08-Run4'!BX4</f>
        <v>1.9663666430494453E-5</v>
      </c>
      <c r="AW4" s="51">
        <f>'LUC-2013-01-08-Run4'!BY4</f>
        <v>1.9859684135003457E-5</v>
      </c>
      <c r="AX4" s="51">
        <f>'LUC-2013-01-08-Run4'!BZ4</f>
        <v>2.0059662924267403E-5</v>
      </c>
      <c r="AY4" s="51">
        <f>'LUC-2013-01-08-Run4'!CA4</f>
        <v>2.0263768203733196E-5</v>
      </c>
      <c r="AZ4" s="51">
        <f>'LUC-2013-01-08-Run4'!CB4</f>
        <v>2.0472217863934785E-5</v>
      </c>
      <c r="BA4" s="51">
        <f>'LUC-2013-01-08-Run4'!CC4</f>
        <v>2.0685177630400022E-5</v>
      </c>
      <c r="BB4" s="51">
        <f>'LUC-2013-01-08-Run4'!CD4</f>
        <v>2.0902762801762623E-5</v>
      </c>
      <c r="BC4" s="51">
        <f>'LUC-2013-01-08-Run4'!CE4</f>
        <v>2.1125137609645198E-5</v>
      </c>
      <c r="BD4" s="51">
        <f>'LUC-2013-01-08-Run4'!CF4</f>
        <v>2.13523592396579E-5</v>
      </c>
      <c r="BE4" s="51">
        <f>'LUC-2013-01-08-Run4'!CG4</f>
        <v>2.1584550274591934E-5</v>
      </c>
      <c r="BF4" s="51">
        <f>'LUC-2013-01-08-Run4'!CH4</f>
        <v>2.1821849605301195E-5</v>
      </c>
      <c r="BG4" s="51">
        <f>'LUC-2013-01-08-Run4'!CI4</f>
        <v>2.2064400207881321E-5</v>
      </c>
      <c r="BH4" s="51">
        <f>'LUC-2013-01-08-Run4'!CJ4</f>
        <v>2.2312384995534275E-5</v>
      </c>
      <c r="BI4" s="51">
        <f>'LUC-2013-01-08-Run4'!CK4</f>
        <v>2.2566061124170165E-5</v>
      </c>
      <c r="BJ4" s="51">
        <f>'LUC-2013-01-08-Run4'!CL4</f>
        <v>2.2825634709128289E-5</v>
      </c>
      <c r="BK4" s="51">
        <f>'LUC-2013-01-08-Run4'!CM4</f>
        <v>2.3091432921461527E-5</v>
      </c>
      <c r="BM4" s="105"/>
      <c r="BN4" s="50" t="s">
        <v>95</v>
      </c>
      <c r="BO4" s="64">
        <f t="shared" si="6"/>
        <v>13.228986578653787</v>
      </c>
      <c r="BP4" s="64">
        <f t="shared" si="0"/>
        <v>14.23992833539546</v>
      </c>
      <c r="BQ4" s="64">
        <f t="shared" si="1"/>
        <v>15.90501523153287</v>
      </c>
      <c r="BR4" s="64">
        <f t="shared" si="2"/>
        <v>17.169889646771178</v>
      </c>
      <c r="BS4" s="64">
        <f t="shared" si="3"/>
        <v>18.741252850249104</v>
      </c>
      <c r="BT4" s="64">
        <f t="shared" si="4"/>
        <v>20.685177630400023</v>
      </c>
      <c r="BU4" s="64">
        <f t="shared" si="5"/>
        <v>23.091432921461529</v>
      </c>
    </row>
    <row r="5" spans="1:73" x14ac:dyDescent="0.25">
      <c r="A5" s="50" t="s">
        <v>71</v>
      </c>
      <c r="B5" s="50" t="s">
        <v>98</v>
      </c>
      <c r="C5" s="50" t="s">
        <v>92</v>
      </c>
      <c r="D5" s="51">
        <f>'LUC-2013-01-08-Run4'!AF5</f>
        <v>7.0121002027183778E-6</v>
      </c>
      <c r="E5" s="51">
        <f>'LUC-2013-01-08-Run4'!AG5</f>
        <v>7.2210894119728063E-6</v>
      </c>
      <c r="F5" s="51">
        <f>'LUC-2013-01-08-Run4'!AH5</f>
        <v>7.4202145751621905E-6</v>
      </c>
      <c r="G5" s="51">
        <f>'LUC-2013-01-08-Run4'!AI5</f>
        <v>7.6288203120131999E-6</v>
      </c>
      <c r="H5" s="51">
        <f>'LUC-2013-01-08-Run4'!AJ5</f>
        <v>7.8474396653895003E-6</v>
      </c>
      <c r="I5" s="51">
        <f>'LUC-2013-01-08-Run4'!AK5</f>
        <v>8.0765895476182639E-6</v>
      </c>
      <c r="J5" s="51">
        <f>'LUC-2013-01-08-Run4'!AL5</f>
        <v>8.3168765465417997E-6</v>
      </c>
      <c r="K5" s="51">
        <f>'LUC-2013-01-08-Run4'!AM5</f>
        <v>8.569263350893212E-6</v>
      </c>
      <c r="L5" s="51">
        <f>'LUC-2013-01-08-Run4'!AN5</f>
        <v>8.8347261253526665E-6</v>
      </c>
      <c r="M5" s="51">
        <f>'LUC-2013-01-08-Run4'!AO5</f>
        <v>9.11421427809247E-6</v>
      </c>
      <c r="N5" s="51">
        <f>'LUC-2013-01-08-Run4'!AP5</f>
        <v>9.4084016592827995E-6</v>
      </c>
      <c r="O5" s="51">
        <f>'LUC-2013-01-08-Run4'!AQ5</f>
        <v>9.7178946223932155E-6</v>
      </c>
      <c r="P5" s="51">
        <f>'LUC-2013-01-08-Run4'!AR5</f>
        <v>1.0043173749519153E-5</v>
      </c>
      <c r="Q5" s="51">
        <f>'LUC-2013-01-08-Run4'!AS5</f>
        <v>1.0384788452865011E-5</v>
      </c>
      <c r="R5" s="51">
        <f>'LUC-2013-01-08-Run4'!AT5</f>
        <v>1.0743308883754397E-5</v>
      </c>
      <c r="S5" s="51">
        <f>'LUC-2013-01-08-Run4'!AU5</f>
        <v>1.1732150845198387E-5</v>
      </c>
      <c r="T5" s="51">
        <f>'LUC-2013-01-08-Run4'!AV5</f>
        <v>1.2029101934575739E-5</v>
      </c>
      <c r="U5" s="51">
        <f>'LUC-2013-01-08-Run4'!AW5</f>
        <v>1.2330362812000245E-5</v>
      </c>
      <c r="V5" s="51">
        <f>'LUC-2013-01-08-Run4'!AX5</f>
        <v>1.2636010643891824E-5</v>
      </c>
      <c r="W5" s="51">
        <f>'LUC-2013-01-08-Run4'!AY5</f>
        <v>1.294610467098004E-5</v>
      </c>
      <c r="X5" s="51">
        <f>'LUC-2013-01-08-Run4'!AZ5</f>
        <v>1.3260781122275616E-5</v>
      </c>
      <c r="Y5" s="51">
        <f>'LUC-2013-01-08-Run4'!BA5</f>
        <v>1.3580209329302407E-5</v>
      </c>
      <c r="Z5" s="51">
        <f>'LUC-2013-01-08-Run4'!BB5</f>
        <v>1.3904534506306729E-5</v>
      </c>
      <c r="AA5" s="51">
        <f>'LUC-2013-01-08-Run4'!BC5</f>
        <v>1.4233979095234456E-5</v>
      </c>
      <c r="AB5" s="51">
        <f>'LUC-2013-01-08-Run4'!BD5</f>
        <v>1.4568700292291712E-5</v>
      </c>
      <c r="AC5" s="51">
        <f>'LUC-2013-01-08-Run4'!BE5</f>
        <v>1.490886503450716E-5</v>
      </c>
      <c r="AD5" s="51">
        <f>'LUC-2013-01-08-Run4'!BF5</f>
        <v>1.5254594004074044E-5</v>
      </c>
      <c r="AE5" s="51">
        <f>'LUC-2013-01-08-Run4'!BG5</f>
        <v>1.5605990085826174E-5</v>
      </c>
      <c r="AF5" s="51">
        <f>'LUC-2013-01-08-Run4'!BH5</f>
        <v>1.5963210744890837E-5</v>
      </c>
      <c r="AG5" s="51">
        <f>'LUC-2013-01-08-Run4'!BI5</f>
        <v>1.6326321960921515E-5</v>
      </c>
      <c r="AH5" s="51">
        <f>'LUC-2013-01-08-Run4'!BJ5</f>
        <v>1.6695498066511173E-5</v>
      </c>
      <c r="AI5" s="51">
        <f>'LUC-2013-01-08-Run4'!BK5</f>
        <v>1.7070852196150819E-5</v>
      </c>
      <c r="AJ5" s="51">
        <f>'LUC-2013-01-08-Run4'!BL5</f>
        <v>1.7452545021238879E-5</v>
      </c>
      <c r="AK5" s="51">
        <f>'LUC-2013-01-08-Run4'!BM5</f>
        <v>1.7840733475907901E-5</v>
      </c>
      <c r="AL5" s="51">
        <f>'LUC-2013-01-08-Run4'!BN5</f>
        <v>1.823560246986816E-5</v>
      </c>
      <c r="AM5" s="51">
        <f>'LUC-2013-01-08-Run4'!BO5</f>
        <v>1.8637252878765394E-5</v>
      </c>
      <c r="AN5" s="51">
        <f>'LUC-2013-01-08-Run4'!BP5</f>
        <v>1.9045873585162299E-5</v>
      </c>
      <c r="AO5" s="51">
        <f>'LUC-2013-01-08-Run4'!BQ5</f>
        <v>1.9461627645654656E-5</v>
      </c>
      <c r="AP5" s="51">
        <f>'LUC-2013-01-08-Run4'!BR5</f>
        <v>1.9884772486444035E-5</v>
      </c>
      <c r="AQ5" s="51">
        <f>'LUC-2013-01-08-Run4'!BS5</f>
        <v>2.0315473648547058E-5</v>
      </c>
      <c r="AR5" s="51">
        <f>'LUC-2013-01-08-Run4'!BT5</f>
        <v>2.0753937998592071E-5</v>
      </c>
      <c r="AS5" s="51">
        <f>'LUC-2013-01-08-Run4'!BU5</f>
        <v>2.1200361852035525E-5</v>
      </c>
      <c r="AT5" s="51">
        <f>'LUC-2013-01-08-Run4'!BV5</f>
        <v>2.1654810170228369E-5</v>
      </c>
      <c r="AU5" s="51">
        <f>'LUC-2013-01-08-Run4'!BW5</f>
        <v>2.2117347207509639E-5</v>
      </c>
      <c r="AV5" s="51">
        <f>'LUC-2013-01-08-Run4'!BX5</f>
        <v>2.2588090468108009E-5</v>
      </c>
      <c r="AW5" s="51">
        <f>'LUC-2013-01-08-Run4'!BY5</f>
        <v>2.3067221764584342E-5</v>
      </c>
      <c r="AX5" s="51">
        <f>'LUC-2013-01-08-Run4'!BZ5</f>
        <v>2.3554948560878236E-5</v>
      </c>
      <c r="AY5" s="51">
        <f>'LUC-2013-01-08-Run4'!CA5</f>
        <v>2.4051560720881107E-5</v>
      </c>
      <c r="AZ5" s="51">
        <f>'LUC-2013-01-08-Run4'!CB5</f>
        <v>2.455738921757222E-5</v>
      </c>
      <c r="BA5" s="51">
        <f>'LUC-2013-01-08-Run4'!CC5</f>
        <v>2.5072741724341258E-5</v>
      </c>
      <c r="BB5" s="51">
        <f>'LUC-2013-01-08-Run4'!CD5</f>
        <v>2.5597855940880496E-5</v>
      </c>
      <c r="BC5" s="51">
        <f>'LUC-2013-01-08-Run4'!CE5</f>
        <v>2.6133029556600889E-5</v>
      </c>
      <c r="BD5" s="51">
        <f>'LUC-2013-01-08-Run4'!CF5</f>
        <v>2.667846635816827E-5</v>
      </c>
      <c r="BE5" s="51">
        <f>'LUC-2013-01-08-Run4'!CG5</f>
        <v>2.7234421242270185E-5</v>
      </c>
      <c r="BF5" s="51">
        <f>'LUC-2013-01-08-Run4'!CH5</f>
        <v>2.7801191106722099E-5</v>
      </c>
      <c r="BG5" s="51">
        <f>'LUC-2013-01-08-Run4'!CI5</f>
        <v>2.8379045524085055E-5</v>
      </c>
      <c r="BH5" s="51">
        <f>'LUC-2013-01-08-Run4'!CJ5</f>
        <v>2.8968323511028758E-5</v>
      </c>
      <c r="BI5" s="51">
        <f>'LUC-2013-01-08-Run4'!CK5</f>
        <v>2.9569415819543594E-5</v>
      </c>
      <c r="BJ5" s="51">
        <f>'LUC-2013-01-08-Run4'!CL5</f>
        <v>3.0182697084869239E-5</v>
      </c>
      <c r="BK5" s="51">
        <f>'LUC-2013-01-08-Run4'!CM5</f>
        <v>3.0808619936276061E-5</v>
      </c>
      <c r="BM5" s="105"/>
      <c r="BN5" s="50" t="s">
        <v>98</v>
      </c>
      <c r="BO5" s="82">
        <f t="shared" si="6"/>
        <v>7.0121002027183774</v>
      </c>
      <c r="BP5" s="82">
        <f t="shared" si="0"/>
        <v>9.1142142780924704</v>
      </c>
      <c r="BQ5" s="64">
        <f t="shared" si="1"/>
        <v>12.94610467098004</v>
      </c>
      <c r="BR5" s="64">
        <f t="shared" si="2"/>
        <v>16.326321960921515</v>
      </c>
      <c r="BS5" s="64">
        <f t="shared" si="3"/>
        <v>20.315473648547059</v>
      </c>
      <c r="BT5" s="64">
        <f t="shared" si="4"/>
        <v>25.07274172434126</v>
      </c>
      <c r="BU5" s="64">
        <f t="shared" si="5"/>
        <v>30.80861993627606</v>
      </c>
    </row>
    <row r="6" spans="1:73" x14ac:dyDescent="0.25">
      <c r="A6" s="50" t="s">
        <v>71</v>
      </c>
      <c r="B6" s="50" t="s">
        <v>99</v>
      </c>
      <c r="C6" s="50" t="s">
        <v>92</v>
      </c>
      <c r="D6" s="51">
        <f>'LUC-2013-01-08-Run4'!AF7</f>
        <v>3.6843336955314182E-5</v>
      </c>
      <c r="E6" s="51">
        <f>'LUC-2013-01-08-Run4'!AG7</f>
        <v>3.6790336088918271E-5</v>
      </c>
      <c r="F6" s="51">
        <f>'LUC-2013-01-08-Run4'!AH7</f>
        <v>3.6735360620641035E-5</v>
      </c>
      <c r="G6" s="51">
        <f>'LUC-2013-01-08-Run4'!AI7</f>
        <v>3.667954216924579E-5</v>
      </c>
      <c r="H6" s="51">
        <f>'LUC-2013-01-08-Run4'!AJ7</f>
        <v>3.6623172446285202E-5</v>
      </c>
      <c r="I6" s="51">
        <f>'LUC-2013-01-08-Run4'!AK7</f>
        <v>3.6566333390967918E-5</v>
      </c>
      <c r="J6" s="51">
        <f>'LUC-2013-01-08-Run4'!AL7</f>
        <v>3.6509049093726465E-5</v>
      </c>
      <c r="K6" s="51">
        <f>'LUC-2013-01-08-Run4'!AM7</f>
        <v>3.6451465927738483E-5</v>
      </c>
      <c r="L6" s="51">
        <f>'LUC-2013-01-08-Run4'!AN7</f>
        <v>3.6393772236650164E-5</v>
      </c>
      <c r="M6" s="51">
        <f>'LUC-2013-01-08-Run4'!AO7</f>
        <v>3.6336058437465606E-5</v>
      </c>
      <c r="N6" s="51">
        <f>'LUC-2013-01-08-Run4'!AP7</f>
        <v>3.6278480991528786E-5</v>
      </c>
      <c r="O6" s="51">
        <f>'LUC-2013-01-08-Run4'!AQ7</f>
        <v>3.6221086104825362E-5</v>
      </c>
      <c r="P6" s="51">
        <f>'LUC-2013-01-08-Run4'!AR7</f>
        <v>3.6163908142653389E-5</v>
      </c>
      <c r="Q6" s="51">
        <f>'LUC-2013-01-08-Run4'!AS7</f>
        <v>3.6106967137093158E-5</v>
      </c>
      <c r="R6" s="51">
        <f>'LUC-2013-01-08-Run4'!AT7</f>
        <v>3.6050252332744931E-5</v>
      </c>
      <c r="S6" s="51">
        <f>'LUC-2013-01-08-Run4'!AU7</f>
        <v>3.6181023108186044E-5</v>
      </c>
      <c r="T6" s="51">
        <f>'LUC-2013-01-08-Run4'!AV7</f>
        <v>3.6805880686838144E-5</v>
      </c>
      <c r="U6" s="51">
        <f>'LUC-2013-01-08-Run4'!AW7</f>
        <v>3.7432182540437799E-5</v>
      </c>
      <c r="V6" s="51">
        <f>'LUC-2013-01-08-Run4'!AX7</f>
        <v>3.80598402093277E-5</v>
      </c>
      <c r="W6" s="51">
        <f>'LUC-2013-01-08-Run4'!AY7</f>
        <v>3.86887842668519E-5</v>
      </c>
      <c r="X6" s="51">
        <f>'LUC-2013-01-08-Run4'!AZ7</f>
        <v>3.9318984814036444E-5</v>
      </c>
      <c r="Y6" s="51">
        <f>'LUC-2013-01-08-Run4'!BA7</f>
        <v>3.9950454324620326E-5</v>
      </c>
      <c r="Z6" s="51">
        <f>'LUC-2013-01-08-Run4'!BB7</f>
        <v>4.058323771919377E-5</v>
      </c>
      <c r="AA6" s="51">
        <f>'LUC-2013-01-08-Run4'!BC7</f>
        <v>4.1217413638741283E-5</v>
      </c>
      <c r="AB6" s="51">
        <f>'LUC-2013-01-08-Run4'!BD7</f>
        <v>4.1853031626262509E-5</v>
      </c>
      <c r="AC6" s="51">
        <f>'LUC-2013-01-08-Run4'!BE7</f>
        <v>4.2490101422829168E-5</v>
      </c>
      <c r="AD6" s="51">
        <f>'LUC-2013-01-08-Run4'!BF7</f>
        <v>4.3128576395727857E-5</v>
      </c>
      <c r="AE6" s="51">
        <f>'LUC-2013-01-08-Run4'!BG7</f>
        <v>4.3768429306014496E-5</v>
      </c>
      <c r="AF6" s="51">
        <f>'LUC-2013-01-08-Run4'!BH7</f>
        <v>4.4409623286892179E-5</v>
      </c>
      <c r="AG6" s="51">
        <f>'LUC-2013-01-08-Run4'!BI7</f>
        <v>4.5052144357670757E-5</v>
      </c>
      <c r="AH6" s="51">
        <f>'LUC-2013-01-08-Run4'!BJ7</f>
        <v>4.5695973254979865E-5</v>
      </c>
      <c r="AI6" s="51">
        <f>'LUC-2013-01-08-Run4'!BK7</f>
        <v>4.6341126684092635E-5</v>
      </c>
      <c r="AJ6" s="51">
        <f>'LUC-2013-01-08-Run4'!BL7</f>
        <v>4.6987579201309435E-5</v>
      </c>
      <c r="AK6" s="51">
        <f>'LUC-2013-01-08-Run4'!BM7</f>
        <v>4.7635341292882607E-5</v>
      </c>
      <c r="AL6" s="51">
        <f>'LUC-2013-01-08-Run4'!BN7</f>
        <v>4.8284391676933665E-5</v>
      </c>
      <c r="AM6" s="51">
        <f>'LUC-2013-01-08-Run4'!BO7</f>
        <v>4.8934736165148652E-5</v>
      </c>
      <c r="AN6" s="51">
        <f>'LUC-2013-01-08-Run4'!BP7</f>
        <v>4.9586381811837859E-5</v>
      </c>
      <c r="AO6" s="51">
        <f>'LUC-2013-01-08-Run4'!BQ7</f>
        <v>5.0239352229828933E-5</v>
      </c>
      <c r="AP6" s="51">
        <f>'LUC-2013-01-08-Run4'!BR7</f>
        <v>5.0893684723365161E-5</v>
      </c>
      <c r="AQ6" s="51">
        <f>'LUC-2013-01-08-Run4'!BS7</f>
        <v>5.1549385587840429E-5</v>
      </c>
      <c r="AR6" s="51">
        <f>'LUC-2013-01-08-Run4'!BT7</f>
        <v>5.1636306402230199E-5</v>
      </c>
      <c r="AS6" s="51">
        <f>'LUC-2013-01-08-Run4'!BU7</f>
        <v>5.1724550281244116E-5</v>
      </c>
      <c r="AT6" s="51">
        <f>'LUC-2013-01-08-Run4'!BV7</f>
        <v>5.1814122168769529E-5</v>
      </c>
      <c r="AU6" s="51">
        <f>'LUC-2013-01-08-Run4'!BW7</f>
        <v>5.1905017314471409E-5</v>
      </c>
      <c r="AV6" s="51">
        <f>'LUC-2013-01-08-Run4'!BX7</f>
        <v>5.1997226518439087E-5</v>
      </c>
      <c r="AW6" s="51">
        <f>'LUC-2013-01-08-Run4'!BY7</f>
        <v>5.209074305574026E-5</v>
      </c>
      <c r="AX6" s="51">
        <f>'LUC-2013-01-08-Run4'!BZ7</f>
        <v>5.2185571878579461E-5</v>
      </c>
      <c r="AY6" s="51">
        <f>'LUC-2013-01-08-Run4'!CA7</f>
        <v>5.2281706246236016E-5</v>
      </c>
      <c r="AZ6" s="51">
        <f>'LUC-2013-01-08-Run4'!CB7</f>
        <v>5.2379129328157627E-5</v>
      </c>
      <c r="BA6" s="51">
        <f>'LUC-2013-01-08-Run4'!CC7</f>
        <v>5.2477845020516877E-5</v>
      </c>
      <c r="BB6" s="51">
        <f>'LUC-2013-01-08-Run4'!CD7</f>
        <v>5.2577842307954798E-5</v>
      </c>
      <c r="BC6" s="51">
        <f>'LUC-2013-01-08-Run4'!CE7</f>
        <v>5.2679112681640577E-5</v>
      </c>
      <c r="BD6" s="51">
        <f>'LUC-2013-01-08-Run4'!CF7</f>
        <v>5.2781651624729282E-5</v>
      </c>
      <c r="BE6" s="51">
        <f>'LUC-2013-01-08-Run4'!CG7</f>
        <v>5.2885444749710062E-5</v>
      </c>
      <c r="BF6" s="51">
        <f>'LUC-2013-01-08-Run4'!CH7</f>
        <v>5.2990487639432671E-5</v>
      </c>
      <c r="BG6" s="51">
        <f>'LUC-2013-01-08-Run4'!CI7</f>
        <v>5.3096775381587056E-5</v>
      </c>
      <c r="BH6" s="51">
        <f>'LUC-2013-01-08-Run4'!CJ7</f>
        <v>5.3204297991539445E-5</v>
      </c>
      <c r="BI6" s="51">
        <f>'LUC-2013-01-08-Run4'!CK7</f>
        <v>5.3313060712255301E-5</v>
      </c>
      <c r="BJ6" s="51">
        <f>'LUC-2013-01-08-Run4'!CL7</f>
        <v>5.3423070555134916E-5</v>
      </c>
      <c r="BK6" s="51">
        <f>'LUC-2013-01-08-Run4'!CM7</f>
        <v>5.3534324193367958E-5</v>
      </c>
      <c r="BM6" s="105"/>
      <c r="BN6" s="50" t="s">
        <v>99</v>
      </c>
      <c r="BO6" s="64">
        <f t="shared" si="6"/>
        <v>36.843336955314179</v>
      </c>
      <c r="BP6" s="64">
        <f t="shared" si="0"/>
        <v>36.33605843746561</v>
      </c>
      <c r="BQ6" s="64">
        <f t="shared" si="1"/>
        <v>38.688784266851897</v>
      </c>
      <c r="BR6" s="64">
        <f t="shared" si="2"/>
        <v>45.052144357670755</v>
      </c>
      <c r="BS6" s="64">
        <f t="shared" si="3"/>
        <v>51.549385587840426</v>
      </c>
      <c r="BT6" s="64">
        <f t="shared" si="4"/>
        <v>52.477845020516874</v>
      </c>
      <c r="BU6" s="64">
        <f t="shared" si="5"/>
        <v>53.534324193367958</v>
      </c>
    </row>
    <row r="7" spans="1:73" x14ac:dyDescent="0.25">
      <c r="A7" s="50" t="s">
        <v>71</v>
      </c>
      <c r="B7" s="50" t="s">
        <v>100</v>
      </c>
      <c r="C7" s="50" t="s">
        <v>92</v>
      </c>
      <c r="D7" s="51">
        <f>'LUC-2013-01-08-Run4'!AF8</f>
        <v>5.2769166477933858E-5</v>
      </c>
      <c r="E7" s="51">
        <f>'LUC-2013-01-08-Run4'!AG8</f>
        <v>5.2693255559611984E-5</v>
      </c>
      <c r="F7" s="51">
        <f>'LUC-2013-01-08-Run4'!AH8</f>
        <v>5.2614516501821335E-5</v>
      </c>
      <c r="G7" s="51">
        <f>'LUC-2013-01-08-Run4'!AI8</f>
        <v>5.25345700746617E-5</v>
      </c>
      <c r="H7" s="51">
        <f>'LUC-2013-01-08-Run4'!AJ8</f>
        <v>5.2453834084356881E-5</v>
      </c>
      <c r="I7" s="51">
        <f>'LUC-2013-01-08-Run4'!AK8</f>
        <v>5.2372425888999203E-5</v>
      </c>
      <c r="J7" s="51">
        <f>'LUC-2013-01-08-Run4'!AL8</f>
        <v>5.2290379992305006E-5</v>
      </c>
      <c r="K7" s="51">
        <f>'LUC-2013-01-08-Run4'!AM8</f>
        <v>5.2207906038438337E-5</v>
      </c>
      <c r="L7" s="51">
        <f>'LUC-2013-01-08-Run4'!AN8</f>
        <v>5.2125273784105413E-5</v>
      </c>
      <c r="M7" s="51">
        <f>'LUC-2013-01-08-Run4'!AO8</f>
        <v>5.204261272978946E-5</v>
      </c>
      <c r="N7" s="51">
        <f>'LUC-2013-01-08-Run4'!AP8</f>
        <v>5.1960146968512207E-5</v>
      </c>
      <c r="O7" s="51">
        <f>'LUC-2013-01-08-Run4'!AQ8</f>
        <v>5.187794267916924E-5</v>
      </c>
      <c r="P7" s="51">
        <f>'LUC-2013-01-08-Run4'!AR8</f>
        <v>5.1796049081735804E-5</v>
      </c>
      <c r="Q7" s="51">
        <f>'LUC-2013-01-08-Run4'!AS8</f>
        <v>5.1714494867320529E-5</v>
      </c>
      <c r="R7" s="51">
        <f>'LUC-2013-01-08-Run4'!AT8</f>
        <v>5.1633264631415317E-5</v>
      </c>
      <c r="S7" s="51">
        <f>'LUC-2013-01-08-Run4'!AU8</f>
        <v>5.1820562129143874E-5</v>
      </c>
      <c r="T7" s="51">
        <f>'LUC-2013-01-08-Run4'!AV8</f>
        <v>5.1885131359856297E-5</v>
      </c>
      <c r="U7" s="51">
        <f>'LUC-2013-01-08-Run4'!AW8</f>
        <v>5.1950214305834867E-5</v>
      </c>
      <c r="V7" s="51">
        <f>'LUC-2013-01-08-Run4'!AX8</f>
        <v>5.2015700294839928E-5</v>
      </c>
      <c r="W7" s="51">
        <f>'LUC-2013-01-08-Run4'!AY8</f>
        <v>5.2081507781076679E-5</v>
      </c>
      <c r="X7" s="51">
        <f>'LUC-2013-01-08-Run4'!AZ8</f>
        <v>5.2147614632487234E-5</v>
      </c>
      <c r="Y7" s="51">
        <f>'LUC-2013-01-08-Run4'!BA8</f>
        <v>5.2214058561288894E-5</v>
      </c>
      <c r="Z7" s="51">
        <f>'LUC-2013-01-08-Run4'!BB8</f>
        <v>5.2280919174022914E-5</v>
      </c>
      <c r="AA7" s="51">
        <f>'LUC-2013-01-08-Run4'!BC8</f>
        <v>5.2348326142311333E-5</v>
      </c>
      <c r="AB7" s="51">
        <f>'LUC-2013-01-08-Run4'!BD8</f>
        <v>5.2416362295017331E-5</v>
      </c>
      <c r="AC7" s="51">
        <f>'LUC-2013-01-08-Run4'!BE8</f>
        <v>5.2485056095018153E-5</v>
      </c>
      <c r="AD7" s="51">
        <f>'LUC-2013-01-08-Run4'!BF8</f>
        <v>5.255435759938655E-5</v>
      </c>
      <c r="AE7" s="51">
        <f>'LUC-2013-01-08-Run4'!BG8</f>
        <v>5.2624226698379906E-5</v>
      </c>
      <c r="AF7" s="51">
        <f>'LUC-2013-01-08-Run4'!BH8</f>
        <v>5.2694616780850149E-5</v>
      </c>
      <c r="AG7" s="51">
        <f>'LUC-2013-01-08-Run4'!BI8</f>
        <v>5.2765502995160863E-5</v>
      </c>
      <c r="AH7" s="51">
        <f>'LUC-2013-01-08-Run4'!BJ8</f>
        <v>5.283686082478873E-5</v>
      </c>
      <c r="AI7" s="51">
        <f>'LUC-2013-01-08-Run4'!BK8</f>
        <v>5.2908715260658917E-5</v>
      </c>
      <c r="AJ7" s="51">
        <f>'LUC-2013-01-08-Run4'!BL8</f>
        <v>5.2981037203205353E-5</v>
      </c>
      <c r="AK7" s="51">
        <f>'LUC-2013-01-08-Run4'!BM8</f>
        <v>5.3053843546664738E-5</v>
      </c>
      <c r="AL7" s="51">
        <f>'LUC-2013-01-08-Run4'!BN8</f>
        <v>5.3127112809578331E-5</v>
      </c>
      <c r="AM7" s="51">
        <f>'LUC-2013-01-08-Run4'!BO8</f>
        <v>5.3200845887448871E-5</v>
      </c>
      <c r="AN7" s="51">
        <f>'LUC-2013-01-08-Run4'!BP8</f>
        <v>5.3275066305476904E-5</v>
      </c>
      <c r="AO7" s="51">
        <f>'LUC-2013-01-08-Run4'!BQ8</f>
        <v>5.3349808273080411E-5</v>
      </c>
      <c r="AP7" s="51">
        <f>'LUC-2013-01-08-Run4'!BR8</f>
        <v>5.3425155494199776E-5</v>
      </c>
      <c r="AQ7" s="51">
        <f>'LUC-2013-01-08-Run4'!BS8</f>
        <v>5.3501125356345247E-5</v>
      </c>
      <c r="AR7" s="51">
        <f>'LUC-2013-01-08-Run4'!BT8</f>
        <v>5.358589951393191E-5</v>
      </c>
      <c r="AS7" s="51">
        <f>'LUC-2013-01-08-Run4'!BU8</f>
        <v>5.3672282503609282E-5</v>
      </c>
      <c r="AT7" s="51">
        <f>'LUC-2013-01-08-Run4'!BV8</f>
        <v>5.3760270054983049E-5</v>
      </c>
      <c r="AU7" s="51">
        <f>'LUC-2013-01-08-Run4'!BW8</f>
        <v>5.3849853081464978E-5</v>
      </c>
      <c r="AV7" s="51">
        <f>'LUC-2013-01-08-Run4'!BX8</f>
        <v>5.3941017829373365E-5</v>
      </c>
      <c r="AW7" s="51">
        <f>'LUC-2013-01-08-Run4'!BY8</f>
        <v>5.4033763050466951E-5</v>
      </c>
      <c r="AX7" s="51">
        <f>'LUC-2013-01-08-Run4'!BZ8</f>
        <v>5.4128092228636533E-5</v>
      </c>
      <c r="AY7" s="51">
        <f>'LUC-2013-01-08-Run4'!CA8</f>
        <v>5.4224008946083018E-5</v>
      </c>
      <c r="AZ7" s="51">
        <f>'LUC-2013-01-08-Run4'!CB8</f>
        <v>5.4321496723876302E-5</v>
      </c>
      <c r="BA7" s="51">
        <f>'LUC-2013-01-08-Run4'!CC8</f>
        <v>5.4420572901668634E-5</v>
      </c>
      <c r="BB7" s="51">
        <f>'LUC-2013-01-08-Run4'!CD8</f>
        <v>5.4521219352321004E-5</v>
      </c>
      <c r="BC7" s="51">
        <f>'LUC-2013-01-08-Run4'!CE8</f>
        <v>5.4623425888475123E-5</v>
      </c>
      <c r="BD7" s="51">
        <f>'LUC-2013-01-08-Run4'!CF8</f>
        <v>5.4727189212199551E-5</v>
      </c>
      <c r="BE7" s="51">
        <f>'LUC-2013-01-08-Run4'!CG8</f>
        <v>5.4832486288335323E-5</v>
      </c>
      <c r="BF7" s="51">
        <f>'LUC-2013-01-08-Run4'!CH8</f>
        <v>5.4939322222557939E-5</v>
      </c>
      <c r="BG7" s="51">
        <f>'LUC-2013-01-08-Run4'!CI8</f>
        <v>5.5047676022657148E-5</v>
      </c>
      <c r="BH7" s="51">
        <f>'LUC-2013-01-08-Run4'!CJ8</f>
        <v>5.5157543030486721E-5</v>
      </c>
      <c r="BI7" s="51">
        <f>'LUC-2013-01-08-Run4'!CK8</f>
        <v>5.5268920681017922E-5</v>
      </c>
      <c r="BJ7" s="51">
        <f>'LUC-2013-01-08-Run4'!CL8</f>
        <v>5.5381826903601599E-5</v>
      </c>
      <c r="BK7" s="51">
        <f>'LUC-2013-01-08-Run4'!CM8</f>
        <v>5.5496247612017253E-5</v>
      </c>
      <c r="BM7" s="105"/>
      <c r="BN7" s="53" t="s">
        <v>100</v>
      </c>
      <c r="BO7" s="61">
        <f t="shared" si="6"/>
        <v>52.769166477933858</v>
      </c>
      <c r="BP7" s="61">
        <f t="shared" si="0"/>
        <v>52.042612729789461</v>
      </c>
      <c r="BQ7" s="61">
        <f t="shared" si="1"/>
        <v>52.081507781076681</v>
      </c>
      <c r="BR7" s="61">
        <f t="shared" si="2"/>
        <v>52.765502995160865</v>
      </c>
      <c r="BS7" s="61">
        <f t="shared" si="3"/>
        <v>53.501125356345248</v>
      </c>
      <c r="BT7" s="61">
        <f t="shared" si="4"/>
        <v>54.420572901668635</v>
      </c>
      <c r="BU7" s="61">
        <f t="shared" si="5"/>
        <v>55.496247612017257</v>
      </c>
    </row>
    <row r="8" spans="1:73" x14ac:dyDescent="0.25">
      <c r="A8" s="50" t="s">
        <v>71</v>
      </c>
      <c r="B8" s="50" t="s">
        <v>101</v>
      </c>
      <c r="C8" s="50" t="s">
        <v>92</v>
      </c>
      <c r="D8" s="51">
        <f>'LUC-2013-01-08-Run4'!AF9</f>
        <v>3.755643379961059E-5</v>
      </c>
      <c r="E8" s="51">
        <f>'LUC-2013-01-08-Run4'!AG9</f>
        <v>3.7502407109994121E-5</v>
      </c>
      <c r="F8" s="51">
        <f>'LUC-2013-01-08-Run4'!AH9</f>
        <v>3.7446367600395375E-5</v>
      </c>
      <c r="G8" s="51">
        <f>'LUC-2013-01-08-Run4'!AI9</f>
        <v>3.7389468791876361E-5</v>
      </c>
      <c r="H8" s="51">
        <f>'LUC-2013-01-08-Run4'!AJ9</f>
        <v>3.7332008042019762E-5</v>
      </c>
      <c r="I8" s="51">
        <f>'LUC-2013-01-08-Run4'!AK9</f>
        <v>3.7274068875954395E-5</v>
      </c>
      <c r="J8" s="51">
        <f>'LUC-2013-01-08-Run4'!AL9</f>
        <v>3.7215675850379237E-5</v>
      </c>
      <c r="K8" s="51">
        <f>'LUC-2013-01-08-Run4'!AM9</f>
        <v>3.7156978171501163E-5</v>
      </c>
      <c r="L8" s="51">
        <f>'LUC-2013-01-08-Run4'!AN9</f>
        <v>3.7098167828327268E-5</v>
      </c>
      <c r="M8" s="51">
        <f>'LUC-2013-01-08-Run4'!AO9</f>
        <v>3.7039336987868168E-5</v>
      </c>
      <c r="N8" s="51">
        <f>'LUC-2013-01-08-Run4'!AP9</f>
        <v>3.6980645139751931E-5</v>
      </c>
      <c r="O8" s="51">
        <f>'LUC-2013-01-08-Run4'!AQ9</f>
        <v>3.692213938427361E-5</v>
      </c>
      <c r="P8" s="51">
        <f>'LUC-2013-01-08-Run4'!AR9</f>
        <v>3.6863854751866036E-5</v>
      </c>
      <c r="Q8" s="51">
        <f>'LUC-2013-01-08-Run4'!AS9</f>
        <v>3.6805811662327231E-5</v>
      </c>
      <c r="R8" s="51">
        <f>'LUC-2013-01-08-Run4'!AT9</f>
        <v>3.6747999152088383E-5</v>
      </c>
      <c r="S8" s="51">
        <f>'LUC-2013-01-08-Run4'!AU9</f>
        <v>3.6881300974796092E-5</v>
      </c>
      <c r="T8" s="51">
        <f>'LUC-2013-01-08-Run4'!AV9</f>
        <v>3.6933062893627826E-5</v>
      </c>
      <c r="U8" s="51">
        <f>'LUC-2013-01-08-Run4'!AW9</f>
        <v>3.6984803288137251E-5</v>
      </c>
      <c r="V8" s="51">
        <f>'LUC-2013-01-08-Run4'!AX9</f>
        <v>3.7036437188603112E-5</v>
      </c>
      <c r="W8" s="51">
        <f>'LUC-2013-01-08-Run4'!AY9</f>
        <v>3.7087901513367618E-5</v>
      </c>
      <c r="X8" s="51">
        <f>'LUC-2013-01-08-Run4'!AZ9</f>
        <v>3.7139176923422152E-5</v>
      </c>
      <c r="Y8" s="51">
        <f>'LUC-2013-01-08-Run4'!BA9</f>
        <v>3.719028632859785E-5</v>
      </c>
      <c r="Z8" s="51">
        <f>'LUC-2013-01-08-Run4'!BB9</f>
        <v>3.7241283775133937E-5</v>
      </c>
      <c r="AA8" s="51">
        <f>'LUC-2013-01-08-Run4'!BC9</f>
        <v>3.7292262121969226E-5</v>
      </c>
      <c r="AB8" s="51">
        <f>'LUC-2013-01-08-Run4'!BD9</f>
        <v>3.7343280820957652E-5</v>
      </c>
      <c r="AC8" s="51">
        <f>'LUC-2013-01-08-Run4'!BE9</f>
        <v>3.7394359310285553E-5</v>
      </c>
      <c r="AD8" s="51">
        <f>'LUC-2013-01-08-Run4'!BF9</f>
        <v>3.7445462106810545E-5</v>
      </c>
      <c r="AE8" s="51">
        <f>'LUC-2013-01-08-Run4'!BG9</f>
        <v>3.7496556366296019E-5</v>
      </c>
      <c r="AF8" s="51">
        <f>'LUC-2013-01-08-Run4'!BH9</f>
        <v>3.7547608783536608E-5</v>
      </c>
      <c r="AG8" s="51">
        <f>'LUC-2013-01-08-Run4'!BI9</f>
        <v>3.7598597706895901E-5</v>
      </c>
      <c r="AH8" s="51">
        <f>'LUC-2013-01-08-Run4'!BJ9</f>
        <v>3.7649502569235385E-5</v>
      </c>
      <c r="AI8" s="51">
        <f>'LUC-2013-01-08-Run4'!BK9</f>
        <v>3.7700339228367647E-5</v>
      </c>
      <c r="AJ8" s="51">
        <f>'LUC-2013-01-08-Run4'!BL9</f>
        <v>3.7751080142069215E-5</v>
      </c>
      <c r="AK8" s="51">
        <f>'LUC-2013-01-08-Run4'!BM9</f>
        <v>3.7801728334648505E-5</v>
      </c>
      <c r="AL8" s="51">
        <f>'LUC-2013-01-08-Run4'!BN9</f>
        <v>3.785226250308605E-5</v>
      </c>
      <c r="AM8" s="51">
        <f>'LUC-2013-01-08-Run4'!BO9</f>
        <v>3.7902673895436454E-5</v>
      </c>
      <c r="AN8" s="51">
        <f>'LUC-2013-01-08-Run4'!BP9</f>
        <v>3.7952979622613387E-5</v>
      </c>
      <c r="AO8" s="51">
        <f>'LUC-2013-01-08-Run4'!BQ9</f>
        <v>3.8003197609965645E-5</v>
      </c>
      <c r="AP8" s="51">
        <f>'LUC-2013-01-08-Run4'!BR9</f>
        <v>3.8053393767208994E-5</v>
      </c>
      <c r="AQ8" s="51">
        <f>'LUC-2013-01-08-Run4'!BS9</f>
        <v>3.8103574826890966E-5</v>
      </c>
      <c r="AR8" s="51">
        <f>'LUC-2013-01-08-Run4'!BT9</f>
        <v>3.8156452560328051E-5</v>
      </c>
      <c r="AS8" s="51">
        <f>'LUC-2013-01-08-Run4'!BU9</f>
        <v>3.8210417968048391E-5</v>
      </c>
      <c r="AT8" s="51">
        <f>'LUC-2013-01-08-Run4'!BV9</f>
        <v>3.8265475695102741E-5</v>
      </c>
      <c r="AU8" s="51">
        <f>'LUC-2013-01-08-Run4'!BW9</f>
        <v>3.8321623685974469E-5</v>
      </c>
      <c r="AV8" s="51">
        <f>'LUC-2013-01-08-Run4'!BX9</f>
        <v>3.8378859609958136E-5</v>
      </c>
      <c r="AW8" s="51">
        <f>'LUC-2013-01-08-Run4'!BY9</f>
        <v>3.8437187893822393E-5</v>
      </c>
      <c r="AX8" s="51">
        <f>'LUC-2013-01-08-Run4'!BZ9</f>
        <v>3.8496607768899382E-5</v>
      </c>
      <c r="AY8" s="51">
        <f>'LUC-2013-01-08-Run4'!CA9</f>
        <v>3.8557127565013271E-5</v>
      </c>
      <c r="AZ8" s="51">
        <f>'LUC-2013-01-08-Run4'!CB9</f>
        <v>3.8618733800416279E-5</v>
      </c>
      <c r="BA8" s="51">
        <f>'LUC-2013-01-08-Run4'!CC9</f>
        <v>3.8681442904030025E-5</v>
      </c>
      <c r="BB8" s="51">
        <f>'LUC-2013-01-08-Run4'!CD9</f>
        <v>3.8745238156913579E-5</v>
      </c>
      <c r="BC8" s="51">
        <f>'LUC-2013-01-08-Run4'!CE9</f>
        <v>3.8810115409190752E-5</v>
      </c>
      <c r="BD8" s="51">
        <f>'LUC-2013-01-08-Run4'!CF9</f>
        <v>3.8876073147932574E-5</v>
      </c>
      <c r="BE8" s="51">
        <f>'LUC-2013-01-08-Run4'!CG9</f>
        <v>3.894309386333759E-5</v>
      </c>
      <c r="BF8" s="51">
        <f>'LUC-2013-01-08-Run4'!CH9</f>
        <v>3.9011183503462591E-5</v>
      </c>
      <c r="BG8" s="51">
        <f>'LUC-2013-01-08-Run4'!CI9</f>
        <v>3.9080323898003936E-5</v>
      </c>
      <c r="BH8" s="51">
        <f>'LUC-2013-01-08-Run4'!CJ9</f>
        <v>3.9150511218413924E-5</v>
      </c>
      <c r="BI8" s="51">
        <f>'LUC-2013-01-08-Run4'!CK9</f>
        <v>3.9221737742214523E-5</v>
      </c>
      <c r="BJ8" s="51">
        <f>'LUC-2013-01-08-Run4'!CL9</f>
        <v>3.9294017281482045E-5</v>
      </c>
      <c r="BK8" s="51">
        <f>'LUC-2013-01-08-Run4'!CM9</f>
        <v>3.936733039718203E-5</v>
      </c>
      <c r="BM8" s="105"/>
      <c r="BN8" s="53" t="s">
        <v>101</v>
      </c>
      <c r="BO8" s="61">
        <f t="shared" si="6"/>
        <v>37.556433799610588</v>
      </c>
      <c r="BP8" s="61">
        <f t="shared" si="0"/>
        <v>37.039336987868168</v>
      </c>
      <c r="BQ8" s="61">
        <f t="shared" si="1"/>
        <v>37.087901513367619</v>
      </c>
      <c r="BR8" s="61">
        <f t="shared" si="2"/>
        <v>37.598597706895902</v>
      </c>
      <c r="BS8" s="61">
        <f t="shared" si="3"/>
        <v>38.103574826890963</v>
      </c>
      <c r="BT8" s="61">
        <f t="shared" si="4"/>
        <v>38.681442904030028</v>
      </c>
      <c r="BU8" s="61">
        <f t="shared" si="5"/>
        <v>39.36733039718203</v>
      </c>
    </row>
    <row r="9" spans="1:73" x14ac:dyDescent="0.25">
      <c r="A9" s="50" t="s">
        <v>71</v>
      </c>
      <c r="B9" s="50" t="s">
        <v>111</v>
      </c>
      <c r="C9" s="50" t="s">
        <v>92</v>
      </c>
      <c r="D9" s="51">
        <f>'LUC-2013-01-08-Run4'!AF10</f>
        <v>3.2802454837634565E-5</v>
      </c>
      <c r="E9" s="51">
        <f>'LUC-2013-01-08-Run4'!AG10</f>
        <v>3.2755266969488529E-5</v>
      </c>
      <c r="F9" s="51">
        <f>'LUC-2013-01-08-Run4'!AH10</f>
        <v>3.2706321068699752E-5</v>
      </c>
      <c r="G9" s="51">
        <f>'LUC-2013-01-08-Run4'!AI10</f>
        <v>3.2656624641005933E-5</v>
      </c>
      <c r="H9" s="51">
        <f>'LUC-2013-01-08-Run4'!AJ10</f>
        <v>3.260643740378941E-5</v>
      </c>
      <c r="I9" s="51">
        <f>'LUC-2013-01-08-Run4'!AK10</f>
        <v>3.2555832309377881E-5</v>
      </c>
      <c r="J9" s="51">
        <f>'LUC-2013-01-08-Run4'!AL10</f>
        <v>3.2504830806027448E-5</v>
      </c>
      <c r="K9" s="51">
        <f>'LUC-2013-01-08-Run4'!AM10</f>
        <v>3.2453563213083297E-5</v>
      </c>
      <c r="L9" s="51">
        <f>'LUC-2013-01-08-Run4'!AN10</f>
        <v>3.2402197217146604E-5</v>
      </c>
      <c r="M9" s="51">
        <f>'LUC-2013-01-08-Run4'!AO10</f>
        <v>3.2350813318517766E-5</v>
      </c>
      <c r="N9" s="51">
        <f>'LUC-2013-01-08-Run4'!AP10</f>
        <v>3.2299550818264349E-5</v>
      </c>
      <c r="O9" s="51">
        <f>'LUC-2013-01-08-Run4'!AQ10</f>
        <v>3.2248450854618708E-5</v>
      </c>
      <c r="P9" s="51">
        <f>'LUC-2013-01-08-Run4'!AR10</f>
        <v>3.2197544023781722E-5</v>
      </c>
      <c r="Q9" s="51">
        <f>'LUC-2013-01-08-Run4'!AS10</f>
        <v>3.2146848160766819E-5</v>
      </c>
      <c r="R9" s="51">
        <f>'LUC-2013-01-08-Run4'!AT10</f>
        <v>3.2096353689798707E-5</v>
      </c>
      <c r="S9" s="51">
        <f>'LUC-2013-01-08-Run4'!AU10</f>
        <v>3.2212781864062408E-5</v>
      </c>
      <c r="T9" s="51">
        <f>'LUC-2013-01-08-Run4'!AV10</f>
        <v>3.2464153102729245E-5</v>
      </c>
      <c r="U9" s="51">
        <f>'LUC-2013-01-08-Run4'!AW10</f>
        <v>3.271690581497304E-5</v>
      </c>
      <c r="V9" s="51">
        <f>'LUC-2013-01-08-Run4'!AX10</f>
        <v>3.2970962421275322E-5</v>
      </c>
      <c r="W9" s="51">
        <f>'LUC-2013-01-08-Run4'!AY10</f>
        <v>3.3226264413713801E-5</v>
      </c>
      <c r="X9" s="51">
        <f>'LUC-2013-01-08-Run4'!AZ10</f>
        <v>3.3482789042779644E-5</v>
      </c>
      <c r="Y9" s="51">
        <f>'LUC-2013-01-08-Run4'!BA10</f>
        <v>3.3740550001192795E-5</v>
      </c>
      <c r="Z9" s="51">
        <f>'LUC-2013-01-08-Run4'!BB10</f>
        <v>3.3999587604779657E-5</v>
      </c>
      <c r="AA9" s="51">
        <f>'LUC-2013-01-08-Run4'!BC10</f>
        <v>3.425996881315825E-5</v>
      </c>
      <c r="AB9" s="51">
        <f>'LUC-2013-01-08-Run4'!BD10</f>
        <v>3.4521734016547037E-5</v>
      </c>
      <c r="AC9" s="51">
        <f>'LUC-2013-01-08-Run4'!BE10</f>
        <v>3.4784889445536507E-5</v>
      </c>
      <c r="AD9" s="51">
        <f>'LUC-2013-01-08-Run4'!BF10</f>
        <v>3.5049395121155097E-5</v>
      </c>
      <c r="AE9" s="51">
        <f>'LUC-2013-01-08-Run4'!BG10</f>
        <v>3.5315227950970887E-5</v>
      </c>
      <c r="AF9" s="51">
        <f>'LUC-2013-01-08-Run4'!BH10</f>
        <v>3.5582357866475032E-5</v>
      </c>
      <c r="AG9" s="51">
        <f>'LUC-2013-01-08-Run4'!BI10</f>
        <v>3.5850774182663768E-5</v>
      </c>
      <c r="AH9" s="51">
        <f>'LUC-2013-01-08-Run4'!BJ10</f>
        <v>3.6120462447432588E-5</v>
      </c>
      <c r="AI9" s="51">
        <f>'LUC-2013-01-08-Run4'!BK10</f>
        <v>3.6391436750654276E-5</v>
      </c>
      <c r="AJ9" s="51">
        <f>'LUC-2013-01-08-Run4'!BL10</f>
        <v>3.6663678447313321E-5</v>
      </c>
      <c r="AK9" s="51">
        <f>'LUC-2013-01-08-Run4'!BM10</f>
        <v>3.6937197528123228E-5</v>
      </c>
      <c r="AL9" s="51">
        <f>'LUC-2013-01-08-Run4'!BN10</f>
        <v>3.7211979372309135E-5</v>
      </c>
      <c r="AM9" s="51">
        <f>'LUC-2013-01-08-Run4'!BO10</f>
        <v>3.7488031388110743E-5</v>
      </c>
      <c r="AN9" s="51">
        <f>'LUC-2013-01-08-Run4'!BP10</f>
        <v>3.7765360137229976E-5</v>
      </c>
      <c r="AO9" s="51">
        <f>'LUC-2013-01-08-Run4'!BQ10</f>
        <v>3.8043985474369211E-5</v>
      </c>
      <c r="AP9" s="51">
        <f>'LUC-2013-01-08-Run4'!BR10</f>
        <v>3.8323933618482537E-5</v>
      </c>
      <c r="AQ9" s="51">
        <f>'LUC-2013-01-08-Run4'!BS10</f>
        <v>3.8605209547791053E-5</v>
      </c>
      <c r="AR9" s="51">
        <f>'LUC-2013-01-08-Run4'!BT10</f>
        <v>3.8677920059823958E-5</v>
      </c>
      <c r="AS9" s="51">
        <f>'LUC-2013-01-08-Run4'!BU10</f>
        <v>3.8751713009784551E-5</v>
      </c>
      <c r="AT9" s="51">
        <f>'LUC-2013-01-08-Run4'!BV10</f>
        <v>3.8826591933489533E-5</v>
      </c>
      <c r="AU9" s="51">
        <f>'LUC-2013-01-08-Run4'!BW10</f>
        <v>3.890255296099992E-5</v>
      </c>
      <c r="AV9" s="51">
        <f>'LUC-2013-01-08-Run4'!BX10</f>
        <v>3.8979588221708722E-5</v>
      </c>
      <c r="AW9" s="51">
        <f>'LUC-2013-01-08-Run4'!BY10</f>
        <v>3.9057691220618749E-5</v>
      </c>
      <c r="AX9" s="51">
        <f>'LUC-2013-01-08-Run4'!BZ10</f>
        <v>3.9136866220622919E-5</v>
      </c>
      <c r="AY9" s="51">
        <f>'LUC-2013-01-08-Run4'!CA10</f>
        <v>3.9217106232685925E-5</v>
      </c>
      <c r="AZ9" s="51">
        <f>'LUC-2013-01-08-Run4'!CB10</f>
        <v>3.9298398757022331E-5</v>
      </c>
      <c r="BA9" s="51">
        <f>'LUC-2013-01-08-Run4'!CC10</f>
        <v>3.9380744857709663E-5</v>
      </c>
      <c r="BB9" s="51">
        <f>'LUC-2013-01-08-Run4'!CD10</f>
        <v>3.9464137259924096E-5</v>
      </c>
      <c r="BC9" s="51">
        <f>'LUC-2013-01-08-Run4'!CE10</f>
        <v>3.9548568806148973E-5</v>
      </c>
      <c r="BD9" s="51">
        <f>'LUC-2013-01-08-Run4'!CF10</f>
        <v>3.9634035486339887E-5</v>
      </c>
      <c r="BE9" s="51">
        <f>'LUC-2013-01-08-Run4'!CG10</f>
        <v>3.9720527015119885E-5</v>
      </c>
      <c r="BF9" s="51">
        <f>'LUC-2013-01-08-Run4'!CH10</f>
        <v>3.9808038587477014E-5</v>
      </c>
      <c r="BG9" s="51">
        <f>'LUC-2013-01-08-Run4'!CI10</f>
        <v>3.9896568115661278E-5</v>
      </c>
      <c r="BH9" s="51">
        <f>'LUC-2013-01-08-Run4'!CJ10</f>
        <v>3.998610769803857E-5</v>
      </c>
      <c r="BI9" s="51">
        <f>'LUC-2013-01-08-Run4'!CK10</f>
        <v>4.0076663427659374E-5</v>
      </c>
      <c r="BJ9" s="51">
        <f>'LUC-2013-01-08-Run4'!CL10</f>
        <v>4.0168239548289989E-5</v>
      </c>
      <c r="BK9" s="51">
        <f>'LUC-2013-01-08-Run4'!CM10</f>
        <v>4.0260837211252985E-5</v>
      </c>
      <c r="BM9" s="105"/>
      <c r="BN9" s="53" t="s">
        <v>111</v>
      </c>
      <c r="BO9" s="61">
        <f t="shared" si="6"/>
        <v>32.802454837634563</v>
      </c>
      <c r="BP9" s="61">
        <f t="shared" si="0"/>
        <v>32.350813318517766</v>
      </c>
      <c r="BQ9" s="61">
        <f t="shared" si="1"/>
        <v>33.2262644137138</v>
      </c>
      <c r="BR9" s="61">
        <f t="shared" si="2"/>
        <v>35.85077418266377</v>
      </c>
      <c r="BS9" s="61">
        <f t="shared" si="3"/>
        <v>38.605209547791056</v>
      </c>
      <c r="BT9" s="61">
        <f t="shared" si="4"/>
        <v>39.380744857709665</v>
      </c>
      <c r="BU9" s="61">
        <f t="shared" si="5"/>
        <v>40.260837211252984</v>
      </c>
    </row>
    <row r="10" spans="1:73" x14ac:dyDescent="0.25">
      <c r="A10" s="50" t="s">
        <v>71</v>
      </c>
      <c r="B10" s="50" t="s">
        <v>102</v>
      </c>
      <c r="C10" s="50" t="s">
        <v>92</v>
      </c>
      <c r="D10" s="51">
        <f>'LUC-2013-01-08-Run4'!AF11</f>
        <v>9.854236723099179E-6</v>
      </c>
      <c r="E10" s="51">
        <f>'LUC-2013-01-08-Run4'!AG11</f>
        <v>9.9823313516283816E-6</v>
      </c>
      <c r="F10" s="51">
        <f>'LUC-2013-01-08-Run4'!AH11</f>
        <v>1.0100376622903003E-5</v>
      </c>
      <c r="G10" s="51">
        <f>'LUC-2013-01-08-Run4'!AI11</f>
        <v>1.0217954371032664E-5</v>
      </c>
      <c r="H10" s="51">
        <f>'LUC-2013-01-08-Run4'!AJ11</f>
        <v>1.0335036222756833E-5</v>
      </c>
      <c r="I10" s="51">
        <f>'LUC-2013-01-08-Run4'!AK11</f>
        <v>1.0451609591361124E-5</v>
      </c>
      <c r="J10" s="51">
        <f>'LUC-2013-01-08-Run4'!AL11</f>
        <v>1.0567721275233579E-5</v>
      </c>
      <c r="K10" s="51">
        <f>'LUC-2013-01-08-Run4'!AM11</f>
        <v>1.0683584645201572E-5</v>
      </c>
      <c r="L10" s="51">
        <f>'LUC-2013-01-08-Run4'!AN11</f>
        <v>1.0799445063931594E-5</v>
      </c>
      <c r="M10" s="51">
        <f>'LUC-2013-01-08-Run4'!AO11</f>
        <v>1.0915504194081234E-5</v>
      </c>
      <c r="N10" s="51">
        <f>'LUC-2013-01-08-Run4'!AP11</f>
        <v>1.1031807456688384E-5</v>
      </c>
      <c r="O10" s="51">
        <f>'LUC-2013-01-08-Run4'!AQ11</f>
        <v>1.1148309525294568E-5</v>
      </c>
      <c r="P10" s="51">
        <f>'LUC-2013-01-08-Run4'!AR11</f>
        <v>1.1264870100794226E-5</v>
      </c>
      <c r="Q10" s="51">
        <f>'LUC-2013-01-08-Run4'!AS11</f>
        <v>1.1381328286422772E-5</v>
      </c>
      <c r="R10" s="51">
        <f>'LUC-2013-01-08-Run4'!AT11</f>
        <v>1.1497512483415883E-5</v>
      </c>
      <c r="S10" s="51">
        <f>'LUC-2013-01-08-Run4'!AU11</f>
        <v>1.1803464369167429E-5</v>
      </c>
      <c r="T10" s="51">
        <f>'LUC-2013-01-08-Run4'!AV11</f>
        <v>1.2071076753421164E-5</v>
      </c>
      <c r="U10" s="51">
        <f>'LUC-2013-01-08-Run4'!AW11</f>
        <v>1.2339032919941119E-5</v>
      </c>
      <c r="V10" s="51">
        <f>'LUC-2013-01-08-Run4'!AX11</f>
        <v>1.2607263023161016E-5</v>
      </c>
      <c r="W10" s="51">
        <f>'LUC-2013-01-08-Run4'!AY11</f>
        <v>1.2875722419325717E-5</v>
      </c>
      <c r="X10" s="51">
        <f>'LUC-2013-01-08-Run4'!AZ11</f>
        <v>1.3144397729442386E-5</v>
      </c>
      <c r="Y10" s="51">
        <f>'LUC-2013-01-08-Run4'!BA11</f>
        <v>1.3413300071319038E-5</v>
      </c>
      <c r="Z10" s="51">
        <f>'LUC-2013-01-08-Run4'!BB11</f>
        <v>1.3682448844595694E-5</v>
      </c>
      <c r="AA10" s="51">
        <f>'LUC-2013-01-08-Run4'!BC11</f>
        <v>1.395188726793054E-5</v>
      </c>
      <c r="AB10" s="51">
        <f>'LUC-2013-01-08-Run4'!BD11</f>
        <v>1.4221622177317089E-5</v>
      </c>
      <c r="AC10" s="51">
        <f>'LUC-2013-01-08-Run4'!BE11</f>
        <v>1.4491643827531894E-5</v>
      </c>
      <c r="AD10" s="51">
        <f>'LUC-2013-01-08-Run4'!BF11</f>
        <v>1.4761924783512753E-5</v>
      </c>
      <c r="AE10" s="51">
        <f>'LUC-2013-01-08-Run4'!BG11</f>
        <v>1.503244380112934E-5</v>
      </c>
      <c r="AF10" s="51">
        <f>'LUC-2013-01-08-Run4'!BH11</f>
        <v>1.5303187831917682E-5</v>
      </c>
      <c r="AG10" s="51">
        <f>'LUC-2013-01-08-Run4'!BI11</f>
        <v>1.557412314738251E-5</v>
      </c>
      <c r="AH10" s="51">
        <f>'LUC-2013-01-08-Run4'!BJ11</f>
        <v>1.5845231954920686E-5</v>
      </c>
      <c r="AI10" s="51">
        <f>'LUC-2013-01-08-Run4'!BK11</f>
        <v>1.6116481807391817E-5</v>
      </c>
      <c r="AJ10" s="51">
        <f>'LUC-2013-01-08-Run4'!BL11</f>
        <v>1.6387846539899619E-5</v>
      </c>
      <c r="AK10" s="51">
        <f>'LUC-2013-01-08-Run4'!BM11</f>
        <v>1.6659294228484215E-5</v>
      </c>
      <c r="AL10" s="51">
        <f>'LUC-2013-01-08-Run4'!BN11</f>
        <v>1.6930804678487053E-5</v>
      </c>
      <c r="AM10" s="51">
        <f>'LUC-2013-01-08-Run4'!BO11</f>
        <v>1.72023400226907E-5</v>
      </c>
      <c r="AN10" s="51">
        <f>'LUC-2013-01-08-Run4'!BP11</f>
        <v>1.7473889524296791E-5</v>
      </c>
      <c r="AO10" s="51">
        <f>'LUC-2013-01-08-Run4'!BQ11</f>
        <v>1.7745421916057434E-5</v>
      </c>
      <c r="AP10" s="51">
        <f>'LUC-2013-01-08-Run4'!BR11</f>
        <v>1.8016930836368059E-5</v>
      </c>
      <c r="AQ10" s="51">
        <f>'LUC-2013-01-08-Run4'!BS11</f>
        <v>1.8288393046038396E-5</v>
      </c>
      <c r="AR10" s="51">
        <f>'LUC-2013-01-08-Run4'!BT11</f>
        <v>1.8537394223131596E-5</v>
      </c>
      <c r="AS10" s="51">
        <f>'LUC-2013-01-08-Run4'!BU11</f>
        <v>1.8786939369484812E-5</v>
      </c>
      <c r="AT10" s="51">
        <f>'LUC-2013-01-08-Run4'!BV11</f>
        <v>1.9037001323926226E-5</v>
      </c>
      <c r="AU10" s="51">
        <f>'LUC-2013-01-08-Run4'!BW11</f>
        <v>1.9287578920227342E-5</v>
      </c>
      <c r="AV10" s="51">
        <f>'LUC-2013-01-08-Run4'!BX11</f>
        <v>1.9538671131323192E-5</v>
      </c>
      <c r="AW10" s="51">
        <f>'LUC-2013-01-08-Run4'!BY11</f>
        <v>1.9790284246013519E-5</v>
      </c>
      <c r="AX10" s="51">
        <f>'LUC-2013-01-08-Run4'!BZ11</f>
        <v>2.0042405273308238E-5</v>
      </c>
      <c r="AY10" s="51">
        <f>'LUC-2013-01-08-Run4'!CA11</f>
        <v>2.0295033898328146E-5</v>
      </c>
      <c r="AZ10" s="51">
        <f>'LUC-2013-01-08-Run4'!CB11</f>
        <v>2.0548156613124433E-5</v>
      </c>
      <c r="BA10" s="51">
        <f>'LUC-2013-01-08-Run4'!CC11</f>
        <v>2.0801758869785672E-5</v>
      </c>
      <c r="BB10" s="51">
        <f>'LUC-2013-01-08-Run4'!CD11</f>
        <v>2.1055828081857568E-5</v>
      </c>
      <c r="BC10" s="51">
        <f>'LUC-2013-01-08-Run4'!CE11</f>
        <v>2.1310346949605758E-5</v>
      </c>
      <c r="BD10" s="51">
        <f>'LUC-2013-01-08-Run4'!CF11</f>
        <v>2.1565314955439615E-5</v>
      </c>
      <c r="BE10" s="51">
        <f>'LUC-2013-01-08-Run4'!CG11</f>
        <v>2.1820723628412651E-5</v>
      </c>
      <c r="BF10" s="51">
        <f>'LUC-2013-01-08-Run4'!CH11</f>
        <v>2.2076567644162625E-5</v>
      </c>
      <c r="BG10" s="51">
        <f>'LUC-2013-01-08-Run4'!CI11</f>
        <v>2.2332826663134236E-5</v>
      </c>
      <c r="BH10" s="51">
        <f>'LUC-2013-01-08-Run4'!CJ11</f>
        <v>2.2589489050445082E-5</v>
      </c>
      <c r="BI10" s="51">
        <f>'LUC-2013-01-08-Run4'!CK11</f>
        <v>2.2846510383298265E-5</v>
      </c>
      <c r="BJ10" s="51">
        <f>'LUC-2013-01-08-Run4'!CL11</f>
        <v>2.3103864648919468E-5</v>
      </c>
      <c r="BK10" s="51">
        <f>'LUC-2013-01-08-Run4'!CM11</f>
        <v>2.336149868724929E-5</v>
      </c>
      <c r="BM10" s="105"/>
      <c r="BN10" s="53" t="s">
        <v>102</v>
      </c>
      <c r="BO10" s="61">
        <f t="shared" si="6"/>
        <v>9.854236723099179</v>
      </c>
      <c r="BP10" s="61">
        <f t="shared" si="0"/>
        <v>10.915504194081233</v>
      </c>
      <c r="BQ10" s="61">
        <f t="shared" si="1"/>
        <v>12.875722419325717</v>
      </c>
      <c r="BR10" s="61">
        <f t="shared" si="2"/>
        <v>15.57412314738251</v>
      </c>
      <c r="BS10" s="61">
        <f t="shared" si="3"/>
        <v>18.288393046038397</v>
      </c>
      <c r="BT10" s="61">
        <f t="shared" si="4"/>
        <v>20.801758869785672</v>
      </c>
      <c r="BU10" s="61">
        <f t="shared" si="5"/>
        <v>23.361498687249291</v>
      </c>
    </row>
    <row r="11" spans="1:73" x14ac:dyDescent="0.25">
      <c r="A11" s="50" t="s">
        <v>71</v>
      </c>
      <c r="B11" s="50" t="s">
        <v>103</v>
      </c>
      <c r="C11" s="50" t="s">
        <v>92</v>
      </c>
      <c r="D11" s="51">
        <f>'LUC-2013-01-08-Run4'!AF12</f>
        <v>2.1546611417777664E-5</v>
      </c>
      <c r="E11" s="51">
        <f>'LUC-2013-01-08-Run4'!AG12</f>
        <v>2.1548776353901259E-5</v>
      </c>
      <c r="F11" s="51">
        <f>'LUC-2013-01-08-Run4'!AH12</f>
        <v>2.1529813843228388E-5</v>
      </c>
      <c r="G11" s="51">
        <f>'LUC-2013-01-08-Run4'!AI12</f>
        <v>2.1511796280261009E-5</v>
      </c>
      <c r="H11" s="51">
        <f>'LUC-2013-01-08-Run4'!AJ12</f>
        <v>2.1494294630538175E-5</v>
      </c>
      <c r="I11" s="51">
        <f>'LUC-2013-01-08-Run4'!AK12</f>
        <v>2.1477258718884035E-5</v>
      </c>
      <c r="J11" s="51">
        <f>'LUC-2013-01-08-Run4'!AL12</f>
        <v>2.1460780711870611E-5</v>
      </c>
      <c r="K11" s="51">
        <f>'LUC-2013-01-08-Run4'!AM12</f>
        <v>2.1445238306112089E-5</v>
      </c>
      <c r="L11" s="51">
        <f>'LUC-2013-01-08-Run4'!AN12</f>
        <v>2.1430974190250699E-5</v>
      </c>
      <c r="M11" s="51">
        <f>'LUC-2013-01-08-Run4'!AO12</f>
        <v>2.1418246228484336E-5</v>
      </c>
      <c r="N11" s="51">
        <f>'LUC-2013-01-08-Run4'!AP12</f>
        <v>2.1406989135757382E-5</v>
      </c>
      <c r="O11" s="51">
        <f>'LUC-2013-01-08-Run4'!AQ12</f>
        <v>2.1396971476561034E-5</v>
      </c>
      <c r="P11" s="51">
        <f>'LUC-2013-01-08-Run4'!AR12</f>
        <v>2.1387819441490876E-5</v>
      </c>
      <c r="Q11" s="51">
        <f>'LUC-2013-01-08-Run4'!AS12</f>
        <v>2.1379160748666734E-5</v>
      </c>
      <c r="R11" s="51">
        <f>'LUC-2013-01-08-Run4'!AT12</f>
        <v>2.1370586114888923E-5</v>
      </c>
      <c r="S11" s="51">
        <f>'LUC-2013-01-08-Run4'!AU12</f>
        <v>2.1564353450623786E-5</v>
      </c>
      <c r="T11" s="51">
        <f>'LUC-2013-01-08-Run4'!AV12</f>
        <v>2.1793341436211772E-5</v>
      </c>
      <c r="U11" s="51">
        <f>'LUC-2013-01-08-Run4'!AW12</f>
        <v>2.2022900015537084E-5</v>
      </c>
      <c r="V11" s="51">
        <f>'LUC-2013-01-08-Run4'!AX12</f>
        <v>2.225291554480102E-5</v>
      </c>
      <c r="W11" s="51">
        <f>'LUC-2013-01-08-Run4'!AY12</f>
        <v>2.248331696163916E-5</v>
      </c>
      <c r="X11" s="51">
        <f>'LUC-2013-01-08-Run4'!AZ12</f>
        <v>2.2714121854788541E-5</v>
      </c>
      <c r="Y11" s="51">
        <f>'LUC-2013-01-08-Run4'!BA12</f>
        <v>2.2945369953573054E-5</v>
      </c>
      <c r="Z11" s="51">
        <f>'LUC-2013-01-08-Run4'!BB12</f>
        <v>2.317716854182256E-5</v>
      </c>
      <c r="AA11" s="51">
        <f>'LUC-2013-01-08-Run4'!BC12</f>
        <v>2.3409714567266966E-5</v>
      </c>
      <c r="AB11" s="51">
        <f>'LUC-2013-01-08-Run4'!BD12</f>
        <v>2.3643118283127092E-5</v>
      </c>
      <c r="AC11" s="51">
        <f>'LUC-2013-01-08-Run4'!BE12</f>
        <v>2.3877389487586614E-5</v>
      </c>
      <c r="AD11" s="51">
        <f>'LUC-2013-01-08-Run4'!BF12</f>
        <v>2.4112490073566627E-5</v>
      </c>
      <c r="AE11" s="51">
        <f>'LUC-2013-01-08-Run4'!BG12</f>
        <v>2.4348441491904624E-5</v>
      </c>
      <c r="AF11" s="51">
        <f>'LUC-2013-01-08-Run4'!BH12</f>
        <v>2.4585313440037396E-5</v>
      </c>
      <c r="AG11" s="51">
        <f>'LUC-2013-01-08-Run4'!BI12</f>
        <v>2.4823070699872917E-5</v>
      </c>
      <c r="AH11" s="51">
        <f>'LUC-2013-01-08-Run4'!BJ12</f>
        <v>2.5061723396556276E-5</v>
      </c>
      <c r="AI11" s="51">
        <f>'LUC-2013-01-08-Run4'!BK12</f>
        <v>2.5301222927894769E-5</v>
      </c>
      <c r="AJ11" s="51">
        <f>'LUC-2013-01-08-Run4'!BL12</f>
        <v>2.5541470402580263E-5</v>
      </c>
      <c r="AK11" s="51">
        <f>'LUC-2013-01-08-Run4'!BM12</f>
        <v>2.5782356869015562E-5</v>
      </c>
      <c r="AL11" s="51">
        <f>'LUC-2013-01-08-Run4'!BN12</f>
        <v>2.602382674911267E-5</v>
      </c>
      <c r="AM11" s="51">
        <f>'LUC-2013-01-08-Run4'!BO12</f>
        <v>2.6265788224911583E-5</v>
      </c>
      <c r="AN11" s="51">
        <f>'LUC-2013-01-08-Run4'!BP12</f>
        <v>2.6508240428606932E-5</v>
      </c>
      <c r="AO11" s="51">
        <f>'LUC-2013-01-08-Run4'!BQ12</f>
        <v>2.6751112796108488E-5</v>
      </c>
      <c r="AP11" s="51">
        <f>'LUC-2013-01-08-Run4'!BR12</f>
        <v>2.6994398843226654E-5</v>
      </c>
      <c r="AQ11" s="51">
        <f>'LUC-2013-01-08-Run4'!BS12</f>
        <v>2.7238015928863178E-5</v>
      </c>
      <c r="AR11" s="51">
        <f>'LUC-2013-01-08-Run4'!BT12</f>
        <v>2.7486278328480859E-5</v>
      </c>
      <c r="AS11" s="51">
        <f>'LUC-2013-01-08-Run4'!BU12</f>
        <v>2.7735066702356564E-5</v>
      </c>
      <c r="AT11" s="51">
        <f>'LUC-2013-01-08-Run4'!BV12</f>
        <v>2.7984373471102214E-5</v>
      </c>
      <c r="AU11" s="51">
        <f>'LUC-2013-01-08-Run4'!BW12</f>
        <v>2.8234185785609252E-5</v>
      </c>
      <c r="AV11" s="51">
        <f>'LUC-2013-01-08-Run4'!BX12</f>
        <v>2.848452661865839E-5</v>
      </c>
      <c r="AW11" s="51">
        <f>'LUC-2013-01-08-Run4'!BY12</f>
        <v>2.8735407812141995E-5</v>
      </c>
      <c r="AX11" s="51">
        <f>'LUC-2013-01-08-Run4'!BZ12</f>
        <v>2.8986784416274045E-5</v>
      </c>
      <c r="AY11" s="51">
        <f>'LUC-2013-01-08-Run4'!CA12</f>
        <v>2.923868910001958E-5</v>
      </c>
      <c r="AZ11" s="51">
        <f>'LUC-2013-01-08-Run4'!CB12</f>
        <v>2.9491106015792109E-5</v>
      </c>
      <c r="BA11" s="51">
        <f>'LUC-2013-01-08-Run4'!CC12</f>
        <v>2.974403013996918E-5</v>
      </c>
      <c r="BB11" s="51">
        <f>'LUC-2013-01-08-Run4'!CD12</f>
        <v>2.9997418547630894E-5</v>
      </c>
      <c r="BC11" s="51">
        <f>'LUC-2013-01-08-Run4'!CE12</f>
        <v>3.0251285972614444E-5</v>
      </c>
      <c r="BD11" s="51">
        <f>'LUC-2013-01-08-Run4'!CF12</f>
        <v>3.0505605048150061E-5</v>
      </c>
      <c r="BE11" s="51">
        <f>'LUC-2013-01-08-Run4'!CG12</f>
        <v>3.0760361503078086E-5</v>
      </c>
      <c r="BF11" s="51">
        <f>'LUC-2013-01-08-Run4'!CH12</f>
        <v>3.1015537929679432E-5</v>
      </c>
      <c r="BG11" s="51">
        <f>'LUC-2013-01-08-Run4'!CI12</f>
        <v>3.1271124426628932E-5</v>
      </c>
      <c r="BH11" s="51">
        <f>'LUC-2013-01-08-Run4'!CJ12</f>
        <v>3.152708507740859E-5</v>
      </c>
      <c r="BI11" s="51">
        <f>'LUC-2013-01-08-Run4'!CK12</f>
        <v>3.1783371020349179E-5</v>
      </c>
      <c r="BJ11" s="51">
        <f>'LUC-2013-01-08-Run4'!CL12</f>
        <v>3.2039952017257924E-5</v>
      </c>
      <c r="BK11" s="51">
        <f>'LUC-2013-01-08-Run4'!CM12</f>
        <v>3.2296747924272995E-5</v>
      </c>
      <c r="BM11" s="105"/>
      <c r="BN11" s="53" t="s">
        <v>103</v>
      </c>
      <c r="BO11" s="61">
        <f t="shared" si="6"/>
        <v>21.546611417777665</v>
      </c>
      <c r="BP11" s="61">
        <f t="shared" si="0"/>
        <v>21.418246228484335</v>
      </c>
      <c r="BQ11" s="61">
        <f t="shared" si="1"/>
        <v>22.483316961639161</v>
      </c>
      <c r="BR11" s="61">
        <f t="shared" si="2"/>
        <v>24.823070699872918</v>
      </c>
      <c r="BS11" s="61">
        <f t="shared" si="3"/>
        <v>27.238015928863177</v>
      </c>
      <c r="BT11" s="61">
        <f t="shared" si="4"/>
        <v>29.74403013996918</v>
      </c>
      <c r="BU11" s="61">
        <f t="shared" si="5"/>
        <v>32.296747924272992</v>
      </c>
    </row>
    <row r="12" spans="1:73" x14ac:dyDescent="0.25">
      <c r="A12" s="50" t="s">
        <v>71</v>
      </c>
      <c r="B12" s="50" t="s">
        <v>104</v>
      </c>
      <c r="C12" s="50" t="s">
        <v>92</v>
      </c>
      <c r="D12" s="51">
        <f>'LUC-2013-01-08-Run4'!AF14</f>
        <v>7.2579400635636128E-5</v>
      </c>
      <c r="E12" s="51">
        <f>'LUC-2013-01-08-Run4'!AG14</f>
        <v>7.2710750357848772E-5</v>
      </c>
      <c r="F12" s="51">
        <f>'LUC-2013-01-08-Run4'!AH14</f>
        <v>7.2835631481469562E-5</v>
      </c>
      <c r="G12" s="51">
        <f>'LUC-2013-01-08-Run4'!AI14</f>
        <v>7.2966844650889425E-5</v>
      </c>
      <c r="H12" s="51">
        <f>'LUC-2013-01-08-Run4'!AJ14</f>
        <v>7.3104359921105733E-5</v>
      </c>
      <c r="I12" s="51">
        <f>'LUC-2013-01-08-Run4'!AK14</f>
        <v>7.3248246864508071E-5</v>
      </c>
      <c r="J12" s="51">
        <f>'LUC-2013-01-08-Run4'!AL14</f>
        <v>7.3398754505103175E-5</v>
      </c>
      <c r="K12" s="51">
        <f>'LUC-2013-01-08-Run4'!AM14</f>
        <v>7.3555626460515322E-5</v>
      </c>
      <c r="L12" s="51">
        <f>'LUC-2013-01-08-Run4'!AN14</f>
        <v>7.3718630250443402E-5</v>
      </c>
      <c r="M12" s="51">
        <f>'LUC-2013-01-08-Run4'!AO14</f>
        <v>7.3887930394828121E-5</v>
      </c>
      <c r="N12" s="51">
        <f>'LUC-2013-01-08-Run4'!AP14</f>
        <v>7.4063048210976443E-5</v>
      </c>
      <c r="O12" s="51">
        <f>'LUC-2013-01-08-Run4'!AQ14</f>
        <v>7.4244147109695115E-5</v>
      </c>
      <c r="P12" s="51">
        <f>'LUC-2013-01-08-Run4'!AR14</f>
        <v>7.4431632375143155E-5</v>
      </c>
      <c r="Q12" s="51">
        <f>'LUC-2013-01-08-Run4'!AS14</f>
        <v>7.4625871636400709E-5</v>
      </c>
      <c r="R12" s="51">
        <f>'LUC-2013-01-08-Run4'!AT14</f>
        <v>7.4827372348252132E-5</v>
      </c>
      <c r="S12" s="51">
        <f>'LUC-2013-01-08-Run4'!AU14</f>
        <v>7.5272799341533807E-5</v>
      </c>
      <c r="T12" s="51">
        <f>'LUC-2013-01-08-Run4'!AV14</f>
        <v>7.5653421761369362E-5</v>
      </c>
      <c r="U12" s="51">
        <f>'LUC-2013-01-08-Run4'!AW14</f>
        <v>7.6040193622583865E-5</v>
      </c>
      <c r="V12" s="51">
        <f>'LUC-2013-01-08-Run4'!AX14</f>
        <v>7.6432190906052539E-5</v>
      </c>
      <c r="W12" s="51">
        <f>'LUC-2013-01-08-Run4'!AY14</f>
        <v>7.6828880354967423E-5</v>
      </c>
      <c r="X12" s="51">
        <f>'LUC-2013-01-08-Run4'!AZ14</f>
        <v>7.7229800876962352E-5</v>
      </c>
      <c r="Y12" s="51">
        <f>'LUC-2013-01-08-Run4'!BA14</f>
        <v>7.7634910652234077E-5</v>
      </c>
      <c r="Z12" s="51">
        <f>'LUC-2013-01-08-Run4'!BB14</f>
        <v>7.8043932027252886E-5</v>
      </c>
      <c r="AA12" s="51">
        <f>'LUC-2013-01-08-Run4'!BC14</f>
        <v>7.8456345254956117E-5</v>
      </c>
      <c r="AB12" s="51">
        <f>'LUC-2013-01-08-Run4'!BD14</f>
        <v>7.8871802407409408E-5</v>
      </c>
      <c r="AC12" s="51">
        <f>'LUC-2013-01-08-Run4'!BE14</f>
        <v>7.9290254340928318E-5</v>
      </c>
      <c r="AD12" s="51">
        <f>'LUC-2013-01-08-Run4'!BF14</f>
        <v>7.9711490722035377E-5</v>
      </c>
      <c r="AE12" s="51">
        <f>'LUC-2013-01-08-Run4'!BG14</f>
        <v>8.0135788621319673E-5</v>
      </c>
      <c r="AF12" s="51">
        <f>'LUC-2013-01-08-Run4'!BH14</f>
        <v>8.0562988302829418E-5</v>
      </c>
      <c r="AG12" s="51">
        <f>'LUC-2013-01-08-Run4'!BI14</f>
        <v>8.0993198348850272E-5</v>
      </c>
      <c r="AH12" s="51">
        <f>'LUC-2013-01-08-Run4'!BJ14</f>
        <v>8.1426526896724929E-5</v>
      </c>
      <c r="AI12" s="51">
        <f>'LUC-2013-01-08-Run4'!BK14</f>
        <v>8.1862876820251466E-5</v>
      </c>
      <c r="AJ12" s="51">
        <f>'LUC-2013-01-08-Run4'!BL14</f>
        <v>8.2302563022349228E-5</v>
      </c>
      <c r="AK12" s="51">
        <f>'LUC-2013-01-08-Run4'!BM14</f>
        <v>8.2745948066426073E-5</v>
      </c>
      <c r="AL12" s="51">
        <f>'LUC-2013-01-08-Run4'!BN14</f>
        <v>8.3193150536952967E-5</v>
      </c>
      <c r="AM12" s="51">
        <f>'LUC-2013-01-08-Run4'!BO14</f>
        <v>8.3644366820044867E-5</v>
      </c>
      <c r="AN12" s="51">
        <f>'LUC-2013-01-08-Run4'!BP14</f>
        <v>8.4099276794272285E-5</v>
      </c>
      <c r="AO12" s="51">
        <f>'LUC-2013-01-08-Run4'!BQ14</f>
        <v>8.4557925721439917E-5</v>
      </c>
      <c r="AP12" s="51">
        <f>'LUC-2013-01-08-Run4'!BR14</f>
        <v>8.5019750842936146E-5</v>
      </c>
      <c r="AQ12" s="51">
        <f>'LUC-2013-01-08-Run4'!BS14</f>
        <v>8.8421503654507531E-5</v>
      </c>
      <c r="AR12" s="51">
        <f>'LUC-2013-01-08-Run4'!BT14</f>
        <v>8.8842393838757668E-5</v>
      </c>
      <c r="AS12" s="51">
        <f>'LUC-2013-01-08-Run4'!BU14</f>
        <v>8.9265303631429454E-5</v>
      </c>
      <c r="AT12" s="51">
        <f>'LUC-2013-01-08-Run4'!BV14</f>
        <v>8.968966968738465E-5</v>
      </c>
      <c r="AU12" s="51">
        <f>'LUC-2013-01-08-Run4'!BW14</f>
        <v>9.0115191424142366E-5</v>
      </c>
      <c r="AV12" s="51">
        <f>'LUC-2013-01-08-Run4'!BX14</f>
        <v>9.0541413440371632E-5</v>
      </c>
      <c r="AW12" s="51">
        <f>'LUC-2013-01-08-Run4'!BY14</f>
        <v>9.0968056296699494E-5</v>
      </c>
      <c r="AX12" s="51">
        <f>'LUC-2013-01-08-Run4'!BZ14</f>
        <v>9.1395259359980312E-5</v>
      </c>
      <c r="AY12" s="51">
        <f>'LUC-2013-01-08-Run4'!CA14</f>
        <v>9.1822763544531668E-5</v>
      </c>
      <c r="AZ12" s="51">
        <f>'LUC-2013-01-08-Run4'!CB14</f>
        <v>9.2250697448126019E-5</v>
      </c>
      <c r="BA12" s="51">
        <f>'LUC-2013-01-08-Run4'!CC14</f>
        <v>9.2678861236957113E-5</v>
      </c>
      <c r="BB12" s="51">
        <f>'LUC-2013-01-08-Run4'!CD14</f>
        <v>9.3107437683878698E-5</v>
      </c>
      <c r="BC12" s="51">
        <f>'LUC-2013-01-08-Run4'!CE14</f>
        <v>9.3536262752496986E-5</v>
      </c>
      <c r="BD12" s="51">
        <f>'LUC-2013-01-08-Run4'!CF14</f>
        <v>9.3965275259047813E-5</v>
      </c>
      <c r="BE12" s="51">
        <f>'LUC-2013-01-08-Run4'!CG14</f>
        <v>9.4394518640761839E-5</v>
      </c>
      <c r="BF12" s="51">
        <f>'LUC-2013-01-08-Run4'!CH14</f>
        <v>9.4823893052683463E-5</v>
      </c>
      <c r="BG12" s="51">
        <f>'LUC-2013-01-08-Run4'!CI14</f>
        <v>9.5253528751421097E-5</v>
      </c>
      <c r="BH12" s="51">
        <f>'LUC-2013-01-08-Run4'!CJ14</f>
        <v>9.5683465522345998E-5</v>
      </c>
      <c r="BI12" s="51">
        <f>'LUC-2013-01-08-Run4'!CK14</f>
        <v>9.611397100395814E-5</v>
      </c>
      <c r="BJ12" s="51">
        <f>'LUC-2013-01-08-Run4'!CL14</f>
        <v>9.6545000653288165E-5</v>
      </c>
      <c r="BK12" s="51">
        <f>'LUC-2013-01-08-Run4'!CM14</f>
        <v>9.6976999883365017E-5</v>
      </c>
      <c r="BM12" s="103"/>
      <c r="BN12" s="54" t="s">
        <v>104</v>
      </c>
      <c r="BO12" s="62">
        <f t="shared" si="6"/>
        <v>72.579400635636134</v>
      </c>
      <c r="BP12" s="62">
        <f t="shared" si="0"/>
        <v>73.887930394828118</v>
      </c>
      <c r="BQ12" s="62">
        <f t="shared" si="1"/>
        <v>76.828880354967424</v>
      </c>
      <c r="BR12" s="62">
        <f t="shared" si="2"/>
        <v>80.993198348850271</v>
      </c>
      <c r="BS12" s="62">
        <f t="shared" si="3"/>
        <v>88.421503654507532</v>
      </c>
      <c r="BT12" s="62">
        <f t="shared" si="4"/>
        <v>92.678861236957118</v>
      </c>
      <c r="BU12" s="62">
        <f t="shared" si="5"/>
        <v>96.976999883365011</v>
      </c>
    </row>
    <row r="13" spans="1:73" x14ac:dyDescent="0.25">
      <c r="BM13" s="104" t="s">
        <v>38</v>
      </c>
      <c r="BN13" s="55" t="s">
        <v>96</v>
      </c>
      <c r="BO13" s="60">
        <f t="shared" ref="BO13:BO23" si="7">D14*1000000</f>
        <v>26.047124150016419</v>
      </c>
      <c r="BP13" s="60">
        <f t="shared" ref="BP13:BP23" si="8">M14*1000000</f>
        <v>25.027577905867933</v>
      </c>
      <c r="BQ13" s="60">
        <f t="shared" ref="BQ13:BQ23" si="9">W14*1000000</f>
        <v>24.612609299800145</v>
      </c>
      <c r="BR13" s="60">
        <f t="shared" ref="BR13:BR23" si="10">AG14*1000000</f>
        <v>24.826489976641632</v>
      </c>
      <c r="BS13" s="60">
        <f t="shared" ref="BS13:BS23" si="11">AQ14*1000000</f>
        <v>25.041135718846558</v>
      </c>
      <c r="BT13" s="60">
        <f t="shared" ref="BT13:BT23" si="12">BA14*1000000</f>
        <v>25.256549263104439</v>
      </c>
      <c r="BU13" s="60">
        <f t="shared" ref="BU13:BU23" si="13">BK14*1000000</f>
        <v>25.472733355894153</v>
      </c>
    </row>
    <row r="14" spans="1:73" x14ac:dyDescent="0.25">
      <c r="A14" s="50" t="s">
        <v>38</v>
      </c>
      <c r="B14" s="50" t="s">
        <v>96</v>
      </c>
      <c r="C14" s="50" t="s">
        <v>92</v>
      </c>
      <c r="D14" s="51">
        <f>'LUC-2013-01-08-Run4'!AF16</f>
        <v>2.6047124150016419E-5</v>
      </c>
      <c r="E14" s="51">
        <f>'LUC-2013-01-08-Run4'!AG16</f>
        <v>2.5931820509822103E-5</v>
      </c>
      <c r="F14" s="51">
        <f>'LUC-2013-01-08-Run4'!AH16</f>
        <v>2.5817027287951345E-5</v>
      </c>
      <c r="G14" s="51">
        <f>'LUC-2013-01-08-Run4'!AI16</f>
        <v>2.5702742224918969E-5</v>
      </c>
      <c r="H14" s="51">
        <f>'LUC-2013-01-08-Run4'!AJ16</f>
        <v>2.5588963071241946E-5</v>
      </c>
      <c r="I14" s="51">
        <f>'LUC-2013-01-08-Run4'!AK16</f>
        <v>2.5475687587395098E-5</v>
      </c>
      <c r="J14" s="51">
        <f>'LUC-2013-01-08-Run4'!AL16</f>
        <v>2.5362913543767027E-5</v>
      </c>
      <c r="K14" s="51">
        <f>'LUC-2013-01-08-Run4'!AM16</f>
        <v>2.5250638720616227E-5</v>
      </c>
      <c r="L14" s="51">
        <f>'LUC-2013-01-08-Run4'!AN16</f>
        <v>2.5138860908027395E-5</v>
      </c>
      <c r="M14" s="51">
        <f>'LUC-2013-01-08-Run4'!AO16</f>
        <v>2.5027577905867931E-5</v>
      </c>
      <c r="N14" s="51">
        <f>'LUC-2013-01-08-Run4'!AP16</f>
        <v>2.4916787523744632E-5</v>
      </c>
      <c r="O14" s="51">
        <f>'LUC-2013-01-08-Run4'!AQ16</f>
        <v>2.4806487580960574E-5</v>
      </c>
      <c r="P14" s="51">
        <f>'LUC-2013-01-08-Run4'!AR16</f>
        <v>2.4696675906472202E-5</v>
      </c>
      <c r="Q14" s="51">
        <f>'LUC-2013-01-08-Run4'!AS16</f>
        <v>2.4587350338846587E-5</v>
      </c>
      <c r="R14" s="51">
        <f>'LUC-2013-01-08-Run4'!AT16</f>
        <v>2.4478508726218878E-5</v>
      </c>
      <c r="S14" s="51">
        <f>'LUC-2013-01-08-Run4'!AU16</f>
        <v>2.4527270636204891E-5</v>
      </c>
      <c r="T14" s="51">
        <f>'LUC-2013-01-08-Run4'!AV16</f>
        <v>2.4548593876562171E-5</v>
      </c>
      <c r="U14" s="51">
        <f>'LUC-2013-01-08-Run4'!AW16</f>
        <v>2.4569924732133882E-5</v>
      </c>
      <c r="V14" s="51">
        <f>'LUC-2013-01-08-Run4'!AX16</f>
        <v>2.4591263205639672E-5</v>
      </c>
      <c r="W14" s="51">
        <f>'LUC-2013-01-08-Run4'!AY16</f>
        <v>2.4612609299800146E-5</v>
      </c>
      <c r="X14" s="51">
        <f>'LUC-2013-01-08-Run4'!AZ16</f>
        <v>2.4633963017336884E-5</v>
      </c>
      <c r="Y14" s="51">
        <f>'LUC-2013-01-08-Run4'!BA16</f>
        <v>2.4655324360972442E-5</v>
      </c>
      <c r="Z14" s="51">
        <f>'LUC-2013-01-08-Run4'!BB16</f>
        <v>2.467669333343034E-5</v>
      </c>
      <c r="AA14" s="51">
        <f>'LUC-2013-01-08-Run4'!BC16</f>
        <v>2.4698069937435075E-5</v>
      </c>
      <c r="AB14" s="51">
        <f>'LUC-2013-01-08-Run4'!BD16</f>
        <v>2.4719454175712123E-5</v>
      </c>
      <c r="AC14" s="51">
        <f>'LUC-2013-01-08-Run4'!BE16</f>
        <v>2.4740846050987925E-5</v>
      </c>
      <c r="AD14" s="51">
        <f>'LUC-2013-01-08-Run4'!BF16</f>
        <v>2.4762245565989893E-5</v>
      </c>
      <c r="AE14" s="51">
        <f>'LUC-2013-01-08-Run4'!BG16</f>
        <v>2.4783652723446429E-5</v>
      </c>
      <c r="AF14" s="51">
        <f>'LUC-2013-01-08-Run4'!BH16</f>
        <v>2.4805067526086899E-5</v>
      </c>
      <c r="AG14" s="51">
        <f>'LUC-2013-01-08-Run4'!BI16</f>
        <v>2.4826489976641633E-5</v>
      </c>
      <c r="AH14" s="51">
        <f>'LUC-2013-01-08-Run4'!BJ16</f>
        <v>2.4847920077841963E-5</v>
      </c>
      <c r="AI14" s="51">
        <f>'LUC-2013-01-08-Run4'!BK16</f>
        <v>2.4869357832420167E-5</v>
      </c>
      <c r="AJ14" s="51">
        <f>'LUC-2013-01-08-Run4'!BL16</f>
        <v>2.4890803243109515E-5</v>
      </c>
      <c r="AK14" s="51">
        <f>'LUC-2013-01-08-Run4'!BM16</f>
        <v>2.491225631264425E-5</v>
      </c>
      <c r="AL14" s="51">
        <f>'LUC-2013-01-08-Run4'!BN16</f>
        <v>2.49337170437596E-5</v>
      </c>
      <c r="AM14" s="51">
        <f>'LUC-2013-01-08-Run4'!BO16</f>
        <v>2.4955185439191757E-5</v>
      </c>
      <c r="AN14" s="51">
        <f>'LUC-2013-01-08-Run4'!BP16</f>
        <v>2.497666150167789E-5</v>
      </c>
      <c r="AO14" s="51">
        <f>'LUC-2013-01-08-Run4'!BQ16</f>
        <v>2.4998145233956152E-5</v>
      </c>
      <c r="AP14" s="51">
        <f>'LUC-2013-01-08-Run4'!BR16</f>
        <v>2.5019636638765671E-5</v>
      </c>
      <c r="AQ14" s="51">
        <f>'LUC-2013-01-08-Run4'!BS16</f>
        <v>2.5041135718846558E-5</v>
      </c>
      <c r="AR14" s="51">
        <f>'LUC-2013-01-08-Run4'!BT16</f>
        <v>2.5062642476939903E-5</v>
      </c>
      <c r="AS14" s="51">
        <f>'LUC-2013-01-08-Run4'!BU16</f>
        <v>2.5084156915787766E-5</v>
      </c>
      <c r="AT14" s="51">
        <f>'LUC-2013-01-08-Run4'!BV16</f>
        <v>2.5105679038133188E-5</v>
      </c>
      <c r="AU14" s="51">
        <f>'LUC-2013-01-08-Run4'!BW16</f>
        <v>2.5127208846720193E-5</v>
      </c>
      <c r="AV14" s="51">
        <f>'LUC-2013-01-08-Run4'!BX16</f>
        <v>2.5148746344293792E-5</v>
      </c>
      <c r="AW14" s="51">
        <f>'LUC-2013-01-08-Run4'!BY16</f>
        <v>2.5170291533599969E-5</v>
      </c>
      <c r="AX14" s="51">
        <f>'LUC-2013-01-08-Run4'!BZ16</f>
        <v>2.5191844417385685E-5</v>
      </c>
      <c r="AY14" s="51">
        <f>'LUC-2013-01-08-Run4'!CA16</f>
        <v>2.5213404998398886E-5</v>
      </c>
      <c r="AZ14" s="51">
        <f>'LUC-2013-01-08-Run4'!CB16</f>
        <v>2.5234973279388503E-5</v>
      </c>
      <c r="BA14" s="51">
        <f>'LUC-2013-01-08-Run4'!CC16</f>
        <v>2.5256549263104441E-5</v>
      </c>
      <c r="BB14" s="51">
        <f>'LUC-2013-01-08-Run4'!CD16</f>
        <v>2.5278132952297586E-5</v>
      </c>
      <c r="BC14" s="51">
        <f>'LUC-2013-01-08-Run4'!CE16</f>
        <v>2.5299724349719819E-5</v>
      </c>
      <c r="BD14" s="51">
        <f>'LUC-2013-01-08-Run4'!CF16</f>
        <v>2.5321323458123997E-5</v>
      </c>
      <c r="BE14" s="51">
        <f>'LUC-2013-01-08-Run4'!CG16</f>
        <v>2.5342930280263964E-5</v>
      </c>
      <c r="BF14" s="51">
        <f>'LUC-2013-01-08-Run4'!CH16</f>
        <v>2.5364544818894534E-5</v>
      </c>
      <c r="BG14" s="51">
        <f>'LUC-2013-01-08-Run4'!CI16</f>
        <v>2.5386167076771516E-5</v>
      </c>
      <c r="BH14" s="51">
        <f>'LUC-2013-01-08-Run4'!CJ16</f>
        <v>2.5407797056651697E-5</v>
      </c>
      <c r="BI14" s="51">
        <f>'LUC-2013-01-08-Run4'!CK16</f>
        <v>2.5429434761292858E-5</v>
      </c>
      <c r="BJ14" s="51">
        <f>'LUC-2013-01-08-Run4'!CL16</f>
        <v>2.5451080193453763E-5</v>
      </c>
      <c r="BK14" s="51">
        <f>'LUC-2013-01-08-Run4'!CM16</f>
        <v>2.5472733355894152E-5</v>
      </c>
      <c r="BM14" s="102"/>
      <c r="BN14" s="53" t="s">
        <v>97</v>
      </c>
      <c r="BO14" s="61">
        <f t="shared" si="7"/>
        <v>201</v>
      </c>
      <c r="BP14" s="61">
        <f t="shared" si="8"/>
        <v>201.6</v>
      </c>
      <c r="BQ14" s="61">
        <f t="shared" si="9"/>
        <v>207.40500000000009</v>
      </c>
      <c r="BR14" s="61">
        <f t="shared" si="10"/>
        <v>220.67583333333343</v>
      </c>
      <c r="BS14" s="61">
        <f t="shared" si="11"/>
        <v>233.94666666666686</v>
      </c>
      <c r="BT14" s="61">
        <f t="shared" si="12"/>
        <v>242.5216666666669</v>
      </c>
      <c r="BU14" s="61">
        <f t="shared" si="13"/>
        <v>251.09666666666683</v>
      </c>
    </row>
    <row r="15" spans="1:73" x14ac:dyDescent="0.25">
      <c r="A15" s="50" t="s">
        <v>38</v>
      </c>
      <c r="B15" s="50" t="s">
        <v>97</v>
      </c>
      <c r="C15" s="50" t="s">
        <v>92</v>
      </c>
      <c r="D15" s="51">
        <f>'LUC-2013-01-08-Run4'!AF17</f>
        <v>2.0100000000000001E-4</v>
      </c>
      <c r="E15" s="51">
        <f>'LUC-2013-01-08-Run4'!AG17</f>
        <v>2.0106666666666668E-4</v>
      </c>
      <c r="F15" s="51">
        <f>'LUC-2013-01-08-Run4'!AH17</f>
        <v>2.0113333333333333E-4</v>
      </c>
      <c r="G15" s="51">
        <f>'LUC-2013-01-08-Run4'!AI17</f>
        <v>2.0120000000000001E-4</v>
      </c>
      <c r="H15" s="51">
        <f>'LUC-2013-01-08-Run4'!AJ17</f>
        <v>2.0126666666666666E-4</v>
      </c>
      <c r="I15" s="51">
        <f>'LUC-2013-01-08-Run4'!AK17</f>
        <v>2.0133333333333334E-4</v>
      </c>
      <c r="J15" s="51">
        <f>'LUC-2013-01-08-Run4'!AL17</f>
        <v>2.0140000000000002E-4</v>
      </c>
      <c r="K15" s="51">
        <f>'LUC-2013-01-08-Run4'!AM17</f>
        <v>2.0146666666666667E-4</v>
      </c>
      <c r="L15" s="51">
        <f>'LUC-2013-01-08-Run4'!AN17</f>
        <v>2.0153333333333334E-4</v>
      </c>
      <c r="M15" s="51">
        <f>'LUC-2013-01-08-Run4'!AO17</f>
        <v>2.0159999999999999E-4</v>
      </c>
      <c r="N15" s="51">
        <f>'LUC-2013-01-08-Run4'!AP17</f>
        <v>2.0166666666666667E-4</v>
      </c>
      <c r="O15" s="51">
        <f>'LUC-2013-01-08-Run4'!AQ17</f>
        <v>2.0173333333333335E-4</v>
      </c>
      <c r="P15" s="51">
        <f>'LUC-2013-01-08-Run4'!AR17</f>
        <v>2.018E-4</v>
      </c>
      <c r="Q15" s="51">
        <f>'LUC-2013-01-08-Run4'!AS17</f>
        <v>2.0186666666666668E-4</v>
      </c>
      <c r="R15" s="51">
        <f>'LUC-2013-01-08-Run4'!AT17</f>
        <v>2.0193333333333333E-4</v>
      </c>
      <c r="S15" s="51">
        <f>'LUC-2013-01-08-Run4'!AU17</f>
        <v>2.0209666666666669E-4</v>
      </c>
      <c r="T15" s="51">
        <f>'LUC-2013-01-08-Run4'!AV17</f>
        <v>2.0342375000000006E-4</v>
      </c>
      <c r="U15" s="51">
        <f>'LUC-2013-01-08-Run4'!AW17</f>
        <v>2.0475083333333335E-4</v>
      </c>
      <c r="V15" s="51">
        <f>'LUC-2013-01-08-Run4'!AX17</f>
        <v>2.0607791666666671E-4</v>
      </c>
      <c r="W15" s="51">
        <f>'LUC-2013-01-08-Run4'!AY17</f>
        <v>2.0740500000000008E-4</v>
      </c>
      <c r="X15" s="51">
        <f>'LUC-2013-01-08-Run4'!AZ17</f>
        <v>2.0873208333333336E-4</v>
      </c>
      <c r="Y15" s="51">
        <f>'LUC-2013-01-08-Run4'!BA17</f>
        <v>2.1005916666666673E-4</v>
      </c>
      <c r="Z15" s="51">
        <f>'LUC-2013-01-08-Run4'!BB17</f>
        <v>2.113862500000001E-4</v>
      </c>
      <c r="AA15" s="51">
        <f>'LUC-2013-01-08-Run4'!BC17</f>
        <v>2.1271333333333338E-4</v>
      </c>
      <c r="AB15" s="51">
        <f>'LUC-2013-01-08-Run4'!BD17</f>
        <v>2.1404041666666675E-4</v>
      </c>
      <c r="AC15" s="51">
        <f>'LUC-2013-01-08-Run4'!BE17</f>
        <v>2.1536750000000012E-4</v>
      </c>
      <c r="AD15" s="51">
        <f>'LUC-2013-01-08-Run4'!BF17</f>
        <v>2.166945833333334E-4</v>
      </c>
      <c r="AE15" s="51">
        <f>'LUC-2013-01-08-Run4'!BG17</f>
        <v>2.1802166666666677E-4</v>
      </c>
      <c r="AF15" s="51">
        <f>'LUC-2013-01-08-Run4'!BH17</f>
        <v>2.1934875000000013E-4</v>
      </c>
      <c r="AG15" s="51">
        <f>'LUC-2013-01-08-Run4'!BI17</f>
        <v>2.2067583333333342E-4</v>
      </c>
      <c r="AH15" s="51">
        <f>'LUC-2013-01-08-Run4'!BJ17</f>
        <v>2.2200291666666679E-4</v>
      </c>
      <c r="AI15" s="51">
        <f>'LUC-2013-01-08-Run4'!BK17</f>
        <v>2.2333000000000015E-4</v>
      </c>
      <c r="AJ15" s="51">
        <f>'LUC-2013-01-08-Run4'!BL17</f>
        <v>2.2465708333333344E-4</v>
      </c>
      <c r="AK15" s="51">
        <f>'LUC-2013-01-08-Run4'!BM17</f>
        <v>2.2598416666666681E-4</v>
      </c>
      <c r="AL15" s="51">
        <f>'LUC-2013-01-08-Run4'!BN17</f>
        <v>2.2731125000000017E-4</v>
      </c>
      <c r="AM15" s="51">
        <f>'LUC-2013-01-08-Run4'!BO17</f>
        <v>2.2863833333333346E-4</v>
      </c>
      <c r="AN15" s="51">
        <f>'LUC-2013-01-08-Run4'!BP17</f>
        <v>2.2996541666666682E-4</v>
      </c>
      <c r="AO15" s="51">
        <f>'LUC-2013-01-08-Run4'!BQ17</f>
        <v>2.3129250000000019E-4</v>
      </c>
      <c r="AP15" s="51">
        <f>'LUC-2013-01-08-Run4'!BR17</f>
        <v>2.3261958333333348E-4</v>
      </c>
      <c r="AQ15" s="51">
        <f>'LUC-2013-01-08-Run4'!BS17</f>
        <v>2.3394666666666684E-4</v>
      </c>
      <c r="AR15" s="51">
        <f>'LUC-2013-01-08-Run4'!BT17</f>
        <v>2.3480416666666687E-4</v>
      </c>
      <c r="AS15" s="51">
        <f>'LUC-2013-01-08-Run4'!BU17</f>
        <v>2.3566166666666682E-4</v>
      </c>
      <c r="AT15" s="51">
        <f>'LUC-2013-01-08-Run4'!BV17</f>
        <v>2.3651916666666685E-4</v>
      </c>
      <c r="AU15" s="51">
        <f>'LUC-2013-01-08-Run4'!BW17</f>
        <v>2.3737666666666688E-4</v>
      </c>
      <c r="AV15" s="51">
        <f>'LUC-2013-01-08-Run4'!BX17</f>
        <v>2.3823416666666683E-4</v>
      </c>
      <c r="AW15" s="51">
        <f>'LUC-2013-01-08-Run4'!BY17</f>
        <v>2.3909166666666686E-4</v>
      </c>
      <c r="AX15" s="51">
        <f>'LUC-2013-01-08-Run4'!BZ17</f>
        <v>2.3994916666666689E-4</v>
      </c>
      <c r="AY15" s="51">
        <f>'LUC-2013-01-08-Run4'!CA17</f>
        <v>2.4080666666666692E-4</v>
      </c>
      <c r="AZ15" s="51">
        <f>'LUC-2013-01-08-Run4'!CB17</f>
        <v>2.4166416666666687E-4</v>
      </c>
      <c r="BA15" s="51">
        <f>'LUC-2013-01-08-Run4'!CC17</f>
        <v>2.425216666666669E-4</v>
      </c>
      <c r="BB15" s="51">
        <f>'LUC-2013-01-08-Run4'!CD17</f>
        <v>2.4337916666666693E-4</v>
      </c>
      <c r="BC15" s="51">
        <f>'LUC-2013-01-08-Run4'!CE17</f>
        <v>2.4423666666666691E-4</v>
      </c>
      <c r="BD15" s="51">
        <f>'LUC-2013-01-08-Run4'!CF17</f>
        <v>2.4509416666666691E-4</v>
      </c>
      <c r="BE15" s="51">
        <f>'LUC-2013-01-08-Run4'!CG17</f>
        <v>2.4595166666666692E-4</v>
      </c>
      <c r="BF15" s="51">
        <f>'LUC-2013-01-08-Run4'!CH17</f>
        <v>2.4680916666666692E-4</v>
      </c>
      <c r="BG15" s="51">
        <f>'LUC-2013-01-08-Run4'!CI17</f>
        <v>2.4766666666666687E-4</v>
      </c>
      <c r="BH15" s="51">
        <f>'LUC-2013-01-08-Run4'!CJ17</f>
        <v>2.4852416666666687E-4</v>
      </c>
      <c r="BI15" s="51">
        <f>'LUC-2013-01-08-Run4'!CK17</f>
        <v>2.4938166666666687E-4</v>
      </c>
      <c r="BJ15" s="51">
        <f>'LUC-2013-01-08-Run4'!CL17</f>
        <v>2.5023916666666682E-4</v>
      </c>
      <c r="BK15" s="51">
        <f>'LUC-2013-01-08-Run4'!CM17</f>
        <v>2.5109666666666683E-4</v>
      </c>
      <c r="BM15" s="102"/>
      <c r="BN15" s="53" t="s">
        <v>95</v>
      </c>
      <c r="BO15" s="61">
        <f t="shared" si="7"/>
        <v>31.090007506599417</v>
      </c>
      <c r="BP15" s="61">
        <f t="shared" si="8"/>
        <v>32.23196487380563</v>
      </c>
      <c r="BQ15" s="61">
        <f t="shared" si="9"/>
        <v>33.532021269465524</v>
      </c>
      <c r="BR15" s="61">
        <f t="shared" si="10"/>
        <v>34.347829876898324</v>
      </c>
      <c r="BS15" s="61">
        <f t="shared" si="11"/>
        <v>35.171833379861368</v>
      </c>
      <c r="BT15" s="61">
        <f t="shared" si="12"/>
        <v>36.004114097065312</v>
      </c>
      <c r="BU15" s="61">
        <f t="shared" si="13"/>
        <v>36.844755174122234</v>
      </c>
    </row>
    <row r="16" spans="1:73" x14ac:dyDescent="0.25">
      <c r="A16" s="50" t="s">
        <v>38</v>
      </c>
      <c r="B16" s="50" t="s">
        <v>95</v>
      </c>
      <c r="C16" s="50" t="s">
        <v>92</v>
      </c>
      <c r="D16" s="51">
        <f>'LUC-2013-01-08-Run4'!AF18</f>
        <v>3.1090007506599416E-5</v>
      </c>
      <c r="E16" s="51">
        <f>'LUC-2013-01-08-Run4'!AG18</f>
        <v>3.1214866974497405E-5</v>
      </c>
      <c r="F16" s="51">
        <f>'LUC-2013-01-08-Run4'!AH18</f>
        <v>3.1340227886041568E-5</v>
      </c>
      <c r="G16" s="51">
        <f>'LUC-2013-01-08-Run4'!AI18</f>
        <v>3.1466092255061819E-5</v>
      </c>
      <c r="H16" s="51">
        <f>'LUC-2013-01-08-Run4'!AJ18</f>
        <v>3.1592462103475722E-5</v>
      </c>
      <c r="I16" s="51">
        <f>'LUC-2013-01-08-Run4'!AK18</f>
        <v>3.1719339461321004E-5</v>
      </c>
      <c r="J16" s="51">
        <f>'LUC-2013-01-08-Run4'!AL18</f>
        <v>3.1846726366788155E-5</v>
      </c>
      <c r="K16" s="51">
        <f>'LUC-2013-01-08-Run4'!AM18</f>
        <v>3.1974624866253171E-5</v>
      </c>
      <c r="L16" s="51">
        <f>'LUC-2013-01-08-Run4'!AN18</f>
        <v>3.2103037014310414E-5</v>
      </c>
      <c r="M16" s="51">
        <f>'LUC-2013-01-08-Run4'!AO18</f>
        <v>3.2231964873805633E-5</v>
      </c>
      <c r="N16" s="51">
        <f>'LUC-2013-01-08-Run4'!AP18</f>
        <v>3.2361410515869112E-5</v>
      </c>
      <c r="O16" s="51">
        <f>'LUC-2013-01-08-Run4'!AQ18</f>
        <v>3.2491376019948906E-5</v>
      </c>
      <c r="P16" s="51">
        <f>'LUC-2013-01-08-Run4'!AR18</f>
        <v>3.2621863473844284E-5</v>
      </c>
      <c r="Q16" s="51">
        <f>'LUC-2013-01-08-Run4'!AS18</f>
        <v>3.2752874973739242E-5</v>
      </c>
      <c r="R16" s="51">
        <f>'LUC-2013-01-08-Run4'!AT18</f>
        <v>3.288441262423619E-5</v>
      </c>
      <c r="S16" s="51">
        <f>'LUC-2013-01-08-Run4'!AU18</f>
        <v>3.3207974113912413E-5</v>
      </c>
      <c r="T16" s="51">
        <f>'LUC-2013-01-08-Run4'!AV18</f>
        <v>3.3288864486331462E-5</v>
      </c>
      <c r="U16" s="51">
        <f>'LUC-2013-01-08-Run4'!AW18</f>
        <v>3.3369835749122934E-5</v>
      </c>
      <c r="V16" s="51">
        <f>'LUC-2013-01-08-Run4'!AX18</f>
        <v>3.3450887983177203E-5</v>
      </c>
      <c r="W16" s="51">
        <f>'LUC-2013-01-08-Run4'!AY18</f>
        <v>3.3532021269465522E-5</v>
      </c>
      <c r="X16" s="51">
        <f>'LUC-2013-01-08-Run4'!AZ18</f>
        <v>3.3613235689040128E-5</v>
      </c>
      <c r="Y16" s="51">
        <f>'LUC-2013-01-08-Run4'!BA18</f>
        <v>3.3694531323034302E-5</v>
      </c>
      <c r="Z16" s="51">
        <f>'LUC-2013-01-08-Run4'!BB18</f>
        <v>3.3775908252662486E-5</v>
      </c>
      <c r="AA16" s="51">
        <f>'LUC-2013-01-08-Run4'!BC18</f>
        <v>3.3857366559220299E-5</v>
      </c>
      <c r="AB16" s="51">
        <f>'LUC-2013-01-08-Run4'!BD18</f>
        <v>3.3938906324084656E-5</v>
      </c>
      <c r="AC16" s="51">
        <f>'LUC-2013-01-08-Run4'!BE18</f>
        <v>3.4020527628713876E-5</v>
      </c>
      <c r="AD16" s="51">
        <f>'LUC-2013-01-08-Run4'!BF18</f>
        <v>3.4102230554647727E-5</v>
      </c>
      <c r="AE16" s="51">
        <f>'LUC-2013-01-08-Run4'!BG18</f>
        <v>3.4184015183507524E-5</v>
      </c>
      <c r="AF16" s="51">
        <f>'LUC-2013-01-08-Run4'!BH18</f>
        <v>3.4265881596996182E-5</v>
      </c>
      <c r="AG16" s="51">
        <f>'LUC-2013-01-08-Run4'!BI18</f>
        <v>3.4347829876898322E-5</v>
      </c>
      <c r="AH16" s="51">
        <f>'LUC-2013-01-08-Run4'!BJ18</f>
        <v>3.4429860105080371E-5</v>
      </c>
      <c r="AI16" s="51">
        <f>'LUC-2013-01-08-Run4'!BK18</f>
        <v>3.4511972363490597E-5</v>
      </c>
      <c r="AJ16" s="51">
        <f>'LUC-2013-01-08-Run4'!BL18</f>
        <v>3.4594166734159236E-5</v>
      </c>
      <c r="AK16" s="51">
        <f>'LUC-2013-01-08-Run4'!BM18</f>
        <v>3.4676443299198535E-5</v>
      </c>
      <c r="AL16" s="51">
        <f>'LUC-2013-01-08-Run4'!BN18</f>
        <v>3.4758802140802879E-5</v>
      </c>
      <c r="AM16" s="51">
        <f>'LUC-2013-01-08-Run4'!BO18</f>
        <v>3.4841243341248831E-5</v>
      </c>
      <c r="AN16" s="51">
        <f>'LUC-2013-01-08-Run4'!BP18</f>
        <v>3.4923766982895216E-5</v>
      </c>
      <c r="AO16" s="51">
        <f>'LUC-2013-01-08-Run4'!BQ18</f>
        <v>3.5006373148183261E-5</v>
      </c>
      <c r="AP16" s="51">
        <f>'LUC-2013-01-08-Run4'!BR18</f>
        <v>3.5089061919636589E-5</v>
      </c>
      <c r="AQ16" s="51">
        <f>'LUC-2013-01-08-Run4'!BS18</f>
        <v>3.5171833379861369E-5</v>
      </c>
      <c r="AR16" s="51">
        <f>'LUC-2013-01-08-Run4'!BT18</f>
        <v>3.5254687611546367E-5</v>
      </c>
      <c r="AS16" s="51">
        <f>'LUC-2013-01-08-Run4'!BU18</f>
        <v>3.5337624697463061E-5</v>
      </c>
      <c r="AT16" s="51">
        <f>'LUC-2013-01-08-Run4'!BV18</f>
        <v>3.5420644720465657E-5</v>
      </c>
      <c r="AU16" s="51">
        <f>'LUC-2013-01-08-Run4'!BW18</f>
        <v>3.5503747763491259E-5</v>
      </c>
      <c r="AV16" s="51">
        <f>'LUC-2013-01-08-Run4'!BX18</f>
        <v>3.5586933909559896E-5</v>
      </c>
      <c r="AW16" s="51">
        <f>'LUC-2013-01-08-Run4'!BY18</f>
        <v>3.5670203241774602E-5</v>
      </c>
      <c r="AX16" s="51">
        <f>'LUC-2013-01-08-Run4'!BZ18</f>
        <v>3.575355584332152E-5</v>
      </c>
      <c r="AY16" s="51">
        <f>'LUC-2013-01-08-Run4'!CA18</f>
        <v>3.5836991797469985E-5</v>
      </c>
      <c r="AZ16" s="51">
        <f>'LUC-2013-01-08-Run4'!CB18</f>
        <v>3.5920511187572593E-5</v>
      </c>
      <c r="BA16" s="51">
        <f>'LUC-2013-01-08-Run4'!CC18</f>
        <v>3.6004114097065308E-5</v>
      </c>
      <c r="BB16" s="51">
        <f>'LUC-2013-01-08-Run4'!CD18</f>
        <v>3.6087800609467511E-5</v>
      </c>
      <c r="BC16" s="51">
        <f>'LUC-2013-01-08-Run4'!CE18</f>
        <v>3.6171570808382118E-5</v>
      </c>
      <c r="BD16" s="51">
        <f>'LUC-2013-01-08-Run4'!CF18</f>
        <v>3.6255424777495646E-5</v>
      </c>
      <c r="BE16" s="51">
        <f>'LUC-2013-01-08-Run4'!CG18</f>
        <v>3.6339362600578278E-5</v>
      </c>
      <c r="BF16" s="51">
        <f>'LUC-2013-01-08-Run4'!CH18</f>
        <v>3.6423384361484006E-5</v>
      </c>
      <c r="BG16" s="51">
        <f>'LUC-2013-01-08-Run4'!CI18</f>
        <v>3.6507490144150623E-5</v>
      </c>
      <c r="BH16" s="51">
        <f>'LUC-2013-01-08-Run4'!CJ18</f>
        <v>3.6591680032599916E-5</v>
      </c>
      <c r="BI16" s="51">
        <f>'LUC-2013-01-08-Run4'!CK18</f>
        <v>3.6675954110937653E-5</v>
      </c>
      <c r="BJ16" s="51">
        <f>'LUC-2013-01-08-Run4'!CL18</f>
        <v>3.6760312463353728E-5</v>
      </c>
      <c r="BK16" s="51">
        <f>'LUC-2013-01-08-Run4'!CM18</f>
        <v>3.6844755174122232E-5</v>
      </c>
      <c r="BM16" s="102"/>
      <c r="BN16" s="53" t="s">
        <v>98</v>
      </c>
      <c r="BO16" s="61">
        <f t="shared" si="7"/>
        <v>19.058062501626264</v>
      </c>
      <c r="BP16" s="61">
        <f t="shared" si="8"/>
        <v>22.035497545861407</v>
      </c>
      <c r="BQ16" s="61">
        <f t="shared" si="9"/>
        <v>26.520586503409294</v>
      </c>
      <c r="BR16" s="61">
        <f t="shared" si="10"/>
        <v>30.938874918665931</v>
      </c>
      <c r="BS16" s="61">
        <f t="shared" si="11"/>
        <v>35.676369952265183</v>
      </c>
      <c r="BT16" s="61">
        <f t="shared" si="12"/>
        <v>40.756133218935943</v>
      </c>
      <c r="BU16" s="61">
        <f t="shared" si="13"/>
        <v>46.202892458240804</v>
      </c>
    </row>
    <row r="17" spans="1:73" x14ac:dyDescent="0.25">
      <c r="A17" s="50" t="s">
        <v>38</v>
      </c>
      <c r="B17" s="50" t="s">
        <v>98</v>
      </c>
      <c r="C17" s="50" t="s">
        <v>92</v>
      </c>
      <c r="D17" s="51">
        <f>'LUC-2013-01-08-Run4'!AF19</f>
        <v>1.9058062501626263E-5</v>
      </c>
      <c r="E17" s="51">
        <f>'LUC-2013-01-08-Run4'!AG19</f>
        <v>1.9367949696774658E-5</v>
      </c>
      <c r="F17" s="51">
        <f>'LUC-2013-01-08-Run4'!AH19</f>
        <v>1.9682875708104327E-5</v>
      </c>
      <c r="G17" s="51">
        <f>'LUC-2013-01-08-Run4'!AI19</f>
        <v>2.0002922467585699E-5</v>
      </c>
      <c r="H17" s="51">
        <f>'LUC-2013-01-08-Run4'!AJ19</f>
        <v>2.0328173239416362E-5</v>
      </c>
      <c r="I17" s="51">
        <f>'LUC-2013-01-08-Run4'!AK19</f>
        <v>2.0658712641683296E-5</v>
      </c>
      <c r="J17" s="51">
        <f>'LUC-2013-01-08-Run4'!AL19</f>
        <v>2.0994626668377332E-5</v>
      </c>
      <c r="K17" s="51">
        <f>'LUC-2013-01-08-Run4'!AM19</f>
        <v>2.1336002711765583E-5</v>
      </c>
      <c r="L17" s="51">
        <f>'LUC-2013-01-08-Run4'!AN19</f>
        <v>2.1682929585127624E-5</v>
      </c>
      <c r="M17" s="51">
        <f>'LUC-2013-01-08-Run4'!AO19</f>
        <v>2.2035497545861405E-5</v>
      </c>
      <c r="N17" s="51">
        <f>'LUC-2013-01-08-Run4'!AP19</f>
        <v>2.2393798318964842E-5</v>
      </c>
      <c r="O17" s="51">
        <f>'LUC-2013-01-08-Run4'!AQ19</f>
        <v>2.2757925120899231E-5</v>
      </c>
      <c r="P17" s="51">
        <f>'LUC-2013-01-08-Run4'!AR19</f>
        <v>2.3127972683840682E-5</v>
      </c>
      <c r="Q17" s="51">
        <f>'LUC-2013-01-08-Run4'!AS19</f>
        <v>2.3504037280325898E-5</v>
      </c>
      <c r="R17" s="51">
        <f>'LUC-2013-01-08-Run4'!AT19</f>
        <v>2.3886216748298676E-5</v>
      </c>
      <c r="S17" s="51">
        <f>'LUC-2013-01-08-Run4'!AU19</f>
        <v>2.483778148054797E-5</v>
      </c>
      <c r="T17" s="51">
        <f>'LUC-2013-01-08-Run4'!AV19</f>
        <v>2.5254091050907037E-5</v>
      </c>
      <c r="U17" s="51">
        <f>'LUC-2013-01-08-Run4'!AW19</f>
        <v>2.5673314788258621E-5</v>
      </c>
      <c r="V17" s="51">
        <f>'LUC-2013-01-08-Run4'!AX19</f>
        <v>2.6095473091771663E-5</v>
      </c>
      <c r="W17" s="51">
        <f>'LUC-2013-01-08-Run4'!AY19</f>
        <v>2.6520586503409295E-5</v>
      </c>
      <c r="X17" s="51">
        <f>'LUC-2013-01-08-Run4'!AZ19</f>
        <v>2.6948675708928396E-5</v>
      </c>
      <c r="Y17" s="51">
        <f>'LUC-2013-01-08-Run4'!BA19</f>
        <v>2.737976153888613E-5</v>
      </c>
      <c r="Z17" s="51">
        <f>'LUC-2013-01-08-Run4'!BB19</f>
        <v>2.7813864969653563E-5</v>
      </c>
      <c r="AA17" s="51">
        <f>'LUC-2013-01-08-Run4'!BC19</f>
        <v>2.8251007124436367E-5</v>
      </c>
      <c r="AB17" s="51">
        <f>'LUC-2013-01-08-Run4'!BD19</f>
        <v>2.8691209274302657E-5</v>
      </c>
      <c r="AC17" s="51">
        <f>'LUC-2013-01-08-Run4'!BE19</f>
        <v>2.9134492839218006E-5</v>
      </c>
      <c r="AD17" s="51">
        <f>'LUC-2013-01-08-Run4'!BF19</f>
        <v>2.9580879389087765E-5</v>
      </c>
      <c r="AE17" s="51">
        <f>'LUC-2013-01-08-Run4'!BG19</f>
        <v>3.0030390644806612E-5</v>
      </c>
      <c r="AF17" s="51">
        <f>'LUC-2013-01-08-Run4'!BH19</f>
        <v>3.0483048479315491E-5</v>
      </c>
      <c r="AG17" s="51">
        <f>'LUC-2013-01-08-Run4'!BI19</f>
        <v>3.0938874918665932E-5</v>
      </c>
      <c r="AH17" s="51">
        <f>'LUC-2013-01-08-Run4'!BJ19</f>
        <v>3.1397892143091828E-5</v>
      </c>
      <c r="AI17" s="51">
        <f>'LUC-2013-01-08-Run4'!BK19</f>
        <v>3.1860122488088699E-5</v>
      </c>
      <c r="AJ17" s="51">
        <f>'LUC-2013-01-08-Run4'!BL19</f>
        <v>3.2325588445500551E-5</v>
      </c>
      <c r="AK17" s="51">
        <f>'LUC-2013-01-08-Run4'!BM19</f>
        <v>3.279431266461429E-5</v>
      </c>
      <c r="AL17" s="51">
        <f>'LUC-2013-01-08-Run4'!BN19</f>
        <v>3.3266317953261819E-5</v>
      </c>
      <c r="AM17" s="51">
        <f>'LUC-2013-01-08-Run4'!BO19</f>
        <v>3.3741627278929884E-5</v>
      </c>
      <c r="AN17" s="51">
        <f>'LUC-2013-01-08-Run4'!BP19</f>
        <v>3.4220263769877625E-5</v>
      </c>
      <c r="AO17" s="51">
        <f>'LUC-2013-01-08-Run4'!BQ19</f>
        <v>3.4702250716261995E-5</v>
      </c>
      <c r="AP17" s="51">
        <f>'LUC-2013-01-08-Run4'!BR19</f>
        <v>3.5187611571271056E-5</v>
      </c>
      <c r="AQ17" s="51">
        <f>'LUC-2013-01-08-Run4'!BS19</f>
        <v>3.5676369952265181E-5</v>
      </c>
      <c r="AR17" s="51">
        <f>'LUC-2013-01-08-Run4'!BT19</f>
        <v>3.6168549641926262E-5</v>
      </c>
      <c r="AS17" s="51">
        <f>'LUC-2013-01-08-Run4'!BU19</f>
        <v>3.6664174589414974E-5</v>
      </c>
      <c r="AT17" s="51">
        <f>'LUC-2013-01-08-Run4'!BV19</f>
        <v>3.7163268911536108E-5</v>
      </c>
      <c r="AU17" s="51">
        <f>'LUC-2013-01-08-Run4'!BW19</f>
        <v>3.7665856893912095E-5</v>
      </c>
      <c r="AV17" s="51">
        <f>'LUC-2013-01-08-Run4'!BX19</f>
        <v>3.8171962992164707E-5</v>
      </c>
      <c r="AW17" s="51">
        <f>'LUC-2013-01-08-Run4'!BY19</f>
        <v>3.8681611833105085E-5</v>
      </c>
      <c r="AX17" s="51">
        <f>'LUC-2013-01-08-Run4'!BZ19</f>
        <v>3.9194828215932059E-5</v>
      </c>
      <c r="AY17" s="51">
        <f>'LUC-2013-01-08-Run4'!CA19</f>
        <v>3.9711637113438815E-5</v>
      </c>
      <c r="AZ17" s="51">
        <f>'LUC-2013-01-08-Run4'!CB19</f>
        <v>4.0232063673228111E-5</v>
      </c>
      <c r="BA17" s="51">
        <f>'LUC-2013-01-08-Run4'!CC19</f>
        <v>4.0756133218935944E-5</v>
      </c>
      <c r="BB17" s="51">
        <f>'LUC-2013-01-08-Run4'!CD19</f>
        <v>4.128387125146372E-5</v>
      </c>
      <c r="BC17" s="51">
        <f>'LUC-2013-01-08-Run4'!CE19</f>
        <v>4.1815303450219195E-5</v>
      </c>
      <c r="BD17" s="51">
        <f>'LUC-2013-01-08-Run4'!CF19</f>
        <v>4.2350455674365956E-5</v>
      </c>
      <c r="BE17" s="51">
        <f>'LUC-2013-01-08-Run4'!CG19</f>
        <v>4.2889353964081748E-5</v>
      </c>
      <c r="BF17" s="51">
        <f>'LUC-2013-01-08-Run4'!CH19</f>
        <v>4.3432024541825556E-5</v>
      </c>
      <c r="BG17" s="51">
        <f>'LUC-2013-01-08-Run4'!CI19</f>
        <v>4.397849381361356E-5</v>
      </c>
      <c r="BH17" s="51">
        <f>'LUC-2013-01-08-Run4'!CJ19</f>
        <v>4.4528788370304082E-5</v>
      </c>
      <c r="BI17" s="51">
        <f>'LUC-2013-01-08-Run4'!CK19</f>
        <v>4.5082934988891445E-5</v>
      </c>
      <c r="BJ17" s="51">
        <f>'LUC-2013-01-08-Run4'!CL19</f>
        <v>4.5640960633808913E-5</v>
      </c>
      <c r="BK17" s="51">
        <f>'LUC-2013-01-08-Run4'!CM19</f>
        <v>4.6202892458240802E-5</v>
      </c>
      <c r="BM17" s="102"/>
      <c r="BN17" s="53" t="s">
        <v>99</v>
      </c>
      <c r="BO17" s="61">
        <f t="shared" si="7"/>
        <v>37.310549777117387</v>
      </c>
      <c r="BP17" s="61">
        <f t="shared" si="8"/>
        <v>38.001485884101037</v>
      </c>
      <c r="BQ17" s="61">
        <f t="shared" si="9"/>
        <v>40.807993113849527</v>
      </c>
      <c r="BR17" s="61">
        <f t="shared" si="10"/>
        <v>46.394407300157347</v>
      </c>
      <c r="BS17" s="61">
        <f t="shared" si="11"/>
        <v>51.980821486465189</v>
      </c>
      <c r="BT17" s="61">
        <f t="shared" si="12"/>
        <v>51.980821486465189</v>
      </c>
      <c r="BU17" s="61">
        <f t="shared" si="13"/>
        <v>51.980821486465189</v>
      </c>
    </row>
    <row r="18" spans="1:73" x14ac:dyDescent="0.25">
      <c r="A18" s="50" t="s">
        <v>38</v>
      </c>
      <c r="B18" s="50" t="s">
        <v>99</v>
      </c>
      <c r="C18" s="50" t="s">
        <v>92</v>
      </c>
      <c r="D18" s="51">
        <f>'LUC-2013-01-08-Run4'!AF21</f>
        <v>3.7310549777117386E-5</v>
      </c>
      <c r="E18" s="51">
        <f>'LUC-2013-01-08-Run4'!AG21</f>
        <v>3.7387320455671127E-5</v>
      </c>
      <c r="F18" s="51">
        <f>'LUC-2013-01-08-Run4'!AH21</f>
        <v>3.7464091134224867E-5</v>
      </c>
      <c r="G18" s="51">
        <f>'LUC-2013-01-08-Run4'!AI21</f>
        <v>3.7540861812778601E-5</v>
      </c>
      <c r="H18" s="51">
        <f>'LUC-2013-01-08-Run4'!AJ21</f>
        <v>3.7617632491332342E-5</v>
      </c>
      <c r="I18" s="51">
        <f>'LUC-2013-01-08-Run4'!AK21</f>
        <v>3.7694403169886082E-5</v>
      </c>
      <c r="J18" s="51">
        <f>'LUC-2013-01-08-Run4'!AL21</f>
        <v>3.7771173848439823E-5</v>
      </c>
      <c r="K18" s="51">
        <f>'LUC-2013-01-08-Run4'!AM21</f>
        <v>3.7847944526993563E-5</v>
      </c>
      <c r="L18" s="51">
        <f>'LUC-2013-01-08-Run4'!AN21</f>
        <v>3.7924715205547297E-5</v>
      </c>
      <c r="M18" s="51">
        <f>'LUC-2013-01-08-Run4'!AO21</f>
        <v>3.8001485884101038E-5</v>
      </c>
      <c r="N18" s="51">
        <f>'LUC-2013-01-08-Run4'!AP21</f>
        <v>3.8078256562654778E-5</v>
      </c>
      <c r="O18" s="51">
        <f>'LUC-2013-01-08-Run4'!AQ21</f>
        <v>3.8155027241208519E-5</v>
      </c>
      <c r="P18" s="51">
        <f>'LUC-2013-01-08-Run4'!AR21</f>
        <v>3.823179791976226E-5</v>
      </c>
      <c r="Q18" s="51">
        <f>'LUC-2013-01-08-Run4'!AS21</f>
        <v>3.8308568598315993E-5</v>
      </c>
      <c r="R18" s="51">
        <f>'LUC-2013-01-08-Run4'!AT21</f>
        <v>3.8385339276869734E-5</v>
      </c>
      <c r="S18" s="51">
        <f>'LUC-2013-01-08-Run4'!AU21</f>
        <v>3.8573427439326397E-5</v>
      </c>
      <c r="T18" s="51">
        <f>'LUC-2013-01-08-Run4'!AV21</f>
        <v>3.9132068857957175E-5</v>
      </c>
      <c r="U18" s="51">
        <f>'LUC-2013-01-08-Run4'!AW21</f>
        <v>3.9690710276587974E-5</v>
      </c>
      <c r="V18" s="51">
        <f>'LUC-2013-01-08-Run4'!AX21</f>
        <v>4.0249351695218752E-5</v>
      </c>
      <c r="W18" s="51">
        <f>'LUC-2013-01-08-Run4'!AY21</f>
        <v>4.080799311384953E-5</v>
      </c>
      <c r="X18" s="51">
        <f>'LUC-2013-01-08-Run4'!AZ21</f>
        <v>4.1366634532480307E-5</v>
      </c>
      <c r="Y18" s="51">
        <f>'LUC-2013-01-08-Run4'!BA21</f>
        <v>4.1925275951111085E-5</v>
      </c>
      <c r="Z18" s="51">
        <f>'LUC-2013-01-08-Run4'!BB21</f>
        <v>4.2483917369741884E-5</v>
      </c>
      <c r="AA18" s="51">
        <f>'LUC-2013-01-08-Run4'!BC21</f>
        <v>4.3042558788372662E-5</v>
      </c>
      <c r="AB18" s="51">
        <f>'LUC-2013-01-08-Run4'!BD21</f>
        <v>4.360120020700344E-5</v>
      </c>
      <c r="AC18" s="51">
        <f>'LUC-2013-01-08-Run4'!BE21</f>
        <v>4.4159841625634238E-5</v>
      </c>
      <c r="AD18" s="51">
        <f>'LUC-2013-01-08-Run4'!BF21</f>
        <v>4.4718483044265016E-5</v>
      </c>
      <c r="AE18" s="51">
        <f>'LUC-2013-01-08-Run4'!BG21</f>
        <v>4.5277124462895794E-5</v>
      </c>
      <c r="AF18" s="51">
        <f>'LUC-2013-01-08-Run4'!BH21</f>
        <v>4.5835765881526572E-5</v>
      </c>
      <c r="AG18" s="51">
        <f>'LUC-2013-01-08-Run4'!BI21</f>
        <v>4.639440730015735E-5</v>
      </c>
      <c r="AH18" s="51">
        <f>'LUC-2013-01-08-Run4'!BJ21</f>
        <v>4.6953048718788148E-5</v>
      </c>
      <c r="AI18" s="51">
        <f>'LUC-2013-01-08-Run4'!BK21</f>
        <v>4.7511690137418926E-5</v>
      </c>
      <c r="AJ18" s="51">
        <f>'LUC-2013-01-08-Run4'!BL21</f>
        <v>4.8070331556049704E-5</v>
      </c>
      <c r="AK18" s="51">
        <f>'LUC-2013-01-08-Run4'!BM21</f>
        <v>4.8628972974680502E-5</v>
      </c>
      <c r="AL18" s="51">
        <f>'LUC-2013-01-08-Run4'!BN21</f>
        <v>4.918761439331128E-5</v>
      </c>
      <c r="AM18" s="51">
        <f>'LUC-2013-01-08-Run4'!BO21</f>
        <v>4.9746255811942058E-5</v>
      </c>
      <c r="AN18" s="51">
        <f>'LUC-2013-01-08-Run4'!BP21</f>
        <v>5.0304897230572836E-5</v>
      </c>
      <c r="AO18" s="51">
        <f>'LUC-2013-01-08-Run4'!BQ21</f>
        <v>5.0863538649203614E-5</v>
      </c>
      <c r="AP18" s="51">
        <f>'LUC-2013-01-08-Run4'!BR21</f>
        <v>5.1422180067834412E-5</v>
      </c>
      <c r="AQ18" s="51">
        <f>'LUC-2013-01-08-Run4'!BS21</f>
        <v>5.198082148646519E-5</v>
      </c>
      <c r="AR18" s="51">
        <f>'LUC-2013-01-08-Run4'!BT21</f>
        <v>5.198082148646519E-5</v>
      </c>
      <c r="AS18" s="51">
        <f>'LUC-2013-01-08-Run4'!BU21</f>
        <v>5.198082148646519E-5</v>
      </c>
      <c r="AT18" s="51">
        <f>'LUC-2013-01-08-Run4'!BV21</f>
        <v>5.198082148646519E-5</v>
      </c>
      <c r="AU18" s="51">
        <f>'LUC-2013-01-08-Run4'!BW21</f>
        <v>5.198082148646519E-5</v>
      </c>
      <c r="AV18" s="51">
        <f>'LUC-2013-01-08-Run4'!BX21</f>
        <v>5.198082148646519E-5</v>
      </c>
      <c r="AW18" s="51">
        <f>'LUC-2013-01-08-Run4'!BY21</f>
        <v>5.198082148646519E-5</v>
      </c>
      <c r="AX18" s="51">
        <f>'LUC-2013-01-08-Run4'!BZ21</f>
        <v>5.198082148646519E-5</v>
      </c>
      <c r="AY18" s="51">
        <f>'LUC-2013-01-08-Run4'!CA21</f>
        <v>5.198082148646519E-5</v>
      </c>
      <c r="AZ18" s="51">
        <f>'LUC-2013-01-08-Run4'!CB21</f>
        <v>5.198082148646519E-5</v>
      </c>
      <c r="BA18" s="51">
        <f>'LUC-2013-01-08-Run4'!CC21</f>
        <v>5.198082148646519E-5</v>
      </c>
      <c r="BB18" s="51">
        <f>'LUC-2013-01-08-Run4'!CD21</f>
        <v>5.198082148646519E-5</v>
      </c>
      <c r="BC18" s="51">
        <f>'LUC-2013-01-08-Run4'!CE21</f>
        <v>5.198082148646519E-5</v>
      </c>
      <c r="BD18" s="51">
        <f>'LUC-2013-01-08-Run4'!CF21</f>
        <v>5.198082148646519E-5</v>
      </c>
      <c r="BE18" s="51">
        <f>'LUC-2013-01-08-Run4'!CG21</f>
        <v>5.198082148646519E-5</v>
      </c>
      <c r="BF18" s="51">
        <f>'LUC-2013-01-08-Run4'!CH21</f>
        <v>5.198082148646519E-5</v>
      </c>
      <c r="BG18" s="51">
        <f>'LUC-2013-01-08-Run4'!CI21</f>
        <v>5.198082148646519E-5</v>
      </c>
      <c r="BH18" s="51">
        <f>'LUC-2013-01-08-Run4'!CJ21</f>
        <v>5.198082148646519E-5</v>
      </c>
      <c r="BI18" s="51">
        <f>'LUC-2013-01-08-Run4'!CK21</f>
        <v>5.198082148646519E-5</v>
      </c>
      <c r="BJ18" s="51">
        <f>'LUC-2013-01-08-Run4'!CL21</f>
        <v>5.198082148646519E-5</v>
      </c>
      <c r="BK18" s="51">
        <f>'LUC-2013-01-08-Run4'!CM21</f>
        <v>5.198082148646519E-5</v>
      </c>
      <c r="BM18" s="102"/>
      <c r="BN18" s="53" t="s">
        <v>100</v>
      </c>
      <c r="BO18" s="61">
        <f t="shared" si="7"/>
        <v>53.438335809806837</v>
      </c>
      <c r="BP18" s="61">
        <f t="shared" si="8"/>
        <v>54.427934621099553</v>
      </c>
      <c r="BQ18" s="61">
        <f t="shared" si="9"/>
        <v>55.557054097938625</v>
      </c>
      <c r="BR18" s="61">
        <f t="shared" si="10"/>
        <v>56.331933027777737</v>
      </c>
      <c r="BS18" s="61">
        <f t="shared" si="11"/>
        <v>57.106811957616856</v>
      </c>
      <c r="BT18" s="61">
        <f t="shared" si="12"/>
        <v>57.106811957616856</v>
      </c>
      <c r="BU18" s="61">
        <f t="shared" si="13"/>
        <v>57.106811957616856</v>
      </c>
    </row>
    <row r="19" spans="1:73" x14ac:dyDescent="0.25">
      <c r="A19" s="50" t="s">
        <v>38</v>
      </c>
      <c r="B19" s="50" t="s">
        <v>100</v>
      </c>
      <c r="C19" s="50" t="s">
        <v>92</v>
      </c>
      <c r="D19" s="51">
        <f>'LUC-2013-01-08-Run4'!AF22</f>
        <v>5.3438335809806834E-5</v>
      </c>
      <c r="E19" s="51">
        <f>'LUC-2013-01-08-Run4'!AG22</f>
        <v>5.3548291233283803E-5</v>
      </c>
      <c r="F19" s="51">
        <f>'LUC-2013-01-08-Run4'!AH22</f>
        <v>5.3658246656760772E-5</v>
      </c>
      <c r="G19" s="51">
        <f>'LUC-2013-01-08-Run4'!AI22</f>
        <v>5.3768202080237741E-5</v>
      </c>
      <c r="H19" s="51">
        <f>'LUC-2013-01-08-Run4'!AJ22</f>
        <v>5.3878157503714709E-5</v>
      </c>
      <c r="I19" s="51">
        <f>'LUC-2013-01-08-Run4'!AK22</f>
        <v>5.3988112927191678E-5</v>
      </c>
      <c r="J19" s="51">
        <f>'LUC-2013-01-08-Run4'!AL22</f>
        <v>5.4098068350668647E-5</v>
      </c>
      <c r="K19" s="51">
        <f>'LUC-2013-01-08-Run4'!AM22</f>
        <v>5.4208023774145616E-5</v>
      </c>
      <c r="L19" s="51">
        <f>'LUC-2013-01-08-Run4'!AN22</f>
        <v>5.4317979197622585E-5</v>
      </c>
      <c r="M19" s="51">
        <f>'LUC-2013-01-08-Run4'!AO22</f>
        <v>5.4427934621099554E-5</v>
      </c>
      <c r="N19" s="51">
        <f>'LUC-2013-01-08-Run4'!AP22</f>
        <v>5.4537890044576523E-5</v>
      </c>
      <c r="O19" s="51">
        <f>'LUC-2013-01-08-Run4'!AQ22</f>
        <v>5.4647845468053492E-5</v>
      </c>
      <c r="P19" s="51">
        <f>'LUC-2013-01-08-Run4'!AR22</f>
        <v>5.4757800891530461E-5</v>
      </c>
      <c r="Q19" s="51">
        <f>'LUC-2013-01-08-Run4'!AS22</f>
        <v>5.4867756315007429E-5</v>
      </c>
      <c r="R19" s="51">
        <f>'LUC-2013-01-08-Run4'!AT22</f>
        <v>5.4977711738484398E-5</v>
      </c>
      <c r="S19" s="51">
        <f>'LUC-2013-01-08-Run4'!AU22</f>
        <v>5.5247102526002975E-5</v>
      </c>
      <c r="T19" s="51">
        <f>'LUC-2013-01-08-Run4'!AV22</f>
        <v>5.5324590418986889E-5</v>
      </c>
      <c r="U19" s="51">
        <f>'LUC-2013-01-08-Run4'!AW22</f>
        <v>5.5402078311970795E-5</v>
      </c>
      <c r="V19" s="51">
        <f>'LUC-2013-01-08-Run4'!AX22</f>
        <v>5.5479566204954709E-5</v>
      </c>
      <c r="W19" s="51">
        <f>'LUC-2013-01-08-Run4'!AY22</f>
        <v>5.5557054097938623E-5</v>
      </c>
      <c r="X19" s="51">
        <f>'LUC-2013-01-08-Run4'!AZ22</f>
        <v>5.5634541990922537E-5</v>
      </c>
      <c r="Y19" s="51">
        <f>'LUC-2013-01-08-Run4'!BA22</f>
        <v>5.5712029883906443E-5</v>
      </c>
      <c r="Z19" s="51">
        <f>'LUC-2013-01-08-Run4'!BB22</f>
        <v>5.5789517776890357E-5</v>
      </c>
      <c r="AA19" s="51">
        <f>'LUC-2013-01-08-Run4'!BC22</f>
        <v>5.5867005669874271E-5</v>
      </c>
      <c r="AB19" s="51">
        <f>'LUC-2013-01-08-Run4'!BD22</f>
        <v>5.5944493562858178E-5</v>
      </c>
      <c r="AC19" s="51">
        <f>'LUC-2013-01-08-Run4'!BE22</f>
        <v>5.6021981455842091E-5</v>
      </c>
      <c r="AD19" s="51">
        <f>'LUC-2013-01-08-Run4'!BF22</f>
        <v>5.6099469348826005E-5</v>
      </c>
      <c r="AE19" s="51">
        <f>'LUC-2013-01-08-Run4'!BG22</f>
        <v>5.6176957241809919E-5</v>
      </c>
      <c r="AF19" s="51">
        <f>'LUC-2013-01-08-Run4'!BH22</f>
        <v>5.6254445134793826E-5</v>
      </c>
      <c r="AG19" s="51">
        <f>'LUC-2013-01-08-Run4'!BI22</f>
        <v>5.633193302777774E-5</v>
      </c>
      <c r="AH19" s="51">
        <f>'LUC-2013-01-08-Run4'!BJ22</f>
        <v>5.6409420920761653E-5</v>
      </c>
      <c r="AI19" s="51">
        <f>'LUC-2013-01-08-Run4'!BK22</f>
        <v>5.648690881374556E-5</v>
      </c>
      <c r="AJ19" s="51">
        <f>'LUC-2013-01-08-Run4'!BL22</f>
        <v>5.6564396706729474E-5</v>
      </c>
      <c r="AK19" s="51">
        <f>'LUC-2013-01-08-Run4'!BM22</f>
        <v>5.6641884599713388E-5</v>
      </c>
      <c r="AL19" s="51">
        <f>'LUC-2013-01-08-Run4'!BN22</f>
        <v>5.6719372492697294E-5</v>
      </c>
      <c r="AM19" s="51">
        <f>'LUC-2013-01-08-Run4'!BO22</f>
        <v>5.6796860385681208E-5</v>
      </c>
      <c r="AN19" s="51">
        <f>'LUC-2013-01-08-Run4'!BP22</f>
        <v>5.6874348278665122E-5</v>
      </c>
      <c r="AO19" s="51">
        <f>'LUC-2013-01-08-Run4'!BQ22</f>
        <v>5.6951836171649036E-5</v>
      </c>
      <c r="AP19" s="51">
        <f>'LUC-2013-01-08-Run4'!BR22</f>
        <v>5.7029324064632942E-5</v>
      </c>
      <c r="AQ19" s="51">
        <f>'LUC-2013-01-08-Run4'!BS22</f>
        <v>5.7106811957616856E-5</v>
      </c>
      <c r="AR19" s="51">
        <f>'LUC-2013-01-08-Run4'!BT22</f>
        <v>5.7106811957616856E-5</v>
      </c>
      <c r="AS19" s="51">
        <f>'LUC-2013-01-08-Run4'!BU22</f>
        <v>5.7106811957616856E-5</v>
      </c>
      <c r="AT19" s="51">
        <f>'LUC-2013-01-08-Run4'!BV22</f>
        <v>5.7106811957616856E-5</v>
      </c>
      <c r="AU19" s="51">
        <f>'LUC-2013-01-08-Run4'!BW22</f>
        <v>5.7106811957616856E-5</v>
      </c>
      <c r="AV19" s="51">
        <f>'LUC-2013-01-08-Run4'!BX22</f>
        <v>5.7106811957616856E-5</v>
      </c>
      <c r="AW19" s="51">
        <f>'LUC-2013-01-08-Run4'!BY22</f>
        <v>5.7106811957616856E-5</v>
      </c>
      <c r="AX19" s="51">
        <f>'LUC-2013-01-08-Run4'!BZ22</f>
        <v>5.7106811957616856E-5</v>
      </c>
      <c r="AY19" s="51">
        <f>'LUC-2013-01-08-Run4'!CA22</f>
        <v>5.7106811957616856E-5</v>
      </c>
      <c r="AZ19" s="51">
        <f>'LUC-2013-01-08-Run4'!CB22</f>
        <v>5.7106811957616856E-5</v>
      </c>
      <c r="BA19" s="51">
        <f>'LUC-2013-01-08-Run4'!CC22</f>
        <v>5.7106811957616856E-5</v>
      </c>
      <c r="BB19" s="51">
        <f>'LUC-2013-01-08-Run4'!CD22</f>
        <v>5.7106811957616856E-5</v>
      </c>
      <c r="BC19" s="51">
        <f>'LUC-2013-01-08-Run4'!CE22</f>
        <v>5.7106811957616856E-5</v>
      </c>
      <c r="BD19" s="51">
        <f>'LUC-2013-01-08-Run4'!CF22</f>
        <v>5.7106811957616856E-5</v>
      </c>
      <c r="BE19" s="51">
        <f>'LUC-2013-01-08-Run4'!CG22</f>
        <v>5.7106811957616856E-5</v>
      </c>
      <c r="BF19" s="51">
        <f>'LUC-2013-01-08-Run4'!CH22</f>
        <v>5.7106811957616856E-5</v>
      </c>
      <c r="BG19" s="51">
        <f>'LUC-2013-01-08-Run4'!CI22</f>
        <v>5.7106811957616856E-5</v>
      </c>
      <c r="BH19" s="51">
        <f>'LUC-2013-01-08-Run4'!CJ22</f>
        <v>5.7106811957616856E-5</v>
      </c>
      <c r="BI19" s="51">
        <f>'LUC-2013-01-08-Run4'!CK22</f>
        <v>5.7106811957616856E-5</v>
      </c>
      <c r="BJ19" s="51">
        <f>'LUC-2013-01-08-Run4'!CL22</f>
        <v>5.7106811957616856E-5</v>
      </c>
      <c r="BK19" s="51">
        <f>'LUC-2013-01-08-Run4'!CM22</f>
        <v>5.7106811957616856E-5</v>
      </c>
      <c r="BM19" s="102"/>
      <c r="BN19" s="53" t="s">
        <v>101</v>
      </c>
      <c r="BO19" s="61">
        <f t="shared" si="7"/>
        <v>38.032689450222882</v>
      </c>
      <c r="BP19" s="61">
        <f t="shared" si="8"/>
        <v>38.736998514115896</v>
      </c>
      <c r="BQ19" s="61">
        <f t="shared" si="9"/>
        <v>39.627826304946105</v>
      </c>
      <c r="BR19" s="61">
        <f t="shared" si="10"/>
        <v>40.397367302576363</v>
      </c>
      <c r="BS19" s="61">
        <f t="shared" si="11"/>
        <v>41.166908300206622</v>
      </c>
      <c r="BT19" s="61">
        <f t="shared" si="12"/>
        <v>41.166908300206622</v>
      </c>
      <c r="BU19" s="61">
        <f t="shared" si="13"/>
        <v>41.166908300206622</v>
      </c>
    </row>
    <row r="20" spans="1:73" x14ac:dyDescent="0.25">
      <c r="A20" s="50" t="s">
        <v>38</v>
      </c>
      <c r="B20" s="50" t="s">
        <v>101</v>
      </c>
      <c r="C20" s="50" t="s">
        <v>92</v>
      </c>
      <c r="D20" s="51">
        <f>'LUC-2013-01-08-Run4'!AF23</f>
        <v>3.8032689450222883E-5</v>
      </c>
      <c r="E20" s="51">
        <f>'LUC-2013-01-08-Run4'!AG23</f>
        <v>3.8110946012877659E-5</v>
      </c>
      <c r="F20" s="51">
        <f>'LUC-2013-01-08-Run4'!AH23</f>
        <v>3.8189202575532442E-5</v>
      </c>
      <c r="G20" s="51">
        <f>'LUC-2013-01-08-Run4'!AI23</f>
        <v>3.8267459138187219E-5</v>
      </c>
      <c r="H20" s="51">
        <f>'LUC-2013-01-08-Run4'!AJ23</f>
        <v>3.8345715700842002E-5</v>
      </c>
      <c r="I20" s="51">
        <f>'LUC-2013-01-08-Run4'!AK23</f>
        <v>3.8423972263496778E-5</v>
      </c>
      <c r="J20" s="51">
        <f>'LUC-2013-01-08-Run4'!AL23</f>
        <v>3.8502228826151561E-5</v>
      </c>
      <c r="K20" s="51">
        <f>'LUC-2013-01-08-Run4'!AM23</f>
        <v>3.8580485388806337E-5</v>
      </c>
      <c r="L20" s="51">
        <f>'LUC-2013-01-08-Run4'!AN23</f>
        <v>3.865874195146112E-5</v>
      </c>
      <c r="M20" s="51">
        <f>'LUC-2013-01-08-Run4'!AO23</f>
        <v>3.8736998514115897E-5</v>
      </c>
      <c r="N20" s="51">
        <f>'LUC-2013-01-08-Run4'!AP23</f>
        <v>3.881525507677068E-5</v>
      </c>
      <c r="O20" s="51">
        <f>'LUC-2013-01-08-Run4'!AQ23</f>
        <v>3.8893511639425456E-5</v>
      </c>
      <c r="P20" s="51">
        <f>'LUC-2013-01-08-Run4'!AR23</f>
        <v>3.8971768202080239E-5</v>
      </c>
      <c r="Q20" s="51">
        <f>'LUC-2013-01-08-Run4'!AS23</f>
        <v>3.9050024764735016E-5</v>
      </c>
      <c r="R20" s="51">
        <f>'LUC-2013-01-08-Run4'!AT23</f>
        <v>3.9128281327389799E-5</v>
      </c>
      <c r="S20" s="51">
        <f>'LUC-2013-01-08-Run4'!AU23</f>
        <v>3.9320009905894E-5</v>
      </c>
      <c r="T20" s="51">
        <f>'LUC-2013-01-08-Run4'!AV23</f>
        <v>3.9396964005657025E-5</v>
      </c>
      <c r="U20" s="51">
        <f>'LUC-2013-01-08-Run4'!AW23</f>
        <v>3.9473918105420051E-5</v>
      </c>
      <c r="V20" s="51">
        <f>'LUC-2013-01-08-Run4'!AX23</f>
        <v>3.9550872205183077E-5</v>
      </c>
      <c r="W20" s="51">
        <f>'LUC-2013-01-08-Run4'!AY23</f>
        <v>3.9627826304946103E-5</v>
      </c>
      <c r="X20" s="51">
        <f>'LUC-2013-01-08-Run4'!AZ23</f>
        <v>3.9704780404709129E-5</v>
      </c>
      <c r="Y20" s="51">
        <f>'LUC-2013-01-08-Run4'!BA23</f>
        <v>3.9781734504472154E-5</v>
      </c>
      <c r="Z20" s="51">
        <f>'LUC-2013-01-08-Run4'!BB23</f>
        <v>3.985868860423518E-5</v>
      </c>
      <c r="AA20" s="51">
        <f>'LUC-2013-01-08-Run4'!BC23</f>
        <v>3.9935642703998206E-5</v>
      </c>
      <c r="AB20" s="51">
        <f>'LUC-2013-01-08-Run4'!BD23</f>
        <v>4.0012596803761232E-5</v>
      </c>
      <c r="AC20" s="51">
        <f>'LUC-2013-01-08-Run4'!BE23</f>
        <v>4.0089550903524258E-5</v>
      </c>
      <c r="AD20" s="51">
        <f>'LUC-2013-01-08-Run4'!BF23</f>
        <v>4.0166505003287283E-5</v>
      </c>
      <c r="AE20" s="51">
        <f>'LUC-2013-01-08-Run4'!BG23</f>
        <v>4.0243459103050309E-5</v>
      </c>
      <c r="AF20" s="51">
        <f>'LUC-2013-01-08-Run4'!BH23</f>
        <v>4.0320413202813335E-5</v>
      </c>
      <c r="AG20" s="51">
        <f>'LUC-2013-01-08-Run4'!BI23</f>
        <v>4.0397367302576361E-5</v>
      </c>
      <c r="AH20" s="51">
        <f>'LUC-2013-01-08-Run4'!BJ23</f>
        <v>4.0474321402339387E-5</v>
      </c>
      <c r="AI20" s="51">
        <f>'LUC-2013-01-08-Run4'!BK23</f>
        <v>4.0551275502102413E-5</v>
      </c>
      <c r="AJ20" s="51">
        <f>'LUC-2013-01-08-Run4'!BL23</f>
        <v>4.0628229601865438E-5</v>
      </c>
      <c r="AK20" s="51">
        <f>'LUC-2013-01-08-Run4'!BM23</f>
        <v>4.0705183701628464E-5</v>
      </c>
      <c r="AL20" s="51">
        <f>'LUC-2013-01-08-Run4'!BN23</f>
        <v>4.078213780139149E-5</v>
      </c>
      <c r="AM20" s="51">
        <f>'LUC-2013-01-08-Run4'!BO23</f>
        <v>4.0859091901154516E-5</v>
      </c>
      <c r="AN20" s="51">
        <f>'LUC-2013-01-08-Run4'!BP23</f>
        <v>4.0936046000917542E-5</v>
      </c>
      <c r="AO20" s="51">
        <f>'LUC-2013-01-08-Run4'!BQ23</f>
        <v>4.1013000100680567E-5</v>
      </c>
      <c r="AP20" s="51">
        <f>'LUC-2013-01-08-Run4'!BR23</f>
        <v>4.1089954200443593E-5</v>
      </c>
      <c r="AQ20" s="51">
        <f>'LUC-2013-01-08-Run4'!BS23</f>
        <v>4.1166908300206619E-5</v>
      </c>
      <c r="AR20" s="51">
        <f>'LUC-2013-01-08-Run4'!BT23</f>
        <v>4.1166908300206619E-5</v>
      </c>
      <c r="AS20" s="51">
        <f>'LUC-2013-01-08-Run4'!BU23</f>
        <v>4.1166908300206619E-5</v>
      </c>
      <c r="AT20" s="51">
        <f>'LUC-2013-01-08-Run4'!BV23</f>
        <v>4.1166908300206619E-5</v>
      </c>
      <c r="AU20" s="51">
        <f>'LUC-2013-01-08-Run4'!BW23</f>
        <v>4.1166908300206619E-5</v>
      </c>
      <c r="AV20" s="51">
        <f>'LUC-2013-01-08-Run4'!BX23</f>
        <v>4.1166908300206619E-5</v>
      </c>
      <c r="AW20" s="51">
        <f>'LUC-2013-01-08-Run4'!BY23</f>
        <v>4.1166908300206619E-5</v>
      </c>
      <c r="AX20" s="51">
        <f>'LUC-2013-01-08-Run4'!BZ23</f>
        <v>4.1166908300206619E-5</v>
      </c>
      <c r="AY20" s="51">
        <f>'LUC-2013-01-08-Run4'!CA23</f>
        <v>4.1166908300206619E-5</v>
      </c>
      <c r="AZ20" s="51">
        <f>'LUC-2013-01-08-Run4'!CB23</f>
        <v>4.1166908300206619E-5</v>
      </c>
      <c r="BA20" s="51">
        <f>'LUC-2013-01-08-Run4'!CC23</f>
        <v>4.1166908300206619E-5</v>
      </c>
      <c r="BB20" s="51">
        <f>'LUC-2013-01-08-Run4'!CD23</f>
        <v>4.1166908300206619E-5</v>
      </c>
      <c r="BC20" s="51">
        <f>'LUC-2013-01-08-Run4'!CE23</f>
        <v>4.1166908300206619E-5</v>
      </c>
      <c r="BD20" s="51">
        <f>'LUC-2013-01-08-Run4'!CF23</f>
        <v>4.1166908300206619E-5</v>
      </c>
      <c r="BE20" s="51">
        <f>'LUC-2013-01-08-Run4'!CG23</f>
        <v>4.1166908300206619E-5</v>
      </c>
      <c r="BF20" s="51">
        <f>'LUC-2013-01-08-Run4'!CH23</f>
        <v>4.1166908300206619E-5</v>
      </c>
      <c r="BG20" s="51">
        <f>'LUC-2013-01-08-Run4'!CI23</f>
        <v>4.1166908300206619E-5</v>
      </c>
      <c r="BH20" s="51">
        <f>'LUC-2013-01-08-Run4'!CJ23</f>
        <v>4.1166908300206619E-5</v>
      </c>
      <c r="BI20" s="51">
        <f>'LUC-2013-01-08-Run4'!CK23</f>
        <v>4.1166908300206619E-5</v>
      </c>
      <c r="BJ20" s="51">
        <f>'LUC-2013-01-08-Run4'!CL23</f>
        <v>4.1166908300206619E-5</v>
      </c>
      <c r="BK20" s="51">
        <f>'LUC-2013-01-08-Run4'!CM23</f>
        <v>4.1166908300206619E-5</v>
      </c>
      <c r="BM20" s="102"/>
      <c r="BN20" s="53" t="s">
        <v>111</v>
      </c>
      <c r="BO20" s="61">
        <f t="shared" si="7"/>
        <v>33.2184249628529</v>
      </c>
      <c r="BP20" s="61">
        <f t="shared" si="8"/>
        <v>33.833580980683507</v>
      </c>
      <c r="BQ20" s="61">
        <f t="shared" si="9"/>
        <v>35.063297851853505</v>
      </c>
      <c r="BR20" s="61">
        <f t="shared" si="10"/>
        <v>36.86455882621236</v>
      </c>
      <c r="BS20" s="61">
        <f t="shared" si="11"/>
        <v>38.665819800571214</v>
      </c>
      <c r="BT20" s="61">
        <f t="shared" si="12"/>
        <v>38.665819800571214</v>
      </c>
      <c r="BU20" s="61">
        <f t="shared" si="13"/>
        <v>38.665819800571214</v>
      </c>
    </row>
    <row r="21" spans="1:73" x14ac:dyDescent="0.25">
      <c r="A21" s="50" t="s">
        <v>38</v>
      </c>
      <c r="B21" s="50" t="s">
        <v>111</v>
      </c>
      <c r="C21" s="50" t="s">
        <v>92</v>
      </c>
      <c r="D21" s="51">
        <f>'LUC-2013-01-08-Run4'!AF24</f>
        <v>3.3218424962852898E-5</v>
      </c>
      <c r="E21" s="51">
        <f>'LUC-2013-01-08-Run4'!AG24</f>
        <v>3.3286775631500744E-5</v>
      </c>
      <c r="F21" s="51">
        <f>'LUC-2013-01-08-Run4'!AH24</f>
        <v>3.3355126300148591E-5</v>
      </c>
      <c r="G21" s="51">
        <f>'LUC-2013-01-08-Run4'!AI24</f>
        <v>3.3423476968796431E-5</v>
      </c>
      <c r="H21" s="51">
        <f>'LUC-2013-01-08-Run4'!AJ24</f>
        <v>3.3491827637444278E-5</v>
      </c>
      <c r="I21" s="51">
        <f>'LUC-2013-01-08-Run4'!AK24</f>
        <v>3.3560178306092124E-5</v>
      </c>
      <c r="J21" s="51">
        <f>'LUC-2013-01-08-Run4'!AL24</f>
        <v>3.3628528974739971E-5</v>
      </c>
      <c r="K21" s="51">
        <f>'LUC-2013-01-08-Run4'!AM24</f>
        <v>3.3696879643387817E-5</v>
      </c>
      <c r="L21" s="51">
        <f>'LUC-2013-01-08-Run4'!AN24</f>
        <v>3.3765230312035657E-5</v>
      </c>
      <c r="M21" s="51">
        <f>'LUC-2013-01-08-Run4'!AO24</f>
        <v>3.3833580980683504E-5</v>
      </c>
      <c r="N21" s="51">
        <f>'LUC-2013-01-08-Run4'!AP24</f>
        <v>3.3901931649331351E-5</v>
      </c>
      <c r="O21" s="51">
        <f>'LUC-2013-01-08-Run4'!AQ24</f>
        <v>3.3970282317979197E-5</v>
      </c>
      <c r="P21" s="51">
        <f>'LUC-2013-01-08-Run4'!AR24</f>
        <v>3.4038632986627044E-5</v>
      </c>
      <c r="Q21" s="51">
        <f>'LUC-2013-01-08-Run4'!AS24</f>
        <v>3.4106983655274884E-5</v>
      </c>
      <c r="R21" s="51">
        <f>'LUC-2013-01-08-Run4'!AT24</f>
        <v>3.417533432392273E-5</v>
      </c>
      <c r="S21" s="51">
        <f>'LUC-2013-01-08-Run4'!AU24</f>
        <v>3.4342793462109958E-5</v>
      </c>
      <c r="T21" s="51">
        <f>'LUC-2013-01-08-Run4'!AV24</f>
        <v>3.4522919559545845E-5</v>
      </c>
      <c r="U21" s="51">
        <f>'LUC-2013-01-08-Run4'!AW24</f>
        <v>3.4703045656981732E-5</v>
      </c>
      <c r="V21" s="51">
        <f>'LUC-2013-01-08-Run4'!AX24</f>
        <v>3.4883171754417618E-5</v>
      </c>
      <c r="W21" s="51">
        <f>'LUC-2013-01-08-Run4'!AY24</f>
        <v>3.5063297851853505E-5</v>
      </c>
      <c r="X21" s="51">
        <f>'LUC-2013-01-08-Run4'!AZ24</f>
        <v>3.5243423949289392E-5</v>
      </c>
      <c r="Y21" s="51">
        <f>'LUC-2013-01-08-Run4'!BA24</f>
        <v>3.5423550046725279E-5</v>
      </c>
      <c r="Z21" s="51">
        <f>'LUC-2013-01-08-Run4'!BB24</f>
        <v>3.5603676144161152E-5</v>
      </c>
      <c r="AA21" s="51">
        <f>'LUC-2013-01-08-Run4'!BC24</f>
        <v>3.5783802241597039E-5</v>
      </c>
      <c r="AB21" s="51">
        <f>'LUC-2013-01-08-Run4'!BD24</f>
        <v>3.5963928339032926E-5</v>
      </c>
      <c r="AC21" s="51">
        <f>'LUC-2013-01-08-Run4'!BE24</f>
        <v>3.6144054436468813E-5</v>
      </c>
      <c r="AD21" s="51">
        <f>'LUC-2013-01-08-Run4'!BF24</f>
        <v>3.63241805339047E-5</v>
      </c>
      <c r="AE21" s="51">
        <f>'LUC-2013-01-08-Run4'!BG24</f>
        <v>3.6504306631340587E-5</v>
      </c>
      <c r="AF21" s="51">
        <f>'LUC-2013-01-08-Run4'!BH24</f>
        <v>3.6684432728776473E-5</v>
      </c>
      <c r="AG21" s="51">
        <f>'LUC-2013-01-08-Run4'!BI24</f>
        <v>3.686455882621236E-5</v>
      </c>
      <c r="AH21" s="51">
        <f>'LUC-2013-01-08-Run4'!BJ24</f>
        <v>3.7044684923648247E-5</v>
      </c>
      <c r="AI21" s="51">
        <f>'LUC-2013-01-08-Run4'!BK24</f>
        <v>3.7224811021084134E-5</v>
      </c>
      <c r="AJ21" s="51">
        <f>'LUC-2013-01-08-Run4'!BL24</f>
        <v>3.7404937118520021E-5</v>
      </c>
      <c r="AK21" s="51">
        <f>'LUC-2013-01-08-Run4'!BM24</f>
        <v>3.7585063215955894E-5</v>
      </c>
      <c r="AL21" s="51">
        <f>'LUC-2013-01-08-Run4'!BN24</f>
        <v>3.7765189313391781E-5</v>
      </c>
      <c r="AM21" s="51">
        <f>'LUC-2013-01-08-Run4'!BO24</f>
        <v>3.7945315410827668E-5</v>
      </c>
      <c r="AN21" s="51">
        <f>'LUC-2013-01-08-Run4'!BP24</f>
        <v>3.8125441508263555E-5</v>
      </c>
      <c r="AO21" s="51">
        <f>'LUC-2013-01-08-Run4'!BQ24</f>
        <v>3.8305567605699441E-5</v>
      </c>
      <c r="AP21" s="51">
        <f>'LUC-2013-01-08-Run4'!BR24</f>
        <v>3.8485693703135328E-5</v>
      </c>
      <c r="AQ21" s="51">
        <f>'LUC-2013-01-08-Run4'!BS24</f>
        <v>3.8665819800571215E-5</v>
      </c>
      <c r="AR21" s="51">
        <f>'LUC-2013-01-08-Run4'!BT24</f>
        <v>3.8665819800571215E-5</v>
      </c>
      <c r="AS21" s="51">
        <f>'LUC-2013-01-08-Run4'!BU24</f>
        <v>3.8665819800571215E-5</v>
      </c>
      <c r="AT21" s="51">
        <f>'LUC-2013-01-08-Run4'!BV24</f>
        <v>3.8665819800571215E-5</v>
      </c>
      <c r="AU21" s="51">
        <f>'LUC-2013-01-08-Run4'!BW24</f>
        <v>3.8665819800571215E-5</v>
      </c>
      <c r="AV21" s="51">
        <f>'LUC-2013-01-08-Run4'!BX24</f>
        <v>3.8665819800571215E-5</v>
      </c>
      <c r="AW21" s="51">
        <f>'LUC-2013-01-08-Run4'!BY24</f>
        <v>3.8665819800571215E-5</v>
      </c>
      <c r="AX21" s="51">
        <f>'LUC-2013-01-08-Run4'!BZ24</f>
        <v>3.8665819800571215E-5</v>
      </c>
      <c r="AY21" s="51">
        <f>'LUC-2013-01-08-Run4'!CA24</f>
        <v>3.8665819800571215E-5</v>
      </c>
      <c r="AZ21" s="51">
        <f>'LUC-2013-01-08-Run4'!CB24</f>
        <v>3.8665819800571215E-5</v>
      </c>
      <c r="BA21" s="51">
        <f>'LUC-2013-01-08-Run4'!CC24</f>
        <v>3.8665819800571215E-5</v>
      </c>
      <c r="BB21" s="51">
        <f>'LUC-2013-01-08-Run4'!CD24</f>
        <v>3.8665819800571215E-5</v>
      </c>
      <c r="BC21" s="51">
        <f>'LUC-2013-01-08-Run4'!CE24</f>
        <v>3.8665819800571215E-5</v>
      </c>
      <c r="BD21" s="51">
        <f>'LUC-2013-01-08-Run4'!CF24</f>
        <v>3.8665819800571215E-5</v>
      </c>
      <c r="BE21" s="51">
        <f>'LUC-2013-01-08-Run4'!CG24</f>
        <v>3.8665819800571215E-5</v>
      </c>
      <c r="BF21" s="51">
        <f>'LUC-2013-01-08-Run4'!CH24</f>
        <v>3.8665819800571215E-5</v>
      </c>
      <c r="BG21" s="51">
        <f>'LUC-2013-01-08-Run4'!CI24</f>
        <v>3.8665819800571215E-5</v>
      </c>
      <c r="BH21" s="51">
        <f>'LUC-2013-01-08-Run4'!CJ24</f>
        <v>3.8665819800571215E-5</v>
      </c>
      <c r="BI21" s="51">
        <f>'LUC-2013-01-08-Run4'!CK24</f>
        <v>3.8665819800571215E-5</v>
      </c>
      <c r="BJ21" s="51">
        <f>'LUC-2013-01-08-Run4'!CL24</f>
        <v>3.8665819800571215E-5</v>
      </c>
      <c r="BK21" s="51">
        <f>'LUC-2013-01-08-Run4'!CM24</f>
        <v>3.8665819800571215E-5</v>
      </c>
      <c r="BM21" s="102"/>
      <c r="BN21" s="53" t="s">
        <v>102</v>
      </c>
      <c r="BO21" s="61">
        <f t="shared" si="7"/>
        <v>16</v>
      </c>
      <c r="BP21" s="61">
        <f t="shared" si="8"/>
        <v>17.8</v>
      </c>
      <c r="BQ21" s="61">
        <f t="shared" si="9"/>
        <v>19.698333333333338</v>
      </c>
      <c r="BR21" s="61">
        <f t="shared" si="10"/>
        <v>20.71916666666668</v>
      </c>
      <c r="BS21" s="61">
        <f t="shared" si="11"/>
        <v>21.740000000000016</v>
      </c>
      <c r="BT21" s="61">
        <f t="shared" si="12"/>
        <v>22.965000000000018</v>
      </c>
      <c r="BU21" s="61">
        <f t="shared" si="13"/>
        <v>24.190000000000019</v>
      </c>
    </row>
    <row r="22" spans="1:73" x14ac:dyDescent="0.25">
      <c r="A22" s="50" t="s">
        <v>38</v>
      </c>
      <c r="B22" s="50" t="s">
        <v>102</v>
      </c>
      <c r="C22" s="50" t="s">
        <v>92</v>
      </c>
      <c r="D22" s="51">
        <f>'LUC-2013-01-08-Run4'!AF25</f>
        <v>1.5999999999999999E-5</v>
      </c>
      <c r="E22" s="51">
        <f>'LUC-2013-01-08-Run4'!AG25</f>
        <v>1.6200000000000001E-5</v>
      </c>
      <c r="F22" s="51">
        <f>'LUC-2013-01-08-Run4'!AH25</f>
        <v>1.6399999999999999E-5</v>
      </c>
      <c r="G22" s="51">
        <f>'LUC-2013-01-08-Run4'!AI25</f>
        <v>1.66E-5</v>
      </c>
      <c r="H22" s="51">
        <f>'LUC-2013-01-08-Run4'!AJ25</f>
        <v>1.6799999999999998E-5</v>
      </c>
      <c r="I22" s="51">
        <f>'LUC-2013-01-08-Run4'!AK25</f>
        <v>1.7E-5</v>
      </c>
      <c r="J22" s="51">
        <f>'LUC-2013-01-08-Run4'!AL25</f>
        <v>1.7200000000000001E-5</v>
      </c>
      <c r="K22" s="51">
        <f>'LUC-2013-01-08-Run4'!AM25</f>
        <v>1.7399999999999999E-5</v>
      </c>
      <c r="L22" s="51">
        <f>'LUC-2013-01-08-Run4'!AN25</f>
        <v>1.7600000000000001E-5</v>
      </c>
      <c r="M22" s="51">
        <f>'LUC-2013-01-08-Run4'!AO25</f>
        <v>1.7799999999999999E-5</v>
      </c>
      <c r="N22" s="51">
        <f>'LUC-2013-01-08-Run4'!AP25</f>
        <v>1.8E-5</v>
      </c>
      <c r="O22" s="51">
        <f>'LUC-2013-01-08-Run4'!AQ25</f>
        <v>1.8200000000000002E-5</v>
      </c>
      <c r="P22" s="51">
        <f>'LUC-2013-01-08-Run4'!AR25</f>
        <v>1.84E-5</v>
      </c>
      <c r="Q22" s="51">
        <f>'LUC-2013-01-08-Run4'!AS25</f>
        <v>1.8600000000000001E-5</v>
      </c>
      <c r="R22" s="51">
        <f>'LUC-2013-01-08-Run4'!AT25</f>
        <v>1.88E-5</v>
      </c>
      <c r="S22" s="51">
        <f>'LUC-2013-01-08-Run4'!AU25</f>
        <v>1.9290000000000003E-5</v>
      </c>
      <c r="T22" s="51">
        <f>'LUC-2013-01-08-Run4'!AV25</f>
        <v>1.9392083333333337E-5</v>
      </c>
      <c r="U22" s="51">
        <f>'LUC-2013-01-08-Run4'!AW25</f>
        <v>1.949416666666667E-5</v>
      </c>
      <c r="V22" s="51">
        <f>'LUC-2013-01-08-Run4'!AX25</f>
        <v>1.9596250000000004E-5</v>
      </c>
      <c r="W22" s="51">
        <f>'LUC-2013-01-08-Run4'!AY25</f>
        <v>1.9698333333333338E-5</v>
      </c>
      <c r="X22" s="51">
        <f>'LUC-2013-01-08-Run4'!AZ25</f>
        <v>1.9800416666666671E-5</v>
      </c>
      <c r="Y22" s="51">
        <f>'LUC-2013-01-08-Run4'!BA25</f>
        <v>1.9902500000000005E-5</v>
      </c>
      <c r="Z22" s="51">
        <f>'LUC-2013-01-08-Run4'!BB25</f>
        <v>2.0004583333333338E-5</v>
      </c>
      <c r="AA22" s="51">
        <f>'LUC-2013-01-08-Run4'!BC25</f>
        <v>2.0106666666666672E-5</v>
      </c>
      <c r="AB22" s="51">
        <f>'LUC-2013-01-08-Run4'!BD25</f>
        <v>2.0208750000000005E-5</v>
      </c>
      <c r="AC22" s="51">
        <f>'LUC-2013-01-08-Run4'!BE25</f>
        <v>2.0310833333333339E-5</v>
      </c>
      <c r="AD22" s="51">
        <f>'LUC-2013-01-08-Run4'!BF25</f>
        <v>2.0412916666666672E-5</v>
      </c>
      <c r="AE22" s="51">
        <f>'LUC-2013-01-08-Run4'!BG25</f>
        <v>2.0515000000000006E-5</v>
      </c>
      <c r="AF22" s="51">
        <f>'LUC-2013-01-08-Run4'!BH25</f>
        <v>2.0617083333333346E-5</v>
      </c>
      <c r="AG22" s="51">
        <f>'LUC-2013-01-08-Run4'!BI25</f>
        <v>2.071916666666668E-5</v>
      </c>
      <c r="AH22" s="51">
        <f>'LUC-2013-01-08-Run4'!BJ25</f>
        <v>2.0821250000000013E-5</v>
      </c>
      <c r="AI22" s="51">
        <f>'LUC-2013-01-08-Run4'!BK25</f>
        <v>2.0923333333333347E-5</v>
      </c>
      <c r="AJ22" s="51">
        <f>'LUC-2013-01-08-Run4'!BL25</f>
        <v>2.1025416666666681E-5</v>
      </c>
      <c r="AK22" s="51">
        <f>'LUC-2013-01-08-Run4'!BM25</f>
        <v>2.1127500000000014E-5</v>
      </c>
      <c r="AL22" s="51">
        <f>'LUC-2013-01-08-Run4'!BN25</f>
        <v>2.1229583333333348E-5</v>
      </c>
      <c r="AM22" s="51">
        <f>'LUC-2013-01-08-Run4'!BO25</f>
        <v>2.1331666666666681E-5</v>
      </c>
      <c r="AN22" s="51">
        <f>'LUC-2013-01-08-Run4'!BP25</f>
        <v>2.1433750000000015E-5</v>
      </c>
      <c r="AO22" s="51">
        <f>'LUC-2013-01-08-Run4'!BQ25</f>
        <v>2.1535833333333348E-5</v>
      </c>
      <c r="AP22" s="51">
        <f>'LUC-2013-01-08-Run4'!BR25</f>
        <v>2.1637916666666682E-5</v>
      </c>
      <c r="AQ22" s="51">
        <f>'LUC-2013-01-08-Run4'!BS25</f>
        <v>2.1740000000000015E-5</v>
      </c>
      <c r="AR22" s="51">
        <f>'LUC-2013-01-08-Run4'!BT25</f>
        <v>2.186250000000002E-5</v>
      </c>
      <c r="AS22" s="51">
        <f>'LUC-2013-01-08-Run4'!BU25</f>
        <v>2.1985000000000014E-5</v>
      </c>
      <c r="AT22" s="51">
        <f>'LUC-2013-01-08-Run4'!BV25</f>
        <v>2.2107500000000018E-5</v>
      </c>
      <c r="AU22" s="51">
        <f>'LUC-2013-01-08-Run4'!BW25</f>
        <v>2.2230000000000012E-5</v>
      </c>
      <c r="AV22" s="51">
        <f>'LUC-2013-01-08-Run4'!BX25</f>
        <v>2.2352500000000017E-5</v>
      </c>
      <c r="AW22" s="51">
        <f>'LUC-2013-01-08-Run4'!BY25</f>
        <v>2.2475000000000021E-5</v>
      </c>
      <c r="AX22" s="51">
        <f>'LUC-2013-01-08-Run4'!BZ25</f>
        <v>2.2597500000000015E-5</v>
      </c>
      <c r="AY22" s="51">
        <f>'LUC-2013-01-08-Run4'!CA25</f>
        <v>2.272000000000002E-5</v>
      </c>
      <c r="AZ22" s="51">
        <f>'LUC-2013-01-08-Run4'!CB25</f>
        <v>2.2842500000000014E-5</v>
      </c>
      <c r="BA22" s="51">
        <f>'LUC-2013-01-08-Run4'!CC25</f>
        <v>2.2965000000000018E-5</v>
      </c>
      <c r="BB22" s="51">
        <f>'LUC-2013-01-08-Run4'!CD25</f>
        <v>2.3087500000000022E-5</v>
      </c>
      <c r="BC22" s="51">
        <f>'LUC-2013-01-08-Run4'!CE25</f>
        <v>2.3210000000000017E-5</v>
      </c>
      <c r="BD22" s="51">
        <f>'LUC-2013-01-08-Run4'!CF25</f>
        <v>2.3332500000000021E-5</v>
      </c>
      <c r="BE22" s="51">
        <f>'LUC-2013-01-08-Run4'!CG25</f>
        <v>2.3455000000000015E-5</v>
      </c>
      <c r="BF22" s="51">
        <f>'LUC-2013-01-08-Run4'!CH25</f>
        <v>2.3577500000000019E-5</v>
      </c>
      <c r="BG22" s="51">
        <f>'LUC-2013-01-08-Run4'!CI25</f>
        <v>2.3700000000000024E-5</v>
      </c>
      <c r="BH22" s="51">
        <f>'LUC-2013-01-08-Run4'!CJ25</f>
        <v>2.3822500000000018E-5</v>
      </c>
      <c r="BI22" s="51">
        <f>'LUC-2013-01-08-Run4'!CK25</f>
        <v>2.3945000000000022E-5</v>
      </c>
      <c r="BJ22" s="51">
        <f>'LUC-2013-01-08-Run4'!CL25</f>
        <v>2.4067500000000016E-5</v>
      </c>
      <c r="BK22" s="51">
        <f>'LUC-2013-01-08-Run4'!CM25</f>
        <v>2.4190000000000021E-5</v>
      </c>
      <c r="BM22" s="102"/>
      <c r="BN22" s="53" t="s">
        <v>103</v>
      </c>
      <c r="BO22" s="61">
        <f t="shared" si="7"/>
        <v>36</v>
      </c>
      <c r="BP22" s="61">
        <f t="shared" si="8"/>
        <v>34.799999999999997</v>
      </c>
      <c r="BQ22" s="61">
        <f t="shared" si="9"/>
        <v>34.268333333333338</v>
      </c>
      <c r="BR22" s="61">
        <f t="shared" si="10"/>
        <v>34.455833333333345</v>
      </c>
      <c r="BS22" s="61">
        <f t="shared" si="11"/>
        <v>34.643333333333345</v>
      </c>
      <c r="BT22" s="61">
        <f t="shared" si="12"/>
        <v>34.643333333333345</v>
      </c>
      <c r="BU22" s="61">
        <f t="shared" si="13"/>
        <v>34.643333333333345</v>
      </c>
    </row>
    <row r="23" spans="1:73" x14ac:dyDescent="0.25">
      <c r="A23" s="50" t="s">
        <v>38</v>
      </c>
      <c r="B23" s="50" t="s">
        <v>103</v>
      </c>
      <c r="C23" s="50" t="s">
        <v>92</v>
      </c>
      <c r="D23" s="51">
        <f>'LUC-2013-01-08-Run4'!AF26</f>
        <v>3.6000000000000001E-5</v>
      </c>
      <c r="E23" s="51">
        <f>'LUC-2013-01-08-Run4'!AG26</f>
        <v>3.5866666666666667E-5</v>
      </c>
      <c r="F23" s="51">
        <f>'LUC-2013-01-08-Run4'!AH26</f>
        <v>3.5733333333333332E-5</v>
      </c>
      <c r="G23" s="51">
        <f>'LUC-2013-01-08-Run4'!AI26</f>
        <v>3.5599999999999998E-5</v>
      </c>
      <c r="H23" s="51">
        <f>'LUC-2013-01-08-Run4'!AJ26</f>
        <v>3.546666666666667E-5</v>
      </c>
      <c r="I23" s="51">
        <f>'LUC-2013-01-08-Run4'!AK26</f>
        <v>3.5333333333333336E-5</v>
      </c>
      <c r="J23" s="51">
        <f>'LUC-2013-01-08-Run4'!AL26</f>
        <v>3.5200000000000002E-5</v>
      </c>
      <c r="K23" s="51">
        <f>'LUC-2013-01-08-Run4'!AM26</f>
        <v>3.5066666666666667E-5</v>
      </c>
      <c r="L23" s="51">
        <f>'LUC-2013-01-08-Run4'!AN26</f>
        <v>3.4933333333333333E-5</v>
      </c>
      <c r="M23" s="51">
        <f>'LUC-2013-01-08-Run4'!AO26</f>
        <v>3.4799999999999999E-5</v>
      </c>
      <c r="N23" s="51">
        <f>'LUC-2013-01-08-Run4'!AP26</f>
        <v>3.4666666666666665E-5</v>
      </c>
      <c r="O23" s="51">
        <f>'LUC-2013-01-08-Run4'!AQ26</f>
        <v>3.453333333333333E-5</v>
      </c>
      <c r="P23" s="51">
        <f>'LUC-2013-01-08-Run4'!AR26</f>
        <v>3.4400000000000003E-5</v>
      </c>
      <c r="Q23" s="51">
        <f>'LUC-2013-01-08-Run4'!AS26</f>
        <v>3.4266666666666668E-5</v>
      </c>
      <c r="R23" s="51">
        <f>'LUC-2013-01-08-Run4'!AT26</f>
        <v>3.4133333333333334E-5</v>
      </c>
      <c r="S23" s="51">
        <f>'LUC-2013-01-08-Run4'!AU26</f>
        <v>3.4193333333333337E-5</v>
      </c>
      <c r="T23" s="51">
        <f>'LUC-2013-01-08-Run4'!AV26</f>
        <v>3.4212083333333334E-5</v>
      </c>
      <c r="U23" s="51">
        <f>'LUC-2013-01-08-Run4'!AW26</f>
        <v>3.4230833333333338E-5</v>
      </c>
      <c r="V23" s="51">
        <f>'LUC-2013-01-08-Run4'!AX26</f>
        <v>3.4249583333333342E-5</v>
      </c>
      <c r="W23" s="51">
        <f>'LUC-2013-01-08-Run4'!AY26</f>
        <v>3.4268333333333339E-5</v>
      </c>
      <c r="X23" s="51">
        <f>'LUC-2013-01-08-Run4'!AZ26</f>
        <v>3.4287083333333336E-5</v>
      </c>
      <c r="Y23" s="51">
        <f>'LUC-2013-01-08-Run4'!BA26</f>
        <v>3.430583333333334E-5</v>
      </c>
      <c r="Z23" s="51">
        <f>'LUC-2013-01-08-Run4'!BB26</f>
        <v>3.4324583333333343E-5</v>
      </c>
      <c r="AA23" s="51">
        <f>'LUC-2013-01-08-Run4'!BC26</f>
        <v>3.4343333333333341E-5</v>
      </c>
      <c r="AB23" s="51">
        <f>'LUC-2013-01-08-Run4'!BD26</f>
        <v>3.4362083333333338E-5</v>
      </c>
      <c r="AC23" s="51">
        <f>'LUC-2013-01-08-Run4'!BE26</f>
        <v>3.4380833333333341E-5</v>
      </c>
      <c r="AD23" s="51">
        <f>'LUC-2013-01-08-Run4'!BF26</f>
        <v>3.4399583333333345E-5</v>
      </c>
      <c r="AE23" s="51">
        <f>'LUC-2013-01-08-Run4'!BG26</f>
        <v>3.4418333333333342E-5</v>
      </c>
      <c r="AF23" s="51">
        <f>'LUC-2013-01-08-Run4'!BH26</f>
        <v>3.4437083333333339E-5</v>
      </c>
      <c r="AG23" s="51">
        <f>'LUC-2013-01-08-Run4'!BI26</f>
        <v>3.4455833333333343E-5</v>
      </c>
      <c r="AH23" s="51">
        <f>'LUC-2013-01-08-Run4'!BJ26</f>
        <v>3.4474583333333347E-5</v>
      </c>
      <c r="AI23" s="51">
        <f>'LUC-2013-01-08-Run4'!BK26</f>
        <v>3.4493333333333344E-5</v>
      </c>
      <c r="AJ23" s="51">
        <f>'LUC-2013-01-08-Run4'!BL26</f>
        <v>3.4512083333333341E-5</v>
      </c>
      <c r="AK23" s="51">
        <f>'LUC-2013-01-08-Run4'!BM26</f>
        <v>3.4530833333333345E-5</v>
      </c>
      <c r="AL23" s="51">
        <f>'LUC-2013-01-08-Run4'!BN26</f>
        <v>3.4549583333333349E-5</v>
      </c>
      <c r="AM23" s="51">
        <f>'LUC-2013-01-08-Run4'!BO26</f>
        <v>3.4568333333333346E-5</v>
      </c>
      <c r="AN23" s="51">
        <f>'LUC-2013-01-08-Run4'!BP26</f>
        <v>3.4587083333333343E-5</v>
      </c>
      <c r="AO23" s="51">
        <f>'LUC-2013-01-08-Run4'!BQ26</f>
        <v>3.4605833333333347E-5</v>
      </c>
      <c r="AP23" s="51">
        <f>'LUC-2013-01-08-Run4'!BR26</f>
        <v>3.4624583333333351E-5</v>
      </c>
      <c r="AQ23" s="51">
        <f>'LUC-2013-01-08-Run4'!BS26</f>
        <v>3.4643333333333348E-5</v>
      </c>
      <c r="AR23" s="51">
        <f>'LUC-2013-01-08-Run4'!BT26</f>
        <v>3.4643333333333348E-5</v>
      </c>
      <c r="AS23" s="51">
        <f>'LUC-2013-01-08-Run4'!BU26</f>
        <v>3.4643333333333348E-5</v>
      </c>
      <c r="AT23" s="51">
        <f>'LUC-2013-01-08-Run4'!BV26</f>
        <v>3.4643333333333348E-5</v>
      </c>
      <c r="AU23" s="51">
        <f>'LUC-2013-01-08-Run4'!BW26</f>
        <v>3.4643333333333348E-5</v>
      </c>
      <c r="AV23" s="51">
        <f>'LUC-2013-01-08-Run4'!BX26</f>
        <v>3.4643333333333348E-5</v>
      </c>
      <c r="AW23" s="51">
        <f>'LUC-2013-01-08-Run4'!BY26</f>
        <v>3.4643333333333348E-5</v>
      </c>
      <c r="AX23" s="51">
        <f>'LUC-2013-01-08-Run4'!BZ26</f>
        <v>3.4643333333333348E-5</v>
      </c>
      <c r="AY23" s="51">
        <f>'LUC-2013-01-08-Run4'!CA26</f>
        <v>3.4643333333333348E-5</v>
      </c>
      <c r="AZ23" s="51">
        <f>'LUC-2013-01-08-Run4'!CB26</f>
        <v>3.4643333333333348E-5</v>
      </c>
      <c r="BA23" s="51">
        <f>'LUC-2013-01-08-Run4'!CC26</f>
        <v>3.4643333333333348E-5</v>
      </c>
      <c r="BB23" s="51">
        <f>'LUC-2013-01-08-Run4'!CD26</f>
        <v>3.4643333333333348E-5</v>
      </c>
      <c r="BC23" s="51">
        <f>'LUC-2013-01-08-Run4'!CE26</f>
        <v>3.4643333333333348E-5</v>
      </c>
      <c r="BD23" s="51">
        <f>'LUC-2013-01-08-Run4'!CF26</f>
        <v>3.4643333333333348E-5</v>
      </c>
      <c r="BE23" s="51">
        <f>'LUC-2013-01-08-Run4'!CG26</f>
        <v>3.4643333333333348E-5</v>
      </c>
      <c r="BF23" s="51">
        <f>'LUC-2013-01-08-Run4'!CH26</f>
        <v>3.4643333333333348E-5</v>
      </c>
      <c r="BG23" s="51">
        <f>'LUC-2013-01-08-Run4'!CI26</f>
        <v>3.4643333333333348E-5</v>
      </c>
      <c r="BH23" s="51">
        <f>'LUC-2013-01-08-Run4'!CJ26</f>
        <v>3.4643333333333348E-5</v>
      </c>
      <c r="BI23" s="51">
        <f>'LUC-2013-01-08-Run4'!CK26</f>
        <v>3.4643333333333348E-5</v>
      </c>
      <c r="BJ23" s="51">
        <f>'LUC-2013-01-08-Run4'!CL26</f>
        <v>3.4643333333333348E-5</v>
      </c>
      <c r="BK23" s="51">
        <f>'LUC-2013-01-08-Run4'!CM26</f>
        <v>3.4643333333333348E-5</v>
      </c>
      <c r="BM23" s="103"/>
      <c r="BN23" s="54" t="s">
        <v>104</v>
      </c>
      <c r="BO23" s="62">
        <f t="shared" si="7"/>
        <v>80.900000000000006</v>
      </c>
      <c r="BP23" s="62">
        <f t="shared" si="8"/>
        <v>80.3</v>
      </c>
      <c r="BQ23" s="62">
        <f t="shared" si="9"/>
        <v>80.193030303030298</v>
      </c>
      <c r="BR23" s="62">
        <f t="shared" si="10"/>
        <v>80.683939393939397</v>
      </c>
      <c r="BS23" s="62">
        <f t="shared" si="11"/>
        <v>81.751666666666679</v>
      </c>
      <c r="BT23" s="62">
        <f t="shared" si="12"/>
        <v>81.954166666666723</v>
      </c>
      <c r="BU23" s="62">
        <f t="shared" si="13"/>
        <v>82.156666666666752</v>
      </c>
    </row>
    <row r="24" spans="1:73" x14ac:dyDescent="0.25">
      <c r="A24" s="50" t="s">
        <v>38</v>
      </c>
      <c r="B24" s="50" t="s">
        <v>104</v>
      </c>
      <c r="C24" s="50" t="s">
        <v>92</v>
      </c>
      <c r="D24" s="51">
        <f>'LUC-2013-01-08-Run4'!AF28</f>
        <v>8.0900000000000001E-5</v>
      </c>
      <c r="E24" s="51">
        <f>'LUC-2013-01-08-Run4'!AG28</f>
        <v>8.0833333333333338E-5</v>
      </c>
      <c r="F24" s="51">
        <f>'LUC-2013-01-08-Run4'!AH28</f>
        <v>8.0766666666666674E-5</v>
      </c>
      <c r="G24" s="51">
        <f>'LUC-2013-01-08-Run4'!AI28</f>
        <v>8.0699999999999996E-5</v>
      </c>
      <c r="H24" s="51">
        <f>'LUC-2013-01-08-Run4'!AJ28</f>
        <v>8.0633333333333333E-5</v>
      </c>
      <c r="I24" s="51">
        <f>'LUC-2013-01-08-Run4'!AK28</f>
        <v>8.0566666666666669E-5</v>
      </c>
      <c r="J24" s="51">
        <f>'LUC-2013-01-08-Run4'!AL28</f>
        <v>8.0500000000000005E-5</v>
      </c>
      <c r="K24" s="51">
        <f>'LUC-2013-01-08-Run4'!AM28</f>
        <v>8.0433333333333341E-5</v>
      </c>
      <c r="L24" s="51">
        <f>'LUC-2013-01-08-Run4'!AN28</f>
        <v>8.0366666666666664E-5</v>
      </c>
      <c r="M24" s="51">
        <f>'LUC-2013-01-08-Run4'!AO28</f>
        <v>8.03E-5</v>
      </c>
      <c r="N24" s="51">
        <f>'LUC-2013-01-08-Run4'!AP28</f>
        <v>8.0233333333333337E-5</v>
      </c>
      <c r="O24" s="51">
        <f>'LUC-2013-01-08-Run4'!AQ28</f>
        <v>8.0166666666666673E-5</v>
      </c>
      <c r="P24" s="51">
        <f>'LUC-2013-01-08-Run4'!AR28</f>
        <v>8.0100000000000009E-5</v>
      </c>
      <c r="Q24" s="51">
        <f>'LUC-2013-01-08-Run4'!AS28</f>
        <v>8.0033333333333332E-5</v>
      </c>
      <c r="R24" s="51">
        <f>'LUC-2013-01-08-Run4'!AT28</f>
        <v>7.9966666666666668E-5</v>
      </c>
      <c r="S24" s="51">
        <f>'LUC-2013-01-08-Run4'!AU28</f>
        <v>7.9996666666666666E-5</v>
      </c>
      <c r="T24" s="51">
        <f>'LUC-2013-01-08-Run4'!AV28</f>
        <v>8.0045757575757575E-5</v>
      </c>
      <c r="U24" s="51">
        <f>'LUC-2013-01-08-Run4'!AW28</f>
        <v>8.0094848484848485E-5</v>
      </c>
      <c r="V24" s="51">
        <f>'LUC-2013-01-08-Run4'!AX28</f>
        <v>8.0143939393939395E-5</v>
      </c>
      <c r="W24" s="51">
        <f>'LUC-2013-01-08-Run4'!AY28</f>
        <v>8.0193030303030304E-5</v>
      </c>
      <c r="X24" s="51">
        <f>'LUC-2013-01-08-Run4'!AZ28</f>
        <v>8.0242121212121214E-5</v>
      </c>
      <c r="Y24" s="51">
        <f>'LUC-2013-01-08-Run4'!BA28</f>
        <v>8.0291212121212123E-5</v>
      </c>
      <c r="Z24" s="51">
        <f>'LUC-2013-01-08-Run4'!BB28</f>
        <v>8.0340303030303033E-5</v>
      </c>
      <c r="AA24" s="51">
        <f>'LUC-2013-01-08-Run4'!BC28</f>
        <v>8.0389393939393942E-5</v>
      </c>
      <c r="AB24" s="51">
        <f>'LUC-2013-01-08-Run4'!BD28</f>
        <v>8.0438484848484852E-5</v>
      </c>
      <c r="AC24" s="51">
        <f>'LUC-2013-01-08-Run4'!BE28</f>
        <v>8.0487575757575761E-5</v>
      </c>
      <c r="AD24" s="51">
        <f>'LUC-2013-01-08-Run4'!BF28</f>
        <v>8.0536666666666671E-5</v>
      </c>
      <c r="AE24" s="51">
        <f>'LUC-2013-01-08-Run4'!BG28</f>
        <v>8.058575757575758E-5</v>
      </c>
      <c r="AF24" s="51">
        <f>'LUC-2013-01-08-Run4'!BH28</f>
        <v>8.063484848484849E-5</v>
      </c>
      <c r="AG24" s="51">
        <f>'LUC-2013-01-08-Run4'!BI28</f>
        <v>8.06839393939394E-5</v>
      </c>
      <c r="AH24" s="51">
        <f>'LUC-2013-01-08-Run4'!BJ28</f>
        <v>8.0733030303030309E-5</v>
      </c>
      <c r="AI24" s="51">
        <f>'LUC-2013-01-08-Run4'!BK28</f>
        <v>8.0782121212121219E-5</v>
      </c>
      <c r="AJ24" s="51">
        <f>'LUC-2013-01-08-Run4'!BL28</f>
        <v>8.0831212121212128E-5</v>
      </c>
      <c r="AK24" s="51">
        <f>'LUC-2013-01-08-Run4'!BM28</f>
        <v>8.0880303030303038E-5</v>
      </c>
      <c r="AL24" s="51">
        <f>'LUC-2013-01-08-Run4'!BN28</f>
        <v>8.0929393939393947E-5</v>
      </c>
      <c r="AM24" s="51">
        <f>'LUC-2013-01-08-Run4'!BO28</f>
        <v>8.0978484848484857E-5</v>
      </c>
      <c r="AN24" s="51">
        <f>'LUC-2013-01-08-Run4'!BP28</f>
        <v>8.1027575757575766E-5</v>
      </c>
      <c r="AO24" s="51">
        <f>'LUC-2013-01-08-Run4'!BQ28</f>
        <v>8.1076666666666676E-5</v>
      </c>
      <c r="AP24" s="51">
        <f>'LUC-2013-01-08-Run4'!BR28</f>
        <v>8.1125757575757585E-5</v>
      </c>
      <c r="AQ24" s="51">
        <f>'LUC-2013-01-08-Run4'!BS28</f>
        <v>8.1751666666666679E-5</v>
      </c>
      <c r="AR24" s="51">
        <f>'LUC-2013-01-08-Run4'!BT28</f>
        <v>8.1771916666666686E-5</v>
      </c>
      <c r="AS24" s="51">
        <f>'LUC-2013-01-08-Run4'!BU28</f>
        <v>8.1792166666666693E-5</v>
      </c>
      <c r="AT24" s="51">
        <f>'LUC-2013-01-08-Run4'!BV28</f>
        <v>8.1812416666666687E-5</v>
      </c>
      <c r="AU24" s="51">
        <f>'LUC-2013-01-08-Run4'!BW28</f>
        <v>8.1832666666666694E-5</v>
      </c>
      <c r="AV24" s="51">
        <f>'LUC-2013-01-08-Run4'!BX28</f>
        <v>8.1852916666666701E-5</v>
      </c>
      <c r="AW24" s="51">
        <f>'LUC-2013-01-08-Run4'!BY28</f>
        <v>8.1873166666666694E-5</v>
      </c>
      <c r="AX24" s="51">
        <f>'LUC-2013-01-08-Run4'!BZ28</f>
        <v>8.1893416666666702E-5</v>
      </c>
      <c r="AY24" s="51">
        <f>'LUC-2013-01-08-Run4'!CA28</f>
        <v>8.1913666666666709E-5</v>
      </c>
      <c r="AZ24" s="51">
        <f>'LUC-2013-01-08-Run4'!CB28</f>
        <v>8.1933916666666716E-5</v>
      </c>
      <c r="BA24" s="51">
        <f>'LUC-2013-01-08-Run4'!CC28</f>
        <v>8.1954166666666723E-5</v>
      </c>
      <c r="BB24" s="51">
        <f>'LUC-2013-01-08-Run4'!CD28</f>
        <v>8.1974416666666717E-5</v>
      </c>
      <c r="BC24" s="51">
        <f>'LUC-2013-01-08-Run4'!CE28</f>
        <v>8.1994666666666724E-5</v>
      </c>
      <c r="BD24" s="51">
        <f>'LUC-2013-01-08-Run4'!CF28</f>
        <v>8.2014916666666731E-5</v>
      </c>
      <c r="BE24" s="51">
        <f>'LUC-2013-01-08-Run4'!CG28</f>
        <v>8.2035166666666724E-5</v>
      </c>
      <c r="BF24" s="51">
        <f>'LUC-2013-01-08-Run4'!CH28</f>
        <v>8.2055416666666732E-5</v>
      </c>
      <c r="BG24" s="51">
        <f>'LUC-2013-01-08-Run4'!CI28</f>
        <v>8.2075666666666739E-5</v>
      </c>
      <c r="BH24" s="51">
        <f>'LUC-2013-01-08-Run4'!CJ28</f>
        <v>8.2095916666666746E-5</v>
      </c>
      <c r="BI24" s="51">
        <f>'LUC-2013-01-08-Run4'!CK28</f>
        <v>8.2116166666666753E-5</v>
      </c>
      <c r="BJ24" s="51">
        <f>'LUC-2013-01-08-Run4'!CL28</f>
        <v>8.2136416666666747E-5</v>
      </c>
      <c r="BK24" s="51">
        <f>'LUC-2013-01-08-Run4'!CM28</f>
        <v>8.2156666666666754E-5</v>
      </c>
      <c r="BN24" s="50" t="s">
        <v>112</v>
      </c>
    </row>
    <row r="25" spans="1:73" x14ac:dyDescent="0.25">
      <c r="BM25" s="56" t="s">
        <v>93</v>
      </c>
      <c r="BN25" s="56" t="s">
        <v>94</v>
      </c>
      <c r="BO25" s="56">
        <v>1991</v>
      </c>
      <c r="BP25" s="56">
        <v>2000</v>
      </c>
      <c r="BQ25" s="56">
        <v>2010</v>
      </c>
      <c r="BR25" s="56">
        <v>2020</v>
      </c>
      <c r="BS25" s="56">
        <v>2030</v>
      </c>
      <c r="BT25" s="56">
        <v>2040</v>
      </c>
      <c r="BU25" s="56">
        <v>2050</v>
      </c>
    </row>
    <row r="26" spans="1:73" x14ac:dyDescent="0.25">
      <c r="A26" s="52" t="s">
        <v>71</v>
      </c>
      <c r="B26" s="50" t="s">
        <v>99</v>
      </c>
      <c r="C26" s="52" t="s">
        <v>107</v>
      </c>
      <c r="D26" s="51">
        <f>'LUC-2013-01-08-Run4'!AF30</f>
        <v>2.8586557155908612E-3</v>
      </c>
      <c r="E26" s="51">
        <f>'LUC-2013-01-08-Run4'!AG30</f>
        <v>2.909963886131464E-3</v>
      </c>
      <c r="F26" s="51">
        <f>'LUC-2013-01-08-Run4'!AH30</f>
        <v>2.9612720566720677E-3</v>
      </c>
      <c r="G26" s="51">
        <f>'LUC-2013-01-08-Run4'!AI30</f>
        <v>3.0125802272126705E-3</v>
      </c>
      <c r="H26" s="51">
        <f>'LUC-2013-01-08-Run4'!AJ30</f>
        <v>3.0638883977532742E-3</v>
      </c>
      <c r="I26" s="51">
        <f>'LUC-2013-01-08-Run4'!AK30</f>
        <v>3.1151965682938766E-3</v>
      </c>
      <c r="J26" s="51">
        <f>'LUC-2013-01-08-Run4'!AL30</f>
        <v>3.1665047388344802E-3</v>
      </c>
      <c r="K26" s="51">
        <f>'LUC-2013-01-08-Run4'!AM30</f>
        <v>3.2178129093750835E-3</v>
      </c>
      <c r="L26" s="51">
        <f>'LUC-2013-01-08-Run4'!AN30</f>
        <v>3.2691210799156863E-3</v>
      </c>
      <c r="M26" s="51">
        <f>'LUC-2013-01-08-Run4'!AO30</f>
        <v>3.3204292504562887E-3</v>
      </c>
      <c r="N26" s="51">
        <f>'LUC-2013-01-08-Run4'!AP30</f>
        <v>3.3717374209968911E-3</v>
      </c>
      <c r="O26" s="51">
        <f>'LUC-2013-01-08-Run4'!AQ30</f>
        <v>3.4230455915374956E-3</v>
      </c>
      <c r="P26" s="51">
        <f>'LUC-2013-01-08-Run4'!AR30</f>
        <v>3.474353762078098E-3</v>
      </c>
      <c r="Q26" s="51">
        <f>'LUC-2013-01-08-Run4'!AS30</f>
        <v>3.5256619326187004E-3</v>
      </c>
      <c r="R26" s="51">
        <f>'LUC-2013-01-08-Run4'!AT30</f>
        <v>3.5769701031593041E-3</v>
      </c>
      <c r="S26" s="51">
        <f>'LUC-2013-01-08-Run4'!AU30</f>
        <v>3.6282782736999073E-3</v>
      </c>
      <c r="T26" s="51">
        <f>'LUC-2013-01-08-Run4'!AV30</f>
        <v>3.6601435786098075E-3</v>
      </c>
      <c r="U26" s="51">
        <f>'LUC-2013-01-08-Run4'!AW30</f>
        <v>3.6920088835197063E-3</v>
      </c>
      <c r="V26" s="51">
        <f>'LUC-2013-01-08-Run4'!AX30</f>
        <v>3.7238741884296055E-3</v>
      </c>
      <c r="W26" s="51">
        <f>'LUC-2013-01-08-Run4'!AY30</f>
        <v>3.7557394933395052E-3</v>
      </c>
      <c r="X26" s="51">
        <f>'LUC-2013-01-08-Run4'!AZ30</f>
        <v>3.7876047982494045E-3</v>
      </c>
      <c r="Y26" s="51">
        <f>'LUC-2013-01-08-Run4'!BA30</f>
        <v>3.8194701031593042E-3</v>
      </c>
      <c r="Z26" s="51">
        <f>'LUC-2013-01-08-Run4'!BB30</f>
        <v>3.8513354080692043E-3</v>
      </c>
      <c r="AA26" s="51">
        <f>'LUC-2013-01-08-Run4'!BC30</f>
        <v>3.8832007129791031E-3</v>
      </c>
      <c r="AB26" s="51">
        <f>'LUC-2013-01-08-Run4'!BD30</f>
        <v>3.9150660178890037E-3</v>
      </c>
      <c r="AC26" s="51">
        <f>'LUC-2013-01-08-Run4'!BE30</f>
        <v>3.9469313227989029E-3</v>
      </c>
      <c r="AD26" s="51">
        <f>'LUC-2013-01-08-Run4'!BF30</f>
        <v>3.9787966277088022E-3</v>
      </c>
      <c r="AE26" s="51">
        <f>'LUC-2013-01-08-Run4'!BG30</f>
        <v>4.0106619326187015E-3</v>
      </c>
      <c r="AF26" s="51">
        <f>'LUC-2013-01-08-Run4'!BH30</f>
        <v>4.0425272375286016E-3</v>
      </c>
      <c r="AG26" s="51">
        <f>'LUC-2013-01-08-Run4'!BI30</f>
        <v>4.0743925424385008E-3</v>
      </c>
      <c r="AH26" s="51">
        <f>'LUC-2013-01-08-Run4'!BJ30</f>
        <v>4.1062578473483992E-3</v>
      </c>
      <c r="AI26" s="51">
        <f>'LUC-2013-01-08-Run4'!BK30</f>
        <v>4.1381231522582993E-3</v>
      </c>
      <c r="AJ26" s="51">
        <f>'LUC-2013-01-08-Run4'!BL30</f>
        <v>4.1699884571681986E-3</v>
      </c>
      <c r="AK26" s="51">
        <f>'LUC-2013-01-08-Run4'!BM30</f>
        <v>4.2018537620780979E-3</v>
      </c>
      <c r="AL26" s="51">
        <f>'LUC-2013-01-08-Run4'!BN30</f>
        <v>4.233719066987998E-3</v>
      </c>
      <c r="AM26" s="51">
        <f>'LUC-2013-01-08-Run4'!BO30</f>
        <v>4.2655843718978972E-3</v>
      </c>
      <c r="AN26" s="51">
        <f>'LUC-2013-01-08-Run4'!BP30</f>
        <v>4.2974496768077956E-3</v>
      </c>
      <c r="AO26" s="51">
        <f>'LUC-2013-01-08-Run4'!BQ30</f>
        <v>4.3293149817176958E-3</v>
      </c>
      <c r="AP26" s="51">
        <f>'LUC-2013-01-08-Run4'!BR30</f>
        <v>4.3611802866275959E-3</v>
      </c>
      <c r="AQ26" s="51">
        <f>'LUC-2013-01-08-Run4'!BS30</f>
        <v>4.3930455915374969E-3</v>
      </c>
      <c r="AR26" s="51">
        <f>'LUC-2013-01-08-Run4'!BT30</f>
        <v>4.4249108964473944E-3</v>
      </c>
      <c r="AS26" s="51">
        <f>'LUC-2013-01-08-Run4'!BU30</f>
        <v>4.4567762013572945E-3</v>
      </c>
      <c r="AT26" s="51">
        <f>'LUC-2013-01-08-Run4'!BV30</f>
        <v>4.4886415062671938E-3</v>
      </c>
      <c r="AU26" s="51">
        <f>'LUC-2013-01-08-Run4'!BW30</f>
        <v>4.520506811177093E-3</v>
      </c>
      <c r="AV26" s="51">
        <f>'LUC-2013-01-08-Run4'!BX30</f>
        <v>4.5523721160869923E-3</v>
      </c>
      <c r="AW26" s="51">
        <f>'LUC-2013-01-08-Run4'!BY30</f>
        <v>4.5842374209968924E-3</v>
      </c>
      <c r="AX26" s="51">
        <f>'LUC-2013-01-08-Run4'!BZ30</f>
        <v>4.6161027259067908E-3</v>
      </c>
      <c r="AY26" s="51">
        <f>'LUC-2013-01-08-Run4'!CA30</f>
        <v>4.6479680308166918E-3</v>
      </c>
      <c r="AZ26" s="51">
        <f>'LUC-2013-01-08-Run4'!CB30</f>
        <v>4.6798333357265902E-3</v>
      </c>
      <c r="BA26" s="51">
        <f>'LUC-2013-01-08-Run4'!CC30</f>
        <v>4.7116986406364903E-3</v>
      </c>
      <c r="BB26" s="51">
        <f>'LUC-2013-01-08-Run4'!CD30</f>
        <v>4.7435639455463896E-3</v>
      </c>
      <c r="BC26" s="51">
        <f>'LUC-2013-01-08-Run4'!CE30</f>
        <v>4.7754292504562897E-3</v>
      </c>
      <c r="BD26" s="51">
        <f>'LUC-2013-01-08-Run4'!CF30</f>
        <v>4.8072945553661881E-3</v>
      </c>
      <c r="BE26" s="51">
        <f>'LUC-2013-01-08-Run4'!CG30</f>
        <v>4.8391598602760891E-3</v>
      </c>
      <c r="BF26" s="51">
        <f>'LUC-2013-01-08-Run4'!CH30</f>
        <v>4.8710251651859866E-3</v>
      </c>
      <c r="BG26" s="51">
        <f>'LUC-2013-01-08-Run4'!CI30</f>
        <v>4.9028904700958876E-3</v>
      </c>
      <c r="BH26" s="51">
        <f>'LUC-2013-01-08-Run4'!CJ30</f>
        <v>4.9347557750057851E-3</v>
      </c>
      <c r="BI26" s="51">
        <f>'LUC-2013-01-08-Run4'!CK30</f>
        <v>4.9666210799156861E-3</v>
      </c>
      <c r="BJ26" s="51">
        <f>'LUC-2013-01-08-Run4'!CL30</f>
        <v>4.9984863848255862E-3</v>
      </c>
      <c r="BK26" s="51">
        <f>'LUC-2013-01-08-Run4'!CM30</f>
        <v>5.0303516897354846E-3</v>
      </c>
      <c r="BM26" s="101" t="s">
        <v>71</v>
      </c>
      <c r="BN26" s="55" t="s">
        <v>99</v>
      </c>
      <c r="BO26" s="81">
        <f t="shared" ref="BO26:BO32" si="14">D26*1000</f>
        <v>2.8586557155908614</v>
      </c>
      <c r="BP26" s="81">
        <f t="shared" ref="BP26:BP32" si="15">M26*1000</f>
        <v>3.3204292504562889</v>
      </c>
      <c r="BQ26" s="81">
        <f t="shared" ref="BQ26:BQ32" si="16">W26*1000</f>
        <v>3.7557394933395054</v>
      </c>
      <c r="BR26" s="81">
        <f t="shared" ref="BR26:BR32" si="17">AG26*1000</f>
        <v>4.0743925424385008</v>
      </c>
      <c r="BS26" s="81">
        <f t="shared" ref="BS26:BS32" si="18">AQ26*1000</f>
        <v>4.3930455915374971</v>
      </c>
      <c r="BT26" s="81">
        <f t="shared" ref="BT26:BT32" si="19">BA26*1000</f>
        <v>4.7116986406364907</v>
      </c>
      <c r="BU26" s="81">
        <f t="shared" ref="BU26:BU32" si="20">BK26*1000</f>
        <v>5.0303516897354843</v>
      </c>
    </row>
    <row r="27" spans="1:73" x14ac:dyDescent="0.25">
      <c r="A27" s="52" t="s">
        <v>71</v>
      </c>
      <c r="B27" s="50" t="s">
        <v>100</v>
      </c>
      <c r="C27" s="52" t="s">
        <v>107</v>
      </c>
      <c r="D27" s="51">
        <f>'LUC-2013-01-08-Run4'!AF31</f>
        <v>2.21991625074704E-3</v>
      </c>
      <c r="E27" s="51">
        <f>'LUC-2013-01-08-Run4'!AG31</f>
        <v>2.2566263371078163E-3</v>
      </c>
      <c r="F27" s="51">
        <f>'LUC-2013-01-08-Run4'!AH31</f>
        <v>2.2933364234685931E-3</v>
      </c>
      <c r="G27" s="51">
        <f>'LUC-2013-01-08-Run4'!AI31</f>
        <v>2.3300465098293689E-3</v>
      </c>
      <c r="H27" s="51">
        <f>'LUC-2013-01-08-Run4'!AJ31</f>
        <v>2.3667565961901457E-3</v>
      </c>
      <c r="I27" s="51">
        <f>'LUC-2013-01-08-Run4'!AK31</f>
        <v>2.403466682550922E-3</v>
      </c>
      <c r="J27" s="51">
        <f>'LUC-2013-01-08-Run4'!AL31</f>
        <v>2.4401767689116983E-3</v>
      </c>
      <c r="K27" s="51">
        <f>'LUC-2013-01-08-Run4'!AM31</f>
        <v>2.4768868552724754E-3</v>
      </c>
      <c r="L27" s="51">
        <f>'LUC-2013-01-08-Run4'!AN31</f>
        <v>2.5135969416332517E-3</v>
      </c>
      <c r="M27" s="51">
        <f>'LUC-2013-01-08-Run4'!AO31</f>
        <v>2.5503070279940276E-3</v>
      </c>
      <c r="N27" s="51">
        <f>'LUC-2013-01-08-Run4'!AP31</f>
        <v>2.5870171143548043E-3</v>
      </c>
      <c r="O27" s="51">
        <f>'LUC-2013-01-08-Run4'!AQ31</f>
        <v>2.6237272007155811E-3</v>
      </c>
      <c r="P27" s="51">
        <f>'LUC-2013-01-08-Run4'!AR31</f>
        <v>2.6604372870763569E-3</v>
      </c>
      <c r="Q27" s="51">
        <f>'LUC-2013-01-08-Run4'!AS31</f>
        <v>2.6971473734371336E-3</v>
      </c>
      <c r="R27" s="51">
        <f>'LUC-2013-01-08-Run4'!AT31</f>
        <v>2.7338574597979095E-3</v>
      </c>
      <c r="S27" s="51">
        <f>'LUC-2013-01-08-Run4'!AU31</f>
        <v>2.7705675461586858E-3</v>
      </c>
      <c r="T27" s="51">
        <f>'LUC-2013-01-08-Run4'!AV31</f>
        <v>2.7941732069956472E-3</v>
      </c>
      <c r="U27" s="51">
        <f>'LUC-2013-01-08-Run4'!AW31</f>
        <v>2.8177788678326082E-3</v>
      </c>
      <c r="V27" s="51">
        <f>'LUC-2013-01-08-Run4'!AX31</f>
        <v>2.8413845286695688E-3</v>
      </c>
      <c r="W27" s="51">
        <f>'LUC-2013-01-08-Run4'!AY31</f>
        <v>2.8649901895065294E-3</v>
      </c>
      <c r="X27" s="51">
        <f>'LUC-2013-01-08-Run4'!AZ31</f>
        <v>2.8885958503434904E-3</v>
      </c>
      <c r="Y27" s="51">
        <f>'LUC-2013-01-08-Run4'!BA31</f>
        <v>2.9122015111804514E-3</v>
      </c>
      <c r="Z27" s="51">
        <f>'LUC-2013-01-08-Run4'!BB31</f>
        <v>2.9358071720174115E-3</v>
      </c>
      <c r="AA27" s="51">
        <f>'LUC-2013-01-08-Run4'!BC31</f>
        <v>2.9594128328543738E-3</v>
      </c>
      <c r="AB27" s="51">
        <f>'LUC-2013-01-08-Run4'!BD31</f>
        <v>2.9830184936913344E-3</v>
      </c>
      <c r="AC27" s="51">
        <f>'LUC-2013-01-08-Run4'!BE31</f>
        <v>3.0066241545282949E-3</v>
      </c>
      <c r="AD27" s="51">
        <f>'LUC-2013-01-08-Run4'!BF31</f>
        <v>3.030229815365256E-3</v>
      </c>
      <c r="AE27" s="51">
        <f>'LUC-2013-01-08-Run4'!BG31</f>
        <v>3.0538354762022174E-3</v>
      </c>
      <c r="AF27" s="51">
        <f>'LUC-2013-01-08-Run4'!BH31</f>
        <v>3.0774411370391771E-3</v>
      </c>
      <c r="AG27" s="51">
        <f>'LUC-2013-01-08-Run4'!BI31</f>
        <v>3.1010467978761381E-3</v>
      </c>
      <c r="AH27" s="51">
        <f>'LUC-2013-01-08-Run4'!BJ31</f>
        <v>3.1246524587130987E-3</v>
      </c>
      <c r="AI27" s="51">
        <f>'LUC-2013-01-08-Run4'!BK31</f>
        <v>3.1482581195500597E-3</v>
      </c>
      <c r="AJ27" s="51">
        <f>'LUC-2013-01-08-Run4'!BL31</f>
        <v>3.1718637803870211E-3</v>
      </c>
      <c r="AK27" s="51">
        <f>'LUC-2013-01-08-Run4'!BM31</f>
        <v>3.1954694412239821E-3</v>
      </c>
      <c r="AL27" s="51">
        <f>'LUC-2013-01-08-Run4'!BN31</f>
        <v>3.2190751020609435E-3</v>
      </c>
      <c r="AM27" s="51">
        <f>'LUC-2013-01-08-Run4'!BO31</f>
        <v>3.2426807628979037E-3</v>
      </c>
      <c r="AN27" s="51">
        <f>'LUC-2013-01-08-Run4'!BP31</f>
        <v>3.2662864237348651E-3</v>
      </c>
      <c r="AO27" s="51">
        <f>'LUC-2013-01-08-Run4'!BQ31</f>
        <v>3.2898920845718252E-3</v>
      </c>
      <c r="AP27" s="51">
        <f>'LUC-2013-01-08-Run4'!BR31</f>
        <v>3.3134977454087858E-3</v>
      </c>
      <c r="AQ27" s="51">
        <f>'LUC-2013-01-08-Run4'!BS31</f>
        <v>3.3371034062457468E-3</v>
      </c>
      <c r="AR27" s="51">
        <f>'LUC-2013-01-08-Run4'!BT31</f>
        <v>3.3607090670827078E-3</v>
      </c>
      <c r="AS27" s="51">
        <f>'LUC-2013-01-08-Run4'!BU31</f>
        <v>3.3843147279196684E-3</v>
      </c>
      <c r="AT27" s="51">
        <f>'LUC-2013-01-08-Run4'!BV31</f>
        <v>3.4079203887566302E-3</v>
      </c>
      <c r="AU27" s="51">
        <f>'LUC-2013-01-08-Run4'!BW31</f>
        <v>3.4315260495935899E-3</v>
      </c>
      <c r="AV27" s="51">
        <f>'LUC-2013-01-08-Run4'!BX31</f>
        <v>3.4551317104305514E-3</v>
      </c>
      <c r="AW27" s="51">
        <f>'LUC-2013-01-08-Run4'!BY31</f>
        <v>3.4787373712675128E-3</v>
      </c>
      <c r="AX27" s="51">
        <f>'LUC-2013-01-08-Run4'!BZ31</f>
        <v>3.5023430321044729E-3</v>
      </c>
      <c r="AY27" s="51">
        <f>'LUC-2013-01-08-Run4'!CA31</f>
        <v>3.5259486929414339E-3</v>
      </c>
      <c r="AZ27" s="51">
        <f>'LUC-2013-01-08-Run4'!CB31</f>
        <v>3.5495543537783945E-3</v>
      </c>
      <c r="BA27" s="51">
        <f>'LUC-2013-01-08-Run4'!CC31</f>
        <v>3.5731600146153551E-3</v>
      </c>
      <c r="BB27" s="51">
        <f>'LUC-2013-01-08-Run4'!CD31</f>
        <v>3.5967656754523165E-3</v>
      </c>
      <c r="BC27" s="51">
        <f>'LUC-2013-01-08-Run4'!CE31</f>
        <v>3.6203713362892771E-3</v>
      </c>
      <c r="BD27" s="51">
        <f>'LUC-2013-01-08-Run4'!CF31</f>
        <v>3.6439769971262381E-3</v>
      </c>
      <c r="BE27" s="51">
        <f>'LUC-2013-01-08-Run4'!CG31</f>
        <v>3.6675826579631995E-3</v>
      </c>
      <c r="BF27" s="51">
        <f>'LUC-2013-01-08-Run4'!CH31</f>
        <v>3.6911883188001609E-3</v>
      </c>
      <c r="BG27" s="51">
        <f>'LUC-2013-01-08-Run4'!CI31</f>
        <v>3.7147939796371206E-3</v>
      </c>
      <c r="BH27" s="51">
        <f>'LUC-2013-01-08-Run4'!CJ31</f>
        <v>3.7383996404740821E-3</v>
      </c>
      <c r="BI27" s="51">
        <f>'LUC-2013-01-08-Run4'!CK31</f>
        <v>3.7620053013110422E-3</v>
      </c>
      <c r="BJ27" s="51">
        <f>'LUC-2013-01-08-Run4'!CL31</f>
        <v>3.7856109621480032E-3</v>
      </c>
      <c r="BK27" s="51">
        <f>'LUC-2013-01-08-Run4'!CM31</f>
        <v>3.8092166229849646E-3</v>
      </c>
      <c r="BM27" s="102"/>
      <c r="BN27" s="53" t="s">
        <v>100</v>
      </c>
      <c r="BO27" s="79">
        <f t="shared" si="14"/>
        <v>2.21991625074704</v>
      </c>
      <c r="BP27" s="79">
        <f t="shared" si="15"/>
        <v>2.5503070279940276</v>
      </c>
      <c r="BQ27" s="79">
        <f t="shared" si="16"/>
        <v>2.8649901895065293</v>
      </c>
      <c r="BR27" s="79">
        <f t="shared" si="17"/>
        <v>3.1010467978761382</v>
      </c>
      <c r="BS27" s="79">
        <f t="shared" si="18"/>
        <v>3.3371034062457468</v>
      </c>
      <c r="BT27" s="79">
        <f t="shared" si="19"/>
        <v>3.5731600146153553</v>
      </c>
      <c r="BU27" s="79">
        <f t="shared" si="20"/>
        <v>3.8092166229849647</v>
      </c>
    </row>
    <row r="28" spans="1:73" x14ac:dyDescent="0.25">
      <c r="A28" s="52" t="s">
        <v>71</v>
      </c>
      <c r="B28" s="50" t="s">
        <v>101</v>
      </c>
      <c r="C28" s="52" t="s">
        <v>107</v>
      </c>
      <c r="D28" s="51">
        <f>'LUC-2013-01-08-Run4'!AF32</f>
        <v>3.2695631189309741E-3</v>
      </c>
      <c r="E28" s="51">
        <f>'LUC-2013-01-08-Run4'!AG32</f>
        <v>3.3190680876783053E-3</v>
      </c>
      <c r="F28" s="51">
        <f>'LUC-2013-01-08-Run4'!AH32</f>
        <v>3.3685730564256351E-3</v>
      </c>
      <c r="G28" s="51">
        <f>'LUC-2013-01-08-Run4'!AI32</f>
        <v>3.4180780251729654E-3</v>
      </c>
      <c r="H28" s="51">
        <f>'LUC-2013-01-08-Run4'!AJ32</f>
        <v>3.4675829939202975E-3</v>
      </c>
      <c r="I28" s="51">
        <f>'LUC-2013-01-08-Run4'!AK32</f>
        <v>3.5170879626676278E-3</v>
      </c>
      <c r="J28" s="51">
        <f>'LUC-2013-01-08-Run4'!AL32</f>
        <v>3.566592931414959E-3</v>
      </c>
      <c r="K28" s="51">
        <f>'LUC-2013-01-08-Run4'!AM32</f>
        <v>3.6160979001622893E-3</v>
      </c>
      <c r="L28" s="51">
        <f>'LUC-2013-01-08-Run4'!AN32</f>
        <v>3.66560286890962E-3</v>
      </c>
      <c r="M28" s="51">
        <f>'LUC-2013-01-08-Run4'!AO32</f>
        <v>3.7151078376569512E-3</v>
      </c>
      <c r="N28" s="51">
        <f>'LUC-2013-01-08-Run4'!AP32</f>
        <v>3.764612806404282E-3</v>
      </c>
      <c r="O28" s="51">
        <f>'LUC-2013-01-08-Run4'!AQ32</f>
        <v>3.8141177751516123E-3</v>
      </c>
      <c r="P28" s="51">
        <f>'LUC-2013-01-08-Run4'!AR32</f>
        <v>3.8636227438989435E-3</v>
      </c>
      <c r="Q28" s="51">
        <f>'LUC-2013-01-08-Run4'!AS32</f>
        <v>3.9131277126462733E-3</v>
      </c>
      <c r="R28" s="51">
        <f>'LUC-2013-01-08-Run4'!AT32</f>
        <v>3.9626326813936045E-3</v>
      </c>
      <c r="S28" s="51">
        <f>'LUC-2013-01-08-Run4'!AU32</f>
        <v>4.0121376501409357E-3</v>
      </c>
      <c r="T28" s="51">
        <f>'LUC-2013-01-08-Run4'!AV32</f>
        <v>4.0409850921853223E-3</v>
      </c>
      <c r="U28" s="51">
        <f>'LUC-2013-01-08-Run4'!AW32</f>
        <v>4.0698325342297097E-3</v>
      </c>
      <c r="V28" s="51">
        <f>'LUC-2013-01-08-Run4'!AX32</f>
        <v>4.0986799762740963E-3</v>
      </c>
      <c r="W28" s="51">
        <f>'LUC-2013-01-08-Run4'!AY32</f>
        <v>4.127527418318482E-3</v>
      </c>
      <c r="X28" s="51">
        <f>'LUC-2013-01-08-Run4'!AZ32</f>
        <v>4.1563748603628704E-3</v>
      </c>
      <c r="Y28" s="51">
        <f>'LUC-2013-01-08-Run4'!BA32</f>
        <v>4.1852223024072561E-3</v>
      </c>
      <c r="Z28" s="51">
        <f>'LUC-2013-01-08-Run4'!BB32</f>
        <v>4.2140697444516435E-3</v>
      </c>
      <c r="AA28" s="51">
        <f>'LUC-2013-01-08-Run4'!BC32</f>
        <v>4.2429171864960301E-3</v>
      </c>
      <c r="AB28" s="51">
        <f>'LUC-2013-01-08-Run4'!BD32</f>
        <v>4.2717646285404158E-3</v>
      </c>
      <c r="AC28" s="51">
        <f>'LUC-2013-01-08-Run4'!BE32</f>
        <v>4.3006120705848042E-3</v>
      </c>
      <c r="AD28" s="51">
        <f>'LUC-2013-01-08-Run4'!BF32</f>
        <v>4.3294595126291899E-3</v>
      </c>
      <c r="AE28" s="51">
        <f>'LUC-2013-01-08-Run4'!BG32</f>
        <v>4.3583069546735782E-3</v>
      </c>
      <c r="AF28" s="51">
        <f>'LUC-2013-01-08-Run4'!BH32</f>
        <v>4.3871543967179639E-3</v>
      </c>
      <c r="AG28" s="51">
        <f>'LUC-2013-01-08-Run4'!BI32</f>
        <v>4.4160018387623514E-3</v>
      </c>
      <c r="AH28" s="51">
        <f>'LUC-2013-01-08-Run4'!BJ32</f>
        <v>4.444849280806738E-3</v>
      </c>
      <c r="AI28" s="51">
        <f>'LUC-2013-01-08-Run4'!BK32</f>
        <v>4.4736967228511245E-3</v>
      </c>
      <c r="AJ28" s="51">
        <f>'LUC-2013-01-08-Run4'!BL32</f>
        <v>4.5025441648955111E-3</v>
      </c>
      <c r="AK28" s="51">
        <f>'LUC-2013-01-08-Run4'!BM32</f>
        <v>4.5313916069398994E-3</v>
      </c>
      <c r="AL28" s="51">
        <f>'LUC-2013-01-08-Run4'!BN32</f>
        <v>4.5602390489842852E-3</v>
      </c>
      <c r="AM28" s="51">
        <f>'LUC-2013-01-08-Run4'!BO32</f>
        <v>4.5890864910286726E-3</v>
      </c>
      <c r="AN28" s="51">
        <f>'LUC-2013-01-08-Run4'!BP32</f>
        <v>4.6179339330730601E-3</v>
      </c>
      <c r="AO28" s="51">
        <f>'LUC-2013-01-08-Run4'!BQ32</f>
        <v>4.6467813751174458E-3</v>
      </c>
      <c r="AP28" s="51">
        <f>'LUC-2013-01-08-Run4'!BR32</f>
        <v>4.6756288171618332E-3</v>
      </c>
      <c r="AQ28" s="51">
        <f>'LUC-2013-01-08-Run4'!BS32</f>
        <v>4.7044762592062198E-3</v>
      </c>
      <c r="AR28" s="51">
        <f>'LUC-2013-01-08-Run4'!BT32</f>
        <v>4.7333237012506073E-3</v>
      </c>
      <c r="AS28" s="51">
        <f>'LUC-2013-01-08-Run4'!BU32</f>
        <v>4.762171143294993E-3</v>
      </c>
      <c r="AT28" s="51">
        <f>'LUC-2013-01-08-Run4'!BV32</f>
        <v>4.7910185853393805E-3</v>
      </c>
      <c r="AU28" s="51">
        <f>'LUC-2013-01-08-Run4'!BW32</f>
        <v>4.8198660273837679E-3</v>
      </c>
      <c r="AV28" s="51">
        <f>'LUC-2013-01-08-Run4'!BX32</f>
        <v>4.8487134694281545E-3</v>
      </c>
      <c r="AW28" s="51">
        <f>'LUC-2013-01-08-Run4'!BY32</f>
        <v>4.8775609114725419E-3</v>
      </c>
      <c r="AX28" s="51">
        <f>'LUC-2013-01-08-Run4'!BZ32</f>
        <v>4.9064083535169277E-3</v>
      </c>
      <c r="AY28" s="51">
        <f>'LUC-2013-01-08-Run4'!CA32</f>
        <v>4.9352557955613151E-3</v>
      </c>
      <c r="AZ28" s="51">
        <f>'LUC-2013-01-08-Run4'!CB32</f>
        <v>4.9641032376057017E-3</v>
      </c>
      <c r="BA28" s="51">
        <f>'LUC-2013-01-08-Run4'!CC32</f>
        <v>4.9929506796500883E-3</v>
      </c>
      <c r="BB28" s="51">
        <f>'LUC-2013-01-08-Run4'!CD32</f>
        <v>5.0217981216944757E-3</v>
      </c>
      <c r="BC28" s="51">
        <f>'LUC-2013-01-08-Run4'!CE32</f>
        <v>5.0506455637388623E-3</v>
      </c>
      <c r="BD28" s="51">
        <f>'LUC-2013-01-08-Run4'!CF32</f>
        <v>5.0794930057832489E-3</v>
      </c>
      <c r="BE28" s="51">
        <f>'LUC-2013-01-08-Run4'!CG32</f>
        <v>5.1083404478276355E-3</v>
      </c>
      <c r="BF28" s="51">
        <f>'LUC-2013-01-08-Run4'!CH32</f>
        <v>5.1371878898720212E-3</v>
      </c>
      <c r="BG28" s="51">
        <f>'LUC-2013-01-08-Run4'!CI32</f>
        <v>5.1660353319164087E-3</v>
      </c>
      <c r="BH28" s="51">
        <f>'LUC-2013-01-08-Run4'!CJ32</f>
        <v>5.1948827739607961E-3</v>
      </c>
      <c r="BI28" s="51">
        <f>'LUC-2013-01-08-Run4'!CK32</f>
        <v>5.2237302160051836E-3</v>
      </c>
      <c r="BJ28" s="51">
        <f>'LUC-2013-01-08-Run4'!CL32</f>
        <v>5.252577658049571E-3</v>
      </c>
      <c r="BK28" s="51">
        <f>'LUC-2013-01-08-Run4'!CM32</f>
        <v>5.2814251000939559E-3</v>
      </c>
      <c r="BM28" s="102"/>
      <c r="BN28" s="53" t="s">
        <v>101</v>
      </c>
      <c r="BO28" s="79">
        <f t="shared" si="14"/>
        <v>3.2695631189309742</v>
      </c>
      <c r="BP28" s="79">
        <f t="shared" si="15"/>
        <v>3.7151078376569511</v>
      </c>
      <c r="BQ28" s="79">
        <f t="shared" si="16"/>
        <v>4.1275274183184818</v>
      </c>
      <c r="BR28" s="79">
        <f t="shared" si="17"/>
        <v>4.4160018387623516</v>
      </c>
      <c r="BS28" s="79">
        <f t="shared" si="18"/>
        <v>4.7044762592062197</v>
      </c>
      <c r="BT28" s="79">
        <f t="shared" si="19"/>
        <v>4.9929506796500887</v>
      </c>
      <c r="BU28" s="79">
        <f t="shared" si="20"/>
        <v>5.2814251000939558</v>
      </c>
    </row>
    <row r="29" spans="1:73" x14ac:dyDescent="0.25">
      <c r="A29" s="52" t="s">
        <v>71</v>
      </c>
      <c r="B29" s="50" t="s">
        <v>111</v>
      </c>
      <c r="C29" s="52" t="s">
        <v>107</v>
      </c>
      <c r="D29" s="51">
        <f>'LUC-2013-01-08-Run4'!AF33</f>
        <v>1.4251346260975677E-3</v>
      </c>
      <c r="E29" s="51">
        <f>'LUC-2013-01-08-Run4'!AG33</f>
        <v>1.4394010133432365E-3</v>
      </c>
      <c r="F29" s="51">
        <f>'LUC-2013-01-08-Run4'!AH33</f>
        <v>1.4536674005889065E-3</v>
      </c>
      <c r="G29" s="51">
        <f>'LUC-2013-01-08-Run4'!AI33</f>
        <v>1.4679337878345756E-3</v>
      </c>
      <c r="H29" s="51">
        <f>'LUC-2013-01-08-Run4'!AJ33</f>
        <v>1.4822001750802451E-3</v>
      </c>
      <c r="I29" s="51">
        <f>'LUC-2013-01-08-Run4'!AK33</f>
        <v>1.4964665623259147E-3</v>
      </c>
      <c r="J29" s="51">
        <f>'LUC-2013-01-08-Run4'!AL33</f>
        <v>1.5107329495715842E-3</v>
      </c>
      <c r="K29" s="51">
        <f>'LUC-2013-01-08-Run4'!AM33</f>
        <v>1.5249993368172535E-3</v>
      </c>
      <c r="L29" s="51">
        <f>'LUC-2013-01-08-Run4'!AN33</f>
        <v>1.5392657240629226E-3</v>
      </c>
      <c r="M29" s="51">
        <f>'LUC-2013-01-08-Run4'!AO33</f>
        <v>1.5535321113085924E-3</v>
      </c>
      <c r="N29" s="51">
        <f>'LUC-2013-01-08-Run4'!AP33</f>
        <v>1.5677984985542617E-3</v>
      </c>
      <c r="O29" s="51">
        <f>'LUC-2013-01-08-Run4'!AQ33</f>
        <v>1.5820648857999312E-3</v>
      </c>
      <c r="P29" s="51">
        <f>'LUC-2013-01-08-Run4'!AR33</f>
        <v>1.5963312730456008E-3</v>
      </c>
      <c r="Q29" s="51">
        <f>'LUC-2013-01-08-Run4'!AS33</f>
        <v>1.6105976602912699E-3</v>
      </c>
      <c r="R29" s="51">
        <f>'LUC-2013-01-08-Run4'!AT33</f>
        <v>1.6248640475369394E-3</v>
      </c>
      <c r="S29" s="51">
        <f>'LUC-2013-01-08-Run4'!AU33</f>
        <v>1.6391304347826087E-3</v>
      </c>
      <c r="T29" s="51">
        <f>'LUC-2013-01-08-Run4'!AV33</f>
        <v>1.6512056578914661E-3</v>
      </c>
      <c r="U29" s="51">
        <f>'LUC-2013-01-08-Run4'!AW33</f>
        <v>1.6632808810003231E-3</v>
      </c>
      <c r="V29" s="51">
        <f>'LUC-2013-01-08-Run4'!AX33</f>
        <v>1.6753561041091803E-3</v>
      </c>
      <c r="W29" s="51">
        <f>'LUC-2013-01-08-Run4'!AY33</f>
        <v>1.6874313272180379E-3</v>
      </c>
      <c r="X29" s="51">
        <f>'LUC-2013-01-08-Run4'!AZ33</f>
        <v>1.6995065503268951E-3</v>
      </c>
      <c r="Y29" s="51">
        <f>'LUC-2013-01-08-Run4'!BA33</f>
        <v>1.7115817734357521E-3</v>
      </c>
      <c r="Z29" s="51">
        <f>'LUC-2013-01-08-Run4'!BB33</f>
        <v>1.7236569965446093E-3</v>
      </c>
      <c r="AA29" s="51">
        <f>'LUC-2013-01-08-Run4'!BC33</f>
        <v>1.7357322196534667E-3</v>
      </c>
      <c r="AB29" s="51">
        <f>'LUC-2013-01-08-Run4'!BD33</f>
        <v>1.7478074427623236E-3</v>
      </c>
      <c r="AC29" s="51">
        <f>'LUC-2013-01-08-Run4'!BE33</f>
        <v>1.759882665871181E-3</v>
      </c>
      <c r="AD29" s="51">
        <f>'LUC-2013-01-08-Run4'!BF33</f>
        <v>1.7719578889800382E-3</v>
      </c>
      <c r="AE29" s="51">
        <f>'LUC-2013-01-08-Run4'!BG33</f>
        <v>1.7840331120888959E-3</v>
      </c>
      <c r="AF29" s="51">
        <f>'LUC-2013-01-08-Run4'!BH33</f>
        <v>1.7961083351977531E-3</v>
      </c>
      <c r="AG29" s="51">
        <f>'LUC-2013-01-08-Run4'!BI33</f>
        <v>1.8081835583066094E-3</v>
      </c>
      <c r="AH29" s="51">
        <f>'LUC-2013-01-08-Run4'!BJ33</f>
        <v>1.8202587814154672E-3</v>
      </c>
      <c r="AI29" s="51">
        <f>'LUC-2013-01-08-Run4'!BK33</f>
        <v>1.8323340045243244E-3</v>
      </c>
      <c r="AJ29" s="51">
        <f>'LUC-2013-01-08-Run4'!BL33</f>
        <v>1.844409227633182E-3</v>
      </c>
      <c r="AK29" s="51">
        <f>'LUC-2013-01-08-Run4'!BM33</f>
        <v>1.8564844507420388E-3</v>
      </c>
      <c r="AL29" s="51">
        <f>'LUC-2013-01-08-Run4'!BN33</f>
        <v>1.8685596738508962E-3</v>
      </c>
      <c r="AM29" s="51">
        <f>'LUC-2013-01-08-Run4'!BO33</f>
        <v>1.8806348969597534E-3</v>
      </c>
      <c r="AN29" s="51">
        <f>'LUC-2013-01-08-Run4'!BP33</f>
        <v>1.8927101200686108E-3</v>
      </c>
      <c r="AO29" s="51">
        <f>'LUC-2013-01-08-Run4'!BQ33</f>
        <v>1.9047853431774678E-3</v>
      </c>
      <c r="AP29" s="51">
        <f>'LUC-2013-01-08-Run4'!BR33</f>
        <v>1.9168605662863256E-3</v>
      </c>
      <c r="AQ29" s="51">
        <f>'LUC-2013-01-08-Run4'!BS33</f>
        <v>1.9289357893951824E-3</v>
      </c>
      <c r="AR29" s="51">
        <f>'LUC-2013-01-08-Run4'!BT33</f>
        <v>1.9410110125040402E-3</v>
      </c>
      <c r="AS29" s="51">
        <f>'LUC-2013-01-08-Run4'!BU33</f>
        <v>1.9530862356128972E-3</v>
      </c>
      <c r="AT29" s="51">
        <f>'LUC-2013-01-08-Run4'!BV33</f>
        <v>1.9651614587217541E-3</v>
      </c>
      <c r="AU29" s="51">
        <f>'LUC-2013-01-08-Run4'!BW33</f>
        <v>1.9772366818306113E-3</v>
      </c>
      <c r="AV29" s="51">
        <f>'LUC-2013-01-08-Run4'!BX33</f>
        <v>1.989311904939469E-3</v>
      </c>
      <c r="AW29" s="51">
        <f>'LUC-2013-01-08-Run4'!BY33</f>
        <v>2.0013871280483257E-3</v>
      </c>
      <c r="AX29" s="51">
        <f>'LUC-2013-01-08-Run4'!BZ33</f>
        <v>2.0134623511571829E-3</v>
      </c>
      <c r="AY29" s="51">
        <f>'LUC-2013-01-08-Run4'!CA33</f>
        <v>2.0255375742660405E-3</v>
      </c>
      <c r="AZ29" s="51">
        <f>'LUC-2013-01-08-Run4'!CB33</f>
        <v>2.0376127973748973E-3</v>
      </c>
      <c r="BA29" s="51">
        <f>'LUC-2013-01-08-Run4'!CC33</f>
        <v>2.0496880204837549E-3</v>
      </c>
      <c r="BB29" s="51">
        <f>'LUC-2013-01-08-Run4'!CD33</f>
        <v>2.0617632435926121E-3</v>
      </c>
      <c r="BC29" s="51">
        <f>'LUC-2013-01-08-Run4'!CE33</f>
        <v>2.0738384667014697E-3</v>
      </c>
      <c r="BD29" s="51">
        <f>'LUC-2013-01-08-Run4'!CF33</f>
        <v>2.0859136898103261E-3</v>
      </c>
      <c r="BE29" s="51">
        <f>'LUC-2013-01-08-Run4'!CG33</f>
        <v>2.0979889129191837E-3</v>
      </c>
      <c r="BF29" s="51">
        <f>'LUC-2013-01-08-Run4'!CH33</f>
        <v>2.1100641360280409E-3</v>
      </c>
      <c r="BG29" s="51">
        <f>'LUC-2013-01-08-Run4'!CI33</f>
        <v>2.1221393591368985E-3</v>
      </c>
      <c r="BH29" s="51">
        <f>'LUC-2013-01-08-Run4'!CJ33</f>
        <v>2.1342145822457557E-3</v>
      </c>
      <c r="BI29" s="51">
        <f>'LUC-2013-01-08-Run4'!CK33</f>
        <v>2.1462898053546129E-3</v>
      </c>
      <c r="BJ29" s="51">
        <f>'LUC-2013-01-08-Run4'!CL33</f>
        <v>2.1583650284634701E-3</v>
      </c>
      <c r="BK29" s="51">
        <f>'LUC-2013-01-08-Run4'!CM33</f>
        <v>2.1704402515723277E-3</v>
      </c>
      <c r="BM29" s="102"/>
      <c r="BN29" s="53" t="s">
        <v>111</v>
      </c>
      <c r="BO29" s="79">
        <f t="shared" si="14"/>
        <v>1.4251346260975677</v>
      </c>
      <c r="BP29" s="79">
        <f t="shared" si="15"/>
        <v>1.5535321113085925</v>
      </c>
      <c r="BQ29" s="79">
        <f t="shared" si="16"/>
        <v>1.6874313272180379</v>
      </c>
      <c r="BR29" s="79">
        <f t="shared" si="17"/>
        <v>1.8081835583066095</v>
      </c>
      <c r="BS29" s="79">
        <f t="shared" si="18"/>
        <v>1.9289357893951824</v>
      </c>
      <c r="BT29" s="79">
        <f t="shared" si="19"/>
        <v>2.0496880204837549</v>
      </c>
      <c r="BU29" s="79">
        <f t="shared" si="20"/>
        <v>2.1704402515723276</v>
      </c>
    </row>
    <row r="30" spans="1:73" x14ac:dyDescent="0.25">
      <c r="A30" s="52" t="s">
        <v>71</v>
      </c>
      <c r="B30" s="50" t="s">
        <v>102</v>
      </c>
      <c r="C30" s="52" t="s">
        <v>107</v>
      </c>
      <c r="D30" s="51">
        <f>'LUC-2013-01-08-Run4'!AF34</f>
        <v>1.6577549140049134E-3</v>
      </c>
      <c r="E30" s="51">
        <f>'LUC-2013-01-08-Run4'!AG34</f>
        <v>1.6804361179361179E-3</v>
      </c>
      <c r="F30" s="51">
        <f>'LUC-2013-01-08-Run4'!AH34</f>
        <v>1.7031173218673219E-3</v>
      </c>
      <c r="G30" s="51">
        <f>'LUC-2013-01-08-Run4'!AI34</f>
        <v>1.7257985257985258E-3</v>
      </c>
      <c r="H30" s="51">
        <f>'LUC-2013-01-08-Run4'!AJ34</f>
        <v>1.7484797297297294E-3</v>
      </c>
      <c r="I30" s="51">
        <f>'LUC-2013-01-08-Run4'!AK34</f>
        <v>1.7711609336609332E-3</v>
      </c>
      <c r="J30" s="51">
        <f>'LUC-2013-01-08-Run4'!AL34</f>
        <v>1.7938421375921377E-3</v>
      </c>
      <c r="K30" s="51">
        <f>'LUC-2013-01-08-Run4'!AM34</f>
        <v>1.8165233415233415E-3</v>
      </c>
      <c r="L30" s="51">
        <f>'LUC-2013-01-08-Run4'!AN34</f>
        <v>1.8392045454545453E-3</v>
      </c>
      <c r="M30" s="51">
        <f>'LUC-2013-01-08-Run4'!AO34</f>
        <v>1.8618857493857496E-3</v>
      </c>
      <c r="N30" s="51">
        <f>'LUC-2013-01-08-Run4'!AP34</f>
        <v>1.8845669533169532E-3</v>
      </c>
      <c r="O30" s="51">
        <f>'LUC-2013-01-08-Run4'!AQ34</f>
        <v>1.9072481572481575E-3</v>
      </c>
      <c r="P30" s="51">
        <f>'LUC-2013-01-08-Run4'!AR34</f>
        <v>1.9299293611793611E-3</v>
      </c>
      <c r="Q30" s="51">
        <f>'LUC-2013-01-08-Run4'!AS34</f>
        <v>1.9526105651105647E-3</v>
      </c>
      <c r="R30" s="51">
        <f>'LUC-2013-01-08-Run4'!AT34</f>
        <v>1.9752917690417696E-3</v>
      </c>
      <c r="S30" s="51">
        <f>'LUC-2013-01-08-Run4'!AU34</f>
        <v>1.9979729729729728E-3</v>
      </c>
      <c r="T30" s="51">
        <f>'LUC-2013-01-08-Run4'!AV34</f>
        <v>2.0184735872235877E-3</v>
      </c>
      <c r="U30" s="51">
        <f>'LUC-2013-01-08-Run4'!AW34</f>
        <v>2.0389742014742013E-3</v>
      </c>
      <c r="V30" s="51">
        <f>'LUC-2013-01-08-Run4'!AX34</f>
        <v>2.0594748157248153E-3</v>
      </c>
      <c r="W30" s="51">
        <f>'LUC-2013-01-08-Run4'!AY34</f>
        <v>2.0799754299754298E-3</v>
      </c>
      <c r="X30" s="51">
        <f>'LUC-2013-01-08-Run4'!AZ34</f>
        <v>2.1004760442260443E-3</v>
      </c>
      <c r="Y30" s="51">
        <f>'LUC-2013-01-08-Run4'!BA34</f>
        <v>2.1209766584766587E-3</v>
      </c>
      <c r="Z30" s="51">
        <f>'LUC-2013-01-08-Run4'!BB34</f>
        <v>2.1414772727272723E-3</v>
      </c>
      <c r="AA30" s="51">
        <f>'LUC-2013-01-08-Run4'!BC34</f>
        <v>2.1619778869778868E-3</v>
      </c>
      <c r="AB30" s="51">
        <f>'LUC-2013-01-08-Run4'!BD34</f>
        <v>2.1824785012285013E-3</v>
      </c>
      <c r="AC30" s="51">
        <f>'LUC-2013-01-08-Run4'!BE34</f>
        <v>2.2029791154791153E-3</v>
      </c>
      <c r="AD30" s="51">
        <f>'LUC-2013-01-08-Run4'!BF34</f>
        <v>2.2234797297297293E-3</v>
      </c>
      <c r="AE30" s="51">
        <f>'LUC-2013-01-08-Run4'!BG34</f>
        <v>2.2439803439803438E-3</v>
      </c>
      <c r="AF30" s="51">
        <f>'LUC-2013-01-08-Run4'!BH34</f>
        <v>2.2644809582309583E-3</v>
      </c>
      <c r="AG30" s="51">
        <f>'LUC-2013-01-08-Run4'!BI34</f>
        <v>2.2849815724815723E-3</v>
      </c>
      <c r="AH30" s="51">
        <f>'LUC-2013-01-08-Run4'!BJ34</f>
        <v>2.3054821867321868E-3</v>
      </c>
      <c r="AI30" s="51">
        <f>'LUC-2013-01-08-Run4'!BK34</f>
        <v>2.3259828009828008E-3</v>
      </c>
      <c r="AJ30" s="51">
        <f>'LUC-2013-01-08-Run4'!BL34</f>
        <v>2.3464834152334153E-3</v>
      </c>
      <c r="AK30" s="51">
        <f>'LUC-2013-01-08-Run4'!BM34</f>
        <v>2.3669840294840293E-3</v>
      </c>
      <c r="AL30" s="51">
        <f>'LUC-2013-01-08-Run4'!BN34</f>
        <v>2.3874846437346438E-3</v>
      </c>
      <c r="AM30" s="51">
        <f>'LUC-2013-01-08-Run4'!BO34</f>
        <v>2.4079852579852574E-3</v>
      </c>
      <c r="AN30" s="51">
        <f>'LUC-2013-01-08-Run4'!BP34</f>
        <v>2.4284858722358718E-3</v>
      </c>
      <c r="AO30" s="51">
        <f>'LUC-2013-01-08-Run4'!BQ34</f>
        <v>2.4489864864864859E-3</v>
      </c>
      <c r="AP30" s="51">
        <f>'LUC-2013-01-08-Run4'!BR34</f>
        <v>2.4694871007371003E-3</v>
      </c>
      <c r="AQ30" s="51">
        <f>'LUC-2013-01-08-Run4'!BS34</f>
        <v>2.4899877149877148E-3</v>
      </c>
      <c r="AR30" s="51">
        <f>'LUC-2013-01-08-Run4'!BT34</f>
        <v>2.5104883292383293E-3</v>
      </c>
      <c r="AS30" s="51">
        <f>'LUC-2013-01-08-Run4'!BU34</f>
        <v>2.5309889434889433E-3</v>
      </c>
      <c r="AT30" s="51">
        <f>'LUC-2013-01-08-Run4'!BV34</f>
        <v>2.5514895577395573E-3</v>
      </c>
      <c r="AU30" s="51">
        <f>'LUC-2013-01-08-Run4'!BW34</f>
        <v>2.5719901719901722E-3</v>
      </c>
      <c r="AV30" s="51">
        <f>'LUC-2013-01-08-Run4'!BX34</f>
        <v>2.5924907862407863E-3</v>
      </c>
      <c r="AW30" s="51">
        <f>'LUC-2013-01-08-Run4'!BY34</f>
        <v>2.6129914004914007E-3</v>
      </c>
      <c r="AX30" s="51">
        <f>'LUC-2013-01-08-Run4'!BZ34</f>
        <v>2.6334920147420139E-3</v>
      </c>
      <c r="AY30" s="51">
        <f>'LUC-2013-01-08-Run4'!CA34</f>
        <v>2.6539926289926284E-3</v>
      </c>
      <c r="AZ30" s="51">
        <f>'LUC-2013-01-08-Run4'!CB34</f>
        <v>2.6744932432432428E-3</v>
      </c>
      <c r="BA30" s="51">
        <f>'LUC-2013-01-08-Run4'!CC34</f>
        <v>2.6949938574938573E-3</v>
      </c>
      <c r="BB30" s="51">
        <f>'LUC-2013-01-08-Run4'!CD34</f>
        <v>2.7154944717444713E-3</v>
      </c>
      <c r="BC30" s="51">
        <f>'LUC-2013-01-08-Run4'!CE34</f>
        <v>2.7359950859950858E-3</v>
      </c>
      <c r="BD30" s="51">
        <f>'LUC-2013-01-08-Run4'!CF34</f>
        <v>2.7564957002457007E-3</v>
      </c>
      <c r="BE30" s="51">
        <f>'LUC-2013-01-08-Run4'!CG34</f>
        <v>2.7769963144963143E-3</v>
      </c>
      <c r="BF30" s="51">
        <f>'LUC-2013-01-08-Run4'!CH34</f>
        <v>2.7974969287469288E-3</v>
      </c>
      <c r="BG30" s="51">
        <f>'LUC-2013-01-08-Run4'!CI34</f>
        <v>2.8179975429975424E-3</v>
      </c>
      <c r="BH30" s="51">
        <f>'LUC-2013-01-08-Run4'!CJ34</f>
        <v>2.8384981572481573E-3</v>
      </c>
      <c r="BI30" s="51">
        <f>'LUC-2013-01-08-Run4'!CK34</f>
        <v>2.8589987714987713E-3</v>
      </c>
      <c r="BJ30" s="51">
        <f>'LUC-2013-01-08-Run4'!CL34</f>
        <v>2.8794993857493853E-3</v>
      </c>
      <c r="BK30" s="51">
        <f>'LUC-2013-01-08-Run4'!CM34</f>
        <v>2.8999999999999998E-3</v>
      </c>
      <c r="BM30" s="102"/>
      <c r="BN30" s="53" t="s">
        <v>102</v>
      </c>
      <c r="BO30" s="79">
        <f t="shared" si="14"/>
        <v>1.6577549140049135</v>
      </c>
      <c r="BP30" s="79">
        <f t="shared" si="15"/>
        <v>1.8618857493857497</v>
      </c>
      <c r="BQ30" s="79">
        <f t="shared" si="16"/>
        <v>2.0799754299754296</v>
      </c>
      <c r="BR30" s="79">
        <f t="shared" si="17"/>
        <v>2.2849815724815721</v>
      </c>
      <c r="BS30" s="79">
        <f t="shared" si="18"/>
        <v>2.489987714987715</v>
      </c>
      <c r="BT30" s="79">
        <f t="shared" si="19"/>
        <v>2.6949938574938574</v>
      </c>
      <c r="BU30" s="79">
        <f t="shared" si="20"/>
        <v>2.9</v>
      </c>
    </row>
    <row r="31" spans="1:73" x14ac:dyDescent="0.25">
      <c r="A31" s="52" t="s">
        <v>71</v>
      </c>
      <c r="B31" s="50" t="s">
        <v>103</v>
      </c>
      <c r="C31" s="52" t="s">
        <v>107</v>
      </c>
      <c r="D31" s="51">
        <f>'LUC-2013-01-08-Run4'!AF35</f>
        <v>6.1522727272727278E-2</v>
      </c>
      <c r="E31" s="51">
        <f>'LUC-2013-01-08-Run4'!AG35</f>
        <v>6.1954545454545457E-2</v>
      </c>
      <c r="F31" s="51">
        <f>'LUC-2013-01-08-Run4'!AH35</f>
        <v>6.2386363636363643E-2</v>
      </c>
      <c r="G31" s="51">
        <f>'LUC-2013-01-08-Run4'!AI35</f>
        <v>6.2818181818181829E-2</v>
      </c>
      <c r="H31" s="51">
        <f>'LUC-2013-01-08-Run4'!AJ35</f>
        <v>6.3250000000000001E-2</v>
      </c>
      <c r="I31" s="51">
        <f>'LUC-2013-01-08-Run4'!AK35</f>
        <v>6.3681818181818187E-2</v>
      </c>
      <c r="J31" s="51">
        <f>'LUC-2013-01-08-Run4'!AL35</f>
        <v>6.4113636363636373E-2</v>
      </c>
      <c r="K31" s="51">
        <f>'LUC-2013-01-08-Run4'!AM35</f>
        <v>6.4545454545454545E-2</v>
      </c>
      <c r="L31" s="51">
        <f>'LUC-2013-01-08-Run4'!AN35</f>
        <v>6.4977272727272731E-2</v>
      </c>
      <c r="M31" s="51">
        <f>'LUC-2013-01-08-Run4'!AO35</f>
        <v>6.5409090909090917E-2</v>
      </c>
      <c r="N31" s="51">
        <f>'LUC-2013-01-08-Run4'!AP35</f>
        <v>6.5840909090909089E-2</v>
      </c>
      <c r="O31" s="51">
        <f>'LUC-2013-01-08-Run4'!AQ35</f>
        <v>6.6272727272727275E-2</v>
      </c>
      <c r="P31" s="51">
        <f>'LUC-2013-01-08-Run4'!AR35</f>
        <v>6.6704545454545461E-2</v>
      </c>
      <c r="Q31" s="51">
        <f>'LUC-2013-01-08-Run4'!AS35</f>
        <v>6.7136363636363633E-2</v>
      </c>
      <c r="R31" s="51">
        <f>'LUC-2013-01-08-Run4'!AT35</f>
        <v>6.7568181818181819E-2</v>
      </c>
      <c r="S31" s="51">
        <f>'LUC-2013-01-08-Run4'!AU35</f>
        <v>6.8000000000000005E-2</v>
      </c>
      <c r="T31" s="51">
        <f>'LUC-2013-01-08-Run4'!AV35</f>
        <v>6.881818181818182E-2</v>
      </c>
      <c r="U31" s="51">
        <f>'LUC-2013-01-08-Run4'!AW35</f>
        <v>6.9636363636363635E-2</v>
      </c>
      <c r="V31" s="51">
        <f>'LUC-2013-01-08-Run4'!AX35</f>
        <v>7.0454545454545464E-2</v>
      </c>
      <c r="W31" s="51">
        <f>'LUC-2013-01-08-Run4'!AY35</f>
        <v>7.1272727272727279E-2</v>
      </c>
      <c r="X31" s="51">
        <f>'LUC-2013-01-08-Run4'!AZ35</f>
        <v>7.2090909090909094E-2</v>
      </c>
      <c r="Y31" s="51">
        <f>'LUC-2013-01-08-Run4'!BA35</f>
        <v>7.290909090909091E-2</v>
      </c>
      <c r="Z31" s="51">
        <f>'LUC-2013-01-08-Run4'!BB35</f>
        <v>7.3727272727272725E-2</v>
      </c>
      <c r="AA31" s="51">
        <f>'LUC-2013-01-08-Run4'!BC35</f>
        <v>7.4545454545454554E-2</v>
      </c>
      <c r="AB31" s="51">
        <f>'LUC-2013-01-08-Run4'!BD35</f>
        <v>7.5363636363636369E-2</v>
      </c>
      <c r="AC31" s="51">
        <f>'LUC-2013-01-08-Run4'!BE35</f>
        <v>7.6181818181818184E-2</v>
      </c>
      <c r="AD31" s="51">
        <f>'LUC-2013-01-08-Run4'!BF35</f>
        <v>7.6999999999999999E-2</v>
      </c>
      <c r="AE31" s="51">
        <f>'LUC-2013-01-08-Run4'!BG35</f>
        <v>7.7818181818181814E-2</v>
      </c>
      <c r="AF31" s="51">
        <f>'LUC-2013-01-08-Run4'!BH35</f>
        <v>7.8636363636363643E-2</v>
      </c>
      <c r="AG31" s="51">
        <f>'LUC-2013-01-08-Run4'!BI35</f>
        <v>7.9454545454545458E-2</v>
      </c>
      <c r="AH31" s="51">
        <f>'LUC-2013-01-08-Run4'!BJ35</f>
        <v>8.0272727272727273E-2</v>
      </c>
      <c r="AI31" s="51">
        <f>'LUC-2013-01-08-Run4'!BK35</f>
        <v>8.1090909090909088E-2</v>
      </c>
      <c r="AJ31" s="51">
        <f>'LUC-2013-01-08-Run4'!BL35</f>
        <v>8.1909090909090904E-2</v>
      </c>
      <c r="AK31" s="51">
        <f>'LUC-2013-01-08-Run4'!BM35</f>
        <v>8.2727272727272733E-2</v>
      </c>
      <c r="AL31" s="51">
        <f>'LUC-2013-01-08-Run4'!BN35</f>
        <v>8.3545454545454548E-2</v>
      </c>
      <c r="AM31" s="51">
        <f>'LUC-2013-01-08-Run4'!BO35</f>
        <v>8.4363636363636363E-2</v>
      </c>
      <c r="AN31" s="51">
        <f>'LUC-2013-01-08-Run4'!BP35</f>
        <v>8.5181818181818178E-2</v>
      </c>
      <c r="AO31" s="51">
        <f>'LUC-2013-01-08-Run4'!BQ35</f>
        <v>8.5999999999999993E-2</v>
      </c>
      <c r="AP31" s="51">
        <f>'LUC-2013-01-08-Run4'!BR35</f>
        <v>8.6818181818181822E-2</v>
      </c>
      <c r="AQ31" s="51">
        <f>'LUC-2013-01-08-Run4'!BS35</f>
        <v>8.7636363636363637E-2</v>
      </c>
      <c r="AR31" s="51">
        <f>'LUC-2013-01-08-Run4'!BT35</f>
        <v>8.8454545454545452E-2</v>
      </c>
      <c r="AS31" s="51">
        <f>'LUC-2013-01-08-Run4'!BU35</f>
        <v>8.9272727272727267E-2</v>
      </c>
      <c r="AT31" s="51">
        <f>'LUC-2013-01-08-Run4'!BV35</f>
        <v>9.0090909090909083E-2</v>
      </c>
      <c r="AU31" s="51">
        <f>'LUC-2013-01-08-Run4'!BW35</f>
        <v>9.0909090909090912E-2</v>
      </c>
      <c r="AV31" s="51">
        <f>'LUC-2013-01-08-Run4'!BX35</f>
        <v>9.1727272727272727E-2</v>
      </c>
      <c r="AW31" s="51">
        <f>'LUC-2013-01-08-Run4'!BY35</f>
        <v>9.2545454545454542E-2</v>
      </c>
      <c r="AX31" s="51">
        <f>'LUC-2013-01-08-Run4'!BZ35</f>
        <v>9.3363636363636357E-2</v>
      </c>
      <c r="AY31" s="51">
        <f>'LUC-2013-01-08-Run4'!CA35</f>
        <v>9.4181818181818172E-2</v>
      </c>
      <c r="AZ31" s="51">
        <f>'LUC-2013-01-08-Run4'!CB35</f>
        <v>9.5000000000000001E-2</v>
      </c>
      <c r="BA31" s="51">
        <f>'LUC-2013-01-08-Run4'!CC35</f>
        <v>9.5818181818181816E-2</v>
      </c>
      <c r="BB31" s="51">
        <f>'LUC-2013-01-08-Run4'!CD35</f>
        <v>9.6636363636363631E-2</v>
      </c>
      <c r="BC31" s="51">
        <f>'LUC-2013-01-08-Run4'!CE35</f>
        <v>9.7454545454545446E-2</v>
      </c>
      <c r="BD31" s="51">
        <f>'LUC-2013-01-08-Run4'!CF35</f>
        <v>9.8272727272727262E-2</v>
      </c>
      <c r="BE31" s="51">
        <f>'LUC-2013-01-08-Run4'!CG35</f>
        <v>9.9090909090909091E-2</v>
      </c>
      <c r="BF31" s="51">
        <f>'LUC-2013-01-08-Run4'!CH35</f>
        <v>9.9909090909090906E-2</v>
      </c>
      <c r="BG31" s="51">
        <f>'LUC-2013-01-08-Run4'!CI35</f>
        <v>0.10072727272727272</v>
      </c>
      <c r="BH31" s="51">
        <f>'LUC-2013-01-08-Run4'!CJ35</f>
        <v>0.10154545454545455</v>
      </c>
      <c r="BI31" s="51">
        <f>'LUC-2013-01-08-Run4'!CK35</f>
        <v>0.10236363636363635</v>
      </c>
      <c r="BJ31" s="51">
        <f>'LUC-2013-01-08-Run4'!CL35</f>
        <v>0.10318181818181818</v>
      </c>
      <c r="BK31" s="51">
        <f>'LUC-2013-01-08-Run4'!CM35</f>
        <v>0.104</v>
      </c>
      <c r="BM31" s="102"/>
      <c r="BN31" s="53" t="s">
        <v>103</v>
      </c>
      <c r="BO31" s="63">
        <f t="shared" si="14"/>
        <v>61.52272727272728</v>
      </c>
      <c r="BP31" s="63">
        <f t="shared" si="15"/>
        <v>65.409090909090921</v>
      </c>
      <c r="BQ31" s="63">
        <f t="shared" si="16"/>
        <v>71.27272727272728</v>
      </c>
      <c r="BR31" s="63">
        <f t="shared" si="17"/>
        <v>79.454545454545453</v>
      </c>
      <c r="BS31" s="63">
        <f t="shared" si="18"/>
        <v>87.63636363636364</v>
      </c>
      <c r="BT31" s="63">
        <f t="shared" si="19"/>
        <v>95.818181818181813</v>
      </c>
      <c r="BU31" s="63">
        <f t="shared" si="20"/>
        <v>104</v>
      </c>
    </row>
    <row r="32" spans="1:73" x14ac:dyDescent="0.25">
      <c r="A32" s="52" t="s">
        <v>71</v>
      </c>
      <c r="B32" s="50" t="s">
        <v>104</v>
      </c>
      <c r="C32" s="52" t="s">
        <v>107</v>
      </c>
      <c r="D32" s="51">
        <f>'LUC-2013-01-08-Run4'!AF39</f>
        <v>8.6618671127481966E-4</v>
      </c>
      <c r="E32" s="51">
        <f>'LUC-2013-01-08-Run4'!AG39</f>
        <v>8.7332065560907562E-4</v>
      </c>
      <c r="F32" s="51">
        <f>'LUC-2013-01-08-Run4'!AH39</f>
        <v>8.8045459994333169E-4</v>
      </c>
      <c r="G32" s="51">
        <f>'LUC-2013-01-08-Run4'!AI39</f>
        <v>8.8758854427758765E-4</v>
      </c>
      <c r="H32" s="51">
        <f>'LUC-2013-01-08-Run4'!AJ39</f>
        <v>8.9472248861184372E-4</v>
      </c>
      <c r="I32" s="51">
        <f>'LUC-2013-01-08-Run4'!AK39</f>
        <v>9.0185643294609969E-4</v>
      </c>
      <c r="J32" s="51">
        <f>'LUC-2013-01-08-Run4'!AL39</f>
        <v>9.0899037728035576E-4</v>
      </c>
      <c r="K32" s="51">
        <f>'LUC-2013-01-08-Run4'!AM39</f>
        <v>9.1612432161461172E-4</v>
      </c>
      <c r="L32" s="51">
        <f>'LUC-2013-01-08-Run4'!AN39</f>
        <v>9.2325826594886768E-4</v>
      </c>
      <c r="M32" s="51">
        <f>'LUC-2013-01-08-Run4'!AO39</f>
        <v>9.3039221028312375E-4</v>
      </c>
      <c r="N32" s="51">
        <f>'LUC-2013-01-08-Run4'!AP39</f>
        <v>9.3752615461737982E-4</v>
      </c>
      <c r="O32" s="51">
        <f>'LUC-2013-01-08-Run4'!AQ39</f>
        <v>9.4466009895163578E-4</v>
      </c>
      <c r="P32" s="51">
        <f>'LUC-2013-01-08-Run4'!AR39</f>
        <v>9.5179404328589175E-4</v>
      </c>
      <c r="Q32" s="51">
        <f>'LUC-2013-01-08-Run4'!AS39</f>
        <v>9.5892798762014782E-4</v>
      </c>
      <c r="R32" s="51">
        <f>'LUC-2013-01-08-Run4'!AT39</f>
        <v>9.6606193195440389E-4</v>
      </c>
      <c r="S32" s="51">
        <f>'LUC-2013-01-08-Run4'!AU39</f>
        <v>9.7319587628865985E-4</v>
      </c>
      <c r="T32" s="51">
        <f>'LUC-2013-01-08-Run4'!AV39</f>
        <v>9.9072164948453621E-4</v>
      </c>
      <c r="U32" s="51">
        <f>'LUC-2013-01-08-Run4'!AW39</f>
        <v>1.0082474226804125E-3</v>
      </c>
      <c r="V32" s="51">
        <f>'LUC-2013-01-08-Run4'!AX39</f>
        <v>1.0257731958762887E-3</v>
      </c>
      <c r="W32" s="51">
        <f>'LUC-2013-01-08-Run4'!AY39</f>
        <v>1.043298969072165E-3</v>
      </c>
      <c r="X32" s="51">
        <f>'LUC-2013-01-08-Run4'!AZ39</f>
        <v>1.0608247422680412E-3</v>
      </c>
      <c r="Y32" s="51">
        <f>'LUC-2013-01-08-Run4'!BA39</f>
        <v>1.0783505154639175E-3</v>
      </c>
      <c r="Z32" s="51">
        <f>'LUC-2013-01-08-Run4'!BB39</f>
        <v>1.095876288659794E-3</v>
      </c>
      <c r="AA32" s="51">
        <f>'LUC-2013-01-08-Run4'!BC39</f>
        <v>1.1134020618556702E-3</v>
      </c>
      <c r="AB32" s="51">
        <f>'LUC-2013-01-08-Run4'!BD39</f>
        <v>1.1309278350515465E-3</v>
      </c>
      <c r="AC32" s="51">
        <f>'LUC-2013-01-08-Run4'!BE39</f>
        <v>1.1484536082474227E-3</v>
      </c>
      <c r="AD32" s="51">
        <f>'LUC-2013-01-08-Run4'!BF39</f>
        <v>1.165979381443299E-3</v>
      </c>
      <c r="AE32" s="51">
        <f>'LUC-2013-01-08-Run4'!BG39</f>
        <v>1.1835051546391752E-3</v>
      </c>
      <c r="AF32" s="51">
        <f>'LUC-2013-01-08-Run4'!BH39</f>
        <v>1.2010309278350515E-3</v>
      </c>
      <c r="AG32" s="51">
        <f>'LUC-2013-01-08-Run4'!BI39</f>
        <v>1.2185567010309277E-3</v>
      </c>
      <c r="AH32" s="51">
        <f>'LUC-2013-01-08-Run4'!BJ39</f>
        <v>1.236082474226804E-3</v>
      </c>
      <c r="AI32" s="51">
        <f>'LUC-2013-01-08-Run4'!BK39</f>
        <v>1.2536082474226805E-3</v>
      </c>
      <c r="AJ32" s="51">
        <f>'LUC-2013-01-08-Run4'!BL39</f>
        <v>1.2711340206185567E-3</v>
      </c>
      <c r="AK32" s="51">
        <f>'LUC-2013-01-08-Run4'!BM39</f>
        <v>1.288659793814433E-3</v>
      </c>
      <c r="AL32" s="51">
        <f>'LUC-2013-01-08-Run4'!BN39</f>
        <v>1.3061855670103092E-3</v>
      </c>
      <c r="AM32" s="51">
        <f>'LUC-2013-01-08-Run4'!BO39</f>
        <v>1.3237113402061855E-3</v>
      </c>
      <c r="AN32" s="51">
        <f>'LUC-2013-01-08-Run4'!BP39</f>
        <v>1.3412371134020619E-3</v>
      </c>
      <c r="AO32" s="51">
        <f>'LUC-2013-01-08-Run4'!BQ39</f>
        <v>1.3587628865979382E-3</v>
      </c>
      <c r="AP32" s="51">
        <f>'LUC-2013-01-08-Run4'!BR39</f>
        <v>1.3762886597938145E-3</v>
      </c>
      <c r="AQ32" s="51">
        <f>'LUC-2013-01-08-Run4'!BS39</f>
        <v>1.3938144329896907E-3</v>
      </c>
      <c r="AR32" s="51">
        <f>'LUC-2013-01-08-Run4'!BT39</f>
        <v>1.411340206185567E-3</v>
      </c>
      <c r="AS32" s="51">
        <f>'LUC-2013-01-08-Run4'!BU39</f>
        <v>1.4288659793814432E-3</v>
      </c>
      <c r="AT32" s="51">
        <f>'LUC-2013-01-08-Run4'!BV39</f>
        <v>1.4463917525773195E-3</v>
      </c>
      <c r="AU32" s="51">
        <f>'LUC-2013-01-08-Run4'!BW39</f>
        <v>1.4639175257731957E-3</v>
      </c>
      <c r="AV32" s="51">
        <f>'LUC-2013-01-08-Run4'!BX39</f>
        <v>1.481443298969072E-3</v>
      </c>
      <c r="AW32" s="51">
        <f>'LUC-2013-01-08-Run4'!BY39</f>
        <v>1.4989690721649482E-3</v>
      </c>
      <c r="AX32" s="51">
        <f>'LUC-2013-01-08-Run4'!BZ39</f>
        <v>1.5164948453608247E-3</v>
      </c>
      <c r="AY32" s="51">
        <f>'LUC-2013-01-08-Run4'!CA39</f>
        <v>1.534020618556701E-3</v>
      </c>
      <c r="AZ32" s="51">
        <f>'LUC-2013-01-08-Run4'!CB39</f>
        <v>1.5515463917525772E-3</v>
      </c>
      <c r="BA32" s="51">
        <f>'LUC-2013-01-08-Run4'!CC39</f>
        <v>1.5690721649484537E-3</v>
      </c>
      <c r="BB32" s="51">
        <f>'LUC-2013-01-08-Run4'!CD39</f>
        <v>1.5865979381443299E-3</v>
      </c>
      <c r="BC32" s="51">
        <f>'LUC-2013-01-08-Run4'!CE39</f>
        <v>1.6041237113402062E-3</v>
      </c>
      <c r="BD32" s="51">
        <f>'LUC-2013-01-08-Run4'!CF39</f>
        <v>1.6216494845360824E-3</v>
      </c>
      <c r="BE32" s="51">
        <f>'LUC-2013-01-08-Run4'!CG39</f>
        <v>1.6391752577319587E-3</v>
      </c>
      <c r="BF32" s="51">
        <f>'LUC-2013-01-08-Run4'!CH39</f>
        <v>1.656701030927835E-3</v>
      </c>
      <c r="BG32" s="51">
        <f>'LUC-2013-01-08-Run4'!CI39</f>
        <v>1.6742268041237112E-3</v>
      </c>
      <c r="BH32" s="51">
        <f>'LUC-2013-01-08-Run4'!CJ39</f>
        <v>1.6917525773195875E-3</v>
      </c>
      <c r="BI32" s="51">
        <f>'LUC-2013-01-08-Run4'!CK39</f>
        <v>1.7092783505154637E-3</v>
      </c>
      <c r="BJ32" s="51">
        <f>'LUC-2013-01-08-Run4'!CL39</f>
        <v>1.72680412371134E-3</v>
      </c>
      <c r="BK32" s="51">
        <f>'LUC-2013-01-08-Run4'!CM39</f>
        <v>1.7443298969072164E-3</v>
      </c>
      <c r="BM32" s="103"/>
      <c r="BN32" s="54" t="s">
        <v>104</v>
      </c>
      <c r="BO32" s="80">
        <f t="shared" si="14"/>
        <v>0.86618671127481961</v>
      </c>
      <c r="BP32" s="80">
        <f t="shared" si="15"/>
        <v>0.9303922102831238</v>
      </c>
      <c r="BQ32" s="80">
        <f t="shared" si="16"/>
        <v>1.043298969072165</v>
      </c>
      <c r="BR32" s="80">
        <f t="shared" si="17"/>
        <v>1.2185567010309277</v>
      </c>
      <c r="BS32" s="80">
        <f t="shared" si="18"/>
        <v>1.3938144329896907</v>
      </c>
      <c r="BT32" s="80">
        <f t="shared" si="19"/>
        <v>1.5690721649484536</v>
      </c>
      <c r="BU32" s="80">
        <f t="shared" si="20"/>
        <v>1.7443298969072165</v>
      </c>
    </row>
    <row r="33" spans="1:74" x14ac:dyDescent="0.25">
      <c r="BM33" s="106" t="s">
        <v>38</v>
      </c>
      <c r="BN33" s="53" t="s">
        <v>99</v>
      </c>
      <c r="BO33" s="79">
        <f t="shared" ref="BO33:BO39" si="21">D34*1000</f>
        <v>5.0675000000000008</v>
      </c>
      <c r="BP33" s="79">
        <f t="shared" ref="BP33:BP39" si="22">M34*1000</f>
        <v>5.7650000000000015</v>
      </c>
      <c r="BQ33" s="79">
        <f t="shared" ref="BQ33:BQ39" si="23">W34*1000</f>
        <v>6.34</v>
      </c>
      <c r="BR33" s="79">
        <f t="shared" ref="BR33:BR39" si="24">AG34*1000</f>
        <v>6.6150000000000002</v>
      </c>
      <c r="BS33" s="79">
        <f t="shared" ref="BS33:BS39" si="25">AQ34*1000</f>
        <v>6.8900000000000006</v>
      </c>
      <c r="BT33" s="79">
        <f t="shared" ref="BT33:BT39" si="26">BA34*1000</f>
        <v>7.1649999999999991</v>
      </c>
      <c r="BU33" s="79">
        <f t="shared" ref="BU33:BU39" si="27">BK34*1000</f>
        <v>7.4399999999999995</v>
      </c>
    </row>
    <row r="34" spans="1:74" x14ac:dyDescent="0.25">
      <c r="A34" s="52" t="s">
        <v>38</v>
      </c>
      <c r="B34" s="50" t="s">
        <v>99</v>
      </c>
      <c r="C34" s="52" t="s">
        <v>107</v>
      </c>
      <c r="D34" s="51">
        <f>'LUC-2013-01-08-Run4'!AF41</f>
        <v>5.0675000000000008E-3</v>
      </c>
      <c r="E34" s="51">
        <f>'LUC-2013-01-08-Run4'!AG41</f>
        <v>5.1450000000000003E-3</v>
      </c>
      <c r="F34" s="51">
        <f>'LUC-2013-01-08-Run4'!AH41</f>
        <v>5.2225000000000006E-3</v>
      </c>
      <c r="G34" s="51">
        <f>'LUC-2013-01-08-Run4'!AI41</f>
        <v>5.3000000000000009E-3</v>
      </c>
      <c r="H34" s="51">
        <f>'LUC-2013-01-08-Run4'!AJ41</f>
        <v>5.3775000000000003E-3</v>
      </c>
      <c r="I34" s="51">
        <f>'LUC-2013-01-08-Run4'!AK41</f>
        <v>5.4550000000000006E-3</v>
      </c>
      <c r="J34" s="51">
        <f>'LUC-2013-01-08-Run4'!AL41</f>
        <v>5.532500000000001E-3</v>
      </c>
      <c r="K34" s="51">
        <f>'LUC-2013-01-08-Run4'!AM41</f>
        <v>5.6100000000000004E-3</v>
      </c>
      <c r="L34" s="51">
        <f>'LUC-2013-01-08-Run4'!AN41</f>
        <v>5.6874999999999998E-3</v>
      </c>
      <c r="M34" s="51">
        <f>'LUC-2013-01-08-Run4'!AO41</f>
        <v>5.765000000000001E-3</v>
      </c>
      <c r="N34" s="51">
        <f>'LUC-2013-01-08-Run4'!AP41</f>
        <v>5.8425000000000005E-3</v>
      </c>
      <c r="O34" s="51">
        <f>'LUC-2013-01-08-Run4'!AQ41</f>
        <v>5.9199999999999999E-3</v>
      </c>
      <c r="P34" s="51">
        <f>'LUC-2013-01-08-Run4'!AR41</f>
        <v>5.9975000000000011E-3</v>
      </c>
      <c r="Q34" s="51">
        <f>'LUC-2013-01-08-Run4'!AS41</f>
        <v>6.0750000000000005E-3</v>
      </c>
      <c r="R34" s="51">
        <f>'LUC-2013-01-08-Run4'!AT41</f>
        <v>6.1525E-3</v>
      </c>
      <c r="S34" s="51">
        <f>'LUC-2013-01-08-Run4'!AU41</f>
        <v>6.2300000000000003E-3</v>
      </c>
      <c r="T34" s="51">
        <f>'LUC-2013-01-08-Run4'!AV41</f>
        <v>6.2575E-3</v>
      </c>
      <c r="U34" s="51">
        <f>'LUC-2013-01-08-Run4'!AW41</f>
        <v>6.2850000000000007E-3</v>
      </c>
      <c r="V34" s="51">
        <f>'LUC-2013-01-08-Run4'!AX41</f>
        <v>6.3125000000000004E-3</v>
      </c>
      <c r="W34" s="51">
        <f>'LUC-2013-01-08-Run4'!AY41</f>
        <v>6.3400000000000001E-3</v>
      </c>
      <c r="X34" s="51">
        <f>'LUC-2013-01-08-Run4'!AZ41</f>
        <v>6.3674999999999999E-3</v>
      </c>
      <c r="Y34" s="51">
        <f>'LUC-2013-01-08-Run4'!BA41</f>
        <v>6.3950000000000005E-3</v>
      </c>
      <c r="Z34" s="51">
        <f>'LUC-2013-01-08-Run4'!BB41</f>
        <v>6.4225000000000003E-3</v>
      </c>
      <c r="AA34" s="51">
        <f>'LUC-2013-01-08-Run4'!BC41</f>
        <v>6.45E-3</v>
      </c>
      <c r="AB34" s="51">
        <f>'LUC-2013-01-08-Run4'!BD41</f>
        <v>6.4774999999999998E-3</v>
      </c>
      <c r="AC34" s="51">
        <f>'LUC-2013-01-08-Run4'!BE41</f>
        <v>6.5050000000000004E-3</v>
      </c>
      <c r="AD34" s="51">
        <f>'LUC-2013-01-08-Run4'!BF41</f>
        <v>6.5325000000000001E-3</v>
      </c>
      <c r="AE34" s="51">
        <f>'LUC-2013-01-08-Run4'!BG41</f>
        <v>6.5599999999999999E-3</v>
      </c>
      <c r="AF34" s="51">
        <f>'LUC-2013-01-08-Run4'!BH41</f>
        <v>6.5875000000000005E-3</v>
      </c>
      <c r="AG34" s="51">
        <f>'LUC-2013-01-08-Run4'!BI41</f>
        <v>6.6150000000000002E-3</v>
      </c>
      <c r="AH34" s="51">
        <f>'LUC-2013-01-08-Run4'!BJ41</f>
        <v>6.6425E-3</v>
      </c>
      <c r="AI34" s="51">
        <f>'LUC-2013-01-08-Run4'!BK41</f>
        <v>6.6699999999999997E-3</v>
      </c>
      <c r="AJ34" s="51">
        <f>'LUC-2013-01-08-Run4'!BL41</f>
        <v>6.6975000000000003E-3</v>
      </c>
      <c r="AK34" s="51">
        <f>'LUC-2013-01-08-Run4'!BM41</f>
        <v>6.7250000000000001E-3</v>
      </c>
      <c r="AL34" s="51">
        <f>'LUC-2013-01-08-Run4'!BN41</f>
        <v>6.7524999999999998E-3</v>
      </c>
      <c r="AM34" s="51">
        <f>'LUC-2013-01-08-Run4'!BO41</f>
        <v>6.7799999999999996E-3</v>
      </c>
      <c r="AN34" s="51">
        <f>'LUC-2013-01-08-Run4'!BP41</f>
        <v>6.8075000000000002E-3</v>
      </c>
      <c r="AO34" s="51">
        <f>'LUC-2013-01-08-Run4'!BQ41</f>
        <v>6.8349999999999999E-3</v>
      </c>
      <c r="AP34" s="51">
        <f>'LUC-2013-01-08-Run4'!BR41</f>
        <v>6.8624999999999997E-3</v>
      </c>
      <c r="AQ34" s="51">
        <f>'LUC-2013-01-08-Run4'!BS41</f>
        <v>6.8900000000000003E-3</v>
      </c>
      <c r="AR34" s="51">
        <f>'LUC-2013-01-08-Run4'!BT41</f>
        <v>6.9175E-3</v>
      </c>
      <c r="AS34" s="51">
        <f>'LUC-2013-01-08-Run4'!BU41</f>
        <v>6.9449999999999998E-3</v>
      </c>
      <c r="AT34" s="51">
        <f>'LUC-2013-01-08-Run4'!BV41</f>
        <v>6.9724999999999995E-3</v>
      </c>
      <c r="AU34" s="51">
        <f>'LUC-2013-01-08-Run4'!BW41</f>
        <v>7.0000000000000001E-3</v>
      </c>
      <c r="AV34" s="51">
        <f>'LUC-2013-01-08-Run4'!BX41</f>
        <v>7.0274999999999999E-3</v>
      </c>
      <c r="AW34" s="51">
        <f>'LUC-2013-01-08-Run4'!BY41</f>
        <v>7.0549999999999996E-3</v>
      </c>
      <c r="AX34" s="51">
        <f>'LUC-2013-01-08-Run4'!BZ41</f>
        <v>7.0825000000000003E-3</v>
      </c>
      <c r="AY34" s="51">
        <f>'LUC-2013-01-08-Run4'!CA41</f>
        <v>7.11E-3</v>
      </c>
      <c r="AZ34" s="51">
        <f>'LUC-2013-01-08-Run4'!CB41</f>
        <v>7.1374999999999997E-3</v>
      </c>
      <c r="BA34" s="51">
        <f>'LUC-2013-01-08-Run4'!CC41</f>
        <v>7.1649999999999995E-3</v>
      </c>
      <c r="BB34" s="51">
        <f>'LUC-2013-01-08-Run4'!CD41</f>
        <v>7.1925000000000001E-3</v>
      </c>
      <c r="BC34" s="51">
        <f>'LUC-2013-01-08-Run4'!CE41</f>
        <v>7.2199999999999999E-3</v>
      </c>
      <c r="BD34" s="51">
        <f>'LUC-2013-01-08-Run4'!CF41</f>
        <v>7.2474999999999996E-3</v>
      </c>
      <c r="BE34" s="51">
        <f>'LUC-2013-01-08-Run4'!CG41</f>
        <v>7.2750000000000002E-3</v>
      </c>
      <c r="BF34" s="51">
        <f>'LUC-2013-01-08-Run4'!CH41</f>
        <v>7.3025E-3</v>
      </c>
      <c r="BG34" s="51">
        <f>'LUC-2013-01-08-Run4'!CI41</f>
        <v>7.3299999999999997E-3</v>
      </c>
      <c r="BH34" s="51">
        <f>'LUC-2013-01-08-Run4'!CJ41</f>
        <v>7.3574999999999995E-3</v>
      </c>
      <c r="BI34" s="51">
        <f>'LUC-2013-01-08-Run4'!CK41</f>
        <v>7.3849999999999992E-3</v>
      </c>
      <c r="BJ34" s="51">
        <f>'LUC-2013-01-08-Run4'!CL41</f>
        <v>7.4124999999999998E-3</v>
      </c>
      <c r="BK34" s="51">
        <f>'LUC-2013-01-08-Run4'!CM41</f>
        <v>7.4399999999999996E-3</v>
      </c>
      <c r="BM34" s="106"/>
      <c r="BN34" s="53" t="s">
        <v>100</v>
      </c>
      <c r="BO34" s="79">
        <f t="shared" si="21"/>
        <v>2.3129545454545455</v>
      </c>
      <c r="BP34" s="79">
        <f t="shared" si="22"/>
        <v>2.5931818181818183</v>
      </c>
      <c r="BQ34" s="79">
        <f t="shared" si="23"/>
        <v>2.8572727272727274</v>
      </c>
      <c r="BR34" s="79">
        <f t="shared" si="24"/>
        <v>3.0504545454545458</v>
      </c>
      <c r="BS34" s="79">
        <f t="shared" si="25"/>
        <v>3.2436363636363641</v>
      </c>
      <c r="BT34" s="79">
        <f t="shared" si="26"/>
        <v>3.436818181818182</v>
      </c>
      <c r="BU34" s="79">
        <f t="shared" si="27"/>
        <v>3.63</v>
      </c>
    </row>
    <row r="35" spans="1:74" x14ac:dyDescent="0.25">
      <c r="A35" s="52" t="s">
        <v>38</v>
      </c>
      <c r="B35" s="50" t="s">
        <v>100</v>
      </c>
      <c r="C35" s="52" t="s">
        <v>107</v>
      </c>
      <c r="D35" s="51">
        <f>'LUC-2013-01-08-Run4'!AF42</f>
        <v>2.3129545454545456E-3</v>
      </c>
      <c r="E35" s="51">
        <f>'LUC-2013-01-08-Run4'!AG42</f>
        <v>2.3440909090909094E-3</v>
      </c>
      <c r="F35" s="51">
        <f>'LUC-2013-01-08-Run4'!AH42</f>
        <v>2.3752272727272728E-3</v>
      </c>
      <c r="G35" s="51">
        <f>'LUC-2013-01-08-Run4'!AI42</f>
        <v>2.4063636363636366E-3</v>
      </c>
      <c r="H35" s="51">
        <f>'LUC-2013-01-08-Run4'!AJ42</f>
        <v>2.4375000000000004E-3</v>
      </c>
      <c r="I35" s="51">
        <f>'LUC-2013-01-08-Run4'!AK42</f>
        <v>2.4686363636363638E-3</v>
      </c>
      <c r="J35" s="51">
        <f>'LUC-2013-01-08-Run4'!AL42</f>
        <v>2.4997727272727276E-3</v>
      </c>
      <c r="K35" s="51">
        <f>'LUC-2013-01-08-Run4'!AM42</f>
        <v>2.5309090909090915E-3</v>
      </c>
      <c r="L35" s="51">
        <f>'LUC-2013-01-08-Run4'!AN42</f>
        <v>2.5620454545454549E-3</v>
      </c>
      <c r="M35" s="51">
        <f>'LUC-2013-01-08-Run4'!AO42</f>
        <v>2.5931818181818183E-3</v>
      </c>
      <c r="N35" s="51">
        <f>'LUC-2013-01-08-Run4'!AP42</f>
        <v>2.6243181818181821E-3</v>
      </c>
      <c r="O35" s="51">
        <f>'LUC-2013-01-08-Run4'!AQ42</f>
        <v>2.6554545454545459E-3</v>
      </c>
      <c r="P35" s="51">
        <f>'LUC-2013-01-08-Run4'!AR42</f>
        <v>2.6865909090909093E-3</v>
      </c>
      <c r="Q35" s="51">
        <f>'LUC-2013-01-08-Run4'!AS42</f>
        <v>2.7177272727272731E-3</v>
      </c>
      <c r="R35" s="51">
        <f>'LUC-2013-01-08-Run4'!AT42</f>
        <v>2.748863636363637E-3</v>
      </c>
      <c r="S35" s="51">
        <f>'LUC-2013-01-08-Run4'!AU42</f>
        <v>2.7800000000000004E-3</v>
      </c>
      <c r="T35" s="51">
        <f>'LUC-2013-01-08-Run4'!AV42</f>
        <v>2.7993181818181823E-3</v>
      </c>
      <c r="U35" s="51">
        <f>'LUC-2013-01-08-Run4'!AW42</f>
        <v>2.8186363636363639E-3</v>
      </c>
      <c r="V35" s="51">
        <f>'LUC-2013-01-08-Run4'!AX42</f>
        <v>2.8379545454545459E-3</v>
      </c>
      <c r="W35" s="51">
        <f>'LUC-2013-01-08-Run4'!AY42</f>
        <v>2.8572727272727274E-3</v>
      </c>
      <c r="X35" s="51">
        <f>'LUC-2013-01-08-Run4'!AZ42</f>
        <v>2.8765909090909094E-3</v>
      </c>
      <c r="Y35" s="51">
        <f>'LUC-2013-01-08-Run4'!BA42</f>
        <v>2.8959090909090913E-3</v>
      </c>
      <c r="Z35" s="51">
        <f>'LUC-2013-01-08-Run4'!BB42</f>
        <v>2.9152272727272729E-3</v>
      </c>
      <c r="AA35" s="51">
        <f>'LUC-2013-01-08-Run4'!BC42</f>
        <v>2.9345454545454549E-3</v>
      </c>
      <c r="AB35" s="51">
        <f>'LUC-2013-01-08-Run4'!BD42</f>
        <v>2.9538636363636368E-3</v>
      </c>
      <c r="AC35" s="51">
        <f>'LUC-2013-01-08-Run4'!BE42</f>
        <v>2.9731818181818184E-3</v>
      </c>
      <c r="AD35" s="51">
        <f>'LUC-2013-01-08-Run4'!BF42</f>
        <v>2.9925000000000004E-3</v>
      </c>
      <c r="AE35" s="51">
        <f>'LUC-2013-01-08-Run4'!BG42</f>
        <v>3.0118181818181819E-3</v>
      </c>
      <c r="AF35" s="51">
        <f>'LUC-2013-01-08-Run4'!BH42</f>
        <v>3.0311363636363639E-3</v>
      </c>
      <c r="AG35" s="51">
        <f>'LUC-2013-01-08-Run4'!BI42</f>
        <v>3.0504545454545459E-3</v>
      </c>
      <c r="AH35" s="51">
        <f>'LUC-2013-01-08-Run4'!BJ42</f>
        <v>3.0697727272727274E-3</v>
      </c>
      <c r="AI35" s="51">
        <f>'LUC-2013-01-08-Run4'!BK42</f>
        <v>3.0890909090909094E-3</v>
      </c>
      <c r="AJ35" s="51">
        <f>'LUC-2013-01-08-Run4'!BL42</f>
        <v>3.1084090909090914E-3</v>
      </c>
      <c r="AK35" s="51">
        <f>'LUC-2013-01-08-Run4'!BM42</f>
        <v>3.1277272727272729E-3</v>
      </c>
      <c r="AL35" s="51">
        <f>'LUC-2013-01-08-Run4'!BN42</f>
        <v>3.1470454545454549E-3</v>
      </c>
      <c r="AM35" s="51">
        <f>'LUC-2013-01-08-Run4'!BO42</f>
        <v>3.1663636363636364E-3</v>
      </c>
      <c r="AN35" s="51">
        <f>'LUC-2013-01-08-Run4'!BP42</f>
        <v>3.1856818181818184E-3</v>
      </c>
      <c r="AO35" s="51">
        <f>'LUC-2013-01-08-Run4'!BQ42</f>
        <v>3.2050000000000004E-3</v>
      </c>
      <c r="AP35" s="51">
        <f>'LUC-2013-01-08-Run4'!BR42</f>
        <v>3.2243181818181819E-3</v>
      </c>
      <c r="AQ35" s="51">
        <f>'LUC-2013-01-08-Run4'!BS42</f>
        <v>3.2436363636363639E-3</v>
      </c>
      <c r="AR35" s="51">
        <f>'LUC-2013-01-08-Run4'!BT42</f>
        <v>3.2629545454545454E-3</v>
      </c>
      <c r="AS35" s="51">
        <f>'LUC-2013-01-08-Run4'!BU42</f>
        <v>3.2822727272727274E-3</v>
      </c>
      <c r="AT35" s="51">
        <f>'LUC-2013-01-08-Run4'!BV42</f>
        <v>3.3015909090909094E-3</v>
      </c>
      <c r="AU35" s="51">
        <f>'LUC-2013-01-08-Run4'!BW42</f>
        <v>3.3209090909090909E-3</v>
      </c>
      <c r="AV35" s="51">
        <f>'LUC-2013-01-08-Run4'!BX42</f>
        <v>3.3402272727272729E-3</v>
      </c>
      <c r="AW35" s="51">
        <f>'LUC-2013-01-08-Run4'!BY42</f>
        <v>3.3595454545454545E-3</v>
      </c>
      <c r="AX35" s="51">
        <f>'LUC-2013-01-08-Run4'!BZ42</f>
        <v>3.3788636363636364E-3</v>
      </c>
      <c r="AY35" s="51">
        <f>'LUC-2013-01-08-Run4'!CA42</f>
        <v>3.3981818181818184E-3</v>
      </c>
      <c r="AZ35" s="51">
        <f>'LUC-2013-01-08-Run4'!CB42</f>
        <v>3.4175E-3</v>
      </c>
      <c r="BA35" s="51">
        <f>'LUC-2013-01-08-Run4'!CC42</f>
        <v>3.4368181818181819E-3</v>
      </c>
      <c r="BB35" s="51">
        <f>'LUC-2013-01-08-Run4'!CD42</f>
        <v>3.4561363636363635E-3</v>
      </c>
      <c r="BC35" s="51">
        <f>'LUC-2013-01-08-Run4'!CE42</f>
        <v>3.4754545454545455E-3</v>
      </c>
      <c r="BD35" s="51">
        <f>'LUC-2013-01-08-Run4'!CF42</f>
        <v>3.4947727272727274E-3</v>
      </c>
      <c r="BE35" s="51">
        <f>'LUC-2013-01-08-Run4'!CG42</f>
        <v>3.5140909090909094E-3</v>
      </c>
      <c r="BF35" s="51">
        <f>'LUC-2013-01-08-Run4'!CH42</f>
        <v>3.533409090909091E-3</v>
      </c>
      <c r="BG35" s="51">
        <f>'LUC-2013-01-08-Run4'!CI42</f>
        <v>3.5527272727272729E-3</v>
      </c>
      <c r="BH35" s="51">
        <f>'LUC-2013-01-08-Run4'!CJ42</f>
        <v>3.5720454545454545E-3</v>
      </c>
      <c r="BI35" s="51">
        <f>'LUC-2013-01-08-Run4'!CK42</f>
        <v>3.5913636363636365E-3</v>
      </c>
      <c r="BJ35" s="51">
        <f>'LUC-2013-01-08-Run4'!CL42</f>
        <v>3.6106818181818184E-3</v>
      </c>
      <c r="BK35" s="51">
        <f>'LUC-2013-01-08-Run4'!CM42</f>
        <v>3.63E-3</v>
      </c>
      <c r="BM35" s="106"/>
      <c r="BN35" s="53" t="s">
        <v>101</v>
      </c>
      <c r="BO35" s="79">
        <f t="shared" si="21"/>
        <v>3.4209090909090913</v>
      </c>
      <c r="BP35" s="79">
        <f t="shared" si="22"/>
        <v>3.8463636363636371</v>
      </c>
      <c r="BQ35" s="79">
        <f t="shared" si="23"/>
        <v>4.2418181818181822</v>
      </c>
      <c r="BR35" s="79">
        <f t="shared" si="24"/>
        <v>4.5213636363636365</v>
      </c>
      <c r="BS35" s="79">
        <f t="shared" si="25"/>
        <v>4.8009090909090917</v>
      </c>
      <c r="BT35" s="79">
        <f t="shared" si="26"/>
        <v>5.080454545454546</v>
      </c>
      <c r="BU35" s="79">
        <f t="shared" si="27"/>
        <v>5.36</v>
      </c>
    </row>
    <row r="36" spans="1:74" x14ac:dyDescent="0.25">
      <c r="A36" s="52" t="s">
        <v>38</v>
      </c>
      <c r="B36" s="50" t="s">
        <v>101</v>
      </c>
      <c r="C36" s="52" t="s">
        <v>107</v>
      </c>
      <c r="D36" s="51">
        <f>'LUC-2013-01-08-Run4'!AF43</f>
        <v>3.4209090909090912E-3</v>
      </c>
      <c r="E36" s="51">
        <f>'LUC-2013-01-08-Run4'!AG43</f>
        <v>3.4681818181818186E-3</v>
      </c>
      <c r="F36" s="51">
        <f>'LUC-2013-01-08-Run4'!AH43</f>
        <v>3.5154545454545456E-3</v>
      </c>
      <c r="G36" s="51">
        <f>'LUC-2013-01-08-Run4'!AI43</f>
        <v>3.562727272727273E-3</v>
      </c>
      <c r="H36" s="51">
        <f>'LUC-2013-01-08-Run4'!AJ43</f>
        <v>3.6100000000000004E-3</v>
      </c>
      <c r="I36" s="51">
        <f>'LUC-2013-01-08-Run4'!AK43</f>
        <v>3.6572727272727278E-3</v>
      </c>
      <c r="J36" s="51">
        <f>'LUC-2013-01-08-Run4'!AL43</f>
        <v>3.7045454545454552E-3</v>
      </c>
      <c r="K36" s="51">
        <f>'LUC-2013-01-08-Run4'!AM43</f>
        <v>3.7518181818181826E-3</v>
      </c>
      <c r="L36" s="51">
        <f>'LUC-2013-01-08-Run4'!AN43</f>
        <v>3.7990909090909099E-3</v>
      </c>
      <c r="M36" s="51">
        <f>'LUC-2013-01-08-Run4'!AO43</f>
        <v>3.8463636363636369E-3</v>
      </c>
      <c r="N36" s="51">
        <f>'LUC-2013-01-08-Run4'!AP43</f>
        <v>3.8936363636363643E-3</v>
      </c>
      <c r="O36" s="51">
        <f>'LUC-2013-01-08-Run4'!AQ43</f>
        <v>3.9409090909090913E-3</v>
      </c>
      <c r="P36" s="51">
        <f>'LUC-2013-01-08-Run4'!AR43</f>
        <v>3.9881818181818187E-3</v>
      </c>
      <c r="Q36" s="51">
        <f>'LUC-2013-01-08-Run4'!AS43</f>
        <v>4.0354545454545461E-3</v>
      </c>
      <c r="R36" s="51">
        <f>'LUC-2013-01-08-Run4'!AT43</f>
        <v>4.0827272727272735E-3</v>
      </c>
      <c r="S36" s="51">
        <f>'LUC-2013-01-08-Run4'!AU43</f>
        <v>4.1300000000000009E-3</v>
      </c>
      <c r="T36" s="51">
        <f>'LUC-2013-01-08-Run4'!AV43</f>
        <v>4.1579545454545463E-3</v>
      </c>
      <c r="U36" s="51">
        <f>'LUC-2013-01-08-Run4'!AW43</f>
        <v>4.1859090909090917E-3</v>
      </c>
      <c r="V36" s="51">
        <f>'LUC-2013-01-08-Run4'!AX43</f>
        <v>4.2138636363636371E-3</v>
      </c>
      <c r="W36" s="51">
        <f>'LUC-2013-01-08-Run4'!AY43</f>
        <v>4.2418181818181825E-3</v>
      </c>
      <c r="X36" s="51">
        <f>'LUC-2013-01-08-Run4'!AZ43</f>
        <v>4.269772727272728E-3</v>
      </c>
      <c r="Y36" s="51">
        <f>'LUC-2013-01-08-Run4'!BA43</f>
        <v>4.2977272727272734E-3</v>
      </c>
      <c r="Z36" s="51">
        <f>'LUC-2013-01-08-Run4'!BB43</f>
        <v>4.3256818181818188E-3</v>
      </c>
      <c r="AA36" s="51">
        <f>'LUC-2013-01-08-Run4'!BC43</f>
        <v>4.3536363636363642E-3</v>
      </c>
      <c r="AB36" s="51">
        <f>'LUC-2013-01-08-Run4'!BD43</f>
        <v>4.3815909090909096E-3</v>
      </c>
      <c r="AC36" s="51">
        <f>'LUC-2013-01-08-Run4'!BE43</f>
        <v>4.4095454545454551E-3</v>
      </c>
      <c r="AD36" s="51">
        <f>'LUC-2013-01-08-Run4'!BF43</f>
        <v>4.4375000000000005E-3</v>
      </c>
      <c r="AE36" s="51">
        <f>'LUC-2013-01-08-Run4'!BG43</f>
        <v>4.4654545454545459E-3</v>
      </c>
      <c r="AF36" s="51">
        <f>'LUC-2013-01-08-Run4'!BH43</f>
        <v>4.4934090909090913E-3</v>
      </c>
      <c r="AG36" s="51">
        <f>'LUC-2013-01-08-Run4'!BI43</f>
        <v>4.5213636363636367E-3</v>
      </c>
      <c r="AH36" s="51">
        <f>'LUC-2013-01-08-Run4'!BJ43</f>
        <v>4.5493181818181821E-3</v>
      </c>
      <c r="AI36" s="51">
        <f>'LUC-2013-01-08-Run4'!BK43</f>
        <v>4.5772727272727276E-3</v>
      </c>
      <c r="AJ36" s="51">
        <f>'LUC-2013-01-08-Run4'!BL43</f>
        <v>4.605227272727273E-3</v>
      </c>
      <c r="AK36" s="51">
        <f>'LUC-2013-01-08-Run4'!BM43</f>
        <v>4.6331818181818184E-3</v>
      </c>
      <c r="AL36" s="51">
        <f>'LUC-2013-01-08-Run4'!BN43</f>
        <v>4.6611363636363638E-3</v>
      </c>
      <c r="AM36" s="51">
        <f>'LUC-2013-01-08-Run4'!BO43</f>
        <v>4.6890909090909101E-3</v>
      </c>
      <c r="AN36" s="51">
        <f>'LUC-2013-01-08-Run4'!BP43</f>
        <v>4.7170454545454547E-3</v>
      </c>
      <c r="AO36" s="51">
        <f>'LUC-2013-01-08-Run4'!BQ43</f>
        <v>4.745000000000001E-3</v>
      </c>
      <c r="AP36" s="51">
        <f>'LUC-2013-01-08-Run4'!BR43</f>
        <v>4.7729545454545455E-3</v>
      </c>
      <c r="AQ36" s="51">
        <f>'LUC-2013-01-08-Run4'!BS43</f>
        <v>4.8009090909090918E-3</v>
      </c>
      <c r="AR36" s="51">
        <f>'LUC-2013-01-08-Run4'!BT43</f>
        <v>4.8288636363636372E-3</v>
      </c>
      <c r="AS36" s="51">
        <f>'LUC-2013-01-08-Run4'!BU43</f>
        <v>4.8568181818181826E-3</v>
      </c>
      <c r="AT36" s="51">
        <f>'LUC-2013-01-08-Run4'!BV43</f>
        <v>4.8847727272727281E-3</v>
      </c>
      <c r="AU36" s="51">
        <f>'LUC-2013-01-08-Run4'!BW43</f>
        <v>4.9127272727272735E-3</v>
      </c>
      <c r="AV36" s="51">
        <f>'LUC-2013-01-08-Run4'!BX43</f>
        <v>4.9406818181818189E-3</v>
      </c>
      <c r="AW36" s="51">
        <f>'LUC-2013-01-08-Run4'!BY43</f>
        <v>4.9686363636363643E-3</v>
      </c>
      <c r="AX36" s="51">
        <f>'LUC-2013-01-08-Run4'!BZ43</f>
        <v>4.9965909090909097E-3</v>
      </c>
      <c r="AY36" s="51">
        <f>'LUC-2013-01-08-Run4'!CA43</f>
        <v>5.0245454545454551E-3</v>
      </c>
      <c r="AZ36" s="51">
        <f>'LUC-2013-01-08-Run4'!CB43</f>
        <v>5.0525000000000006E-3</v>
      </c>
      <c r="BA36" s="51">
        <f>'LUC-2013-01-08-Run4'!CC43</f>
        <v>5.080454545454546E-3</v>
      </c>
      <c r="BB36" s="51">
        <f>'LUC-2013-01-08-Run4'!CD43</f>
        <v>5.1084090909090914E-3</v>
      </c>
      <c r="BC36" s="51">
        <f>'LUC-2013-01-08-Run4'!CE43</f>
        <v>5.1363636363636368E-3</v>
      </c>
      <c r="BD36" s="51">
        <f>'LUC-2013-01-08-Run4'!CF43</f>
        <v>5.1643181818181822E-3</v>
      </c>
      <c r="BE36" s="51">
        <f>'LUC-2013-01-08-Run4'!CG43</f>
        <v>5.1922727272727277E-3</v>
      </c>
      <c r="BF36" s="51">
        <f>'LUC-2013-01-08-Run4'!CH43</f>
        <v>5.2202272727272731E-3</v>
      </c>
      <c r="BG36" s="51">
        <f>'LUC-2013-01-08-Run4'!CI43</f>
        <v>5.2481818181818185E-3</v>
      </c>
      <c r="BH36" s="51">
        <f>'LUC-2013-01-08-Run4'!CJ43</f>
        <v>5.2761363636363639E-3</v>
      </c>
      <c r="BI36" s="51">
        <f>'LUC-2013-01-08-Run4'!CK43</f>
        <v>5.3040909090909093E-3</v>
      </c>
      <c r="BJ36" s="51">
        <f>'LUC-2013-01-08-Run4'!CL43</f>
        <v>5.3320454545454548E-3</v>
      </c>
      <c r="BK36" s="51">
        <f>'LUC-2013-01-08-Run4'!CM43</f>
        <v>5.3600000000000002E-3</v>
      </c>
      <c r="BM36" s="106"/>
      <c r="BN36" s="53" t="s">
        <v>111</v>
      </c>
      <c r="BO36" s="79">
        <f t="shared" si="21"/>
        <v>1.4251346260975675</v>
      </c>
      <c r="BP36" s="79">
        <f t="shared" si="22"/>
        <v>1.5535321113085923</v>
      </c>
      <c r="BQ36" s="79">
        <f t="shared" si="23"/>
        <v>1.6874313272180377</v>
      </c>
      <c r="BR36" s="79">
        <f t="shared" si="24"/>
        <v>1.8081835583066099</v>
      </c>
      <c r="BS36" s="79">
        <f t="shared" si="25"/>
        <v>1.9289357893951826</v>
      </c>
      <c r="BT36" s="79">
        <f t="shared" si="26"/>
        <v>2.0496880204837549</v>
      </c>
      <c r="BU36" s="79">
        <f t="shared" si="27"/>
        <v>2.1704402515723271</v>
      </c>
    </row>
    <row r="37" spans="1:74" x14ac:dyDescent="0.25">
      <c r="A37" s="52" t="s">
        <v>38</v>
      </c>
      <c r="B37" s="50" t="s">
        <v>111</v>
      </c>
      <c r="C37" s="52" t="s">
        <v>107</v>
      </c>
      <c r="D37" s="51">
        <f>'LUC-2013-01-08-Run4'!AF44</f>
        <v>1.4251346260975674E-3</v>
      </c>
      <c r="E37" s="51">
        <f>'LUC-2013-01-08-Run4'!AG44</f>
        <v>1.4394010133432368E-3</v>
      </c>
      <c r="F37" s="51">
        <f>'LUC-2013-01-08-Run4'!AH44</f>
        <v>1.4536674005889063E-3</v>
      </c>
      <c r="G37" s="51">
        <f>'LUC-2013-01-08-Run4'!AI44</f>
        <v>1.4679337878345756E-3</v>
      </c>
      <c r="H37" s="51">
        <f>'LUC-2013-01-08-Run4'!AJ44</f>
        <v>1.4822001750802451E-3</v>
      </c>
      <c r="I37" s="51">
        <f>'LUC-2013-01-08-Run4'!AK44</f>
        <v>1.4964665623259145E-3</v>
      </c>
      <c r="J37" s="51">
        <f>'LUC-2013-01-08-Run4'!AL44</f>
        <v>1.510732949571584E-3</v>
      </c>
      <c r="K37" s="51">
        <f>'LUC-2013-01-08-Run4'!AM44</f>
        <v>1.5249993368172533E-3</v>
      </c>
      <c r="L37" s="51">
        <f>'LUC-2013-01-08-Run4'!AN44</f>
        <v>1.5392657240629226E-3</v>
      </c>
      <c r="M37" s="51">
        <f>'LUC-2013-01-08-Run4'!AO44</f>
        <v>1.5535321113085922E-3</v>
      </c>
      <c r="N37" s="51">
        <f>'LUC-2013-01-08-Run4'!AP44</f>
        <v>1.5677984985542617E-3</v>
      </c>
      <c r="O37" s="51">
        <f>'LUC-2013-01-08-Run4'!AQ44</f>
        <v>1.582064885799931E-3</v>
      </c>
      <c r="P37" s="51">
        <f>'LUC-2013-01-08-Run4'!AR44</f>
        <v>1.5963312730456003E-3</v>
      </c>
      <c r="Q37" s="51">
        <f>'LUC-2013-01-08-Run4'!AS44</f>
        <v>1.6105976602912699E-3</v>
      </c>
      <c r="R37" s="51">
        <f>'LUC-2013-01-08-Run4'!AT44</f>
        <v>1.6248640475369394E-3</v>
      </c>
      <c r="S37" s="51">
        <f>'LUC-2013-01-08-Run4'!AU44</f>
        <v>1.6391304347826087E-3</v>
      </c>
      <c r="T37" s="51">
        <f>'LUC-2013-01-08-Run4'!AV44</f>
        <v>1.6512056578914659E-3</v>
      </c>
      <c r="U37" s="51">
        <f>'LUC-2013-01-08-Run4'!AW44</f>
        <v>1.6632808810003231E-3</v>
      </c>
      <c r="V37" s="51">
        <f>'LUC-2013-01-08-Run4'!AX44</f>
        <v>1.6753561041091805E-3</v>
      </c>
      <c r="W37" s="51">
        <f>'LUC-2013-01-08-Run4'!AY44</f>
        <v>1.6874313272180377E-3</v>
      </c>
      <c r="X37" s="51">
        <f>'LUC-2013-01-08-Run4'!AZ44</f>
        <v>1.6995065503268949E-3</v>
      </c>
      <c r="Y37" s="51">
        <f>'LUC-2013-01-08-Run4'!BA44</f>
        <v>1.7115817734357521E-3</v>
      </c>
      <c r="Z37" s="51">
        <f>'LUC-2013-01-08-Run4'!BB44</f>
        <v>1.7236569965446095E-3</v>
      </c>
      <c r="AA37" s="51">
        <f>'LUC-2013-01-08-Run4'!BC44</f>
        <v>1.7357322196534667E-3</v>
      </c>
      <c r="AB37" s="51">
        <f>'LUC-2013-01-08-Run4'!BD44</f>
        <v>1.7478074427623239E-3</v>
      </c>
      <c r="AC37" s="51">
        <f>'LUC-2013-01-08-Run4'!BE44</f>
        <v>1.759882665871181E-3</v>
      </c>
      <c r="AD37" s="51">
        <f>'LUC-2013-01-08-Run4'!BF44</f>
        <v>1.7719578889800382E-3</v>
      </c>
      <c r="AE37" s="51">
        <f>'LUC-2013-01-08-Run4'!BG44</f>
        <v>1.7840331120888956E-3</v>
      </c>
      <c r="AF37" s="51">
        <f>'LUC-2013-01-08-Run4'!BH44</f>
        <v>1.7961083351977528E-3</v>
      </c>
      <c r="AG37" s="51">
        <f>'LUC-2013-01-08-Run4'!BI44</f>
        <v>1.80818355830661E-3</v>
      </c>
      <c r="AH37" s="51">
        <f>'LUC-2013-01-08-Run4'!BJ44</f>
        <v>1.8202587814154672E-3</v>
      </c>
      <c r="AI37" s="51">
        <f>'LUC-2013-01-08-Run4'!BK44</f>
        <v>1.8323340045243246E-3</v>
      </c>
      <c r="AJ37" s="51">
        <f>'LUC-2013-01-08-Run4'!BL44</f>
        <v>1.8444092276331818E-3</v>
      </c>
      <c r="AK37" s="51">
        <f>'LUC-2013-01-08-Run4'!BM44</f>
        <v>1.856484450742039E-3</v>
      </c>
      <c r="AL37" s="51">
        <f>'LUC-2013-01-08-Run4'!BN44</f>
        <v>1.8685596738508962E-3</v>
      </c>
      <c r="AM37" s="51">
        <f>'LUC-2013-01-08-Run4'!BO44</f>
        <v>1.8806348969597534E-3</v>
      </c>
      <c r="AN37" s="51">
        <f>'LUC-2013-01-08-Run4'!BP44</f>
        <v>1.8927101200686108E-3</v>
      </c>
      <c r="AO37" s="51">
        <f>'LUC-2013-01-08-Run4'!BQ44</f>
        <v>1.904785343177468E-3</v>
      </c>
      <c r="AP37" s="51">
        <f>'LUC-2013-01-08-Run4'!BR44</f>
        <v>1.9168605662863252E-3</v>
      </c>
      <c r="AQ37" s="51">
        <f>'LUC-2013-01-08-Run4'!BS44</f>
        <v>1.9289357893951826E-3</v>
      </c>
      <c r="AR37" s="51">
        <f>'LUC-2013-01-08-Run4'!BT44</f>
        <v>1.9410110125040398E-3</v>
      </c>
      <c r="AS37" s="51">
        <f>'LUC-2013-01-08-Run4'!BU44</f>
        <v>1.953086235612897E-3</v>
      </c>
      <c r="AT37" s="51">
        <f>'LUC-2013-01-08-Run4'!BV44</f>
        <v>1.9651614587217541E-3</v>
      </c>
      <c r="AU37" s="51">
        <f>'LUC-2013-01-08-Run4'!BW44</f>
        <v>1.9772366818306113E-3</v>
      </c>
      <c r="AV37" s="51">
        <f>'LUC-2013-01-08-Run4'!BX44</f>
        <v>1.9893119049394685E-3</v>
      </c>
      <c r="AW37" s="51">
        <f>'LUC-2013-01-08-Run4'!BY44</f>
        <v>2.0013871280483257E-3</v>
      </c>
      <c r="AX37" s="51">
        <f>'LUC-2013-01-08-Run4'!BZ44</f>
        <v>2.0134623511571829E-3</v>
      </c>
      <c r="AY37" s="51">
        <f>'LUC-2013-01-08-Run4'!CA44</f>
        <v>2.0255375742660405E-3</v>
      </c>
      <c r="AZ37" s="51">
        <f>'LUC-2013-01-08-Run4'!CB44</f>
        <v>2.0376127973748977E-3</v>
      </c>
      <c r="BA37" s="51">
        <f>'LUC-2013-01-08-Run4'!CC44</f>
        <v>2.0496880204837549E-3</v>
      </c>
      <c r="BB37" s="51">
        <f>'LUC-2013-01-08-Run4'!CD44</f>
        <v>2.0617632435926121E-3</v>
      </c>
      <c r="BC37" s="51">
        <f>'LUC-2013-01-08-Run4'!CE44</f>
        <v>2.0738384667014693E-3</v>
      </c>
      <c r="BD37" s="51">
        <f>'LUC-2013-01-08-Run4'!CF44</f>
        <v>2.0859136898103265E-3</v>
      </c>
      <c r="BE37" s="51">
        <f>'LUC-2013-01-08-Run4'!CG44</f>
        <v>2.0979889129191837E-3</v>
      </c>
      <c r="BF37" s="51">
        <f>'LUC-2013-01-08-Run4'!CH44</f>
        <v>2.1100641360280409E-3</v>
      </c>
      <c r="BG37" s="51">
        <f>'LUC-2013-01-08-Run4'!CI44</f>
        <v>2.1221393591368985E-3</v>
      </c>
      <c r="BH37" s="51">
        <f>'LUC-2013-01-08-Run4'!CJ44</f>
        <v>2.1342145822457557E-3</v>
      </c>
      <c r="BI37" s="51">
        <f>'LUC-2013-01-08-Run4'!CK44</f>
        <v>2.1462898053546129E-3</v>
      </c>
      <c r="BJ37" s="51">
        <f>'LUC-2013-01-08-Run4'!CL44</f>
        <v>2.1583650284634701E-3</v>
      </c>
      <c r="BK37" s="51">
        <f>'LUC-2013-01-08-Run4'!CM44</f>
        <v>2.1704402515723272E-3</v>
      </c>
      <c r="BM37" s="106"/>
      <c r="BN37" s="53" t="s">
        <v>102</v>
      </c>
      <c r="BO37" s="79">
        <f t="shared" si="21"/>
        <v>1.6577549140049139</v>
      </c>
      <c r="BP37" s="79">
        <f t="shared" si="22"/>
        <v>1.8618857493857495</v>
      </c>
      <c r="BQ37" s="79">
        <f t="shared" si="23"/>
        <v>2.0799754299754296</v>
      </c>
      <c r="BR37" s="79">
        <f t="shared" si="24"/>
        <v>2.2849815724815721</v>
      </c>
      <c r="BS37" s="79">
        <f t="shared" si="25"/>
        <v>2.489987714987715</v>
      </c>
      <c r="BT37" s="79">
        <f t="shared" si="26"/>
        <v>2.6949938574938574</v>
      </c>
      <c r="BU37" s="79">
        <f t="shared" si="27"/>
        <v>2.9</v>
      </c>
    </row>
    <row r="38" spans="1:74" x14ac:dyDescent="0.25">
      <c r="A38" s="52" t="s">
        <v>38</v>
      </c>
      <c r="B38" s="50" t="s">
        <v>102</v>
      </c>
      <c r="C38" s="52" t="s">
        <v>107</v>
      </c>
      <c r="D38" s="51">
        <f>'LUC-2013-01-08-Run4'!AF45</f>
        <v>1.6577549140049139E-3</v>
      </c>
      <c r="E38" s="51">
        <f>'LUC-2013-01-08-Run4'!AG45</f>
        <v>1.6804361179361179E-3</v>
      </c>
      <c r="F38" s="51">
        <f>'LUC-2013-01-08-Run4'!AH45</f>
        <v>1.7031173218673219E-3</v>
      </c>
      <c r="G38" s="51">
        <f>'LUC-2013-01-08-Run4'!AI45</f>
        <v>1.7257985257985258E-3</v>
      </c>
      <c r="H38" s="51">
        <f>'LUC-2013-01-08-Run4'!AJ45</f>
        <v>1.7484797297297296E-3</v>
      </c>
      <c r="I38" s="51">
        <f>'LUC-2013-01-08-Run4'!AK45</f>
        <v>1.7711609336609336E-3</v>
      </c>
      <c r="J38" s="51">
        <f>'LUC-2013-01-08-Run4'!AL45</f>
        <v>1.7938421375921377E-3</v>
      </c>
      <c r="K38" s="51">
        <f>'LUC-2013-01-08-Run4'!AM45</f>
        <v>1.8165233415233415E-3</v>
      </c>
      <c r="L38" s="51">
        <f>'LUC-2013-01-08-Run4'!AN45</f>
        <v>1.8392045454545453E-3</v>
      </c>
      <c r="M38" s="51">
        <f>'LUC-2013-01-08-Run4'!AO45</f>
        <v>1.8618857493857494E-3</v>
      </c>
      <c r="N38" s="51">
        <f>'LUC-2013-01-08-Run4'!AP45</f>
        <v>1.8845669533169532E-3</v>
      </c>
      <c r="O38" s="51">
        <f>'LUC-2013-01-08-Run4'!AQ45</f>
        <v>1.907248157248157E-3</v>
      </c>
      <c r="P38" s="51">
        <f>'LUC-2013-01-08-Run4'!AR45</f>
        <v>1.9299293611793611E-3</v>
      </c>
      <c r="Q38" s="51">
        <f>'LUC-2013-01-08-Run4'!AS45</f>
        <v>1.9526105651105651E-3</v>
      </c>
      <c r="R38" s="51">
        <f>'LUC-2013-01-08-Run4'!AT45</f>
        <v>1.9752917690417692E-3</v>
      </c>
      <c r="S38" s="51">
        <f>'LUC-2013-01-08-Run4'!AU45</f>
        <v>1.9979729729729728E-3</v>
      </c>
      <c r="T38" s="51">
        <f>'LUC-2013-01-08-Run4'!AV45</f>
        <v>2.0184735872235873E-3</v>
      </c>
      <c r="U38" s="51">
        <f>'LUC-2013-01-08-Run4'!AW45</f>
        <v>2.0389742014742013E-3</v>
      </c>
      <c r="V38" s="51">
        <f>'LUC-2013-01-08-Run4'!AX45</f>
        <v>2.0594748157248153E-3</v>
      </c>
      <c r="W38" s="51">
        <f>'LUC-2013-01-08-Run4'!AY45</f>
        <v>2.0799754299754298E-3</v>
      </c>
      <c r="X38" s="51">
        <f>'LUC-2013-01-08-Run4'!AZ45</f>
        <v>2.1004760442260443E-3</v>
      </c>
      <c r="Y38" s="51">
        <f>'LUC-2013-01-08-Run4'!BA45</f>
        <v>2.1209766584766583E-3</v>
      </c>
      <c r="Z38" s="51">
        <f>'LUC-2013-01-08-Run4'!BB45</f>
        <v>2.1414772727272723E-3</v>
      </c>
      <c r="AA38" s="51">
        <f>'LUC-2013-01-08-Run4'!BC45</f>
        <v>2.1619778869778868E-3</v>
      </c>
      <c r="AB38" s="51">
        <f>'LUC-2013-01-08-Run4'!BD45</f>
        <v>2.1824785012285013E-3</v>
      </c>
      <c r="AC38" s="51">
        <f>'LUC-2013-01-08-Run4'!BE45</f>
        <v>2.2029791154791153E-3</v>
      </c>
      <c r="AD38" s="51">
        <f>'LUC-2013-01-08-Run4'!BF45</f>
        <v>2.2234797297297293E-3</v>
      </c>
      <c r="AE38" s="51">
        <f>'LUC-2013-01-08-Run4'!BG45</f>
        <v>2.2439803439803438E-3</v>
      </c>
      <c r="AF38" s="51">
        <f>'LUC-2013-01-08-Run4'!BH45</f>
        <v>2.2644809582309583E-3</v>
      </c>
      <c r="AG38" s="51">
        <f>'LUC-2013-01-08-Run4'!BI45</f>
        <v>2.2849815724815723E-3</v>
      </c>
      <c r="AH38" s="51">
        <f>'LUC-2013-01-08-Run4'!BJ45</f>
        <v>2.3054821867321863E-3</v>
      </c>
      <c r="AI38" s="51">
        <f>'LUC-2013-01-08-Run4'!BK45</f>
        <v>2.3259828009828008E-3</v>
      </c>
      <c r="AJ38" s="51">
        <f>'LUC-2013-01-08-Run4'!BL45</f>
        <v>2.3464834152334153E-3</v>
      </c>
      <c r="AK38" s="51">
        <f>'LUC-2013-01-08-Run4'!BM45</f>
        <v>2.3669840294840293E-3</v>
      </c>
      <c r="AL38" s="51">
        <f>'LUC-2013-01-08-Run4'!BN45</f>
        <v>2.3874846437346433E-3</v>
      </c>
      <c r="AM38" s="51">
        <f>'LUC-2013-01-08-Run4'!BO45</f>
        <v>2.4079852579852578E-3</v>
      </c>
      <c r="AN38" s="51">
        <f>'LUC-2013-01-08-Run4'!BP45</f>
        <v>2.4284858722358723E-3</v>
      </c>
      <c r="AO38" s="51">
        <f>'LUC-2013-01-08-Run4'!BQ45</f>
        <v>2.4489864864864863E-3</v>
      </c>
      <c r="AP38" s="51">
        <f>'LUC-2013-01-08-Run4'!BR45</f>
        <v>2.4694871007371003E-3</v>
      </c>
      <c r="AQ38" s="51">
        <f>'LUC-2013-01-08-Run4'!BS45</f>
        <v>2.4899877149877148E-3</v>
      </c>
      <c r="AR38" s="51">
        <f>'LUC-2013-01-08-Run4'!BT45</f>
        <v>2.5104883292383293E-3</v>
      </c>
      <c r="AS38" s="51">
        <f>'LUC-2013-01-08-Run4'!BU45</f>
        <v>2.5309889434889433E-3</v>
      </c>
      <c r="AT38" s="51">
        <f>'LUC-2013-01-08-Run4'!BV45</f>
        <v>2.5514895577395573E-3</v>
      </c>
      <c r="AU38" s="51">
        <f>'LUC-2013-01-08-Run4'!BW45</f>
        <v>2.5719901719901718E-3</v>
      </c>
      <c r="AV38" s="51">
        <f>'LUC-2013-01-08-Run4'!BX45</f>
        <v>2.5924907862407863E-3</v>
      </c>
      <c r="AW38" s="51">
        <f>'LUC-2013-01-08-Run4'!BY45</f>
        <v>2.6129914004914003E-3</v>
      </c>
      <c r="AX38" s="51">
        <f>'LUC-2013-01-08-Run4'!BZ45</f>
        <v>2.6334920147420143E-3</v>
      </c>
      <c r="AY38" s="51">
        <f>'LUC-2013-01-08-Run4'!CA45</f>
        <v>2.6539926289926288E-3</v>
      </c>
      <c r="AZ38" s="51">
        <f>'LUC-2013-01-08-Run4'!CB45</f>
        <v>2.6744932432432433E-3</v>
      </c>
      <c r="BA38" s="51">
        <f>'LUC-2013-01-08-Run4'!CC45</f>
        <v>2.6949938574938573E-3</v>
      </c>
      <c r="BB38" s="51">
        <f>'LUC-2013-01-08-Run4'!CD45</f>
        <v>2.7154944717444713E-3</v>
      </c>
      <c r="BC38" s="51">
        <f>'LUC-2013-01-08-Run4'!CE45</f>
        <v>2.7359950859950858E-3</v>
      </c>
      <c r="BD38" s="51">
        <f>'LUC-2013-01-08-Run4'!CF45</f>
        <v>2.7564957002457003E-3</v>
      </c>
      <c r="BE38" s="51">
        <f>'LUC-2013-01-08-Run4'!CG45</f>
        <v>2.7769963144963143E-3</v>
      </c>
      <c r="BF38" s="51">
        <f>'LUC-2013-01-08-Run4'!CH45</f>
        <v>2.7974969287469283E-3</v>
      </c>
      <c r="BG38" s="51">
        <f>'LUC-2013-01-08-Run4'!CI45</f>
        <v>2.8179975429975428E-3</v>
      </c>
      <c r="BH38" s="51">
        <f>'LUC-2013-01-08-Run4'!CJ45</f>
        <v>2.8384981572481573E-3</v>
      </c>
      <c r="BI38" s="51">
        <f>'LUC-2013-01-08-Run4'!CK45</f>
        <v>2.8589987714987713E-3</v>
      </c>
      <c r="BJ38" s="51">
        <f>'LUC-2013-01-08-Run4'!CL45</f>
        <v>2.8794993857493853E-3</v>
      </c>
      <c r="BK38" s="51">
        <f>'LUC-2013-01-08-Run4'!CM45</f>
        <v>2.8999999999999998E-3</v>
      </c>
      <c r="BM38" s="106"/>
      <c r="BN38" s="53" t="s">
        <v>103</v>
      </c>
      <c r="BO38" s="63">
        <f t="shared" si="21"/>
        <v>61.52272727272728</v>
      </c>
      <c r="BP38" s="63">
        <f t="shared" si="22"/>
        <v>65.409090909090921</v>
      </c>
      <c r="BQ38" s="63">
        <f t="shared" si="23"/>
        <v>71.27272727272728</v>
      </c>
      <c r="BR38" s="63">
        <f t="shared" si="24"/>
        <v>79.454545454545453</v>
      </c>
      <c r="BS38" s="63">
        <f t="shared" si="25"/>
        <v>87.63636363636364</v>
      </c>
      <c r="BT38" s="63">
        <f t="shared" si="26"/>
        <v>95.818181818181813</v>
      </c>
      <c r="BU38" s="63">
        <f t="shared" si="27"/>
        <v>104</v>
      </c>
    </row>
    <row r="39" spans="1:74" x14ac:dyDescent="0.25">
      <c r="A39" s="52" t="s">
        <v>38</v>
      </c>
      <c r="B39" s="50" t="s">
        <v>103</v>
      </c>
      <c r="C39" s="52" t="s">
        <v>107</v>
      </c>
      <c r="D39" s="51">
        <f>'LUC-2013-01-08-Run4'!AF46</f>
        <v>6.1522727272727278E-2</v>
      </c>
      <c r="E39" s="51">
        <f>'LUC-2013-01-08-Run4'!AG46</f>
        <v>6.1954545454545457E-2</v>
      </c>
      <c r="F39" s="51">
        <f>'LUC-2013-01-08-Run4'!AH46</f>
        <v>6.2386363636363643E-2</v>
      </c>
      <c r="G39" s="51">
        <f>'LUC-2013-01-08-Run4'!AI46</f>
        <v>6.2818181818181829E-2</v>
      </c>
      <c r="H39" s="51">
        <f>'LUC-2013-01-08-Run4'!AJ46</f>
        <v>6.3250000000000001E-2</v>
      </c>
      <c r="I39" s="51">
        <f>'LUC-2013-01-08-Run4'!AK46</f>
        <v>6.3681818181818187E-2</v>
      </c>
      <c r="J39" s="51">
        <f>'LUC-2013-01-08-Run4'!AL46</f>
        <v>6.4113636363636373E-2</v>
      </c>
      <c r="K39" s="51">
        <f>'LUC-2013-01-08-Run4'!AM46</f>
        <v>6.4545454545454545E-2</v>
      </c>
      <c r="L39" s="51">
        <f>'LUC-2013-01-08-Run4'!AN46</f>
        <v>6.4977272727272731E-2</v>
      </c>
      <c r="M39" s="51">
        <f>'LUC-2013-01-08-Run4'!AO46</f>
        <v>6.5409090909090917E-2</v>
      </c>
      <c r="N39" s="51">
        <f>'LUC-2013-01-08-Run4'!AP46</f>
        <v>6.5840909090909089E-2</v>
      </c>
      <c r="O39" s="51">
        <f>'LUC-2013-01-08-Run4'!AQ46</f>
        <v>6.6272727272727275E-2</v>
      </c>
      <c r="P39" s="51">
        <f>'LUC-2013-01-08-Run4'!AR46</f>
        <v>6.6704545454545461E-2</v>
      </c>
      <c r="Q39" s="51">
        <f>'LUC-2013-01-08-Run4'!AS46</f>
        <v>6.7136363636363633E-2</v>
      </c>
      <c r="R39" s="51">
        <f>'LUC-2013-01-08-Run4'!AT46</f>
        <v>6.7568181818181819E-2</v>
      </c>
      <c r="S39" s="51">
        <f>'LUC-2013-01-08-Run4'!AU46</f>
        <v>6.8000000000000005E-2</v>
      </c>
      <c r="T39" s="51">
        <f>'LUC-2013-01-08-Run4'!AV46</f>
        <v>6.881818181818182E-2</v>
      </c>
      <c r="U39" s="51">
        <f>'LUC-2013-01-08-Run4'!AW46</f>
        <v>6.9636363636363635E-2</v>
      </c>
      <c r="V39" s="51">
        <f>'LUC-2013-01-08-Run4'!AX46</f>
        <v>7.0454545454545464E-2</v>
      </c>
      <c r="W39" s="51">
        <f>'LUC-2013-01-08-Run4'!AY46</f>
        <v>7.1272727272727279E-2</v>
      </c>
      <c r="X39" s="51">
        <f>'LUC-2013-01-08-Run4'!AZ46</f>
        <v>7.2090909090909094E-2</v>
      </c>
      <c r="Y39" s="51">
        <f>'LUC-2013-01-08-Run4'!BA46</f>
        <v>7.290909090909091E-2</v>
      </c>
      <c r="Z39" s="51">
        <f>'LUC-2013-01-08-Run4'!BB46</f>
        <v>7.3727272727272725E-2</v>
      </c>
      <c r="AA39" s="51">
        <f>'LUC-2013-01-08-Run4'!BC46</f>
        <v>7.4545454545454554E-2</v>
      </c>
      <c r="AB39" s="51">
        <f>'LUC-2013-01-08-Run4'!BD46</f>
        <v>7.5363636363636369E-2</v>
      </c>
      <c r="AC39" s="51">
        <f>'LUC-2013-01-08-Run4'!BE46</f>
        <v>7.6181818181818184E-2</v>
      </c>
      <c r="AD39" s="51">
        <f>'LUC-2013-01-08-Run4'!BF46</f>
        <v>7.6999999999999999E-2</v>
      </c>
      <c r="AE39" s="51">
        <f>'LUC-2013-01-08-Run4'!BG46</f>
        <v>7.7818181818181814E-2</v>
      </c>
      <c r="AF39" s="51">
        <f>'LUC-2013-01-08-Run4'!BH46</f>
        <v>7.8636363636363643E-2</v>
      </c>
      <c r="AG39" s="51">
        <f>'LUC-2013-01-08-Run4'!BI46</f>
        <v>7.9454545454545458E-2</v>
      </c>
      <c r="AH39" s="51">
        <f>'LUC-2013-01-08-Run4'!BJ46</f>
        <v>8.0272727272727273E-2</v>
      </c>
      <c r="AI39" s="51">
        <f>'LUC-2013-01-08-Run4'!BK46</f>
        <v>8.1090909090909088E-2</v>
      </c>
      <c r="AJ39" s="51">
        <f>'LUC-2013-01-08-Run4'!BL46</f>
        <v>8.1909090909090904E-2</v>
      </c>
      <c r="AK39" s="51">
        <f>'LUC-2013-01-08-Run4'!BM46</f>
        <v>8.2727272727272733E-2</v>
      </c>
      <c r="AL39" s="51">
        <f>'LUC-2013-01-08-Run4'!BN46</f>
        <v>8.3545454545454548E-2</v>
      </c>
      <c r="AM39" s="51">
        <f>'LUC-2013-01-08-Run4'!BO46</f>
        <v>8.4363636363636363E-2</v>
      </c>
      <c r="AN39" s="51">
        <f>'LUC-2013-01-08-Run4'!BP46</f>
        <v>8.5181818181818178E-2</v>
      </c>
      <c r="AO39" s="51">
        <f>'LUC-2013-01-08-Run4'!BQ46</f>
        <v>8.5999999999999993E-2</v>
      </c>
      <c r="AP39" s="51">
        <f>'LUC-2013-01-08-Run4'!BR46</f>
        <v>8.6818181818181822E-2</v>
      </c>
      <c r="AQ39" s="51">
        <f>'LUC-2013-01-08-Run4'!BS46</f>
        <v>8.7636363636363637E-2</v>
      </c>
      <c r="AR39" s="51">
        <f>'LUC-2013-01-08-Run4'!BT46</f>
        <v>8.8454545454545452E-2</v>
      </c>
      <c r="AS39" s="51">
        <f>'LUC-2013-01-08-Run4'!BU46</f>
        <v>8.9272727272727267E-2</v>
      </c>
      <c r="AT39" s="51">
        <f>'LUC-2013-01-08-Run4'!BV46</f>
        <v>9.0090909090909083E-2</v>
      </c>
      <c r="AU39" s="51">
        <f>'LUC-2013-01-08-Run4'!BW46</f>
        <v>9.0909090909090912E-2</v>
      </c>
      <c r="AV39" s="51">
        <f>'LUC-2013-01-08-Run4'!BX46</f>
        <v>9.1727272727272727E-2</v>
      </c>
      <c r="AW39" s="51">
        <f>'LUC-2013-01-08-Run4'!BY46</f>
        <v>9.2545454545454542E-2</v>
      </c>
      <c r="AX39" s="51">
        <f>'LUC-2013-01-08-Run4'!BZ46</f>
        <v>9.3363636363636357E-2</v>
      </c>
      <c r="AY39" s="51">
        <f>'LUC-2013-01-08-Run4'!CA46</f>
        <v>9.4181818181818172E-2</v>
      </c>
      <c r="AZ39" s="51">
        <f>'LUC-2013-01-08-Run4'!CB46</f>
        <v>9.5000000000000001E-2</v>
      </c>
      <c r="BA39" s="51">
        <f>'LUC-2013-01-08-Run4'!CC46</f>
        <v>9.5818181818181816E-2</v>
      </c>
      <c r="BB39" s="51">
        <f>'LUC-2013-01-08-Run4'!CD46</f>
        <v>9.6636363636363631E-2</v>
      </c>
      <c r="BC39" s="51">
        <f>'LUC-2013-01-08-Run4'!CE46</f>
        <v>9.7454545454545446E-2</v>
      </c>
      <c r="BD39" s="51">
        <f>'LUC-2013-01-08-Run4'!CF46</f>
        <v>9.8272727272727262E-2</v>
      </c>
      <c r="BE39" s="51">
        <f>'LUC-2013-01-08-Run4'!CG46</f>
        <v>9.9090909090909091E-2</v>
      </c>
      <c r="BF39" s="51">
        <f>'LUC-2013-01-08-Run4'!CH46</f>
        <v>9.9909090909090906E-2</v>
      </c>
      <c r="BG39" s="51">
        <f>'LUC-2013-01-08-Run4'!CI46</f>
        <v>0.10072727272727272</v>
      </c>
      <c r="BH39" s="51">
        <f>'LUC-2013-01-08-Run4'!CJ46</f>
        <v>0.10154545454545455</v>
      </c>
      <c r="BI39" s="51">
        <f>'LUC-2013-01-08-Run4'!CK46</f>
        <v>0.10236363636363635</v>
      </c>
      <c r="BJ39" s="51">
        <f>'LUC-2013-01-08-Run4'!CL46</f>
        <v>0.10318181818181818</v>
      </c>
      <c r="BK39" s="51">
        <f>'LUC-2013-01-08-Run4'!CM46</f>
        <v>0.104</v>
      </c>
      <c r="BM39" s="107"/>
      <c r="BN39" s="54" t="s">
        <v>104</v>
      </c>
      <c r="BO39" s="80">
        <f t="shared" si="21"/>
        <v>0.86618671127481961</v>
      </c>
      <c r="BP39" s="80">
        <f t="shared" si="22"/>
        <v>0.9303922102831238</v>
      </c>
      <c r="BQ39" s="80">
        <f t="shared" si="23"/>
        <v>1.043298969072165</v>
      </c>
      <c r="BR39" s="80">
        <f t="shared" si="24"/>
        <v>1.2185567010309277</v>
      </c>
      <c r="BS39" s="80">
        <f t="shared" si="25"/>
        <v>1.3938144329896907</v>
      </c>
      <c r="BT39" s="80">
        <f t="shared" si="26"/>
        <v>1.5690721649484536</v>
      </c>
      <c r="BU39" s="80">
        <f t="shared" si="27"/>
        <v>1.7443298969072165</v>
      </c>
    </row>
    <row r="40" spans="1:74" x14ac:dyDescent="0.25">
      <c r="A40" s="52" t="s">
        <v>38</v>
      </c>
      <c r="B40" s="50" t="s">
        <v>104</v>
      </c>
      <c r="C40" s="52" t="s">
        <v>107</v>
      </c>
      <c r="D40" s="51">
        <f>'LUC-2013-01-08-Run4'!AF50</f>
        <v>8.6618671127481966E-4</v>
      </c>
      <c r="E40" s="51">
        <f>'LUC-2013-01-08-Run4'!AG50</f>
        <v>8.7332065560907562E-4</v>
      </c>
      <c r="F40" s="51">
        <f>'LUC-2013-01-08-Run4'!AH50</f>
        <v>8.8045459994333169E-4</v>
      </c>
      <c r="G40" s="51">
        <f>'LUC-2013-01-08-Run4'!AI50</f>
        <v>8.8758854427758765E-4</v>
      </c>
      <c r="H40" s="51">
        <f>'LUC-2013-01-08-Run4'!AJ50</f>
        <v>8.9472248861184372E-4</v>
      </c>
      <c r="I40" s="51">
        <f>'LUC-2013-01-08-Run4'!AK50</f>
        <v>9.0185643294609969E-4</v>
      </c>
      <c r="J40" s="51">
        <f>'LUC-2013-01-08-Run4'!AL50</f>
        <v>9.0899037728035576E-4</v>
      </c>
      <c r="K40" s="51">
        <f>'LUC-2013-01-08-Run4'!AM50</f>
        <v>9.1612432161461172E-4</v>
      </c>
      <c r="L40" s="51">
        <f>'LUC-2013-01-08-Run4'!AN50</f>
        <v>9.2325826594886768E-4</v>
      </c>
      <c r="M40" s="51">
        <f>'LUC-2013-01-08-Run4'!AO50</f>
        <v>9.3039221028312375E-4</v>
      </c>
      <c r="N40" s="51">
        <f>'LUC-2013-01-08-Run4'!AP50</f>
        <v>9.3752615461737982E-4</v>
      </c>
      <c r="O40" s="51">
        <f>'LUC-2013-01-08-Run4'!AQ50</f>
        <v>9.4466009895163578E-4</v>
      </c>
      <c r="P40" s="51">
        <f>'LUC-2013-01-08-Run4'!AR50</f>
        <v>9.5179404328589175E-4</v>
      </c>
      <c r="Q40" s="51">
        <f>'LUC-2013-01-08-Run4'!AS50</f>
        <v>9.5892798762014782E-4</v>
      </c>
      <c r="R40" s="51">
        <f>'LUC-2013-01-08-Run4'!AT50</f>
        <v>9.6606193195440389E-4</v>
      </c>
      <c r="S40" s="51">
        <f>'LUC-2013-01-08-Run4'!AU50</f>
        <v>9.7319587628865985E-4</v>
      </c>
      <c r="T40" s="51">
        <f>'LUC-2013-01-08-Run4'!AV50</f>
        <v>9.9072164948453621E-4</v>
      </c>
      <c r="U40" s="51">
        <f>'LUC-2013-01-08-Run4'!AW50</f>
        <v>1.0082474226804125E-3</v>
      </c>
      <c r="V40" s="51">
        <f>'LUC-2013-01-08-Run4'!AX50</f>
        <v>1.0257731958762887E-3</v>
      </c>
      <c r="W40" s="51">
        <f>'LUC-2013-01-08-Run4'!AY50</f>
        <v>1.043298969072165E-3</v>
      </c>
      <c r="X40" s="51">
        <f>'LUC-2013-01-08-Run4'!AZ50</f>
        <v>1.0608247422680412E-3</v>
      </c>
      <c r="Y40" s="51">
        <f>'LUC-2013-01-08-Run4'!BA50</f>
        <v>1.0783505154639175E-3</v>
      </c>
      <c r="Z40" s="51">
        <f>'LUC-2013-01-08-Run4'!BB50</f>
        <v>1.095876288659794E-3</v>
      </c>
      <c r="AA40" s="51">
        <f>'LUC-2013-01-08-Run4'!BC50</f>
        <v>1.1134020618556702E-3</v>
      </c>
      <c r="AB40" s="51">
        <f>'LUC-2013-01-08-Run4'!BD50</f>
        <v>1.1309278350515465E-3</v>
      </c>
      <c r="AC40" s="51">
        <f>'LUC-2013-01-08-Run4'!BE50</f>
        <v>1.1484536082474227E-3</v>
      </c>
      <c r="AD40" s="51">
        <f>'LUC-2013-01-08-Run4'!BF50</f>
        <v>1.165979381443299E-3</v>
      </c>
      <c r="AE40" s="51">
        <f>'LUC-2013-01-08-Run4'!BG50</f>
        <v>1.1835051546391752E-3</v>
      </c>
      <c r="AF40" s="51">
        <f>'LUC-2013-01-08-Run4'!BH50</f>
        <v>1.2010309278350515E-3</v>
      </c>
      <c r="AG40" s="51">
        <f>'LUC-2013-01-08-Run4'!BI50</f>
        <v>1.2185567010309277E-3</v>
      </c>
      <c r="AH40" s="51">
        <f>'LUC-2013-01-08-Run4'!BJ50</f>
        <v>1.236082474226804E-3</v>
      </c>
      <c r="AI40" s="51">
        <f>'LUC-2013-01-08-Run4'!BK50</f>
        <v>1.2536082474226805E-3</v>
      </c>
      <c r="AJ40" s="51">
        <f>'LUC-2013-01-08-Run4'!BL50</f>
        <v>1.2711340206185567E-3</v>
      </c>
      <c r="AK40" s="51">
        <f>'LUC-2013-01-08-Run4'!BM50</f>
        <v>1.288659793814433E-3</v>
      </c>
      <c r="AL40" s="51">
        <f>'LUC-2013-01-08-Run4'!BN50</f>
        <v>1.3061855670103092E-3</v>
      </c>
      <c r="AM40" s="51">
        <f>'LUC-2013-01-08-Run4'!BO50</f>
        <v>1.3237113402061855E-3</v>
      </c>
      <c r="AN40" s="51">
        <f>'LUC-2013-01-08-Run4'!BP50</f>
        <v>1.3412371134020619E-3</v>
      </c>
      <c r="AO40" s="51">
        <f>'LUC-2013-01-08-Run4'!BQ50</f>
        <v>1.3587628865979382E-3</v>
      </c>
      <c r="AP40" s="51">
        <f>'LUC-2013-01-08-Run4'!BR50</f>
        <v>1.3762886597938145E-3</v>
      </c>
      <c r="AQ40" s="51">
        <f>'LUC-2013-01-08-Run4'!BS50</f>
        <v>1.3938144329896907E-3</v>
      </c>
      <c r="AR40" s="51">
        <f>'LUC-2013-01-08-Run4'!BT50</f>
        <v>1.411340206185567E-3</v>
      </c>
      <c r="AS40" s="51">
        <f>'LUC-2013-01-08-Run4'!BU50</f>
        <v>1.4288659793814432E-3</v>
      </c>
      <c r="AT40" s="51">
        <f>'LUC-2013-01-08-Run4'!BV50</f>
        <v>1.4463917525773195E-3</v>
      </c>
      <c r="AU40" s="51">
        <f>'LUC-2013-01-08-Run4'!BW50</f>
        <v>1.4639175257731957E-3</v>
      </c>
      <c r="AV40" s="51">
        <f>'LUC-2013-01-08-Run4'!BX50</f>
        <v>1.481443298969072E-3</v>
      </c>
      <c r="AW40" s="51">
        <f>'LUC-2013-01-08-Run4'!BY50</f>
        <v>1.4989690721649482E-3</v>
      </c>
      <c r="AX40" s="51">
        <f>'LUC-2013-01-08-Run4'!BZ50</f>
        <v>1.5164948453608247E-3</v>
      </c>
      <c r="AY40" s="51">
        <f>'LUC-2013-01-08-Run4'!CA50</f>
        <v>1.534020618556701E-3</v>
      </c>
      <c r="AZ40" s="51">
        <f>'LUC-2013-01-08-Run4'!CB50</f>
        <v>1.5515463917525772E-3</v>
      </c>
      <c r="BA40" s="51">
        <f>'LUC-2013-01-08-Run4'!CC50</f>
        <v>1.5690721649484537E-3</v>
      </c>
      <c r="BB40" s="51">
        <f>'LUC-2013-01-08-Run4'!CD50</f>
        <v>1.5865979381443299E-3</v>
      </c>
      <c r="BC40" s="51">
        <f>'LUC-2013-01-08-Run4'!CE50</f>
        <v>1.6041237113402062E-3</v>
      </c>
      <c r="BD40" s="51">
        <f>'LUC-2013-01-08-Run4'!CF50</f>
        <v>1.6216494845360824E-3</v>
      </c>
      <c r="BE40" s="51">
        <f>'LUC-2013-01-08-Run4'!CG50</f>
        <v>1.6391752577319587E-3</v>
      </c>
      <c r="BF40" s="51">
        <f>'LUC-2013-01-08-Run4'!CH50</f>
        <v>1.656701030927835E-3</v>
      </c>
      <c r="BG40" s="51">
        <f>'LUC-2013-01-08-Run4'!CI50</f>
        <v>1.6742268041237112E-3</v>
      </c>
      <c r="BH40" s="51">
        <f>'LUC-2013-01-08-Run4'!CJ50</f>
        <v>1.6917525773195875E-3</v>
      </c>
      <c r="BI40" s="51">
        <f>'LUC-2013-01-08-Run4'!CK50</f>
        <v>1.7092783505154637E-3</v>
      </c>
      <c r="BJ40" s="51">
        <f>'LUC-2013-01-08-Run4'!CL50</f>
        <v>1.72680412371134E-3</v>
      </c>
      <c r="BK40" s="51">
        <f>'LUC-2013-01-08-Run4'!CM50</f>
        <v>1.7443298969072164E-3</v>
      </c>
      <c r="BN40" s="52" t="s">
        <v>113</v>
      </c>
      <c r="BO40" s="47"/>
      <c r="BP40" s="47"/>
      <c r="BQ40" s="47"/>
      <c r="BR40" s="47"/>
      <c r="BS40" s="47"/>
      <c r="BT40" s="47"/>
      <c r="BU40" s="47"/>
    </row>
    <row r="41" spans="1:74" x14ac:dyDescent="0.25">
      <c r="BM41" s="57" t="s">
        <v>93</v>
      </c>
      <c r="BN41" s="57" t="s">
        <v>94</v>
      </c>
      <c r="BO41" s="57">
        <v>1991</v>
      </c>
      <c r="BP41" s="57">
        <v>2000</v>
      </c>
      <c r="BQ41" s="57">
        <v>2010</v>
      </c>
      <c r="BR41" s="57">
        <v>2020</v>
      </c>
      <c r="BS41" s="57">
        <v>2030</v>
      </c>
      <c r="BT41" s="57">
        <v>2040</v>
      </c>
      <c r="BU41" s="57">
        <v>2050</v>
      </c>
    </row>
    <row r="42" spans="1:74" x14ac:dyDescent="0.25">
      <c r="A42" s="50" t="s">
        <v>38</v>
      </c>
      <c r="B42" s="50" t="s">
        <v>105</v>
      </c>
      <c r="C42" s="50" t="s">
        <v>108</v>
      </c>
      <c r="D42" s="50">
        <f>SUM('25% by 2050 Ag'!AF15:AF16)</f>
        <v>264298.13384870189</v>
      </c>
      <c r="E42" s="50">
        <f>SUM('25% by 2050 Ag'!AG15:AG16)</f>
        <v>520633.93324715138</v>
      </c>
      <c r="F42" s="50">
        <f>SUM('25% by 2050 Ag'!AH15:AH16)</f>
        <v>769361.87263473251</v>
      </c>
      <c r="G42" s="50">
        <f>SUM('25% by 2050 Ag'!AI15:AI16)</f>
        <v>1010815.693040224</v>
      </c>
      <c r="H42" s="50">
        <f>SUM('25% by 2050 Ag'!AJ15:AJ16)</f>
        <v>1245309.8961211501</v>
      </c>
      <c r="I42" s="50">
        <f>SUM('25% by 2050 Ag'!AK15:AK16)</f>
        <v>1473141.1108468894</v>
      </c>
      <c r="J42" s="50">
        <f>SUM('25% by 2050 Ag'!AL15:AL16)</f>
        <v>1694589.3453137057</v>
      </c>
      <c r="K42" s="50">
        <f>SUM('25% by 2050 Ag'!AM15:AM16)</f>
        <v>1909919.13479971</v>
      </c>
      <c r="L42" s="50">
        <f>SUM('25% by 2050 Ag'!AN15:AN16)</f>
        <v>2119380.5959568662</v>
      </c>
      <c r="M42" s="50">
        <f>SUM('25% by 2050 Ag'!AO15:AO16)</f>
        <v>2323210.3959727613</v>
      </c>
      <c r="N42" s="50">
        <f>SUM('25% by 2050 Ag'!AP15:AP16)</f>
        <v>2501128.3875601627</v>
      </c>
      <c r="O42" s="50">
        <f>SUM('25% by 2050 Ag'!AQ15:AQ16)</f>
        <v>2992716.5447963728</v>
      </c>
      <c r="P42" s="50">
        <f>SUM('25% by 2050 Ag'!AR15:AR16)</f>
        <v>3870875.3137433636</v>
      </c>
      <c r="Q42" s="50">
        <f>SUM('25% by 2050 Ag'!AS15:AS16)</f>
        <v>4626359.6083531128</v>
      </c>
      <c r="R42" s="50">
        <f>SUM('25% by 2050 Ag'!AT15:AT16)</f>
        <v>5253285.8776954524</v>
      </c>
      <c r="S42" s="50">
        <f>SUM('25% by 2050 Ag'!AU15:AU16)</f>
        <v>6490042.973514053</v>
      </c>
      <c r="T42" s="50">
        <f>SUM('25% by 2050 Ag'!AV15:AV16)</f>
        <v>8626704.6787839495</v>
      </c>
      <c r="U42" s="50">
        <f>SUM('25% by 2050 Ag'!AW15:AW16)</f>
        <v>12227198.579180621</v>
      </c>
      <c r="V42" s="50">
        <f>SUM('25% by 2050 Ag'!AX15:AX16)</f>
        <v>13126471.001578134</v>
      </c>
      <c r="W42" s="50">
        <f>SUM('25% by 2050 Ag'!AY15:AY16)</f>
        <v>14105284.902994657</v>
      </c>
      <c r="X42" s="50">
        <f>SUM('25% by 2050 Ag'!AZ15:AZ16)</f>
        <v>15075644.188851245</v>
      </c>
      <c r="Y42" s="50">
        <f>SUM('25% by 2050 Ag'!BA15:BA16)</f>
        <v>16037657.929637915</v>
      </c>
      <c r="Z42" s="50">
        <f>SUM('25% by 2050 Ag'!BB15:BB16)</f>
        <v>16991433.327763122</v>
      </c>
      <c r="AA42" s="50">
        <f>SUM('25% by 2050 Ag'!BC15:BC16)</f>
        <v>17937075.757377177</v>
      </c>
      <c r="AB42" s="50">
        <f>SUM('25% by 2050 Ag'!BD15:BD16)</f>
        <v>18874688.803181317</v>
      </c>
      <c r="AC42" s="50">
        <f>SUM('25% by 2050 Ag'!BE15:BE16)</f>
        <v>19804374.298252288</v>
      </c>
      <c r="AD42" s="50">
        <f>SUM('25% by 2050 Ag'!BF15:BF16)</f>
        <v>20726232.360911638</v>
      </c>
      <c r="AE42" s="50">
        <f>SUM('25% by 2050 Ag'!BG15:BG16)</f>
        <v>21640361.430667602</v>
      </c>
      <c r="AF42" s="50">
        <f>SUM('25% by 2050 Ag'!BH15:BH16)</f>
        <v>22546858.967190493</v>
      </c>
      <c r="AG42" s="50">
        <f>SUM('25% by 2050 Ag'!BI15:BI16)</f>
        <v>24342282.691129331</v>
      </c>
      <c r="AH42" s="50">
        <f>SUM('25% by 2050 Ag'!BJ15:BJ16)</f>
        <v>26101073.490691878</v>
      </c>
      <c r="AI42" s="50">
        <f>SUM('25% by 2050 Ag'!BK15:BK16)</f>
        <v>27823777.346020684</v>
      </c>
      <c r="AJ42" s="50">
        <f>SUM('25% by 2050 Ag'!BL15:BL16)</f>
        <v>29510933.060536064</v>
      </c>
      <c r="AK42" s="50">
        <f>SUM('25% by 2050 Ag'!BM15:BM16)</f>
        <v>31163072.348484688</v>
      </c>
      <c r="AL42" s="50">
        <f>SUM('25% by 2050 Ag'!BN15:BN16)</f>
        <v>32780719.921488293</v>
      </c>
      <c r="AM42" s="50">
        <f>SUM('25% by 2050 Ag'!BO15:BO16)</f>
        <v>34364393.574103065</v>
      </c>
      <c r="AN42" s="50">
        <f>SUM('25% by 2050 Ag'!BP15:BP16)</f>
        <v>35914604.268399544</v>
      </c>
      <c r="AO42" s="50">
        <f>SUM('25% by 2050 Ag'!BQ15:BQ16)</f>
        <v>37431856.217573404</v>
      </c>
      <c r="AP42" s="50">
        <f>SUM('25% by 2050 Ag'!BR15:BR16)</f>
        <v>38916646.968596838</v>
      </c>
      <c r="AQ42" s="50">
        <f>SUM('25% by 2050 Ag'!BS15:BS16)</f>
        <v>40369467.483920813</v>
      </c>
      <c r="AR42" s="50">
        <f>SUM('25% by 2050 Ag'!BT15:BT16)</f>
        <v>41790802.222237781</v>
      </c>
      <c r="AS42" s="50">
        <f>SUM('25% by 2050 Ag'!BU15:BU16)</f>
        <v>43181129.218314737</v>
      </c>
      <c r="AT42" s="50">
        <f>SUM('25% by 2050 Ag'!BV15:BV16)</f>
        <v>44540920.161906488</v>
      </c>
      <c r="AU42" s="50">
        <f>SUM('25% by 2050 Ag'!BW15:BW16)</f>
        <v>45870640.475758456</v>
      </c>
      <c r="AV42" s="50">
        <f>SUM('25% by 2050 Ag'!BX15:BX16)</f>
        <v>47170749.392708987</v>
      </c>
      <c r="AW42" s="50">
        <f>SUM('25% by 2050 Ag'!BY15:BY16)</f>
        <v>48441700.031900316</v>
      </c>
      <c r="AX42" s="50">
        <f>SUM('25% by 2050 Ag'!BZ15:BZ16)</f>
        <v>49683939.474107847</v>
      </c>
      <c r="AY42" s="50">
        <f>SUM('25% by 2050 Ag'!CA15:CA16)</f>
        <v>50897908.83619687</v>
      </c>
      <c r="AZ42" s="50">
        <f>SUM('25% by 2050 Ag'!CB15:CB16)</f>
        <v>52084043.344716303</v>
      </c>
      <c r="BA42" s="50">
        <f>SUM('25% by 2050 Ag'!CC15:CC16)</f>
        <v>53242772.408638254</v>
      </c>
      <c r="BB42" s="50">
        <f>SUM('25% by 2050 Ag'!CD15:CD16)</f>
        <v>54374519.691252902</v>
      </c>
      <c r="BC42" s="50">
        <f>SUM('25% by 2050 Ag'!CE15:CE16)</f>
        <v>55479703.181227438</v>
      </c>
      <c r="BD42" s="50">
        <f>SUM('25% by 2050 Ag'!CF15:CF16)</f>
        <v>56558735.2628382</v>
      </c>
      <c r="BE42" s="50">
        <f>SUM('25% by 2050 Ag'!CG15:CG16)</f>
        <v>57612022.785384849</v>
      </c>
      <c r="BF42" s="50">
        <f>SUM('25% by 2050 Ag'!CH15:CH16)</f>
        <v>58639967.131795295</v>
      </c>
      <c r="BG42" s="50">
        <f>SUM('25% by 2050 Ag'!CI15:CI16)</f>
        <v>59642964.286430314</v>
      </c>
      <c r="BH42" s="50">
        <f>SUM('25% by 2050 Ag'!CJ15:CJ16)</f>
        <v>60621404.902096272</v>
      </c>
      <c r="BI42" s="50">
        <f>SUM('25% by 2050 Ag'!CK15:CK16)</f>
        <v>61575674.366274685</v>
      </c>
      <c r="BJ42" s="50">
        <f>SUM('25% by 2050 Ag'!CL15:CL16)</f>
        <v>62506152.866577119</v>
      </c>
      <c r="BK42" s="50">
        <f>SUM('25% by 2050 Ag'!CM15:CM16)</f>
        <v>63413215.455433682</v>
      </c>
      <c r="BM42" s="101" t="s">
        <v>38</v>
      </c>
      <c r="BN42" s="55" t="s">
        <v>105</v>
      </c>
      <c r="BO42" s="76">
        <f>D42/1000000</f>
        <v>0.26429813384870188</v>
      </c>
      <c r="BP42" s="75">
        <f>M42/1000000</f>
        <v>2.3232103959727612</v>
      </c>
      <c r="BQ42" s="60">
        <f>W42/1000000</f>
        <v>14.105284902994656</v>
      </c>
      <c r="BR42" s="60">
        <f>AG42/1000000</f>
        <v>24.342282691129331</v>
      </c>
      <c r="BS42" s="60">
        <f>AQ42/1000000</f>
        <v>40.369467483920815</v>
      </c>
      <c r="BT42" s="60">
        <f>BA42/1000000</f>
        <v>53.242772408638253</v>
      </c>
      <c r="BU42" s="60">
        <f>BK42/1000000</f>
        <v>63.413215455433679</v>
      </c>
    </row>
    <row r="43" spans="1:74" x14ac:dyDescent="0.25">
      <c r="A43" s="50" t="s">
        <v>38</v>
      </c>
      <c r="B43" s="50" t="s">
        <v>106</v>
      </c>
      <c r="C43" s="50" t="s">
        <v>108</v>
      </c>
      <c r="D43" s="50">
        <f>'25% by 2050 Ag'!AF23</f>
        <v>0</v>
      </c>
      <c r="E43" s="50">
        <f>'25% by 2050 Ag'!AG23</f>
        <v>0</v>
      </c>
      <c r="F43" s="50">
        <f>'25% by 2050 Ag'!AH23</f>
        <v>0</v>
      </c>
      <c r="G43" s="50">
        <f>'25% by 2050 Ag'!AI23</f>
        <v>0</v>
      </c>
      <c r="H43" s="50">
        <f>'25% by 2050 Ag'!AJ23</f>
        <v>0</v>
      </c>
      <c r="I43" s="50">
        <f>'25% by 2050 Ag'!AK23</f>
        <v>0</v>
      </c>
      <c r="J43" s="50">
        <f>'25% by 2050 Ag'!AL23</f>
        <v>0</v>
      </c>
      <c r="K43" s="50">
        <f>'25% by 2050 Ag'!AM23</f>
        <v>0</v>
      </c>
      <c r="L43" s="50">
        <f>'25% by 2050 Ag'!AN23</f>
        <v>0</v>
      </c>
      <c r="M43" s="50">
        <f>'25% by 2050 Ag'!AO23</f>
        <v>0</v>
      </c>
      <c r="N43" s="50">
        <f>'25% by 2050 Ag'!AP23</f>
        <v>26902.341993431211</v>
      </c>
      <c r="O43" s="50">
        <f>'25% by 2050 Ag'!AQ23</f>
        <v>32526.606109635377</v>
      </c>
      <c r="P43" s="50">
        <f>'25% by 2050 Ag'!AR23</f>
        <v>43564.042547470432</v>
      </c>
      <c r="Q43" s="50">
        <f>'25% by 2050 Ag'!AS23</f>
        <v>84536.761375307266</v>
      </c>
      <c r="R43" s="50">
        <f>'25% by 2050 Ag'!AT23</f>
        <v>271911.14066607878</v>
      </c>
      <c r="S43" s="50">
        <f>'25% by 2050 Ag'!AU23</f>
        <v>741604.83511076646</v>
      </c>
      <c r="T43" s="50">
        <f>'25% by 2050 Ag'!AV23</f>
        <v>1435703.7325092244</v>
      </c>
      <c r="U43" s="50">
        <f>'25% by 2050 Ag'!AW23</f>
        <v>1777556.8524855981</v>
      </c>
      <c r="V43" s="50">
        <f>'25% by 2050 Ag'!AX23</f>
        <v>1863278.5505074349</v>
      </c>
      <c r="W43" s="50">
        <f>'25% by 2050 Ag'!AY23</f>
        <v>1947310.4713917852</v>
      </c>
      <c r="X43" s="50">
        <f>'25% by 2050 Ag'!AZ23</f>
        <v>2029702.0917361467</v>
      </c>
      <c r="Y43" s="50">
        <f>'25% by 2050 Ag'!BA23</f>
        <v>2110500.9752444732</v>
      </c>
      <c r="Z43" s="50">
        <f>'25% by 2050 Ag'!BB23</f>
        <v>2189752.8642889517</v>
      </c>
      <c r="AA43" s="50">
        <f>'25% by 2050 Ag'!BC23</f>
        <v>2267501.7662624517</v>
      </c>
      <c r="AB43" s="50">
        <f>'25% by 2050 Ag'!BD23</f>
        <v>2343790.0350641971</v>
      </c>
      <c r="AC43" s="50">
        <f>'25% by 2050 Ag'!BE23</f>
        <v>2418658.4480356607</v>
      </c>
      <c r="AD43" s="50">
        <f>'25% by 2050 Ag'!BF23</f>
        <v>2492146.2786403401</v>
      </c>
      <c r="AE43" s="50">
        <f>'25% by 2050 Ag'!BG23</f>
        <v>2564291.3651595972</v>
      </c>
      <c r="AF43" s="50">
        <f>'25% by 2050 Ag'!BH23</f>
        <v>2635128.1051006331</v>
      </c>
      <c r="AG43" s="50">
        <f>'25% by 2050 Ag'!BI23</f>
        <v>3380614.92258952</v>
      </c>
      <c r="AH43" s="50">
        <f>'25% by 2050 Ag'!BJ23</f>
        <v>4112843.8300739746</v>
      </c>
      <c r="AI43" s="50">
        <f>'25% by 2050 Ag'!BK23</f>
        <v>4832165.3829819951</v>
      </c>
      <c r="AJ43" s="50">
        <f>'25% by 2050 Ag'!BL23</f>
        <v>5538917.885895811</v>
      </c>
      <c r="AK43" s="50">
        <f>'25% by 2050 Ag'!BM23</f>
        <v>6233427.9230790483</v>
      </c>
      <c r="AL43" s="50">
        <f>'25% by 2050 Ag'!BN23</f>
        <v>6916010.861671024</v>
      </c>
      <c r="AM43" s="50">
        <f>'25% by 2050 Ag'!BO23</f>
        <v>7586971.3291770834</v>
      </c>
      <c r="AN43" s="50">
        <f>'25% by 2050 Ag'!BP23</f>
        <v>8246603.6667738743</v>
      </c>
      <c r="AO43" s="50">
        <f>'25% by 2050 Ag'!BQ23</f>
        <v>8895192.3598467596</v>
      </c>
      <c r="AP43" s="50">
        <f>'25% by 2050 Ag'!BR23</f>
        <v>9533012.4470824003</v>
      </c>
      <c r="AQ43" s="50">
        <f>'25% by 2050 Ag'!BS23</f>
        <v>10160329.909352459</v>
      </c>
      <c r="AR43" s="50">
        <f>'25% by 2050 Ag'!BT23</f>
        <v>10777402.039543582</v>
      </c>
      <c r="AS43" s="50">
        <f>'25% by 2050 Ag'!BU23</f>
        <v>11384477.794413984</v>
      </c>
      <c r="AT43" s="50">
        <f>'25% by 2050 Ag'!BV23</f>
        <v>11981798.12948755</v>
      </c>
      <c r="AU43" s="50">
        <f>'25% by 2050 Ag'!BW23</f>
        <v>12569596.31793182</v>
      </c>
      <c r="AV43" s="50">
        <f>'25% by 2050 Ag'!BX23</f>
        <v>13148098.254306495</v>
      </c>
      <c r="AW43" s="50">
        <f>'25% by 2050 Ag'!BY23</f>
        <v>13717522.744013244</v>
      </c>
      <c r="AX43" s="50">
        <f>'25% by 2050 Ag'!BZ23</f>
        <v>14278081.779226134</v>
      </c>
      <c r="AY43" s="50">
        <f>'25% by 2050 Ag'!CA23</f>
        <v>14829980.802033508</v>
      </c>
      <c r="AZ43" s="50">
        <f>'25% by 2050 Ag'!CB23</f>
        <v>15373418.955477731</v>
      </c>
      <c r="BA43" s="50">
        <f>'25% by 2050 Ag'!CC23</f>
        <v>15908589.32313695</v>
      </c>
      <c r="BB43" s="50">
        <f>'25% by 2050 Ag'!CD23</f>
        <v>16435679.157854637</v>
      </c>
      <c r="BC43" s="50">
        <f>'25% by 2050 Ag'!CE23</f>
        <v>16954870.100185946</v>
      </c>
      <c r="BD43" s="50">
        <f>'25% by 2050 Ag'!CF23</f>
        <v>17466338.387096308</v>
      </c>
      <c r="BE43" s="50">
        <f>'25% by 2050 Ag'!CG23</f>
        <v>17970255.051416021</v>
      </c>
      <c r="BF43" s="50">
        <f>'25% by 2050 Ag'!CH23</f>
        <v>18466786.112524856</v>
      </c>
      <c r="BG43" s="50">
        <f>'25% by 2050 Ag'!CI23</f>
        <v>18956092.758713588</v>
      </c>
      <c r="BH43" s="50">
        <f>'25% by 2050 Ag'!CJ23</f>
        <v>19438331.521642867</v>
      </c>
      <c r="BI43" s="50">
        <f>'25% by 2050 Ag'!CK23</f>
        <v>19913654.443296492</v>
      </c>
      <c r="BJ43" s="50">
        <f>'25% by 2050 Ag'!CL23</f>
        <v>20382209.235802721</v>
      </c>
      <c r="BK43" s="50">
        <f>'25% by 2050 Ag'!CM23</f>
        <v>20844139.434476919</v>
      </c>
      <c r="BM43" s="102"/>
      <c r="BN43" s="53" t="s">
        <v>106</v>
      </c>
      <c r="BO43" s="61">
        <f t="shared" ref="BO43:BO45" si="28">D43/1000000</f>
        <v>0</v>
      </c>
      <c r="BP43" s="61">
        <f>M43/1000000</f>
        <v>0</v>
      </c>
      <c r="BQ43" s="73">
        <f>W43/1000000</f>
        <v>1.9473104713917853</v>
      </c>
      <c r="BR43" s="73">
        <f>AG43/1000000</f>
        <v>3.3806149225895199</v>
      </c>
      <c r="BS43" s="61">
        <f>AQ43/1000000</f>
        <v>10.160329909352459</v>
      </c>
      <c r="BT43" s="61">
        <f>BA43/1000000</f>
        <v>15.908589323136949</v>
      </c>
      <c r="BU43" s="61">
        <f>BK43/1000000</f>
        <v>20.844139434476919</v>
      </c>
    </row>
    <row r="44" spans="1:74" x14ac:dyDescent="0.25">
      <c r="A44" s="50" t="s">
        <v>71</v>
      </c>
      <c r="B44" s="50" t="s">
        <v>105</v>
      </c>
      <c r="C44" s="50" t="s">
        <v>108</v>
      </c>
      <c r="D44" s="50">
        <f>SUM('25% by 2050 Ag'!AF17:AF22)</f>
        <v>639775.14095076662</v>
      </c>
      <c r="E44" s="50">
        <f>SUM('25% by 2050 Ag'!AG17:AG22)</f>
        <v>1261564.3955121778</v>
      </c>
      <c r="F44" s="50">
        <f>SUM('25% by 2050 Ag'!AH17:AH22)</f>
        <v>1866165.2287806324</v>
      </c>
      <c r="G44" s="50">
        <f>SUM('25% by 2050 Ag'!AI17:AI22)</f>
        <v>2454326.7097856458</v>
      </c>
      <c r="H44" s="50">
        <f>SUM('25% by 2050 Ag'!AJ17:AJ22)</f>
        <v>3026753.2265974297</v>
      </c>
      <c r="I44" s="50">
        <f>SUM('25% by 2050 Ag'!AK17:AK22)</f>
        <v>3584107.8585047484</v>
      </c>
      <c r="J44" s="50">
        <f>SUM('25% by 2050 Ag'!AL17:AL22)</f>
        <v>4127015.44203889</v>
      </c>
      <c r="K44" s="50">
        <f>SUM('25% by 2050 Ag'!AM17:AM22)</f>
        <v>4656065.3631483382</v>
      </c>
      <c r="L44" s="50">
        <f>SUM('25% by 2050 Ag'!AN17:AN22)</f>
        <v>5171814.103962685</v>
      </c>
      <c r="M44" s="50">
        <f>SUM('25% by 2050 Ag'!AO17:AO22)</f>
        <v>5674787.5692337193</v>
      </c>
      <c r="N44" s="50">
        <f>SUM('25% by 2050 Ag'!AP17:AP22)</f>
        <v>5987186.5592947425</v>
      </c>
      <c r="O44" s="50">
        <f>SUM('25% by 2050 Ag'!AQ17:AQ22)</f>
        <v>6646565.032981636</v>
      </c>
      <c r="P44" s="50">
        <f>SUM('25% by 2050 Ag'!AR17:AR22)</f>
        <v>7493689.1952211857</v>
      </c>
      <c r="Q44" s="50">
        <f>SUM('25% by 2050 Ag'!AS17:AS22)</f>
        <v>7044951.5862929411</v>
      </c>
      <c r="R44" s="50">
        <f>SUM('25% by 2050 Ag'!AT17:AT22)</f>
        <v>7915663.2393809231</v>
      </c>
      <c r="S44" s="50">
        <f>SUM('25% by 2050 Ag'!AU17:AU22)</f>
        <v>9212256.2733300738</v>
      </c>
      <c r="T44" s="50">
        <f>SUM('25% by 2050 Ag'!AV17:AV22)</f>
        <v>11085966.479006425</v>
      </c>
      <c r="U44" s="50">
        <f>SUM('25% by 2050 Ag'!AW17:AW22)</f>
        <v>12071020.644982615</v>
      </c>
      <c r="V44" s="50">
        <f>SUM('25% by 2050 Ag'!AX17:AX22)</f>
        <v>16509643.710017523</v>
      </c>
      <c r="W44" s="50">
        <f>SUM('25% by 2050 Ag'!AY17:AY22)</f>
        <v>18389105.21070018</v>
      </c>
      <c r="X44" s="50">
        <f>SUM('25% by 2050 Ag'!AZ17:AZ22)</f>
        <v>20238761.659286596</v>
      </c>
      <c r="Y44" s="50">
        <f>SUM('25% by 2050 Ag'!BA17:BA22)</f>
        <v>22059331.113750409</v>
      </c>
      <c r="Z44" s="50">
        <f>SUM('25% by 2050 Ag'!BB17:BB22)</f>
        <v>23851508.415274251</v>
      </c>
      <c r="AA44" s="50">
        <f>SUM('25% by 2050 Ag'!BC17:BC22)</f>
        <v>25615966.1348009</v>
      </c>
      <c r="AB44" s="50">
        <f>SUM('25% by 2050 Ag'!BD17:BD22)</f>
        <v>27353355.472757764</v>
      </c>
      <c r="AC44" s="50">
        <f>SUM('25% by 2050 Ag'!BE17:BE22)</f>
        <v>29064307.11469413</v>
      </c>
      <c r="AD44" s="50">
        <f>SUM('25% by 2050 Ag'!BF17:BF22)</f>
        <v>30749432.045384534</v>
      </c>
      <c r="AE44" s="50">
        <f>SUM('25% by 2050 Ag'!BG17:BG22)</f>
        <v>32409322.323779803</v>
      </c>
      <c r="AF44" s="50">
        <f>SUM('25% by 2050 Ag'!BH17:BH22)</f>
        <v>34044549.100456543</v>
      </c>
      <c r="AG44" s="50">
        <f>SUM('25% by 2050 Ag'!BI17:BI22)</f>
        <v>38082841.403496012</v>
      </c>
      <c r="AH44" s="50">
        <f>SUM('25% by 2050 Ag'!BJ17:BJ22)</f>
        <v>39292013.182219692</v>
      </c>
      <c r="AI44" s="50">
        <f>SUM('25% by 2050 Ag'!BK17:BK22)</f>
        <v>40475602.303126752</v>
      </c>
      <c r="AJ44" s="50">
        <f>SUM('25% by 2050 Ag'!BL17:BL22)</f>
        <v>41633962.586526401</v>
      </c>
      <c r="AK44" s="50">
        <f>SUM('25% by 2050 Ag'!BM17:BM22)</f>
        <v>42767444.580654174</v>
      </c>
      <c r="AL44" s="50">
        <f>SUM('25% by 2050 Ag'!BN17:BN22)</f>
        <v>43876395.537723362</v>
      </c>
      <c r="AM44" s="50">
        <f>SUM('25% by 2050 Ag'!BO17:BO22)</f>
        <v>44961159.393543325</v>
      </c>
      <c r="AN44" s="50">
        <f>SUM('25% by 2050 Ag'!BP17:BP22)</f>
        <v>46022076.750473008</v>
      </c>
      <c r="AO44" s="50">
        <f>SUM('25% by 2050 Ag'!BQ17:BQ22)</f>
        <v>47059484.863493562</v>
      </c>
      <c r="AP44" s="50">
        <f>SUM('25% by 2050 Ag'!BR17:BR22)</f>
        <v>48073717.629197642</v>
      </c>
      <c r="AQ44" s="50">
        <f>SUM('25% by 2050 Ag'!BS17:BS22)</f>
        <v>49065105.577506348</v>
      </c>
      <c r="AR44" s="50">
        <f>SUM('25% by 2050 Ag'!BT17:BT22)</f>
        <v>50033975.865936562</v>
      </c>
      <c r="AS44" s="50">
        <f>SUM('25% by 2050 Ag'!BU17:BU22)</f>
        <v>50980652.276252985</v>
      </c>
      <c r="AT44" s="50">
        <f>SUM('25% by 2050 Ag'!BV17:BV22)</f>
        <v>51905455.213349357</v>
      </c>
      <c r="AU44" s="50">
        <f>SUM('25% by 2050 Ag'!BW17:BW22)</f>
        <v>52808701.706213526</v>
      </c>
      <c r="AV44" s="50">
        <f>SUM('25% by 2050 Ag'!BX17:BX22)</f>
        <v>53690705.410839409</v>
      </c>
      <c r="AW44" s="50">
        <f>SUM('25% by 2050 Ag'!BY17:BY22)</f>
        <v>54551776.6149581</v>
      </c>
      <c r="AX44" s="50">
        <f>SUM('25% by 2050 Ag'!BZ17:BZ22)</f>
        <v>55392222.244467899</v>
      </c>
      <c r="AY44" s="50">
        <f>SUM('25% by 2050 Ag'!CA17:CA22)</f>
        <v>56212345.871450067</v>
      </c>
      <c r="AZ44" s="50">
        <f>SUM('25% by 2050 Ag'!CB17:CB22)</f>
        <v>57012447.72366479</v>
      </c>
      <c r="BA44" s="50">
        <f>SUM('25% by 2050 Ag'!CC17:CC22)</f>
        <v>57792824.695427522</v>
      </c>
      <c r="BB44" s="50">
        <f>SUM('25% by 2050 Ag'!CD17:CD22)</f>
        <v>58553770.359772064</v>
      </c>
      <c r="BC44" s="50">
        <f>SUM('25% by 2050 Ag'!CE17:CE22)</f>
        <v>59295574.981812716</v>
      </c>
      <c r="BD44" s="50">
        <f>SUM('25% by 2050 Ag'!CF17:CF22)</f>
        <v>60018525.533222347</v>
      </c>
      <c r="BE44" s="50">
        <f>SUM('25% by 2050 Ag'!CG17:CG22)</f>
        <v>60722905.707749024</v>
      </c>
      <c r="BF44" s="50">
        <f>SUM('25% by 2050 Ag'!CH17:CH22)</f>
        <v>61408995.937697619</v>
      </c>
      <c r="BG44" s="50">
        <f>SUM('25% by 2050 Ag'!CI17:CI22)</f>
        <v>62077073.411307558</v>
      </c>
      <c r="BH44" s="50">
        <f>SUM('25% by 2050 Ag'!CJ17:CJ22)</f>
        <v>62727412.090962142</v>
      </c>
      <c r="BI44" s="50">
        <f>SUM('25% by 2050 Ag'!CK17:CK22)</f>
        <v>63360282.732167773</v>
      </c>
      <c r="BJ44" s="50">
        <f>SUM('25% by 2050 Ag'!CL17:CL22)</f>
        <v>63975952.903246164</v>
      </c>
      <c r="BK44" s="50">
        <f>SUM('25% by 2050 Ag'!CM17:CM22)</f>
        <v>64574687.005684897</v>
      </c>
      <c r="BM44" s="102" t="s">
        <v>71</v>
      </c>
      <c r="BN44" s="53" t="s">
        <v>105</v>
      </c>
      <c r="BO44" s="78">
        <f t="shared" si="28"/>
        <v>0.6397751409507666</v>
      </c>
      <c r="BP44" s="73">
        <f>M44/1000000</f>
        <v>5.6747875692337191</v>
      </c>
      <c r="BQ44" s="61">
        <f>W44/1000000</f>
        <v>18.38910521070018</v>
      </c>
      <c r="BR44" s="61">
        <f>AG44/1000000</f>
        <v>38.082841403496012</v>
      </c>
      <c r="BS44" s="61">
        <f>AQ44/1000000</f>
        <v>49.065105577506351</v>
      </c>
      <c r="BT44" s="61">
        <f>BA44/1000000</f>
        <v>57.79282469542752</v>
      </c>
      <c r="BU44" s="61">
        <f>BK44/1000000</f>
        <v>64.574687005684893</v>
      </c>
    </row>
    <row r="45" spans="1:74" x14ac:dyDescent="0.25">
      <c r="A45" s="50" t="s">
        <v>71</v>
      </c>
      <c r="B45" s="50" t="s">
        <v>106</v>
      </c>
      <c r="C45" s="50" t="s">
        <v>108</v>
      </c>
      <c r="D45" s="50">
        <f>'25% by 2050 Ag'!AF24</f>
        <v>138599.56472198345</v>
      </c>
      <c r="E45" s="50">
        <f>'25% by 2050 Ag'!AG24</f>
        <v>273457.71379753767</v>
      </c>
      <c r="F45" s="50">
        <f>'25% by 2050 Ag'!AH24</f>
        <v>404723.92573324346</v>
      </c>
      <c r="G45" s="50">
        <f>'25% by 2050 Ag'!AI24</f>
        <v>532539.82098634238</v>
      </c>
      <c r="H45" s="50">
        <f>'25% by 2050 Ag'!AJ24</f>
        <v>657039.67163612996</v>
      </c>
      <c r="I45" s="50">
        <f>'25% by 2050 Ag'!AK24</f>
        <v>778350.87189472397</v>
      </c>
      <c r="J45" s="50">
        <f>'25% by 2050 Ag'!AL24</f>
        <v>896594.37292321946</v>
      </c>
      <c r="K45" s="50">
        <f>'25% by 2050 Ag'!AM24</f>
        <v>1011885.0850730242</v>
      </c>
      <c r="L45" s="50">
        <f>'25% by 2050 Ag'!AN24</f>
        <v>1124332.2503643718</v>
      </c>
      <c r="M45" s="50">
        <f>'25% by 2050 Ag'!AO24</f>
        <v>1234039.7877399891</v>
      </c>
      <c r="N45" s="50">
        <f>'25% by 2050 Ag'!AP24</f>
        <v>1527995.2742244024</v>
      </c>
      <c r="O45" s="50">
        <f>'25% by 2050 Ag'!AQ24</f>
        <v>1967130.5156948098</v>
      </c>
      <c r="P45" s="50">
        <f>'25% by 2050 Ag'!AR24</f>
        <v>2598021.0199561203</v>
      </c>
      <c r="Q45" s="50">
        <f>'25% by 2050 Ag'!AS24</f>
        <v>3251413.8990502795</v>
      </c>
      <c r="R45" s="50">
        <f>'25% by 2050 Ag'!AT24</f>
        <v>4998965.2574780276</v>
      </c>
      <c r="S45" s="50">
        <f>'25% by 2050 Ag'!AU24</f>
        <v>8192818.5498469528</v>
      </c>
      <c r="T45" s="50">
        <f>'25% by 2050 Ag'!AV24</f>
        <v>10999483.226062525</v>
      </c>
      <c r="U45" s="50">
        <f>'25% by 2050 Ag'!AW24</f>
        <v>16417552.904479241</v>
      </c>
      <c r="V45" s="50">
        <f>'25% by 2050 Ag'!AX24</f>
        <v>19071444.584975265</v>
      </c>
      <c r="W45" s="50">
        <f>'25% by 2050 Ag'!AY24</f>
        <v>21673021.79211675</v>
      </c>
      <c r="X45" s="50">
        <f>'25% by 2050 Ag'!AZ24</f>
        <v>24223816.291296955</v>
      </c>
      <c r="Y45" s="50">
        <f>'25% by 2050 Ag'!BA24</f>
        <v>26725300.625887387</v>
      </c>
      <c r="Z45" s="50">
        <f>'25% by 2050 Ag'!BB24</f>
        <v>29178890.951934762</v>
      </c>
      <c r="AA45" s="50">
        <f>'25% by 2050 Ag'!BC24</f>
        <v>31585949.711580537</v>
      </c>
      <c r="AB45" s="50">
        <f>'25% by 2050 Ag'!BD24</f>
        <v>33947788.155807592</v>
      </c>
      <c r="AC45" s="50">
        <f>'25% by 2050 Ag'!BE24</f>
        <v>36265668.726328865</v>
      </c>
      <c r="AD45" s="50">
        <f>'25% by 2050 Ag'!BF24</f>
        <v>38540807.305709042</v>
      </c>
      <c r="AE45" s="50">
        <f>'25% by 2050 Ag'!BG24</f>
        <v>40774375.344146028</v>
      </c>
      <c r="AF45" s="50">
        <f>'25% by 2050 Ag'!BH24</f>
        <v>42967496.11918278</v>
      </c>
      <c r="AG45" s="50">
        <f>'25% by 2050 Ag'!BI24</f>
        <v>63445631.558931202</v>
      </c>
      <c r="AH45" s="50">
        <f>'25% by 2050 Ag'!BJ24</f>
        <v>83559579.101121262</v>
      </c>
      <c r="AI45" s="50">
        <f>'25% by 2050 Ag'!BK24</f>
        <v>103318968.32117303</v>
      </c>
      <c r="AJ45" s="50">
        <f>'25% by 2050 Ag'!BL24</f>
        <v>122733092.27014014</v>
      </c>
      <c r="AK45" s="50">
        <f>'25% by 2050 Ag'!BM24</f>
        <v>141810922.04801551</v>
      </c>
      <c r="AL45" s="50">
        <f>'25% by 2050 Ag'!BN24</f>
        <v>160561120.62621683</v>
      </c>
      <c r="AM45" s="50">
        <f>'25% by 2050 Ag'!BO24</f>
        <v>178992055.96399805</v>
      </c>
      <c r="AN45" s="50">
        <f>'25% by 2050 Ag'!BP24</f>
        <v>197111813.46050981</v>
      </c>
      <c r="AO45" s="50">
        <f>'25% by 2050 Ag'!BQ24</f>
        <v>214928207.78143814</v>
      </c>
      <c r="AP45" s="50">
        <f>'25% by 2050 Ag'!BR24</f>
        <v>232448794.09656546</v>
      </c>
      <c r="AQ45" s="50">
        <f>'25% by 2050 Ag'!BS24</f>
        <v>249680878.76220351</v>
      </c>
      <c r="AR45" s="50">
        <f>'25% by 2050 Ag'!BT24</f>
        <v>266631529.48023075</v>
      </c>
      <c r="AS45" s="50">
        <f>'25% by 2050 Ag'!BU24</f>
        <v>283307584.96341038</v>
      </c>
      <c r="AT45" s="50">
        <f>'25% by 2050 Ag'!BV24</f>
        <v>299715664.13475633</v>
      </c>
      <c r="AU45" s="50">
        <f>'25% by 2050 Ag'!BW24</f>
        <v>315862174.8869468</v>
      </c>
      <c r="AV45" s="50">
        <f>'25% by 2050 Ag'!BX24</f>
        <v>331753322.42613709</v>
      </c>
      <c r="AW45" s="50">
        <f>'25% by 2050 Ag'!BY24</f>
        <v>347395117.22299582</v>
      </c>
      <c r="AX45" s="50">
        <f>'25% by 2050 Ag'!BZ24</f>
        <v>362793382.59237021</v>
      </c>
      <c r="AY45" s="50">
        <f>'25% by 2050 Ag'!CA24</f>
        <v>377953761.92165697</v>
      </c>
      <c r="AZ45" s="50">
        <f>'25% by 2050 Ag'!CB24</f>
        <v>392881725.56673294</v>
      </c>
      <c r="BA45" s="50">
        <f>'25% by 2050 Ag'!CC24</f>
        <v>407582577.43314278</v>
      </c>
      <c r="BB45" s="50">
        <f>'25% by 2050 Ag'!CD24</f>
        <v>422061461.25917965</v>
      </c>
      <c r="BC45" s="50">
        <f>'25% by 2050 Ag'!CE24</f>
        <v>436323366.61649287</v>
      </c>
      <c r="BD45" s="50">
        <f>'25% by 2050 Ag'!CF24</f>
        <v>450373134.64293116</v>
      </c>
      <c r="BE45" s="50">
        <f>'25% by 2050 Ag'!CG24</f>
        <v>464215463.52145505</v>
      </c>
      <c r="BF45" s="50">
        <f>'25% by 2050 Ag'!CH24</f>
        <v>477854913.71814525</v>
      </c>
      <c r="BG45" s="50">
        <f>'25% by 2050 Ag'!CI24</f>
        <v>491295912.99157792</v>
      </c>
      <c r="BH45" s="50">
        <f>'25% by 2050 Ag'!CJ24</f>
        <v>504542761.18512064</v>
      </c>
      <c r="BI45" s="50">
        <f>'25% by 2050 Ag'!CK24</f>
        <v>517599634.81305027</v>
      </c>
      <c r="BJ45" s="50">
        <f>'25% by 2050 Ag'!CL24</f>
        <v>530470591.45076257</v>
      </c>
      <c r="BK45" s="50">
        <f>'25% by 2050 Ag'!CM24</f>
        <v>543159573.93877423</v>
      </c>
      <c r="BM45" s="103"/>
      <c r="BN45" s="54" t="s">
        <v>106</v>
      </c>
      <c r="BO45" s="77">
        <f t="shared" si="28"/>
        <v>0.13859956472198345</v>
      </c>
      <c r="BP45" s="74">
        <f>M45/1000000</f>
        <v>1.2340397877399891</v>
      </c>
      <c r="BQ45" s="62">
        <f>W45/1000000</f>
        <v>21.673021792116749</v>
      </c>
      <c r="BR45" s="62">
        <f>AG45/1000000</f>
        <v>63.445631558931204</v>
      </c>
      <c r="BS45" s="62">
        <f>AQ45/1000000</f>
        <v>249.68087876220352</v>
      </c>
      <c r="BT45" s="62">
        <f>BA45/1000000</f>
        <v>407.58257743314277</v>
      </c>
      <c r="BU45" s="62">
        <f>BK45/1000000</f>
        <v>543.1595739387742</v>
      </c>
      <c r="BV45" s="47">
        <f>SUM(BU42:BU45)</f>
        <v>691.99161583436967</v>
      </c>
    </row>
    <row r="46" spans="1:74" x14ac:dyDescent="0.25">
      <c r="BN46" s="50" t="s">
        <v>110</v>
      </c>
    </row>
    <row r="47" spans="1:74" x14ac:dyDescent="0.25">
      <c r="A47" s="50" t="s">
        <v>38</v>
      </c>
      <c r="B47" s="50" t="s">
        <v>105</v>
      </c>
      <c r="C47" s="50" t="s">
        <v>109</v>
      </c>
      <c r="D47" s="50">
        <f>D52*$D$61</f>
        <v>20945863829.462044</v>
      </c>
      <c r="E47" s="50">
        <f t="shared" ref="E47:BK47" si="29">E52*$D$61</f>
        <v>41891727658.924088</v>
      </c>
      <c r="F47" s="50">
        <f t="shared" si="29"/>
        <v>62837591488.386124</v>
      </c>
      <c r="G47" s="50">
        <f t="shared" si="29"/>
        <v>83783455317.848175</v>
      </c>
      <c r="H47" s="50">
        <f t="shared" si="29"/>
        <v>104729319147.31021</v>
      </c>
      <c r="I47" s="50">
        <f t="shared" si="29"/>
        <v>125675182976.77226</v>
      </c>
      <c r="J47" s="50">
        <f t="shared" si="29"/>
        <v>146621046806.23428</v>
      </c>
      <c r="K47" s="50">
        <f t="shared" si="29"/>
        <v>167566910635.69635</v>
      </c>
      <c r="L47" s="50">
        <f t="shared" si="29"/>
        <v>188512774465.15839</v>
      </c>
      <c r="M47" s="50">
        <f t="shared" si="29"/>
        <v>209458638294.62042</v>
      </c>
      <c r="N47" s="50">
        <f t="shared" si="29"/>
        <v>228531004354.98901</v>
      </c>
      <c r="O47" s="50">
        <f t="shared" si="29"/>
        <v>277075236804.16864</v>
      </c>
      <c r="P47" s="50">
        <f t="shared" si="29"/>
        <v>363069578260.54443</v>
      </c>
      <c r="Q47" s="50">
        <f t="shared" si="29"/>
        <v>439537659874.07227</v>
      </c>
      <c r="R47" s="50">
        <f t="shared" si="29"/>
        <v>505467316536.44946</v>
      </c>
      <c r="S47" s="50">
        <f t="shared" si="29"/>
        <v>632333281993.57776</v>
      </c>
      <c r="T47" s="50">
        <f t="shared" si="29"/>
        <v>844221116548.12439</v>
      </c>
      <c r="U47" s="50">
        <f t="shared" si="29"/>
        <v>1201828972498.7693</v>
      </c>
      <c r="V47" s="50">
        <f t="shared" si="29"/>
        <v>1295865108043.647</v>
      </c>
      <c r="W47" s="50">
        <f t="shared" si="29"/>
        <v>1398561414890.4773</v>
      </c>
      <c r="X47" s="50">
        <f t="shared" si="29"/>
        <v>1501257721737.3079</v>
      </c>
      <c r="Y47" s="50">
        <f t="shared" si="29"/>
        <v>1603954028584.1382</v>
      </c>
      <c r="Z47" s="50">
        <f t="shared" si="29"/>
        <v>1706650335430.969</v>
      </c>
      <c r="AA47" s="50">
        <f t="shared" si="29"/>
        <v>1809346642277.7991</v>
      </c>
      <c r="AB47" s="50">
        <f t="shared" si="29"/>
        <v>1912042949124.6296</v>
      </c>
      <c r="AC47" s="50">
        <f t="shared" si="29"/>
        <v>2014739255971.46</v>
      </c>
      <c r="AD47" s="50">
        <f t="shared" si="29"/>
        <v>2117435562818.2905</v>
      </c>
      <c r="AE47" s="50">
        <f t="shared" si="29"/>
        <v>2220131869665.1211</v>
      </c>
      <c r="AF47" s="50">
        <f t="shared" si="29"/>
        <v>2322828244911.9058</v>
      </c>
      <c r="AG47" s="50">
        <f t="shared" si="29"/>
        <v>2661665417062.3276</v>
      </c>
      <c r="AH47" s="50">
        <f t="shared" si="29"/>
        <v>3000502589212.7495</v>
      </c>
      <c r="AI47" s="50">
        <f t="shared" si="29"/>
        <v>3339339761363.1714</v>
      </c>
      <c r="AJ47" s="50">
        <f t="shared" si="29"/>
        <v>3678176933513.5937</v>
      </c>
      <c r="AK47" s="50">
        <f t="shared" si="29"/>
        <v>4017014105664.0156</v>
      </c>
      <c r="AL47" s="50">
        <f t="shared" si="29"/>
        <v>4355851277814.4375</v>
      </c>
      <c r="AM47" s="50">
        <f t="shared" si="29"/>
        <v>4694688449964.8594</v>
      </c>
      <c r="AN47" s="50">
        <f t="shared" si="29"/>
        <v>5033525622115.2812</v>
      </c>
      <c r="AO47" s="50">
        <f t="shared" si="29"/>
        <v>5372362794265.7031</v>
      </c>
      <c r="AP47" s="50">
        <f t="shared" si="29"/>
        <v>5711199966416.125</v>
      </c>
      <c r="AQ47" s="50">
        <f t="shared" si="29"/>
        <v>6050037138566.5469</v>
      </c>
      <c r="AR47" s="50">
        <f t="shared" si="29"/>
        <v>6388874310716.9687</v>
      </c>
      <c r="AS47" s="50">
        <f t="shared" si="29"/>
        <v>6727711482867.3906</v>
      </c>
      <c r="AT47" s="50">
        <f t="shared" si="29"/>
        <v>7066548655017.8135</v>
      </c>
      <c r="AU47" s="50">
        <f t="shared" si="29"/>
        <v>7405385827168.2354</v>
      </c>
      <c r="AV47" s="50">
        <f t="shared" si="29"/>
        <v>7744222999318.6572</v>
      </c>
      <c r="AW47" s="50">
        <f t="shared" si="29"/>
        <v>8083060171469.0791</v>
      </c>
      <c r="AX47" s="50">
        <f t="shared" si="29"/>
        <v>8421897343619.501</v>
      </c>
      <c r="AY47" s="50">
        <f t="shared" si="29"/>
        <v>8760734515769.9229</v>
      </c>
      <c r="AZ47" s="50">
        <f t="shared" si="29"/>
        <v>9099571687920.3437</v>
      </c>
      <c r="BA47" s="50">
        <f t="shared" si="29"/>
        <v>9438408860070.7656</v>
      </c>
      <c r="BB47" s="50">
        <f t="shared" si="29"/>
        <v>9777246032221.1875</v>
      </c>
      <c r="BC47" s="50">
        <f t="shared" si="29"/>
        <v>10116083204371.607</v>
      </c>
      <c r="BD47" s="50">
        <f t="shared" si="29"/>
        <v>10454920376522.029</v>
      </c>
      <c r="BE47" s="50">
        <f t="shared" si="29"/>
        <v>10793757548672.449</v>
      </c>
      <c r="BF47" s="50">
        <f t="shared" si="29"/>
        <v>11132594720822.871</v>
      </c>
      <c r="BG47" s="50">
        <f t="shared" si="29"/>
        <v>11471431892973.291</v>
      </c>
      <c r="BH47" s="50">
        <f t="shared" si="29"/>
        <v>11810269065123.713</v>
      </c>
      <c r="BI47" s="50">
        <f t="shared" si="29"/>
        <v>12149106237274.133</v>
      </c>
      <c r="BJ47" s="50">
        <f t="shared" si="29"/>
        <v>12487943409424.555</v>
      </c>
      <c r="BK47" s="50">
        <f t="shared" si="29"/>
        <v>12826780581574.98</v>
      </c>
      <c r="BM47" s="57" t="s">
        <v>93</v>
      </c>
      <c r="BN47" s="57" t="s">
        <v>94</v>
      </c>
      <c r="BO47" s="57">
        <v>1991</v>
      </c>
      <c r="BP47" s="57">
        <v>2000</v>
      </c>
      <c r="BQ47" s="57">
        <v>2010</v>
      </c>
      <c r="BR47" s="57">
        <v>2020</v>
      </c>
      <c r="BS47" s="57">
        <v>2030</v>
      </c>
      <c r="BT47" s="57">
        <v>2040</v>
      </c>
      <c r="BU47" s="57">
        <v>2050</v>
      </c>
    </row>
    <row r="48" spans="1:74" x14ac:dyDescent="0.25">
      <c r="A48" s="50" t="s">
        <v>38</v>
      </c>
      <c r="B48" s="50" t="s">
        <v>106</v>
      </c>
      <c r="C48" s="50" t="s">
        <v>109</v>
      </c>
      <c r="D48" s="50">
        <f>D53*$D$62</f>
        <v>0</v>
      </c>
      <c r="E48" s="50">
        <f t="shared" ref="E48:BK48" si="30">E53*$D$62</f>
        <v>0</v>
      </c>
      <c r="F48" s="50">
        <f t="shared" si="30"/>
        <v>0</v>
      </c>
      <c r="G48" s="50">
        <f t="shared" si="30"/>
        <v>0</v>
      </c>
      <c r="H48" s="50">
        <f t="shared" si="30"/>
        <v>0</v>
      </c>
      <c r="I48" s="50">
        <f t="shared" si="30"/>
        <v>0</v>
      </c>
      <c r="J48" s="50">
        <f t="shared" si="30"/>
        <v>0</v>
      </c>
      <c r="K48" s="50">
        <f t="shared" si="30"/>
        <v>0</v>
      </c>
      <c r="L48" s="50">
        <f t="shared" si="30"/>
        <v>0</v>
      </c>
      <c r="M48" s="50">
        <f t="shared" si="30"/>
        <v>0</v>
      </c>
      <c r="N48" s="50">
        <f t="shared" si="30"/>
        <v>1209973112.2397101</v>
      </c>
      <c r="O48" s="50">
        <f t="shared" si="30"/>
        <v>1480539550.5759602</v>
      </c>
      <c r="P48" s="50">
        <f t="shared" si="30"/>
        <v>2006520706.7016301</v>
      </c>
      <c r="Q48" s="50">
        <f t="shared" si="30"/>
        <v>3939447342.1758003</v>
      </c>
      <c r="R48" s="50">
        <f t="shared" si="30"/>
        <v>12818355582.618181</v>
      </c>
      <c r="S48" s="50">
        <f t="shared" si="30"/>
        <v>35361951224.794533</v>
      </c>
      <c r="T48" s="50">
        <f t="shared" si="30"/>
        <v>69161110701.758881</v>
      </c>
      <c r="U48" s="50">
        <f t="shared" si="30"/>
        <v>86498642090.850327</v>
      </c>
      <c r="V48" s="50">
        <f t="shared" si="30"/>
        <v>91581621587.894943</v>
      </c>
      <c r="W48" s="50">
        <f t="shared" si="30"/>
        <v>96664601084.939575</v>
      </c>
      <c r="X48" s="50">
        <f t="shared" si="30"/>
        <v>101747580581.98418</v>
      </c>
      <c r="Y48" s="50">
        <f t="shared" si="30"/>
        <v>106830560079.02878</v>
      </c>
      <c r="Z48" s="50">
        <f t="shared" si="30"/>
        <v>111913539576.07339</v>
      </c>
      <c r="AA48" s="50">
        <f t="shared" si="30"/>
        <v>116996519073.11803</v>
      </c>
      <c r="AB48" s="50">
        <f t="shared" si="30"/>
        <v>122079498570.16263</v>
      </c>
      <c r="AC48" s="50">
        <f t="shared" si="30"/>
        <v>127162478067.20724</v>
      </c>
      <c r="AD48" s="50">
        <f t="shared" si="30"/>
        <v>132245457564.25186</v>
      </c>
      <c r="AE48" s="50">
        <f t="shared" si="30"/>
        <v>137328437061.29648</v>
      </c>
      <c r="AF48" s="50">
        <f t="shared" si="30"/>
        <v>142411304658.41595</v>
      </c>
      <c r="AG48" s="50">
        <f t="shared" si="30"/>
        <v>184353957584.67859</v>
      </c>
      <c r="AH48" s="50">
        <f t="shared" si="30"/>
        <v>226296610510.94125</v>
      </c>
      <c r="AI48" s="50">
        <f t="shared" si="30"/>
        <v>268239263437.20392</v>
      </c>
      <c r="AJ48" s="50">
        <f t="shared" si="30"/>
        <v>310181916363.46655</v>
      </c>
      <c r="AK48" s="50">
        <f t="shared" si="30"/>
        <v>352124569289.72925</v>
      </c>
      <c r="AL48" s="50">
        <f t="shared" si="30"/>
        <v>394067222215.99188</v>
      </c>
      <c r="AM48" s="50">
        <f t="shared" si="30"/>
        <v>436009875142.25452</v>
      </c>
      <c r="AN48" s="50">
        <f t="shared" si="30"/>
        <v>477952528068.51721</v>
      </c>
      <c r="AO48" s="50">
        <f t="shared" si="30"/>
        <v>519895180994.77985</v>
      </c>
      <c r="AP48" s="50">
        <f t="shared" si="30"/>
        <v>561837833921.04248</v>
      </c>
      <c r="AQ48" s="50">
        <f t="shared" si="30"/>
        <v>603780486847.30518</v>
      </c>
      <c r="AR48" s="50">
        <f t="shared" si="30"/>
        <v>645723139773.56787</v>
      </c>
      <c r="AS48" s="50">
        <f t="shared" si="30"/>
        <v>687665792699.83044</v>
      </c>
      <c r="AT48" s="50">
        <f t="shared" si="30"/>
        <v>729608445626.09302</v>
      </c>
      <c r="AU48" s="50">
        <f t="shared" si="30"/>
        <v>771551098552.35559</v>
      </c>
      <c r="AV48" s="50">
        <f t="shared" si="30"/>
        <v>813493751478.61816</v>
      </c>
      <c r="AW48" s="50">
        <f t="shared" si="30"/>
        <v>855436404404.88074</v>
      </c>
      <c r="AX48" s="50">
        <f t="shared" si="30"/>
        <v>897379057331.14331</v>
      </c>
      <c r="AY48" s="50">
        <f t="shared" si="30"/>
        <v>939321710257.40601</v>
      </c>
      <c r="AZ48" s="50">
        <f t="shared" si="30"/>
        <v>981264363183.66858</v>
      </c>
      <c r="BA48" s="50">
        <f t="shared" si="30"/>
        <v>1023207016109.9312</v>
      </c>
      <c r="BB48" s="50">
        <f t="shared" si="30"/>
        <v>1065149669036.1937</v>
      </c>
      <c r="BC48" s="50">
        <f t="shared" si="30"/>
        <v>1107092321962.4563</v>
      </c>
      <c r="BD48" s="50">
        <f t="shared" si="30"/>
        <v>1149034974888.719</v>
      </c>
      <c r="BE48" s="50">
        <f t="shared" si="30"/>
        <v>1190977627814.9814</v>
      </c>
      <c r="BF48" s="50">
        <f t="shared" si="30"/>
        <v>1232920280741.2441</v>
      </c>
      <c r="BG48" s="50">
        <f t="shared" si="30"/>
        <v>1274862933667.5068</v>
      </c>
      <c r="BH48" s="50">
        <f t="shared" si="30"/>
        <v>1316805586593.7695</v>
      </c>
      <c r="BI48" s="50">
        <f t="shared" si="30"/>
        <v>1358748239520.0322</v>
      </c>
      <c r="BJ48" s="50">
        <f t="shared" si="30"/>
        <v>1400690892446.2949</v>
      </c>
      <c r="BK48" s="50">
        <f t="shared" si="30"/>
        <v>1442633545372.5579</v>
      </c>
      <c r="BM48" s="101" t="s">
        <v>38</v>
      </c>
      <c r="BN48" s="55" t="s">
        <v>105</v>
      </c>
      <c r="BO48" s="66">
        <f>D47/1000000000000</f>
        <v>2.0945863829462043E-2</v>
      </c>
      <c r="BP48" s="66">
        <f>M47/1000000000000</f>
        <v>0.20945863829462041</v>
      </c>
      <c r="BQ48" s="67">
        <f>W47/1000000000000</f>
        <v>1.3985614148904773</v>
      </c>
      <c r="BR48" s="67">
        <f>AG47/1000000000000</f>
        <v>2.6616654170623275</v>
      </c>
      <c r="BS48" s="67">
        <f>AQ47/1000000000000</f>
        <v>6.0500371385665472</v>
      </c>
      <c r="BT48" s="58">
        <f>BA47/1000000000000</f>
        <v>9.4384088600707656</v>
      </c>
      <c r="BU48" s="58">
        <f>BK47/1000000000000</f>
        <v>12.826780581574981</v>
      </c>
    </row>
    <row r="49" spans="1:74" x14ac:dyDescent="0.25">
      <c r="A49" s="50" t="s">
        <v>71</v>
      </c>
      <c r="B49" s="50" t="s">
        <v>105</v>
      </c>
      <c r="C49" s="50" t="s">
        <v>109</v>
      </c>
      <c r="D49" s="50">
        <f>D54*$D$61</f>
        <v>38467632636.660408</v>
      </c>
      <c r="E49" s="50">
        <f t="shared" ref="E49:BK49" si="31">E54*$D$61</f>
        <v>76935265273.320816</v>
      </c>
      <c r="F49" s="50">
        <f t="shared" si="31"/>
        <v>115402897909.9812</v>
      </c>
      <c r="G49" s="50">
        <f t="shared" si="31"/>
        <v>153870530546.64163</v>
      </c>
      <c r="H49" s="50">
        <f t="shared" si="31"/>
        <v>192338163183.30203</v>
      </c>
      <c r="I49" s="50">
        <f t="shared" si="31"/>
        <v>230805795819.9624</v>
      </c>
      <c r="J49" s="50">
        <f t="shared" si="31"/>
        <v>269273428456.62283</v>
      </c>
      <c r="K49" s="50">
        <f t="shared" si="31"/>
        <v>307741061093.28326</v>
      </c>
      <c r="L49" s="50">
        <f t="shared" si="31"/>
        <v>346208693729.94366</v>
      </c>
      <c r="M49" s="50">
        <f t="shared" si="31"/>
        <v>384676326366.60406</v>
      </c>
      <c r="N49" s="50">
        <f t="shared" si="31"/>
        <v>413014964761.60956</v>
      </c>
      <c r="O49" s="50">
        <f t="shared" si="31"/>
        <v>473042309596.35553</v>
      </c>
      <c r="P49" s="50">
        <f t="shared" si="31"/>
        <v>560404066267.67346</v>
      </c>
      <c r="Q49" s="50">
        <f t="shared" si="31"/>
        <v>574487053735.35046</v>
      </c>
      <c r="R49" s="50">
        <f t="shared" si="31"/>
        <v>655601171659.73401</v>
      </c>
      <c r="S49" s="50">
        <f t="shared" si="31"/>
        <v>788161062010.43115</v>
      </c>
      <c r="T49" s="50">
        <f t="shared" si="31"/>
        <v>990135632416.01428</v>
      </c>
      <c r="U49" s="50">
        <f t="shared" si="31"/>
        <v>1207767007800.8113</v>
      </c>
      <c r="V49" s="50">
        <f t="shared" si="31"/>
        <v>1506726640075.9741</v>
      </c>
      <c r="W49" s="50">
        <f t="shared" si="31"/>
        <v>1667034381553.0754</v>
      </c>
      <c r="X49" s="50">
        <f t="shared" si="31"/>
        <v>1827342123030.177</v>
      </c>
      <c r="Y49" s="50">
        <f t="shared" si="31"/>
        <v>1987649864507.2786</v>
      </c>
      <c r="Z49" s="50">
        <f t="shared" si="31"/>
        <v>2147957605984.3799</v>
      </c>
      <c r="AA49" s="50">
        <f t="shared" si="31"/>
        <v>2308265347461.481</v>
      </c>
      <c r="AB49" s="50">
        <f t="shared" si="31"/>
        <v>2468573088938.583</v>
      </c>
      <c r="AC49" s="50">
        <f t="shared" si="31"/>
        <v>2628880830415.6846</v>
      </c>
      <c r="AD49" s="50">
        <f t="shared" si="31"/>
        <v>2789188571892.7856</v>
      </c>
      <c r="AE49" s="50">
        <f t="shared" si="31"/>
        <v>2949496313369.8872</v>
      </c>
      <c r="AF49" s="50">
        <f t="shared" si="31"/>
        <v>3109803918047.0796</v>
      </c>
      <c r="AG49" s="50">
        <f t="shared" si="31"/>
        <v>3320733124110.478</v>
      </c>
      <c r="AH49" s="50">
        <f t="shared" si="31"/>
        <v>3531662330173.8765</v>
      </c>
      <c r="AI49" s="50">
        <f t="shared" si="31"/>
        <v>3742591536237.2749</v>
      </c>
      <c r="AJ49" s="50">
        <f t="shared" si="31"/>
        <v>3953520742300.6733</v>
      </c>
      <c r="AK49" s="50">
        <f t="shared" si="31"/>
        <v>4164449948364.0718</v>
      </c>
      <c r="AL49" s="50">
        <f t="shared" si="31"/>
        <v>4375379154427.4702</v>
      </c>
      <c r="AM49" s="50">
        <f t="shared" si="31"/>
        <v>4586308360490.8682</v>
      </c>
      <c r="AN49" s="50">
        <f t="shared" si="31"/>
        <v>4797237566554.2666</v>
      </c>
      <c r="AO49" s="50">
        <f t="shared" si="31"/>
        <v>5008166772617.665</v>
      </c>
      <c r="AP49" s="50">
        <f t="shared" si="31"/>
        <v>5219095978681.0635</v>
      </c>
      <c r="AQ49" s="50">
        <f t="shared" si="31"/>
        <v>5430025184744.4619</v>
      </c>
      <c r="AR49" s="50">
        <f t="shared" si="31"/>
        <v>5640954390807.8604</v>
      </c>
      <c r="AS49" s="50">
        <f t="shared" si="31"/>
        <v>5851883596871.2588</v>
      </c>
      <c r="AT49" s="50">
        <f t="shared" si="31"/>
        <v>6062812802934.6572</v>
      </c>
      <c r="AU49" s="50">
        <f t="shared" si="31"/>
        <v>6273742008998.0557</v>
      </c>
      <c r="AV49" s="50">
        <f t="shared" si="31"/>
        <v>6484671215061.4541</v>
      </c>
      <c r="AW49" s="50">
        <f t="shared" si="31"/>
        <v>6695600421124.8525</v>
      </c>
      <c r="AX49" s="50">
        <f t="shared" si="31"/>
        <v>6906529627188.251</v>
      </c>
      <c r="AY49" s="50">
        <f t="shared" si="31"/>
        <v>7117458833251.6494</v>
      </c>
      <c r="AZ49" s="50">
        <f t="shared" si="31"/>
        <v>7328388039315.0479</v>
      </c>
      <c r="BA49" s="50">
        <f t="shared" si="31"/>
        <v>7539317245378.4463</v>
      </c>
      <c r="BB49" s="50">
        <f t="shared" si="31"/>
        <v>7750246451441.8447</v>
      </c>
      <c r="BC49" s="50">
        <f t="shared" si="31"/>
        <v>7961175657505.2432</v>
      </c>
      <c r="BD49" s="50">
        <f t="shared" si="31"/>
        <v>8172104863568.6416</v>
      </c>
      <c r="BE49" s="50">
        <f t="shared" si="31"/>
        <v>8383034069632.04</v>
      </c>
      <c r="BF49" s="50">
        <f t="shared" si="31"/>
        <v>8593963275695.4385</v>
      </c>
      <c r="BG49" s="50">
        <f t="shared" si="31"/>
        <v>8804892481758.8379</v>
      </c>
      <c r="BH49" s="50">
        <f t="shared" si="31"/>
        <v>9015821687822.2363</v>
      </c>
      <c r="BI49" s="50">
        <f t="shared" si="31"/>
        <v>9226750893885.6348</v>
      </c>
      <c r="BJ49" s="50">
        <f t="shared" si="31"/>
        <v>9437680099949.0332</v>
      </c>
      <c r="BK49" s="50">
        <f t="shared" si="31"/>
        <v>9648609306012.4395</v>
      </c>
      <c r="BM49" s="102"/>
      <c r="BN49" s="53" t="s">
        <v>106</v>
      </c>
      <c r="BO49" s="68">
        <f>D48/1000000000000</f>
        <v>0</v>
      </c>
      <c r="BP49" s="68">
        <f>M48/1000000000000</f>
        <v>0</v>
      </c>
      <c r="BQ49" s="69">
        <f>W48/1000000000000</f>
        <v>9.6664601084939572E-2</v>
      </c>
      <c r="BR49" s="69">
        <f>AG48/1000000000000</f>
        <v>0.1843539575846786</v>
      </c>
      <c r="BS49" s="69">
        <f>AQ48/1000000000000</f>
        <v>0.60378048684730523</v>
      </c>
      <c r="BT49" s="70">
        <f>BA48/1000000000000</f>
        <v>1.0232070161099311</v>
      </c>
      <c r="BU49" s="70">
        <f>BK48/1000000000000</f>
        <v>1.4426335453725578</v>
      </c>
    </row>
    <row r="50" spans="1:74" x14ac:dyDescent="0.25">
      <c r="A50" s="50" t="s">
        <v>71</v>
      </c>
      <c r="B50" s="50" t="s">
        <v>106</v>
      </c>
      <c r="C50" s="50" t="s">
        <v>109</v>
      </c>
      <c r="D50" s="50">
        <f>D55*$D$62</f>
        <v>3290087890.1688004</v>
      </c>
      <c r="E50" s="50">
        <f t="shared" ref="E50:BK50" si="32">E55*$D$62</f>
        <v>6580175780.3376007</v>
      </c>
      <c r="F50" s="50">
        <f t="shared" si="32"/>
        <v>9870263670.506403</v>
      </c>
      <c r="G50" s="50">
        <f t="shared" si="32"/>
        <v>13160351560.675201</v>
      </c>
      <c r="H50" s="50">
        <f t="shared" si="32"/>
        <v>16450439450.844002</v>
      </c>
      <c r="I50" s="50">
        <f t="shared" si="32"/>
        <v>19740527341.012802</v>
      </c>
      <c r="J50" s="50">
        <f t="shared" si="32"/>
        <v>23030615231.181599</v>
      </c>
      <c r="K50" s="50">
        <f t="shared" si="32"/>
        <v>26320703121.350399</v>
      </c>
      <c r="L50" s="50">
        <f t="shared" si="32"/>
        <v>29610791011.519199</v>
      </c>
      <c r="M50" s="50">
        <f t="shared" si="32"/>
        <v>32900878901.688004</v>
      </c>
      <c r="N50" s="50">
        <f t="shared" si="32"/>
        <v>41234325202.444504</v>
      </c>
      <c r="O50" s="50">
        <f t="shared" si="32"/>
        <v>53723671996.045807</v>
      </c>
      <c r="P50" s="50">
        <f t="shared" si="32"/>
        <v>71797510076.907303</v>
      </c>
      <c r="Q50" s="50">
        <f t="shared" si="32"/>
        <v>90910323280.980011</v>
      </c>
      <c r="R50" s="50">
        <f t="shared" si="32"/>
        <v>141395856143.01758</v>
      </c>
      <c r="S50" s="50">
        <f t="shared" si="32"/>
        <v>234394952327.95343</v>
      </c>
      <c r="T50" s="50">
        <f t="shared" si="32"/>
        <v>317922058639.61383</v>
      </c>
      <c r="U50" s="50">
        <f t="shared" si="32"/>
        <v>479341979089.91705</v>
      </c>
      <c r="V50" s="50">
        <f t="shared" si="32"/>
        <v>562425994966.79285</v>
      </c>
      <c r="W50" s="50">
        <f t="shared" si="32"/>
        <v>645510010843.6687</v>
      </c>
      <c r="X50" s="50">
        <f t="shared" si="32"/>
        <v>728594026720.54443</v>
      </c>
      <c r="Y50" s="50">
        <f t="shared" si="32"/>
        <v>811678042597.42029</v>
      </c>
      <c r="Z50" s="50">
        <f t="shared" si="32"/>
        <v>894762058474.29614</v>
      </c>
      <c r="AA50" s="50">
        <f t="shared" si="32"/>
        <v>977846074351.17212</v>
      </c>
      <c r="AB50" s="50">
        <f t="shared" si="32"/>
        <v>1060930090228.048</v>
      </c>
      <c r="AC50" s="50">
        <f t="shared" si="32"/>
        <v>1144014106104.9241</v>
      </c>
      <c r="AD50" s="50">
        <f t="shared" si="32"/>
        <v>1227098121981.7996</v>
      </c>
      <c r="AE50" s="50">
        <f t="shared" si="32"/>
        <v>1310182137858.6755</v>
      </c>
      <c r="AF50" s="50">
        <f t="shared" si="32"/>
        <v>1393265967235.6758</v>
      </c>
      <c r="AG50" s="50">
        <f t="shared" si="32"/>
        <v>2075915808900.6438</v>
      </c>
      <c r="AH50" s="50">
        <f t="shared" si="32"/>
        <v>2758565650565.6113</v>
      </c>
      <c r="AI50" s="50">
        <f t="shared" si="32"/>
        <v>3441215492230.5796</v>
      </c>
      <c r="AJ50" s="50">
        <f t="shared" si="32"/>
        <v>4123865333895.5469</v>
      </c>
      <c r="AK50" s="50">
        <f t="shared" si="32"/>
        <v>4806515175560.5146</v>
      </c>
      <c r="AL50" s="50">
        <f t="shared" si="32"/>
        <v>5489165017225.4824</v>
      </c>
      <c r="AM50" s="50">
        <f t="shared" si="32"/>
        <v>6171814858890.4502</v>
      </c>
      <c r="AN50" s="50">
        <f t="shared" si="32"/>
        <v>6854464700555.417</v>
      </c>
      <c r="AO50" s="50">
        <f t="shared" si="32"/>
        <v>7537114542220.3848</v>
      </c>
      <c r="AP50" s="50">
        <f t="shared" si="32"/>
        <v>8219764383885.3525</v>
      </c>
      <c r="AQ50" s="50">
        <f t="shared" si="32"/>
        <v>8902414225550.3203</v>
      </c>
      <c r="AR50" s="50">
        <f t="shared" si="32"/>
        <v>9585064067215.2871</v>
      </c>
      <c r="AS50" s="50">
        <f t="shared" si="32"/>
        <v>10267713908880.256</v>
      </c>
      <c r="AT50" s="50">
        <f t="shared" si="32"/>
        <v>10950363750545.223</v>
      </c>
      <c r="AU50" s="50">
        <f t="shared" si="32"/>
        <v>11633013592210.191</v>
      </c>
      <c r="AV50" s="50">
        <f t="shared" si="32"/>
        <v>12315663433875.158</v>
      </c>
      <c r="AW50" s="50">
        <f t="shared" si="32"/>
        <v>12998313275540.127</v>
      </c>
      <c r="AX50" s="50">
        <f t="shared" si="32"/>
        <v>13680963117205.094</v>
      </c>
      <c r="AY50" s="50">
        <f t="shared" si="32"/>
        <v>14363612958870.061</v>
      </c>
      <c r="AZ50" s="50">
        <f t="shared" si="32"/>
        <v>15046262800535.029</v>
      </c>
      <c r="BA50" s="50">
        <f t="shared" si="32"/>
        <v>15728912642199.996</v>
      </c>
      <c r="BB50" s="50">
        <f t="shared" si="32"/>
        <v>16411562483864.965</v>
      </c>
      <c r="BC50" s="50">
        <f t="shared" si="32"/>
        <v>17094212325529.932</v>
      </c>
      <c r="BD50" s="50">
        <f t="shared" si="32"/>
        <v>17776862167194.898</v>
      </c>
      <c r="BE50" s="50">
        <f t="shared" si="32"/>
        <v>18459512008859.867</v>
      </c>
      <c r="BF50" s="50">
        <f t="shared" si="32"/>
        <v>19142161850524.836</v>
      </c>
      <c r="BG50" s="50">
        <f t="shared" si="32"/>
        <v>19824811692189.805</v>
      </c>
      <c r="BH50" s="50">
        <f t="shared" si="32"/>
        <v>20507461533854.77</v>
      </c>
      <c r="BI50" s="50">
        <f t="shared" si="32"/>
        <v>21190111375519.738</v>
      </c>
      <c r="BJ50" s="50">
        <f t="shared" si="32"/>
        <v>21872761217184.707</v>
      </c>
      <c r="BK50" s="50">
        <f t="shared" si="32"/>
        <v>22555411058849.68</v>
      </c>
      <c r="BM50" s="102" t="s">
        <v>71</v>
      </c>
      <c r="BN50" s="53" t="s">
        <v>105</v>
      </c>
      <c r="BO50" s="69">
        <f>D49/1000000000000</f>
        <v>3.8467632636660407E-2</v>
      </c>
      <c r="BP50" s="69">
        <f>M49/1000000000000</f>
        <v>0.38467632636660404</v>
      </c>
      <c r="BQ50" s="70">
        <f>W49/1000000000000</f>
        <v>1.6670343815530755</v>
      </c>
      <c r="BR50" s="70">
        <f>AG49/1000000000000</f>
        <v>3.3207331241104781</v>
      </c>
      <c r="BS50" s="70">
        <f>AQ49/1000000000000</f>
        <v>5.4300251847444621</v>
      </c>
      <c r="BT50" s="70">
        <f>BA49/1000000000000</f>
        <v>7.5393172453784461</v>
      </c>
      <c r="BU50" s="70">
        <f>BK49/1000000000000</f>
        <v>9.6486093060124389</v>
      </c>
    </row>
    <row r="51" spans="1:74" x14ac:dyDescent="0.25">
      <c r="BM51" s="103"/>
      <c r="BN51" s="54" t="s">
        <v>106</v>
      </c>
      <c r="BO51" s="71">
        <f>D50/1000000000000</f>
        <v>3.2900878901688003E-3</v>
      </c>
      <c r="BP51" s="71">
        <f>M50/1000000000000</f>
        <v>3.2900878901688003E-2</v>
      </c>
      <c r="BQ51" s="71">
        <f>W50/1000000000000</f>
        <v>0.64551001084366866</v>
      </c>
      <c r="BR51" s="72">
        <f>AG50/1000000000000</f>
        <v>2.075915808900644</v>
      </c>
      <c r="BS51" s="59">
        <f>AQ50/1000000000000</f>
        <v>8.90241422555032</v>
      </c>
      <c r="BT51" s="59">
        <f>BA50/1000000000000</f>
        <v>15.728912642199996</v>
      </c>
      <c r="BU51" s="59">
        <f>BK50/1000000000000</f>
        <v>22.555411058849678</v>
      </c>
      <c r="BV51" s="47">
        <f>SUM(BU48:BU51)</f>
        <v>46.473434491809655</v>
      </c>
    </row>
    <row r="52" spans="1:74" x14ac:dyDescent="0.25">
      <c r="A52" s="50" t="s">
        <v>38</v>
      </c>
      <c r="B52" s="50" t="s">
        <v>105</v>
      </c>
      <c r="C52" s="50" t="s">
        <v>114</v>
      </c>
      <c r="D52" s="50">
        <v>161792820</v>
      </c>
      <c r="E52" s="50">
        <v>323585640</v>
      </c>
      <c r="F52" s="50">
        <v>485378460</v>
      </c>
      <c r="G52" s="50">
        <v>647171280</v>
      </c>
      <c r="H52" s="50">
        <v>808964100</v>
      </c>
      <c r="I52" s="50">
        <v>970756920.00000012</v>
      </c>
      <c r="J52" s="50">
        <v>1132549740</v>
      </c>
      <c r="K52" s="50">
        <v>1294342560</v>
      </c>
      <c r="L52" s="50">
        <v>1456135380</v>
      </c>
      <c r="M52" s="50">
        <v>1617928200</v>
      </c>
      <c r="N52" s="50">
        <v>1765249500</v>
      </c>
      <c r="O52" s="50">
        <v>2140221300</v>
      </c>
      <c r="P52" s="50">
        <v>2804470200</v>
      </c>
      <c r="Q52" s="50">
        <v>3395135100</v>
      </c>
      <c r="R52" s="50">
        <v>3904397700</v>
      </c>
      <c r="S52" s="50">
        <v>4884352620</v>
      </c>
      <c r="T52" s="50">
        <v>6521044740</v>
      </c>
      <c r="U52" s="50">
        <v>9283326780</v>
      </c>
      <c r="V52" s="50">
        <v>10009693172.696001</v>
      </c>
      <c r="W52" s="50">
        <v>10802953609.392</v>
      </c>
      <c r="X52" s="50">
        <v>11596214046.088001</v>
      </c>
      <c r="Y52" s="50">
        <v>12389474482.784</v>
      </c>
      <c r="Z52" s="50">
        <v>13182734919.480001</v>
      </c>
      <c r="AA52" s="50">
        <v>13975995356.175999</v>
      </c>
      <c r="AB52" s="50">
        <v>14769255792.872</v>
      </c>
      <c r="AC52" s="50">
        <v>15562516229.567999</v>
      </c>
      <c r="AD52" s="50">
        <v>16355776666.264</v>
      </c>
      <c r="AE52" s="50">
        <v>17149037102.959999</v>
      </c>
      <c r="AF52" s="50">
        <v>17942298068</v>
      </c>
      <c r="AG52" s="50">
        <v>20559589102.13398</v>
      </c>
      <c r="AH52" s="50">
        <v>23176880136.26796</v>
      </c>
      <c r="AI52" s="50">
        <v>25794171170.401939</v>
      </c>
      <c r="AJ52" s="50">
        <v>28411462204.535919</v>
      </c>
      <c r="AK52" s="50">
        <v>31028753238.669899</v>
      </c>
      <c r="AL52" s="50">
        <v>33646044272.803879</v>
      </c>
      <c r="AM52" s="50">
        <v>36263335306.937859</v>
      </c>
      <c r="AN52" s="50">
        <v>38880626341.071838</v>
      </c>
      <c r="AO52" s="50">
        <v>41497917375.205818</v>
      </c>
      <c r="AP52" s="50">
        <v>44115208409.339798</v>
      </c>
      <c r="AQ52" s="50">
        <v>46732499443.473778</v>
      </c>
      <c r="AR52" s="50">
        <v>49349790477.607758</v>
      </c>
      <c r="AS52" s="50">
        <v>51967081511.741737</v>
      </c>
      <c r="AT52" s="50">
        <v>54584372545.875717</v>
      </c>
      <c r="AU52" s="50">
        <v>57201663580.009697</v>
      </c>
      <c r="AV52" s="50">
        <v>59818954614.143677</v>
      </c>
      <c r="AW52" s="50">
        <v>62436245648.277657</v>
      </c>
      <c r="AX52" s="50">
        <v>65053536682.411636</v>
      </c>
      <c r="AY52" s="50">
        <v>67670827716.545616</v>
      </c>
      <c r="AZ52" s="50">
        <v>70288118750.679596</v>
      </c>
      <c r="BA52" s="50">
        <v>72905409784.813568</v>
      </c>
      <c r="BB52" s="50">
        <v>75522700818.94754</v>
      </c>
      <c r="BC52" s="50">
        <v>78139991853.081512</v>
      </c>
      <c r="BD52" s="50">
        <v>80757282887.215485</v>
      </c>
      <c r="BE52" s="50">
        <v>83374573921.349457</v>
      </c>
      <c r="BF52" s="50">
        <v>85991864955.483429</v>
      </c>
      <c r="BG52" s="50">
        <v>88609155989.617401</v>
      </c>
      <c r="BH52" s="50">
        <v>91226447023.751373</v>
      </c>
      <c r="BI52" s="50">
        <v>93843738057.885345</v>
      </c>
      <c r="BJ52" s="50">
        <v>96461029092.019318</v>
      </c>
      <c r="BK52" s="50">
        <v>99078320126.153336</v>
      </c>
      <c r="BM52" s="65" t="s">
        <v>120</v>
      </c>
    </row>
    <row r="53" spans="1:74" x14ac:dyDescent="0.25">
      <c r="A53" s="50" t="s">
        <v>38</v>
      </c>
      <c r="B53" s="50" t="s">
        <v>106</v>
      </c>
      <c r="C53" s="50" t="s">
        <v>114</v>
      </c>
      <c r="D53" s="50">
        <v>0</v>
      </c>
      <c r="E53" s="50">
        <v>0</v>
      </c>
      <c r="F53" s="50">
        <v>0</v>
      </c>
      <c r="G53" s="50">
        <v>0</v>
      </c>
      <c r="H53" s="50">
        <v>0</v>
      </c>
      <c r="I53" s="50">
        <v>0</v>
      </c>
      <c r="J53" s="50">
        <v>0</v>
      </c>
      <c r="K53" s="50">
        <v>0</v>
      </c>
      <c r="L53" s="50">
        <v>0</v>
      </c>
      <c r="M53" s="50">
        <v>0</v>
      </c>
      <c r="N53" s="50">
        <v>8569470</v>
      </c>
      <c r="O53" s="50">
        <v>10485720</v>
      </c>
      <c r="P53" s="50">
        <v>14210910</v>
      </c>
      <c r="Q53" s="50">
        <v>27900600</v>
      </c>
      <c r="R53" s="50">
        <v>90784260</v>
      </c>
      <c r="S53" s="50">
        <v>250446210</v>
      </c>
      <c r="T53" s="50">
        <v>489824160</v>
      </c>
      <c r="U53" s="50">
        <v>612614868</v>
      </c>
      <c r="V53" s="50">
        <v>648614378.95600009</v>
      </c>
      <c r="W53" s="50">
        <v>684613889.91200018</v>
      </c>
      <c r="X53" s="50">
        <v>720613400.86800015</v>
      </c>
      <c r="Y53" s="50">
        <v>756612911.82400012</v>
      </c>
      <c r="Z53" s="50">
        <v>792612422.78000021</v>
      </c>
      <c r="AA53" s="50">
        <v>828611933.7360003</v>
      </c>
      <c r="AB53" s="50">
        <v>864611444.69200027</v>
      </c>
      <c r="AC53" s="50">
        <v>900610955.64800036</v>
      </c>
      <c r="AD53" s="50">
        <v>936610466.60400045</v>
      </c>
      <c r="AE53" s="50">
        <v>972609977.56000042</v>
      </c>
      <c r="AF53" s="50">
        <v>1008608696.0000001</v>
      </c>
      <c r="AG53" s="50">
        <v>1305661830.7648768</v>
      </c>
      <c r="AH53" s="50">
        <v>1602714965.5297537</v>
      </c>
      <c r="AI53" s="50">
        <v>1899768100.2946305</v>
      </c>
      <c r="AJ53" s="50">
        <v>2196821235.0595074</v>
      </c>
      <c r="AK53" s="50">
        <v>2493874369.8243842</v>
      </c>
      <c r="AL53" s="50">
        <v>2790927504.5892611</v>
      </c>
      <c r="AM53" s="50">
        <v>3087980639.3541379</v>
      </c>
      <c r="AN53" s="50">
        <v>3385033774.1190147</v>
      </c>
      <c r="AO53" s="50">
        <v>3682086908.8838916</v>
      </c>
      <c r="AP53" s="50">
        <v>3979140043.6487684</v>
      </c>
      <c r="AQ53" s="50">
        <v>4276193178.4136453</v>
      </c>
      <c r="AR53" s="50">
        <v>4573246313.1785221</v>
      </c>
      <c r="AS53" s="50">
        <v>4870299447.9433985</v>
      </c>
      <c r="AT53" s="50">
        <v>5167352582.7082748</v>
      </c>
      <c r="AU53" s="50">
        <v>5464405717.4731512</v>
      </c>
      <c r="AV53" s="50">
        <v>5761458852.2380276</v>
      </c>
      <c r="AW53" s="50">
        <v>6058511987.0029039</v>
      </c>
      <c r="AX53" s="50">
        <v>6355565121.7677803</v>
      </c>
      <c r="AY53" s="50">
        <v>6652618256.5326567</v>
      </c>
      <c r="AZ53" s="50">
        <v>6949671391.297533</v>
      </c>
      <c r="BA53" s="50">
        <v>7246724526.0624094</v>
      </c>
      <c r="BB53" s="50">
        <v>7543777660.8272858</v>
      </c>
      <c r="BC53" s="50">
        <v>7840830795.5921621</v>
      </c>
      <c r="BD53" s="50">
        <v>8137883930.3570385</v>
      </c>
      <c r="BE53" s="50">
        <v>8434937065.1219149</v>
      </c>
      <c r="BF53" s="50">
        <v>8731990199.8867912</v>
      </c>
      <c r="BG53" s="50">
        <v>9029043334.6516685</v>
      </c>
      <c r="BH53" s="50">
        <v>9326096469.4165459</v>
      </c>
      <c r="BI53" s="50">
        <v>9623149604.1814232</v>
      </c>
      <c r="BJ53" s="50">
        <v>9920202738.9463005</v>
      </c>
      <c r="BK53" s="50">
        <v>10217255873.71118</v>
      </c>
    </row>
    <row r="54" spans="1:74" x14ac:dyDescent="0.25">
      <c r="A54" s="50" t="s">
        <v>71</v>
      </c>
      <c r="B54" s="50" t="s">
        <v>105</v>
      </c>
      <c r="C54" s="50" t="s">
        <v>114</v>
      </c>
      <c r="D54" s="50">
        <v>297136791</v>
      </c>
      <c r="E54" s="50">
        <v>594273582</v>
      </c>
      <c r="F54" s="50">
        <v>891410372.99999988</v>
      </c>
      <c r="G54" s="50">
        <v>1188547164</v>
      </c>
      <c r="H54" s="50">
        <v>1485683955</v>
      </c>
      <c r="I54" s="50">
        <v>1782820745.9999998</v>
      </c>
      <c r="J54" s="50">
        <v>2079957537</v>
      </c>
      <c r="K54" s="50">
        <v>2377094328</v>
      </c>
      <c r="L54" s="50">
        <v>2674231119</v>
      </c>
      <c r="M54" s="50">
        <v>2971367910</v>
      </c>
      <c r="N54" s="50">
        <v>3190264979.9999995</v>
      </c>
      <c r="O54" s="50">
        <v>3653936159.9999995</v>
      </c>
      <c r="P54" s="50">
        <v>4328747430</v>
      </c>
      <c r="Q54" s="50">
        <v>4437529110</v>
      </c>
      <c r="R54" s="50">
        <v>5064081540</v>
      </c>
      <c r="S54" s="50">
        <v>6088018230</v>
      </c>
      <c r="T54" s="50">
        <v>7648137000.000001</v>
      </c>
      <c r="U54" s="50">
        <v>9329194140</v>
      </c>
      <c r="V54" s="50">
        <v>11638457790.608002</v>
      </c>
      <c r="W54" s="50">
        <v>12876728113.216002</v>
      </c>
      <c r="X54" s="50">
        <v>14114998435.824003</v>
      </c>
      <c r="Y54" s="50">
        <v>15353268758.432003</v>
      </c>
      <c r="Z54" s="50">
        <v>16591539081.040003</v>
      </c>
      <c r="AA54" s="50">
        <v>17829809403.648003</v>
      </c>
      <c r="AB54" s="50">
        <v>19068079726.256004</v>
      </c>
      <c r="AC54" s="50">
        <v>20306350048.864006</v>
      </c>
      <c r="AD54" s="50">
        <v>21544620371.472004</v>
      </c>
      <c r="AE54" s="50">
        <v>22782890694.080006</v>
      </c>
      <c r="AF54" s="50">
        <v>24021159960</v>
      </c>
      <c r="AG54" s="50">
        <v>25650447314.640213</v>
      </c>
      <c r="AH54" s="50">
        <v>27279734669.280426</v>
      </c>
      <c r="AI54" s="50">
        <v>28909022023.920639</v>
      </c>
      <c r="AJ54" s="50">
        <v>30538309378.560852</v>
      </c>
      <c r="AK54" s="50">
        <v>32167596733.201065</v>
      </c>
      <c r="AL54" s="50">
        <v>33796884087.841278</v>
      </c>
      <c r="AM54" s="50">
        <v>35426171442.481491</v>
      </c>
      <c r="AN54" s="50">
        <v>37055458797.121704</v>
      </c>
      <c r="AO54" s="50">
        <v>38684746151.761917</v>
      </c>
      <c r="AP54" s="50">
        <v>40314033506.40213</v>
      </c>
      <c r="AQ54" s="50">
        <v>41943320861.042343</v>
      </c>
      <c r="AR54" s="50">
        <v>43572608215.682556</v>
      </c>
      <c r="AS54" s="50">
        <v>45201895570.322769</v>
      </c>
      <c r="AT54" s="50">
        <v>46831182924.962982</v>
      </c>
      <c r="AU54" s="50">
        <v>48460470279.603195</v>
      </c>
      <c r="AV54" s="50">
        <v>50089757634.243408</v>
      </c>
      <c r="AW54" s="50">
        <v>51719044988.883621</v>
      </c>
      <c r="AX54" s="50">
        <v>53348332343.523834</v>
      </c>
      <c r="AY54" s="50">
        <v>54977619698.164047</v>
      </c>
      <c r="AZ54" s="50">
        <v>56606907052.80426</v>
      </c>
      <c r="BA54" s="50">
        <v>58236194407.444473</v>
      </c>
      <c r="BB54" s="50">
        <v>59865481762.084686</v>
      </c>
      <c r="BC54" s="50">
        <v>61494769116.724899</v>
      </c>
      <c r="BD54" s="50">
        <v>63124056471.365112</v>
      </c>
      <c r="BE54" s="50">
        <v>64753343826.005325</v>
      </c>
      <c r="BF54" s="50">
        <v>66382631180.645538</v>
      </c>
      <c r="BG54" s="50">
        <v>68011918535.285751</v>
      </c>
      <c r="BH54" s="50">
        <v>69641205889.925964</v>
      </c>
      <c r="BI54" s="50">
        <v>71270493244.566177</v>
      </c>
      <c r="BJ54" s="50">
        <v>72899780599.20639</v>
      </c>
      <c r="BK54" s="50">
        <v>74529067953.846664</v>
      </c>
    </row>
    <row r="55" spans="1:74" x14ac:dyDescent="0.25">
      <c r="A55" s="50" t="s">
        <v>71</v>
      </c>
      <c r="B55" s="50" t="s">
        <v>106</v>
      </c>
      <c r="C55" s="50" t="s">
        <v>114</v>
      </c>
      <c r="D55" s="50">
        <v>23301600</v>
      </c>
      <c r="E55" s="50">
        <v>46603200</v>
      </c>
      <c r="F55" s="50">
        <v>69904800.000000015</v>
      </c>
      <c r="G55" s="50">
        <v>93206400</v>
      </c>
      <c r="H55" s="50">
        <v>116508000</v>
      </c>
      <c r="I55" s="50">
        <v>139809600</v>
      </c>
      <c r="J55" s="50">
        <v>163111199.99999997</v>
      </c>
      <c r="K55" s="50">
        <v>186412799.99999997</v>
      </c>
      <c r="L55" s="50">
        <v>209714399.99999997</v>
      </c>
      <c r="M55" s="50">
        <v>233016000</v>
      </c>
      <c r="N55" s="50">
        <v>292036500</v>
      </c>
      <c r="O55" s="50">
        <v>380490600</v>
      </c>
      <c r="P55" s="50">
        <v>508496100</v>
      </c>
      <c r="Q55" s="50">
        <v>643860000</v>
      </c>
      <c r="R55" s="50">
        <v>1001416920</v>
      </c>
      <c r="S55" s="50">
        <v>1660070370</v>
      </c>
      <c r="T55" s="50">
        <v>2251639740</v>
      </c>
      <c r="U55" s="50">
        <v>3394874372</v>
      </c>
      <c r="V55" s="50">
        <v>3983305614.2600002</v>
      </c>
      <c r="W55" s="50">
        <v>4571736856.5200005</v>
      </c>
      <c r="X55" s="50">
        <v>5160168098.7799997</v>
      </c>
      <c r="Y55" s="50">
        <v>5748599341.04</v>
      </c>
      <c r="Z55" s="50">
        <v>6337030583.3000002</v>
      </c>
      <c r="AA55" s="50">
        <v>6925461825.5600014</v>
      </c>
      <c r="AB55" s="50">
        <v>7513893067.8200016</v>
      </c>
      <c r="AC55" s="50">
        <v>8102324310.0800028</v>
      </c>
      <c r="AD55" s="50">
        <v>8690755552.3400021</v>
      </c>
      <c r="AE55" s="50">
        <v>9279186794.6000023</v>
      </c>
      <c r="AF55" s="50">
        <v>9867616716</v>
      </c>
      <c r="AG55" s="50">
        <v>14702391372.954317</v>
      </c>
      <c r="AH55" s="50">
        <v>19537166029.908634</v>
      </c>
      <c r="AI55" s="50">
        <v>24371940686.862953</v>
      </c>
      <c r="AJ55" s="50">
        <v>29206715343.817268</v>
      </c>
      <c r="AK55" s="50">
        <v>34041490000.771584</v>
      </c>
      <c r="AL55" s="50">
        <v>38876264657.725899</v>
      </c>
      <c r="AM55" s="50">
        <v>43711039314.680214</v>
      </c>
      <c r="AN55" s="50">
        <v>48545813971.634529</v>
      </c>
      <c r="AO55" s="50">
        <v>53380588628.588844</v>
      </c>
      <c r="AP55" s="50">
        <v>58215363285.543159</v>
      </c>
      <c r="AQ55" s="50">
        <v>63050137942.497475</v>
      </c>
      <c r="AR55" s="50">
        <v>67884912599.45179</v>
      </c>
      <c r="AS55" s="50">
        <v>72719687256.406113</v>
      </c>
      <c r="AT55" s="50">
        <v>77554461913.360428</v>
      </c>
      <c r="AU55" s="50">
        <v>82389236570.314743</v>
      </c>
      <c r="AV55" s="50">
        <v>87224011227.269058</v>
      </c>
      <c r="AW55" s="50">
        <v>92058785884.223373</v>
      </c>
      <c r="AX55" s="50">
        <v>96893560541.177689</v>
      </c>
      <c r="AY55" s="50">
        <v>101728335198.132</v>
      </c>
      <c r="AZ55" s="50">
        <v>106563109855.08632</v>
      </c>
      <c r="BA55" s="50">
        <v>111397884512.04063</v>
      </c>
      <c r="BB55" s="50">
        <v>116232659168.99495</v>
      </c>
      <c r="BC55" s="50">
        <v>121067433825.94926</v>
      </c>
      <c r="BD55" s="50">
        <v>125902208482.90358</v>
      </c>
      <c r="BE55" s="50">
        <v>130736983139.85789</v>
      </c>
      <c r="BF55" s="50">
        <v>135571757796.81221</v>
      </c>
      <c r="BG55" s="50">
        <v>140406532453.76654</v>
      </c>
      <c r="BH55" s="50">
        <v>145241307110.72086</v>
      </c>
      <c r="BI55" s="50">
        <v>150076081767.67517</v>
      </c>
      <c r="BJ55" s="50">
        <v>154910856424.62949</v>
      </c>
      <c r="BK55" s="50">
        <v>159745631081.58383</v>
      </c>
    </row>
    <row r="58" spans="1:74" x14ac:dyDescent="0.25">
      <c r="D58" s="50">
        <v>34.200000000000003</v>
      </c>
      <c r="E58" s="50" t="s">
        <v>115</v>
      </c>
      <c r="F58" s="50" t="s">
        <v>116</v>
      </c>
    </row>
    <row r="59" spans="1:74" x14ac:dyDescent="0.25">
      <c r="D59" s="50">
        <v>37.299999999999997</v>
      </c>
      <c r="E59" s="50" t="s">
        <v>115</v>
      </c>
      <c r="F59" s="50" t="s">
        <v>117</v>
      </c>
    </row>
    <row r="60" spans="1:74" x14ac:dyDescent="0.25">
      <c r="D60" s="50">
        <v>3.7854100000000002</v>
      </c>
      <c r="E60" s="50" t="s">
        <v>118</v>
      </c>
    </row>
    <row r="61" spans="1:74" x14ac:dyDescent="0.25">
      <c r="D61" s="50">
        <f>D58*D60</f>
        <v>129.46102200000001</v>
      </c>
      <c r="E61" s="50" t="s">
        <v>119</v>
      </c>
      <c r="F61" s="50" t="s">
        <v>116</v>
      </c>
    </row>
    <row r="62" spans="1:74" x14ac:dyDescent="0.25">
      <c r="D62" s="50">
        <f>D59*D60</f>
        <v>141.19579300000001</v>
      </c>
      <c r="E62" s="50" t="s">
        <v>119</v>
      </c>
      <c r="F62" s="50" t="s">
        <v>117</v>
      </c>
    </row>
    <row r="63" spans="1:74" x14ac:dyDescent="0.25">
      <c r="D63" s="50">
        <v>24</v>
      </c>
      <c r="E63" s="50" t="s">
        <v>115</v>
      </c>
      <c r="F63" s="50" t="s">
        <v>105</v>
      </c>
    </row>
    <row r="64" spans="1:74" x14ac:dyDescent="0.25">
      <c r="D64" s="50">
        <v>33</v>
      </c>
      <c r="E64" s="50" t="s">
        <v>115</v>
      </c>
      <c r="F64" s="50" t="s">
        <v>131</v>
      </c>
    </row>
    <row r="65" spans="4:6" x14ac:dyDescent="0.25">
      <c r="D65" s="50">
        <f>D60*D63</f>
        <v>90.84984</v>
      </c>
      <c r="E65" s="50" t="s">
        <v>119</v>
      </c>
      <c r="F65" s="50" t="s">
        <v>105</v>
      </c>
    </row>
    <row r="66" spans="4:6" x14ac:dyDescent="0.25">
      <c r="D66" s="50">
        <f>D60*D64</f>
        <v>124.91853</v>
      </c>
      <c r="E66" s="50" t="s">
        <v>119</v>
      </c>
      <c r="F66" s="50" t="s">
        <v>131</v>
      </c>
    </row>
  </sheetData>
  <mergeCells count="8">
    <mergeCell ref="BM44:BM45"/>
    <mergeCell ref="BM48:BM49"/>
    <mergeCell ref="BM50:BM51"/>
    <mergeCell ref="BM2:BM12"/>
    <mergeCell ref="BM13:BM23"/>
    <mergeCell ref="BM26:BM32"/>
    <mergeCell ref="BM33:BM39"/>
    <mergeCell ref="BM42:BM4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S32"/>
  <sheetViews>
    <sheetView topLeftCell="BG1" workbookViewId="0">
      <selection activeCell="BO33" sqref="BO33"/>
    </sheetView>
  </sheetViews>
  <sheetFormatPr defaultRowHeight="15" x14ac:dyDescent="0.25"/>
  <cols>
    <col min="1" max="1" width="43" bestFit="1" customWidth="1"/>
    <col min="2" max="2" width="9.85546875" style="50" bestFit="1" customWidth="1"/>
    <col min="3" max="3" width="5.5703125" style="50" bestFit="1" customWidth="1"/>
    <col min="67" max="67" width="19.7109375" style="50" bestFit="1" customWidth="1"/>
  </cols>
  <sheetData>
    <row r="1" spans="1:71" s="50" customFormat="1" x14ac:dyDescent="0.25">
      <c r="A1" s="50" t="s">
        <v>34</v>
      </c>
      <c r="B1" s="50" t="s">
        <v>122</v>
      </c>
      <c r="C1" s="50" t="s">
        <v>73</v>
      </c>
      <c r="D1" s="50">
        <v>1991</v>
      </c>
      <c r="E1" s="50">
        <v>1992</v>
      </c>
      <c r="F1" s="50">
        <v>1993</v>
      </c>
      <c r="G1" s="50">
        <v>1994</v>
      </c>
      <c r="H1" s="50">
        <v>1995</v>
      </c>
      <c r="I1" s="50">
        <v>1996</v>
      </c>
      <c r="J1" s="50">
        <v>1997</v>
      </c>
      <c r="K1" s="50">
        <v>1998</v>
      </c>
      <c r="L1" s="50">
        <v>1999</v>
      </c>
      <c r="M1" s="50">
        <v>2000</v>
      </c>
      <c r="N1" s="50">
        <v>2001</v>
      </c>
      <c r="O1" s="50">
        <v>2002</v>
      </c>
      <c r="P1" s="50">
        <v>2003</v>
      </c>
      <c r="Q1" s="50">
        <v>2004</v>
      </c>
      <c r="R1" s="50">
        <v>2005</v>
      </c>
      <c r="S1" s="50">
        <v>2006</v>
      </c>
      <c r="T1" s="50">
        <v>2007</v>
      </c>
      <c r="U1" s="50">
        <v>2008</v>
      </c>
      <c r="V1" s="50">
        <v>2009</v>
      </c>
      <c r="W1" s="50">
        <v>2010</v>
      </c>
      <c r="X1" s="50">
        <v>2011</v>
      </c>
      <c r="Y1" s="50">
        <v>2012</v>
      </c>
      <c r="Z1" s="50">
        <v>2013</v>
      </c>
      <c r="AA1" s="50">
        <v>2014</v>
      </c>
      <c r="AB1" s="50">
        <v>2015</v>
      </c>
      <c r="AC1" s="50">
        <v>2016</v>
      </c>
      <c r="AD1" s="50">
        <v>2017</v>
      </c>
      <c r="AE1" s="50">
        <v>2018</v>
      </c>
      <c r="AF1" s="50">
        <v>2019</v>
      </c>
      <c r="AG1" s="50">
        <v>2020</v>
      </c>
      <c r="AH1" s="50">
        <v>2021</v>
      </c>
      <c r="AI1" s="50">
        <v>2022</v>
      </c>
      <c r="AJ1" s="50">
        <v>2023</v>
      </c>
      <c r="AK1" s="50">
        <v>2024</v>
      </c>
      <c r="AL1" s="50">
        <v>2025</v>
      </c>
      <c r="AM1" s="50">
        <v>2026</v>
      </c>
      <c r="AN1" s="50">
        <v>2027</v>
      </c>
      <c r="AO1" s="50">
        <v>2028</v>
      </c>
      <c r="AP1" s="50">
        <v>2029</v>
      </c>
      <c r="AQ1" s="50">
        <v>2030</v>
      </c>
      <c r="AR1" s="50">
        <v>2031</v>
      </c>
      <c r="AS1" s="50">
        <v>2032</v>
      </c>
      <c r="AT1" s="50">
        <v>2033</v>
      </c>
      <c r="AU1" s="50">
        <v>2034</v>
      </c>
      <c r="AV1" s="50">
        <v>2035</v>
      </c>
      <c r="AW1" s="50">
        <v>2036</v>
      </c>
      <c r="AX1" s="50">
        <v>2037</v>
      </c>
      <c r="AY1" s="50">
        <v>2038</v>
      </c>
      <c r="AZ1" s="50">
        <v>2039</v>
      </c>
      <c r="BA1" s="50">
        <v>2040</v>
      </c>
      <c r="BB1" s="50">
        <v>2041</v>
      </c>
      <c r="BC1" s="50">
        <v>2042</v>
      </c>
      <c r="BD1" s="50">
        <v>2043</v>
      </c>
      <c r="BE1" s="50">
        <v>2044</v>
      </c>
      <c r="BF1" s="50">
        <v>2045</v>
      </c>
      <c r="BG1" s="50">
        <v>2046</v>
      </c>
      <c r="BH1" s="50">
        <v>2047</v>
      </c>
      <c r="BI1" s="50">
        <v>2048</v>
      </c>
      <c r="BJ1" s="50">
        <v>2049</v>
      </c>
      <c r="BK1" s="50">
        <v>2050</v>
      </c>
      <c r="BN1" s="83" t="s">
        <v>34</v>
      </c>
      <c r="BO1" s="83" t="s">
        <v>126</v>
      </c>
      <c r="BP1" s="83">
        <v>2020</v>
      </c>
      <c r="BQ1" s="83">
        <v>2030</v>
      </c>
      <c r="BR1" s="83">
        <v>2040</v>
      </c>
      <c r="BS1" s="83">
        <v>2050</v>
      </c>
    </row>
    <row r="2" spans="1:71" x14ac:dyDescent="0.25">
      <c r="A2" s="50" t="s">
        <v>38</v>
      </c>
      <c r="B2" s="50" t="s">
        <v>125</v>
      </c>
      <c r="C2" s="50" t="s">
        <v>121</v>
      </c>
      <c r="D2" s="44">
        <v>264298.13384870189</v>
      </c>
      <c r="E2" s="44">
        <v>520633.93324715138</v>
      </c>
      <c r="F2" s="44">
        <v>769361.87263473251</v>
      </c>
      <c r="G2" s="44">
        <v>1010815.693040224</v>
      </c>
      <c r="H2" s="44">
        <v>1245309.8961211501</v>
      </c>
      <c r="I2" s="44">
        <v>1473141.1108468894</v>
      </c>
      <c r="J2" s="44">
        <v>1694589.3453137057</v>
      </c>
      <c r="K2" s="44">
        <v>1909919.13479971</v>
      </c>
      <c r="L2" s="44">
        <v>2119380.5959568662</v>
      </c>
      <c r="M2" s="44">
        <v>2323210.3959727613</v>
      </c>
      <c r="N2" s="44">
        <v>2528030.7295535938</v>
      </c>
      <c r="O2" s="44">
        <v>3025243.1509060082</v>
      </c>
      <c r="P2" s="44">
        <v>3914439.356290834</v>
      </c>
      <c r="Q2" s="44">
        <v>4710896.3697284199</v>
      </c>
      <c r="R2" s="44">
        <v>5525197.0183615312</v>
      </c>
      <c r="S2" s="44">
        <v>7231647.8086248199</v>
      </c>
      <c r="T2" s="44">
        <v>10062408.411293173</v>
      </c>
      <c r="U2" s="44">
        <v>14189405.105481543</v>
      </c>
      <c r="V2" s="44">
        <v>15797944.519545022</v>
      </c>
      <c r="W2" s="44">
        <v>18242867.069163598</v>
      </c>
      <c r="X2" s="44">
        <v>21644931.750480775</v>
      </c>
      <c r="Y2" s="44">
        <v>25010342.637853604</v>
      </c>
      <c r="Z2" s="44">
        <v>28339782.020597737</v>
      </c>
      <c r="AA2" s="44">
        <v>31633912.565954678</v>
      </c>
      <c r="AB2" s="44">
        <v>34893378.109103166</v>
      </c>
      <c r="AC2" s="44">
        <v>38118804.402366176</v>
      </c>
      <c r="AD2" s="44">
        <v>41310799.82615076</v>
      </c>
      <c r="AE2" s="44">
        <v>44469956.063975215</v>
      </c>
      <c r="AF2" s="44">
        <v>47596848.74377133</v>
      </c>
      <c r="AG2" s="44">
        <v>49556285.501762286</v>
      </c>
      <c r="AH2" s="44">
        <v>51476133.357354373</v>
      </c>
      <c r="AI2" s="44">
        <v>53357103.689151615</v>
      </c>
      <c r="AJ2" s="44">
        <v>55199892.591257662</v>
      </c>
      <c r="AK2" s="44">
        <v>57005181.355855428</v>
      </c>
      <c r="AL2" s="44">
        <v>58773636.933713466</v>
      </c>
      <c r="AM2" s="44">
        <v>60505912.373896964</v>
      </c>
      <c r="AN2" s="44">
        <v>62202647.24387449</v>
      </c>
      <c r="AO2" s="44">
        <v>63864468.031133346</v>
      </c>
      <c r="AP2" s="44">
        <v>65491988.527341507</v>
      </c>
      <c r="AQ2" s="44">
        <v>67085810.196027875</v>
      </c>
      <c r="AR2" s="44">
        <v>68646522.524687812</v>
      </c>
      <c r="AS2" s="44">
        <v>70174703.362163767</v>
      </c>
      <c r="AT2" s="44">
        <v>71670919.242095917</v>
      </c>
      <c r="AU2" s="44">
        <v>73135725.693187952</v>
      </c>
      <c r="AV2" s="44">
        <v>74569667.5369858</v>
      </c>
      <c r="AW2" s="44">
        <v>75973279.173823923</v>
      </c>
      <c r="AX2" s="44">
        <v>77347084.857553944</v>
      </c>
      <c r="AY2" s="44">
        <v>78691598.959631622</v>
      </c>
      <c r="AZ2" s="44">
        <v>80007326.223104283</v>
      </c>
      <c r="BA2" s="44">
        <v>81294762.007007778</v>
      </c>
      <c r="BB2" s="44">
        <v>82554392.521651208</v>
      </c>
      <c r="BC2" s="44">
        <v>83786695.055240288</v>
      </c>
      <c r="BD2" s="44">
        <v>84992138.192262843</v>
      </c>
      <c r="BE2" s="44">
        <v>86171182.024035797</v>
      </c>
      <c r="BF2" s="44">
        <v>87324278.351789445</v>
      </c>
      <c r="BG2" s="44">
        <v>88451870.882644176</v>
      </c>
      <c r="BH2" s="44">
        <v>89554395.41881302</v>
      </c>
      <c r="BI2" s="44">
        <v>90632280.040346593</v>
      </c>
      <c r="BJ2" s="44">
        <v>91685945.281717375</v>
      </c>
      <c r="BK2" s="44">
        <v>92715804.30194822</v>
      </c>
      <c r="BN2" s="84" t="s">
        <v>38</v>
      </c>
      <c r="BO2" s="85" t="s">
        <v>129</v>
      </c>
      <c r="BP2" s="60">
        <f>AG2/1000000</f>
        <v>49.556285501762282</v>
      </c>
      <c r="BQ2" s="60">
        <f>AQ2/1000000</f>
        <v>67.085810196027879</v>
      </c>
      <c r="BR2" s="60">
        <f>BA2/1000000</f>
        <v>81.294762007007776</v>
      </c>
      <c r="BS2" s="60">
        <f>BK2/1000000</f>
        <v>92.715804301948225</v>
      </c>
    </row>
    <row r="3" spans="1:71" x14ac:dyDescent="0.25">
      <c r="A3" s="50" t="s">
        <v>71</v>
      </c>
      <c r="B3" s="50" t="s">
        <v>125</v>
      </c>
      <c r="C3" s="50" t="s">
        <v>121</v>
      </c>
      <c r="D3" s="44">
        <v>778374.70567275002</v>
      </c>
      <c r="E3" s="44">
        <v>1535022.1093097155</v>
      </c>
      <c r="F3" s="44">
        <v>2270889.154513876</v>
      </c>
      <c r="G3" s="44">
        <v>2986866.5307719884</v>
      </c>
      <c r="H3" s="44">
        <v>3683792.8982335599</v>
      </c>
      <c r="I3" s="44">
        <v>4362458.7303994726</v>
      </c>
      <c r="J3" s="44">
        <v>5023609.8149621096</v>
      </c>
      <c r="K3" s="44">
        <v>5667950.4482213622</v>
      </c>
      <c r="L3" s="44">
        <v>6296146.3543270566</v>
      </c>
      <c r="M3" s="44">
        <v>6908827.3569737086</v>
      </c>
      <c r="N3" s="44">
        <v>7515181.8335191449</v>
      </c>
      <c r="O3" s="44">
        <v>8613695.5486764461</v>
      </c>
      <c r="P3" s="44">
        <v>10091710.215177305</v>
      </c>
      <c r="Q3" s="44">
        <v>10296365.485343222</v>
      </c>
      <c r="R3" s="44">
        <v>12914628.496858951</v>
      </c>
      <c r="S3" s="44">
        <v>17405074.823177025</v>
      </c>
      <c r="T3" s="44">
        <v>22085449.70506895</v>
      </c>
      <c r="U3" s="44">
        <v>28231323.549744397</v>
      </c>
      <c r="V3" s="44">
        <v>30621595.045509823</v>
      </c>
      <c r="W3" s="44">
        <v>32341703.830018461</v>
      </c>
      <c r="X3" s="44">
        <v>51727280.825275332</v>
      </c>
      <c r="Y3" s="44">
        <v>70742838.168249413</v>
      </c>
      <c r="Z3" s="44">
        <v>89398913.805538431</v>
      </c>
      <c r="AA3" s="44">
        <v>107705648.41422251</v>
      </c>
      <c r="AB3" s="44">
        <v>125672803.98151574</v>
      </c>
      <c r="AC3" s="44">
        <v>143309781.34978732</v>
      </c>
      <c r="AD3" s="44">
        <v>160625636.79363835</v>
      </c>
      <c r="AE3" s="44">
        <v>177629097.69084603</v>
      </c>
      <c r="AF3" s="44">
        <v>194328577.34451342</v>
      </c>
      <c r="AG3" s="44">
        <v>222208852.97707891</v>
      </c>
      <c r="AH3" s="44">
        <v>238299385.15507683</v>
      </c>
      <c r="AI3" s="44">
        <v>254101706.44889736</v>
      </c>
      <c r="AJ3" s="44">
        <v>269623064.49129468</v>
      </c>
      <c r="AK3" s="44">
        <v>284870464.70725036</v>
      </c>
      <c r="AL3" s="44">
        <v>299850680.54579437</v>
      </c>
      <c r="AM3" s="44">
        <v>314570263.19176239</v>
      </c>
      <c r="AN3" s="44">
        <v>329035550.78817892</v>
      </c>
      <c r="AO3" s="44">
        <v>343252677.19791365</v>
      </c>
      <c r="AP3" s="44">
        <v>357227580.33134544</v>
      </c>
      <c r="AQ3" s="44">
        <v>370966010.06501532</v>
      </c>
      <c r="AR3" s="44">
        <v>384473535.77461541</v>
      </c>
      <c r="AS3" s="44">
        <v>397755553.50414735</v>
      </c>
      <c r="AT3" s="44">
        <v>410817292.79168439</v>
      </c>
      <c r="AU3" s="44">
        <v>423663823.1708644</v>
      </c>
      <c r="AV3" s="44">
        <v>436300060.36603624</v>
      </c>
      <c r="AW3" s="44">
        <v>448730772.19785047</v>
      </c>
      <c r="AX3" s="44">
        <v>460960584.21505004</v>
      </c>
      <c r="AY3" s="44">
        <v>472993985.0672313</v>
      </c>
      <c r="AZ3" s="44">
        <v>484835331.63245362</v>
      </c>
      <c r="BA3" s="44">
        <v>496488853.91271812</v>
      </c>
      <c r="BB3" s="44">
        <v>507958659.70956063</v>
      </c>
      <c r="BC3" s="44">
        <v>519248739.09126461</v>
      </c>
      <c r="BD3" s="44">
        <v>530362968.66251838</v>
      </c>
      <c r="BE3" s="44">
        <v>541305115.64669895</v>
      </c>
      <c r="BF3" s="44">
        <v>552078841.79037046</v>
      </c>
      <c r="BG3" s="44">
        <v>562687707.09902966</v>
      </c>
      <c r="BH3" s="44">
        <v>573135173.41260135</v>
      </c>
      <c r="BI3" s="44">
        <v>583424607.82870936</v>
      </c>
      <c r="BJ3" s="44">
        <v>593559285.98128545</v>
      </c>
      <c r="BK3" s="44">
        <v>603542395.16661298</v>
      </c>
      <c r="BN3" s="86" t="s">
        <v>71</v>
      </c>
      <c r="BO3" s="87" t="s">
        <v>129</v>
      </c>
      <c r="BP3" s="62">
        <f t="shared" ref="BP3:BP5" si="0">AG3/1000000</f>
        <v>222.20885297707892</v>
      </c>
      <c r="BQ3" s="62">
        <f t="shared" ref="BQ3:BQ5" si="1">AQ3/1000000</f>
        <v>370.96601006501533</v>
      </c>
      <c r="BR3" s="62">
        <f t="shared" ref="BR3:BR5" si="2">BA3/1000000</f>
        <v>496.48885391271813</v>
      </c>
      <c r="BS3" s="62">
        <f t="shared" ref="BS3:BS5" si="3">BK3/1000000</f>
        <v>603.54239516661301</v>
      </c>
    </row>
    <row r="4" spans="1:71" x14ac:dyDescent="0.25">
      <c r="A4" s="50" t="s">
        <v>38</v>
      </c>
      <c r="B4" s="50" t="s">
        <v>123</v>
      </c>
      <c r="C4" s="50" t="s">
        <v>121</v>
      </c>
      <c r="D4">
        <v>264298.13384870189</v>
      </c>
      <c r="E4">
        <v>520633.93324715138</v>
      </c>
      <c r="F4">
        <v>769361.87263473251</v>
      </c>
      <c r="G4">
        <v>1010815.693040224</v>
      </c>
      <c r="H4">
        <v>1245309.8961211501</v>
      </c>
      <c r="I4">
        <v>1473141.1108468894</v>
      </c>
      <c r="J4">
        <v>1694589.3453137057</v>
      </c>
      <c r="K4">
        <v>1909919.13479971</v>
      </c>
      <c r="L4">
        <v>2119380.5959568662</v>
      </c>
      <c r="M4">
        <v>2323210.3959727613</v>
      </c>
      <c r="N4">
        <v>2528030.7295535938</v>
      </c>
      <c r="O4">
        <v>3025243.1509060082</v>
      </c>
      <c r="P4">
        <v>3914439.356290834</v>
      </c>
      <c r="Q4">
        <v>4710896.3697284199</v>
      </c>
      <c r="R4">
        <v>5525197.0183615312</v>
      </c>
      <c r="S4">
        <v>7231647.8086248199</v>
      </c>
      <c r="T4">
        <v>10062408.411293173</v>
      </c>
      <c r="U4">
        <v>14189405.105481543</v>
      </c>
      <c r="V4">
        <v>15797944.519545022</v>
      </c>
      <c r="W4">
        <v>18242867.069163598</v>
      </c>
      <c r="X4">
        <v>21644931.750480775</v>
      </c>
      <c r="Y4">
        <v>25010342.637853604</v>
      </c>
      <c r="Z4">
        <v>28339782.020597737</v>
      </c>
      <c r="AA4">
        <v>31633912.565954678</v>
      </c>
      <c r="AB4">
        <v>34893378.109103166</v>
      </c>
      <c r="AC4">
        <v>38118804.402366176</v>
      </c>
      <c r="AD4">
        <v>41310799.82615076</v>
      </c>
      <c r="AE4">
        <v>44469956.063975215</v>
      </c>
      <c r="AF4">
        <v>47596848.74377133</v>
      </c>
      <c r="AG4">
        <v>49511094.406045981</v>
      </c>
      <c r="AH4">
        <v>51371987.575322554</v>
      </c>
      <c r="AI4">
        <v>53180768.981281802</v>
      </c>
      <c r="AJ4">
        <v>54938650.678186543</v>
      </c>
      <c r="AK4">
        <v>56646816.811468519</v>
      </c>
      <c r="AL4">
        <v>58306424.356770068</v>
      </c>
      <c r="AM4">
        <v>59918603.832818002</v>
      </c>
      <c r="AN4">
        <v>61484459.989418238</v>
      </c>
      <c r="AO4">
        <v>63005072.471780166</v>
      </c>
      <c r="AP4">
        <v>64481496.462302886</v>
      </c>
      <c r="AQ4">
        <v>65914763.300887689</v>
      </c>
      <c r="AR4">
        <v>67305881.084774628</v>
      </c>
      <c r="AS4">
        <v>68655835.248842657</v>
      </c>
      <c r="AT4">
        <v>69965589.127255678</v>
      </c>
      <c r="AU4">
        <v>71236084.497286275</v>
      </c>
      <c r="AV4">
        <v>72468242.106099531</v>
      </c>
      <c r="AW4">
        <v>73662962.181234837</v>
      </c>
      <c r="AX4">
        <v>74821124.925482512</v>
      </c>
      <c r="AY4">
        <v>75943590.996811047</v>
      </c>
      <c r="AZ4">
        <v>77031201.973967031</v>
      </c>
      <c r="BA4">
        <v>78084780.808333293</v>
      </c>
      <c r="BB4">
        <v>79105132.26260072</v>
      </c>
      <c r="BC4">
        <v>80093043.33677882</v>
      </c>
      <c r="BD4">
        <v>81049283.682042465</v>
      </c>
      <c r="BE4">
        <v>81974606.002886221</v>
      </c>
      <c r="BF4">
        <v>82869746.448033333</v>
      </c>
      <c r="BG4">
        <v>83735424.99052386</v>
      </c>
      <c r="BH4">
        <v>84572345.797384322</v>
      </c>
      <c r="BI4">
        <v>85381197.589262396</v>
      </c>
      <c r="BJ4">
        <v>86162653.990389749</v>
      </c>
      <c r="BK4">
        <v>86917373.868643135</v>
      </c>
      <c r="BN4" s="84" t="s">
        <v>38</v>
      </c>
      <c r="BO4" s="94" t="s">
        <v>128</v>
      </c>
      <c r="BP4" s="60">
        <f t="shared" si="0"/>
        <v>49.511094406045977</v>
      </c>
      <c r="BQ4" s="60">
        <f t="shared" si="1"/>
        <v>65.914763300887685</v>
      </c>
      <c r="BR4" s="60">
        <f t="shared" si="2"/>
        <v>78.084780808333292</v>
      </c>
      <c r="BS4" s="60">
        <f t="shared" si="3"/>
        <v>86.917373868643139</v>
      </c>
    </row>
    <row r="5" spans="1:71" x14ac:dyDescent="0.25">
      <c r="A5" s="50" t="s">
        <v>71</v>
      </c>
      <c r="B5" s="50" t="s">
        <v>123</v>
      </c>
      <c r="C5" s="50" t="s">
        <v>121</v>
      </c>
      <c r="D5">
        <v>778374.70567275002</v>
      </c>
      <c r="E5">
        <v>1535022.1093097155</v>
      </c>
      <c r="F5">
        <v>2270889.154513876</v>
      </c>
      <c r="G5">
        <v>2986866.5307719884</v>
      </c>
      <c r="H5">
        <v>3683792.8982335599</v>
      </c>
      <c r="I5">
        <v>4362458.7303994726</v>
      </c>
      <c r="J5">
        <v>5023609.8149621096</v>
      </c>
      <c r="K5">
        <v>5667950.4482213622</v>
      </c>
      <c r="L5">
        <v>6296146.3543270566</v>
      </c>
      <c r="M5">
        <v>6908827.3569737086</v>
      </c>
      <c r="N5">
        <v>7515181.8335191449</v>
      </c>
      <c r="O5">
        <v>8613695.5486764461</v>
      </c>
      <c r="P5">
        <v>10091710.215177305</v>
      </c>
      <c r="Q5">
        <v>10296365.485343222</v>
      </c>
      <c r="R5">
        <v>12914628.496858951</v>
      </c>
      <c r="S5">
        <v>17405074.823177025</v>
      </c>
      <c r="T5">
        <v>22085449.70506895</v>
      </c>
      <c r="U5">
        <v>28231323.549744397</v>
      </c>
      <c r="V5">
        <v>30621595.045509823</v>
      </c>
      <c r="W5">
        <v>32341703.830018461</v>
      </c>
      <c r="X5">
        <v>51727280.825275332</v>
      </c>
      <c r="Y5">
        <v>70742838.168249413</v>
      </c>
      <c r="Z5">
        <v>89398913.805538431</v>
      </c>
      <c r="AA5">
        <v>107705648.41422251</v>
      </c>
      <c r="AB5">
        <v>125672803.98151574</v>
      </c>
      <c r="AC5">
        <v>143309781.34978732</v>
      </c>
      <c r="AD5">
        <v>160625636.79363835</v>
      </c>
      <c r="AE5">
        <v>177629097.69084603</v>
      </c>
      <c r="AF5">
        <v>194328577.34451342</v>
      </c>
      <c r="AG5">
        <v>222208852.97707891</v>
      </c>
      <c r="AH5">
        <v>238229247.83970243</v>
      </c>
      <c r="AI5">
        <v>253948711.19172147</v>
      </c>
      <c r="AJ5">
        <v>269374993.10510945</v>
      </c>
      <c r="AK5">
        <v>284515588.62119752</v>
      </c>
      <c r="AL5">
        <v>299377748.25573355</v>
      </c>
      <c r="AM5">
        <v>313968487.97859573</v>
      </c>
      <c r="AN5">
        <v>328294598.69894862</v>
      </c>
      <c r="AO5">
        <v>342362655.28458202</v>
      </c>
      <c r="AP5">
        <v>356179025.14226067</v>
      </c>
      <c r="AQ5">
        <v>369749876.38415611</v>
      </c>
      <c r="AR5">
        <v>383081185.60379922</v>
      </c>
      <c r="AS5">
        <v>396178745.28347266</v>
      </c>
      <c r="AT5">
        <v>409048170.85356551</v>
      </c>
      <c r="AU5">
        <v>421694907.42310184</v>
      </c>
      <c r="AV5">
        <v>434124236.19944823</v>
      </c>
      <c r="AW5">
        <v>446341280.61407495</v>
      </c>
      <c r="AX5">
        <v>458351012.1702047</v>
      </c>
      <c r="AY5">
        <v>470158256.027201</v>
      </c>
      <c r="AZ5">
        <v>481767696.33564961</v>
      </c>
      <c r="BA5">
        <v>493183881.33623165</v>
      </c>
      <c r="BB5">
        <v>504411228.23470807</v>
      </c>
      <c r="BC5">
        <v>515454027.8645944</v>
      </c>
      <c r="BD5">
        <v>526316449.14842296</v>
      </c>
      <c r="BE5">
        <v>537002543.36784625</v>
      </c>
      <c r="BF5">
        <v>547516248.25223875</v>
      </c>
      <c r="BG5">
        <v>557861391.89489806</v>
      </c>
      <c r="BH5">
        <v>568041696.50541675</v>
      </c>
      <c r="BI5">
        <v>578060782.00631607</v>
      </c>
      <c r="BJ5">
        <v>587922169.48156774</v>
      </c>
      <c r="BK5">
        <v>597629284.46916795</v>
      </c>
      <c r="BN5" s="86" t="s">
        <v>71</v>
      </c>
      <c r="BO5" s="90" t="s">
        <v>128</v>
      </c>
      <c r="BP5" s="62">
        <f t="shared" si="0"/>
        <v>222.20885297707892</v>
      </c>
      <c r="BQ5" s="62">
        <f t="shared" si="1"/>
        <v>369.7498763841561</v>
      </c>
      <c r="BR5" s="62">
        <f t="shared" si="2"/>
        <v>493.18388133623165</v>
      </c>
      <c r="BS5" s="62">
        <f t="shared" si="3"/>
        <v>597.62928446916794</v>
      </c>
    </row>
    <row r="6" spans="1:71" x14ac:dyDescent="0.25">
      <c r="A6" s="50" t="s">
        <v>38</v>
      </c>
      <c r="B6" s="50" t="s">
        <v>124</v>
      </c>
      <c r="C6" s="50" t="s">
        <v>121</v>
      </c>
      <c r="D6">
        <v>264298.13384870189</v>
      </c>
      <c r="E6">
        <v>520633.93324715138</v>
      </c>
      <c r="F6">
        <v>769361.87263473251</v>
      </c>
      <c r="G6">
        <v>1010815.693040224</v>
      </c>
      <c r="H6">
        <v>1245309.8961211501</v>
      </c>
      <c r="I6">
        <v>1473141.1108468894</v>
      </c>
      <c r="J6">
        <v>1694589.3453137057</v>
      </c>
      <c r="K6">
        <v>1909919.13479971</v>
      </c>
      <c r="L6">
        <v>2119380.5959568662</v>
      </c>
      <c r="M6">
        <v>2323210.3959727613</v>
      </c>
      <c r="N6">
        <v>2528030.7295535938</v>
      </c>
      <c r="O6">
        <v>3025243.1509060082</v>
      </c>
      <c r="P6">
        <v>3914439.356290834</v>
      </c>
      <c r="Q6">
        <v>4710896.3697284199</v>
      </c>
      <c r="R6">
        <v>5525197.0183615312</v>
      </c>
      <c r="S6">
        <v>7231647.8086248199</v>
      </c>
      <c r="T6">
        <v>10062408.411293173</v>
      </c>
      <c r="U6">
        <v>14189405.105481543</v>
      </c>
      <c r="V6">
        <v>15797944.519545022</v>
      </c>
      <c r="W6">
        <v>18242867.069163598</v>
      </c>
      <c r="X6">
        <v>21644931.750480775</v>
      </c>
      <c r="Y6">
        <v>25010342.637853604</v>
      </c>
      <c r="Z6">
        <v>28339782.020597737</v>
      </c>
      <c r="AA6">
        <v>31633912.565954678</v>
      </c>
      <c r="AB6">
        <v>34893378.109103166</v>
      </c>
      <c r="AC6">
        <v>38118804.402366176</v>
      </c>
      <c r="AD6">
        <v>41310799.82615076</v>
      </c>
      <c r="AE6">
        <v>44469956.063975215</v>
      </c>
      <c r="AF6">
        <v>47596848.74377133</v>
      </c>
      <c r="AG6">
        <v>49603070.105662473</v>
      </c>
      <c r="AH6">
        <v>51584486.576389253</v>
      </c>
      <c r="AI6">
        <v>53541472.727950081</v>
      </c>
      <c r="AJ6">
        <v>55474393.071860045</v>
      </c>
      <c r="AK6">
        <v>57383602.472240299</v>
      </c>
      <c r="AL6">
        <v>59269446.537688687</v>
      </c>
      <c r="AM6">
        <v>61132261.993199393</v>
      </c>
      <c r="AN6">
        <v>62972377.033312932</v>
      </c>
      <c r="AO6">
        <v>64790111.657599464</v>
      </c>
      <c r="AP6">
        <v>66585777.989503719</v>
      </c>
      <c r="AQ6">
        <v>68359680.579513699</v>
      </c>
      <c r="AR6">
        <v>70112116.693550617</v>
      </c>
      <c r="AS6">
        <v>71843376.587420493</v>
      </c>
      <c r="AT6">
        <v>73553743.768113196</v>
      </c>
      <c r="AU6">
        <v>75243495.242684633</v>
      </c>
      <c r="AV6">
        <v>76912901.755411252</v>
      </c>
      <c r="AW6">
        <v>78562228.013862014</v>
      </c>
      <c r="AX6">
        <v>80191732.904494256</v>
      </c>
      <c r="AY6">
        <v>81801669.698340312</v>
      </c>
      <c r="AZ6">
        <v>83392286.24731873</v>
      </c>
      <c r="BA6">
        <v>84963825.171670109</v>
      </c>
      <c r="BB6">
        <v>86516524.038988039</v>
      </c>
      <c r="BC6">
        <v>88050615.535286903</v>
      </c>
      <c r="BD6">
        <v>89566327.628522366</v>
      </c>
      <c r="BE6">
        <v>91063883.724955454</v>
      </c>
      <c r="BF6">
        <v>92543502.818728149</v>
      </c>
      <c r="BG6">
        <v>94005399.634997219</v>
      </c>
      <c r="BH6">
        <v>95449784.766952664</v>
      </c>
      <c r="BI6">
        <v>96876864.807028577</v>
      </c>
      <c r="BJ6">
        <v>98286842.472596154</v>
      </c>
      <c r="BK6">
        <v>99679916.725836277</v>
      </c>
      <c r="BN6" s="88" t="s">
        <v>38</v>
      </c>
      <c r="BO6" s="89" t="s">
        <v>130</v>
      </c>
      <c r="BP6" s="61">
        <f>AG6/1000000</f>
        <v>49.603070105662475</v>
      </c>
      <c r="BQ6" s="61">
        <f>AQ6/1000000</f>
        <v>68.359680579513693</v>
      </c>
      <c r="BR6" s="61">
        <f>BA6/1000000</f>
        <v>84.963825171670109</v>
      </c>
      <c r="BS6" s="61">
        <f>BK6/1000000</f>
        <v>99.679916725836279</v>
      </c>
    </row>
    <row r="7" spans="1:71" x14ac:dyDescent="0.25">
      <c r="A7" s="50" t="s">
        <v>71</v>
      </c>
      <c r="B7" s="50" t="s">
        <v>124</v>
      </c>
      <c r="C7" s="50" t="s">
        <v>121</v>
      </c>
      <c r="D7">
        <v>778374.70567275002</v>
      </c>
      <c r="E7">
        <v>1535022.1093097155</v>
      </c>
      <c r="F7">
        <v>2270889.154513876</v>
      </c>
      <c r="G7">
        <v>2986866.5307719884</v>
      </c>
      <c r="H7">
        <v>3683792.8982335599</v>
      </c>
      <c r="I7">
        <v>4362458.7303994726</v>
      </c>
      <c r="J7">
        <v>5023609.8149621096</v>
      </c>
      <c r="K7">
        <v>5667950.4482213622</v>
      </c>
      <c r="L7">
        <v>6296146.3543270566</v>
      </c>
      <c r="M7">
        <v>6908827.3569737086</v>
      </c>
      <c r="N7">
        <v>7515181.8335191449</v>
      </c>
      <c r="O7">
        <v>8613695.5486764461</v>
      </c>
      <c r="P7">
        <v>10091710.215177305</v>
      </c>
      <c r="Q7">
        <v>10296365.485343222</v>
      </c>
      <c r="R7">
        <v>12914628.496858951</v>
      </c>
      <c r="S7">
        <v>17405074.823177025</v>
      </c>
      <c r="T7">
        <v>22085449.70506895</v>
      </c>
      <c r="U7">
        <v>28231323.549744397</v>
      </c>
      <c r="V7">
        <v>30621595.045509823</v>
      </c>
      <c r="W7">
        <v>32341703.830018461</v>
      </c>
      <c r="X7">
        <v>51727280.825275332</v>
      </c>
      <c r="Y7">
        <v>70742838.168249413</v>
      </c>
      <c r="Z7">
        <v>89398913.805538431</v>
      </c>
      <c r="AA7">
        <v>107705648.41422251</v>
      </c>
      <c r="AB7">
        <v>125672803.98151574</v>
      </c>
      <c r="AC7">
        <v>143309781.34978732</v>
      </c>
      <c r="AD7">
        <v>160625636.79363835</v>
      </c>
      <c r="AE7">
        <v>177629097.69084603</v>
      </c>
      <c r="AF7">
        <v>194328577.34451342</v>
      </c>
      <c r="AG7">
        <v>222208852.97707891</v>
      </c>
      <c r="AH7">
        <v>238370220.3541863</v>
      </c>
      <c r="AI7">
        <v>254256990.89307556</v>
      </c>
      <c r="AJ7">
        <v>269876097.20286536</v>
      </c>
      <c r="AK7">
        <v>285234234.59975314</v>
      </c>
      <c r="AL7">
        <v>300337871.27323407</v>
      </c>
      <c r="AM7">
        <v>315193257.93306476</v>
      </c>
      <c r="AN7">
        <v>329806436.96765178</v>
      </c>
      <c r="AO7">
        <v>344183251.1425035</v>
      </c>
      <c r="AP7">
        <v>358329351.86546957</v>
      </c>
      <c r="AQ7">
        <v>372250207.04374075</v>
      </c>
      <c r="AR7">
        <v>385951108.55594671</v>
      </c>
      <c r="AS7">
        <v>399437179.36117667</v>
      </c>
      <c r="AT7">
        <v>412713380.26534772</v>
      </c>
      <c r="AU7">
        <v>425784516.36403948</v>
      </c>
      <c r="AV7">
        <v>438655243.17970908</v>
      </c>
      <c r="AW7">
        <v>451330072.51006889</v>
      </c>
      <c r="AX7">
        <v>463813378.00337303</v>
      </c>
      <c r="AY7">
        <v>476109400.47537684</v>
      </c>
      <c r="AZ7">
        <v>488222252.98183709</v>
      </c>
      <c r="BA7">
        <v>500155925.65956622</v>
      </c>
      <c r="BB7">
        <v>511914290.34827816</v>
      </c>
      <c r="BC7">
        <v>523501105.00472212</v>
      </c>
      <c r="BD7">
        <v>534920017.91992193</v>
      </c>
      <c r="BE7">
        <v>546174571.74969506</v>
      </c>
      <c r="BF7">
        <v>557268207.36803138</v>
      </c>
      <c r="BG7">
        <v>568204267.55235612</v>
      </c>
      <c r="BH7">
        <v>578986000.50917375</v>
      </c>
      <c r="BI7">
        <v>589616563.24811006</v>
      </c>
      <c r="BJ7">
        <v>600099024.81190538</v>
      </c>
      <c r="BK7">
        <v>610436369.35445356</v>
      </c>
      <c r="BN7" s="86" t="s">
        <v>71</v>
      </c>
      <c r="BO7" s="90" t="s">
        <v>130</v>
      </c>
      <c r="BP7" s="62">
        <f>AG7/1000000</f>
        <v>222.20885297707892</v>
      </c>
      <c r="BQ7" s="62">
        <f>AQ7/1000000</f>
        <v>372.25020704374077</v>
      </c>
      <c r="BR7" s="62">
        <f>BA7/1000000</f>
        <v>500.15592565956621</v>
      </c>
      <c r="BS7" s="62">
        <f>BK7/1000000</f>
        <v>610.43636935445352</v>
      </c>
    </row>
    <row r="8" spans="1:71" x14ac:dyDescent="0.25">
      <c r="A8" s="50"/>
      <c r="BN8" s="92" t="s">
        <v>110</v>
      </c>
    </row>
    <row r="9" spans="1:71" x14ac:dyDescent="0.25">
      <c r="A9" s="50"/>
      <c r="BN9" s="84" t="s">
        <v>38</v>
      </c>
      <c r="BO9" s="94" t="s">
        <v>128</v>
      </c>
      <c r="BP9" s="60">
        <f>BP2-BP4</f>
        <v>4.5191095716305085E-2</v>
      </c>
      <c r="BQ9" s="60">
        <f t="shared" ref="BQ9:BR9" si="4">BQ2-BQ4</f>
        <v>1.1710468951401936</v>
      </c>
      <c r="BR9" s="60">
        <f t="shared" si="4"/>
        <v>3.2099811986744839</v>
      </c>
      <c r="BS9" s="60">
        <f>BS2-BS4</f>
        <v>5.7984304333050858</v>
      </c>
    </row>
    <row r="10" spans="1:71" x14ac:dyDescent="0.25">
      <c r="BN10" s="86" t="s">
        <v>71</v>
      </c>
      <c r="BO10" s="90" t="s">
        <v>128</v>
      </c>
      <c r="BP10" s="62">
        <f>BP3-BP5</f>
        <v>0</v>
      </c>
      <c r="BQ10" s="62">
        <f t="shared" ref="BQ10:BS10" si="5">BQ3-BQ5</f>
        <v>1.2161336808592296</v>
      </c>
      <c r="BR10" s="62">
        <f t="shared" si="5"/>
        <v>3.3049725764864775</v>
      </c>
      <c r="BS10" s="62">
        <f t="shared" si="5"/>
        <v>5.9131106974450631</v>
      </c>
    </row>
    <row r="11" spans="1:71" x14ac:dyDescent="0.25">
      <c r="BN11" s="88" t="s">
        <v>38</v>
      </c>
      <c r="BO11" s="89" t="s">
        <v>130</v>
      </c>
      <c r="BP11" s="61">
        <f t="shared" ref="BP11:BR11" si="6">BP2-BP6</f>
        <v>-4.6784603900192678E-2</v>
      </c>
      <c r="BQ11" s="61">
        <f t="shared" si="6"/>
        <v>-1.2738703834858143</v>
      </c>
      <c r="BR11" s="61">
        <f t="shared" si="6"/>
        <v>-3.6690631646623331</v>
      </c>
      <c r="BS11" s="61">
        <f>BS2-BS6</f>
        <v>-6.9641124238880536</v>
      </c>
    </row>
    <row r="12" spans="1:71" x14ac:dyDescent="0.25">
      <c r="BN12" s="86" t="s">
        <v>71</v>
      </c>
      <c r="BO12" s="90" t="s">
        <v>130</v>
      </c>
      <c r="BP12" s="62">
        <f t="shared" ref="BP12:BR12" si="7">BP3-BP7</f>
        <v>0</v>
      </c>
      <c r="BQ12" s="62">
        <f t="shared" si="7"/>
        <v>-1.284196978725447</v>
      </c>
      <c r="BR12" s="62">
        <f t="shared" si="7"/>
        <v>-3.6670717468480802</v>
      </c>
      <c r="BS12" s="62">
        <f>BS3-BS7</f>
        <v>-6.893974187840513</v>
      </c>
    </row>
    <row r="13" spans="1:71" x14ac:dyDescent="0.25">
      <c r="BN13" s="92" t="s">
        <v>110</v>
      </c>
    </row>
    <row r="14" spans="1:71" s="50" customFormat="1" x14ac:dyDescent="0.25">
      <c r="BN14" s="93" t="s">
        <v>34</v>
      </c>
      <c r="BO14" s="93" t="s">
        <v>126</v>
      </c>
      <c r="BP14" s="93">
        <v>2020</v>
      </c>
      <c r="BQ14" s="93">
        <v>2030</v>
      </c>
      <c r="BR14" s="93">
        <v>2040</v>
      </c>
      <c r="BS14" s="93">
        <v>2050</v>
      </c>
    </row>
    <row r="15" spans="1:71" x14ac:dyDescent="0.25">
      <c r="BN15" s="84" t="s">
        <v>38</v>
      </c>
      <c r="BO15" s="94" t="s">
        <v>128</v>
      </c>
      <c r="BP15" s="60">
        <f>(('Sce 4 Table'!BR$34*BP9*1000)*1000000/'Sce 3 Table'!BR$18)/1000000</f>
        <v>2.6169591933425962</v>
      </c>
      <c r="BQ15" s="60">
        <f>(('Sce 4 Table'!BS$34*BQ9*1000)*1000000/'Sce 3 Table'!BS$18)/1000000</f>
        <v>74.545222609797634</v>
      </c>
      <c r="BR15" s="60">
        <f>(('Sce 4 Table'!BT$34*BR9*1000)*1000000/'Sce 3 Table'!BT$18)/1000000</f>
        <v>216.50723535413545</v>
      </c>
      <c r="BS15" s="60">
        <f>(('Sce 4 Table'!BU$34*BS9*1000)*1000000/'Sce 3 Table'!BU$18)/1000000</f>
        <v>413.07645816958075</v>
      </c>
    </row>
    <row r="16" spans="1:71" x14ac:dyDescent="0.25">
      <c r="BN16" s="86" t="s">
        <v>71</v>
      </c>
      <c r="BO16" s="90" t="s">
        <v>128</v>
      </c>
      <c r="BP16" s="62">
        <f>(('Sce 4 Table'!BR$27*BP10*1000)*1000000/'Sce 3 Table'!BR$7)/1000000</f>
        <v>0</v>
      </c>
      <c r="BQ16" s="62">
        <f>(('Sce 4 Table'!BS$27*BQ10*1000)*1000000/'Sce 3 Table'!BS$7)/1000000</f>
        <v>83.180326752410977</v>
      </c>
      <c r="BR16" s="62">
        <f>(('Sce 4 Table'!BT$27*BR10*1000)*1000000/'Sce 3 Table'!BT$7)/1000000</f>
        <v>242.46129617985306</v>
      </c>
      <c r="BS16" s="62">
        <f>(('Sce 4 Table'!BU$27*BS10*1000)*1000000/'Sce 3 Table'!BU$7)/1000000</f>
        <v>462.48233273422858</v>
      </c>
    </row>
    <row r="17" spans="1:71" x14ac:dyDescent="0.25">
      <c r="BN17" s="88" t="s">
        <v>38</v>
      </c>
      <c r="BO17" s="89" t="s">
        <v>130</v>
      </c>
      <c r="BP17" s="61">
        <f>(('Sce 4 Table'!BR$34*BP11*1000)*1000000/'Sce 3 Table'!BR$18)/1000000</f>
        <v>-2.7092372367357043</v>
      </c>
      <c r="BQ17" s="61">
        <f>(('Sce 4 Table'!BS$34*BQ11*1000)*1000000/'Sce 3 Table'!BS$18)/1000000</f>
        <v>-81.090647784527789</v>
      </c>
      <c r="BR17" s="61">
        <f>(('Sce 4 Table'!BT$34*BR11*1000)*1000000/'Sce 3 Table'!BT$18)/1000000</f>
        <v>-247.47145635892329</v>
      </c>
      <c r="BS17" s="61">
        <f>(('Sce 4 Table'!BU$34*BS11*1000)*1000000/'Sce 3 Table'!BU$18)/1000000</f>
        <v>-496.11889414610704</v>
      </c>
    </row>
    <row r="18" spans="1:71" x14ac:dyDescent="0.25">
      <c r="BN18" s="86" t="s">
        <v>71</v>
      </c>
      <c r="BO18" s="90" t="s">
        <v>130</v>
      </c>
      <c r="BP18" s="62">
        <f>(('Sce 4 Table'!BR$27*BP12*1000)*1000000/'Sce 3 Table'!BR$7)/1000000</f>
        <v>0</v>
      </c>
      <c r="BQ18" s="62">
        <f>(('Sce 4 Table'!BS$27*BQ12*1000)*1000000/'Sce 3 Table'!BS$7)/1000000</f>
        <v>-87.835676279741421</v>
      </c>
      <c r="BR18" s="62">
        <f>(('Sce 4 Table'!BT$27*BR12*1000)*1000000/'Sce 3 Table'!BT$7)/1000000</f>
        <v>-269.02582346705333</v>
      </c>
      <c r="BS18" s="62">
        <f>(('Sce 4 Table'!BU$27*BS12*1000)*1000000/'Sce 3 Table'!BU$7)/1000000</f>
        <v>-539.19864303904501</v>
      </c>
    </row>
    <row r="19" spans="1:71" x14ac:dyDescent="0.25">
      <c r="BN19" s="91" t="s">
        <v>127</v>
      </c>
    </row>
    <row r="28" spans="1:71" x14ac:dyDescent="0.25">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row>
    <row r="29" spans="1:71" x14ac:dyDescent="0.25">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row>
    <row r="30" spans="1:71" x14ac:dyDescent="0.25">
      <c r="A30" s="50"/>
      <c r="BO30"/>
    </row>
    <row r="31" spans="1:71" x14ac:dyDescent="0.25">
      <c r="A31" s="50"/>
      <c r="BO31"/>
    </row>
    <row r="32" spans="1:71" x14ac:dyDescent="0.25">
      <c r="BO32"/>
    </row>
  </sheetData>
  <pageMargins left="0.7" right="0.7" top="0.75" bottom="0.75" header="0.3" footer="0.3"/>
  <pageSetup orientation="portrait" r:id="rId1"/>
  <ignoredErrors>
    <ignoredError sqref="BP16:BS17"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LUC-2013-01-08-Run1</vt:lpstr>
      <vt:lpstr>LUC-2013-01-08-Run2</vt:lpstr>
      <vt:lpstr>LUC-2013-01-08-Run3</vt:lpstr>
      <vt:lpstr>LUC-2013-01-08-Run4</vt:lpstr>
      <vt:lpstr>Sheet2</vt:lpstr>
      <vt:lpstr>RUN SPECS</vt:lpstr>
      <vt:lpstr>WAO Scenario Ag</vt:lpstr>
      <vt:lpstr>25% by 2050 Ag</vt:lpstr>
      <vt:lpstr>Land Init</vt:lpstr>
      <vt:lpstr>Sce 1 Table</vt:lpstr>
      <vt:lpstr>Sce 2 Table</vt:lpstr>
      <vt:lpstr>Sce 3 Table</vt:lpstr>
      <vt:lpstr>Sce 4 Table</vt:lpstr>
      <vt:lpstr>Cellulosic Sens Anal</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Peterson</dc:creator>
  <cp:lastModifiedBy>ewarner</cp:lastModifiedBy>
  <dcterms:created xsi:type="dcterms:W3CDTF">2012-08-10T12:58:08Z</dcterms:created>
  <dcterms:modified xsi:type="dcterms:W3CDTF">2013-01-09T18:22:16Z</dcterms:modified>
</cp:coreProperties>
</file>